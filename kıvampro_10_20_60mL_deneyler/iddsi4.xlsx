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19416" windowHeight="10296"/>
  </bookViews>
  <sheets>
    <sheet name="10 mL" sheetId="1" r:id="rId1"/>
    <sheet name="20 mL" sheetId="2" r:id="rId2"/>
    <sheet name="60 mL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7" i="1" s="1"/>
  <c r="Q4" i="1"/>
  <c r="Q5" i="1"/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3" i="3"/>
  <c r="L3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3" i="1"/>
</calcChain>
</file>

<file path=xl/sharedStrings.xml><?xml version="1.0" encoding="utf-8"?>
<sst xmlns="http://schemas.openxmlformats.org/spreadsheetml/2006/main" count="46" uniqueCount="13">
  <si>
    <t>1.paralel</t>
  </si>
  <si>
    <t>2.paralel</t>
  </si>
  <si>
    <t>3.paralel</t>
  </si>
  <si>
    <t>ORT</t>
  </si>
  <si>
    <t>Time(s)</t>
  </si>
  <si>
    <t>Ağırlık (g)</t>
  </si>
  <si>
    <t>Volume (mL)</t>
  </si>
  <si>
    <t>Deney-Ağırlık (g)</t>
  </si>
  <si>
    <t>Std</t>
  </si>
  <si>
    <t>iddsi4</t>
  </si>
  <si>
    <t>40ml</t>
  </si>
  <si>
    <t>50ml</t>
  </si>
  <si>
    <t>80ml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</si>
</sst>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zoomScale="70" zoomScaleNormal="70" workbookViewId="0">
      <selection activeCell="P17" sqref="P17"/>
    </sheetView>
  </sheetViews>
  <sheetFormatPr defaultRowHeight="14.4" x14ac:dyDescent="0.3"/>
  <cols>
    <col min="11" max="11" width="14.21875" bestFit="1" customWidth="1"/>
    <col min="12" max="12" width="10.5546875" bestFit="1" customWidth="1"/>
    <col min="13" max="13" width="11.21875" bestFit="1" customWidth="1"/>
    <col min="14" max="14" width="14.77734375" bestFit="1" customWidth="1"/>
  </cols>
  <sheetData>
    <row r="1" spans="1:17" x14ac:dyDescent="0.3">
      <c r="A1" t="s">
        <v>0</v>
      </c>
      <c r="D1" t="s">
        <v>1</v>
      </c>
      <c r="G1" t="s">
        <v>2</v>
      </c>
      <c r="J1" s="1" t="s">
        <v>3</v>
      </c>
      <c r="O1" t="s">
        <v>9</v>
      </c>
    </row>
    <row r="2" spans="1:17" x14ac:dyDescent="0.3">
      <c r="A2" t="s">
        <v>4</v>
      </c>
      <c r="B2" t="s">
        <v>5</v>
      </c>
      <c r="D2" t="s">
        <v>4</v>
      </c>
      <c r="E2" t="s">
        <v>5</v>
      </c>
      <c r="G2" t="s">
        <v>4</v>
      </c>
      <c r="H2" t="s">
        <v>5</v>
      </c>
      <c r="J2" t="s">
        <v>4</v>
      </c>
      <c r="K2" t="s">
        <v>7</v>
      </c>
      <c r="L2" t="s">
        <v>8</v>
      </c>
      <c r="M2" t="s">
        <v>6</v>
      </c>
      <c r="O2" t="s">
        <v>10</v>
      </c>
      <c r="P2" s="1">
        <v>40.130000000000003</v>
      </c>
      <c r="Q2">
        <f>P2/40*1000</f>
        <v>1003.25</v>
      </c>
    </row>
    <row r="3" spans="1:17" x14ac:dyDescent="0.3">
      <c r="A3">
        <v>0</v>
      </c>
      <c r="B3">
        <v>0</v>
      </c>
      <c r="D3">
        <v>0</v>
      </c>
      <c r="E3">
        <v>0</v>
      </c>
      <c r="G3">
        <v>0</v>
      </c>
      <c r="H3">
        <v>0</v>
      </c>
      <c r="J3">
        <v>0</v>
      </c>
      <c r="K3" s="3">
        <f t="shared" ref="K3:K34" si="0">AVERAGE(B3,E3,H3)</f>
        <v>0</v>
      </c>
      <c r="L3" s="2">
        <f t="shared" ref="L3:L34" si="1">_xlfn.STDEV.S(B3,E3,H3)</f>
        <v>0</v>
      </c>
    </row>
    <row r="4" spans="1:17" x14ac:dyDescent="0.3">
      <c r="A4">
        <v>1</v>
      </c>
      <c r="B4">
        <v>0</v>
      </c>
      <c r="D4">
        <v>1</v>
      </c>
      <c r="E4">
        <v>0</v>
      </c>
      <c r="G4">
        <v>1</v>
      </c>
      <c r="H4">
        <v>0</v>
      </c>
      <c r="J4">
        <v>1</v>
      </c>
      <c r="K4" s="3">
        <f t="shared" si="0"/>
        <v>0</v>
      </c>
      <c r="L4" s="2">
        <f t="shared" si="1"/>
        <v>0</v>
      </c>
      <c r="O4" t="s">
        <v>11</v>
      </c>
      <c r="P4" s="1">
        <v>50.03</v>
      </c>
      <c r="Q4">
        <f>P4/50*1000</f>
        <v>1000.5999999999999</v>
      </c>
    </row>
    <row r="5" spans="1:17" x14ac:dyDescent="0.3">
      <c r="A5">
        <v>2</v>
      </c>
      <c r="B5">
        <v>0</v>
      </c>
      <c r="D5">
        <v>2</v>
      </c>
      <c r="E5">
        <v>0</v>
      </c>
      <c r="G5">
        <v>2</v>
      </c>
      <c r="H5">
        <v>0</v>
      </c>
      <c r="J5">
        <v>2</v>
      </c>
      <c r="K5" s="3">
        <f t="shared" si="0"/>
        <v>0</v>
      </c>
      <c r="L5" s="2">
        <f t="shared" si="1"/>
        <v>0</v>
      </c>
      <c r="O5" t="s">
        <v>12</v>
      </c>
      <c r="P5" s="7">
        <v>79.989999999999995</v>
      </c>
      <c r="Q5" s="7">
        <f>P5/80*1000</f>
        <v>999.875</v>
      </c>
    </row>
    <row r="6" spans="1:17" x14ac:dyDescent="0.3">
      <c r="A6">
        <v>3</v>
      </c>
      <c r="B6">
        <v>0</v>
      </c>
      <c r="D6">
        <v>3</v>
      </c>
      <c r="E6">
        <v>0</v>
      </c>
      <c r="G6">
        <v>3</v>
      </c>
      <c r="H6">
        <v>0</v>
      </c>
      <c r="J6">
        <v>3</v>
      </c>
      <c r="K6" s="3">
        <f t="shared" si="0"/>
        <v>0</v>
      </c>
      <c r="L6" s="2">
        <f t="shared" si="1"/>
        <v>0</v>
      </c>
    </row>
    <row r="7" spans="1:17" x14ac:dyDescent="0.3">
      <c r="A7">
        <v>4</v>
      </c>
      <c r="B7">
        <v>0</v>
      </c>
      <c r="D7">
        <v>4</v>
      </c>
      <c r="E7">
        <v>0</v>
      </c>
      <c r="G7">
        <v>4</v>
      </c>
      <c r="H7">
        <v>0</v>
      </c>
      <c r="J7">
        <v>4</v>
      </c>
      <c r="K7" s="3">
        <f t="shared" si="0"/>
        <v>0</v>
      </c>
      <c r="L7" s="2">
        <f t="shared" si="1"/>
        <v>0</v>
      </c>
      <c r="Q7" s="1">
        <f>AVERAGE(Q2,Q4)</f>
        <v>1001.925</v>
      </c>
    </row>
    <row r="8" spans="1:17" x14ac:dyDescent="0.3">
      <c r="A8">
        <v>5</v>
      </c>
      <c r="B8">
        <v>0</v>
      </c>
      <c r="D8">
        <v>5</v>
      </c>
      <c r="E8">
        <v>0</v>
      </c>
      <c r="G8">
        <v>5</v>
      </c>
      <c r="H8">
        <v>0</v>
      </c>
      <c r="J8">
        <v>5</v>
      </c>
      <c r="K8" s="3">
        <f t="shared" si="0"/>
        <v>0</v>
      </c>
      <c r="L8" s="2">
        <f t="shared" si="1"/>
        <v>0</v>
      </c>
    </row>
    <row r="9" spans="1:17" x14ac:dyDescent="0.3">
      <c r="A9">
        <v>6</v>
      </c>
      <c r="B9">
        <v>0</v>
      </c>
      <c r="D9">
        <v>6</v>
      </c>
      <c r="E9">
        <v>0</v>
      </c>
      <c r="G9">
        <v>6</v>
      </c>
      <c r="H9">
        <v>0</v>
      </c>
      <c r="J9">
        <v>6</v>
      </c>
      <c r="K9" s="3">
        <f t="shared" si="0"/>
        <v>0</v>
      </c>
      <c r="L9" s="2">
        <f t="shared" si="1"/>
        <v>0</v>
      </c>
    </row>
    <row r="10" spans="1:17" x14ac:dyDescent="0.3">
      <c r="A10">
        <v>7</v>
      </c>
      <c r="B10">
        <v>0.02</v>
      </c>
      <c r="D10">
        <v>7</v>
      </c>
      <c r="E10">
        <v>0</v>
      </c>
      <c r="G10">
        <v>7</v>
      </c>
      <c r="H10">
        <v>0</v>
      </c>
      <c r="J10">
        <v>7</v>
      </c>
      <c r="K10" s="3">
        <f t="shared" si="0"/>
        <v>6.6666666666666671E-3</v>
      </c>
      <c r="L10" s="2">
        <f t="shared" si="1"/>
        <v>1.1547005383792516E-2</v>
      </c>
    </row>
    <row r="11" spans="1:17" x14ac:dyDescent="0.3">
      <c r="A11">
        <v>8</v>
      </c>
      <c r="B11">
        <v>0.05</v>
      </c>
      <c r="D11">
        <v>8</v>
      </c>
      <c r="E11">
        <v>0</v>
      </c>
      <c r="G11">
        <v>8</v>
      </c>
      <c r="H11">
        <v>0.02</v>
      </c>
      <c r="J11">
        <v>8</v>
      </c>
      <c r="K11" s="3">
        <f t="shared" si="0"/>
        <v>2.3333333333333334E-2</v>
      </c>
      <c r="L11" s="2">
        <f t="shared" si="1"/>
        <v>2.5166114784235836E-2</v>
      </c>
    </row>
    <row r="12" spans="1:17" x14ac:dyDescent="0.3">
      <c r="A12">
        <v>9</v>
      </c>
      <c r="B12">
        <v>0.05</v>
      </c>
      <c r="D12">
        <v>9</v>
      </c>
      <c r="E12">
        <v>0.01</v>
      </c>
      <c r="G12">
        <v>9</v>
      </c>
      <c r="H12">
        <v>0.03</v>
      </c>
      <c r="J12">
        <v>9</v>
      </c>
      <c r="K12" s="3">
        <f t="shared" si="0"/>
        <v>0.03</v>
      </c>
      <c r="L12" s="2">
        <f t="shared" si="1"/>
        <v>2.0000000000000011E-2</v>
      </c>
    </row>
    <row r="13" spans="1:17" x14ac:dyDescent="0.3">
      <c r="A13">
        <v>10</v>
      </c>
      <c r="B13">
        <v>0.05</v>
      </c>
      <c r="D13">
        <v>10</v>
      </c>
      <c r="E13">
        <v>0.03</v>
      </c>
      <c r="G13">
        <v>10</v>
      </c>
      <c r="H13">
        <v>0.03</v>
      </c>
      <c r="J13">
        <v>10</v>
      </c>
      <c r="K13" s="3">
        <f t="shared" si="0"/>
        <v>3.6666666666666667E-2</v>
      </c>
      <c r="L13" s="2">
        <f t="shared" si="1"/>
        <v>1.1547005383792518E-2</v>
      </c>
    </row>
    <row r="14" spans="1:17" x14ac:dyDescent="0.3">
      <c r="A14">
        <v>11</v>
      </c>
      <c r="B14">
        <v>0.06</v>
      </c>
      <c r="D14">
        <v>11</v>
      </c>
      <c r="E14">
        <v>0.03</v>
      </c>
      <c r="G14">
        <v>11</v>
      </c>
      <c r="H14">
        <v>0.03</v>
      </c>
      <c r="J14">
        <v>11</v>
      </c>
      <c r="K14" s="3">
        <f t="shared" si="0"/>
        <v>0.04</v>
      </c>
      <c r="L14" s="2">
        <f t="shared" si="1"/>
        <v>1.732050807568877E-2</v>
      </c>
    </row>
    <row r="15" spans="1:17" x14ac:dyDescent="0.3">
      <c r="A15">
        <v>12</v>
      </c>
      <c r="B15">
        <v>0.08</v>
      </c>
      <c r="D15">
        <v>12</v>
      </c>
      <c r="E15">
        <v>0.03</v>
      </c>
      <c r="G15">
        <v>12</v>
      </c>
      <c r="H15">
        <v>0.04</v>
      </c>
      <c r="J15">
        <v>12</v>
      </c>
      <c r="K15" s="3">
        <f t="shared" si="0"/>
        <v>4.9999999999999996E-2</v>
      </c>
      <c r="L15" s="2">
        <f t="shared" si="1"/>
        <v>2.6457513110645908E-2</v>
      </c>
    </row>
    <row r="16" spans="1:17" x14ac:dyDescent="0.3">
      <c r="A16">
        <v>13</v>
      </c>
      <c r="B16">
        <v>0.09</v>
      </c>
      <c r="D16">
        <v>13</v>
      </c>
      <c r="E16">
        <v>0.03</v>
      </c>
      <c r="G16">
        <v>13</v>
      </c>
      <c r="H16">
        <v>0.06</v>
      </c>
      <c r="J16">
        <v>13</v>
      </c>
      <c r="K16" s="3">
        <f t="shared" si="0"/>
        <v>0.06</v>
      </c>
      <c r="L16" s="2">
        <f t="shared" si="1"/>
        <v>3.0000000000000009E-2</v>
      </c>
    </row>
    <row r="17" spans="1:12" x14ac:dyDescent="0.3">
      <c r="A17">
        <v>14</v>
      </c>
      <c r="B17">
        <v>0.09</v>
      </c>
      <c r="D17">
        <v>14</v>
      </c>
      <c r="E17">
        <v>0.05</v>
      </c>
      <c r="G17">
        <v>14</v>
      </c>
      <c r="H17">
        <v>0.06</v>
      </c>
      <c r="J17">
        <v>14</v>
      </c>
      <c r="K17" s="3">
        <f t="shared" si="0"/>
        <v>6.6666666666666666E-2</v>
      </c>
      <c r="L17" s="2">
        <f t="shared" si="1"/>
        <v>2.0816659994661306E-2</v>
      </c>
    </row>
    <row r="18" spans="1:12" x14ac:dyDescent="0.3">
      <c r="A18">
        <v>15</v>
      </c>
      <c r="B18" s="4">
        <v>0.09</v>
      </c>
      <c r="D18">
        <v>15</v>
      </c>
      <c r="E18" s="4">
        <v>7.0000000000000007E-2</v>
      </c>
      <c r="G18">
        <v>15</v>
      </c>
      <c r="H18" s="4">
        <v>0.06</v>
      </c>
      <c r="J18">
        <v>15</v>
      </c>
      <c r="K18" s="3">
        <f t="shared" si="0"/>
        <v>7.3333333333333334E-2</v>
      </c>
      <c r="L18" s="2">
        <f t="shared" si="1"/>
        <v>1.5275252316519477E-2</v>
      </c>
    </row>
    <row r="19" spans="1:12" x14ac:dyDescent="0.3">
      <c r="A19">
        <v>16</v>
      </c>
      <c r="B19">
        <v>0.09</v>
      </c>
      <c r="D19">
        <v>16</v>
      </c>
      <c r="E19">
        <v>7.0000000000000007E-2</v>
      </c>
      <c r="G19">
        <v>16</v>
      </c>
      <c r="H19">
        <v>0.06</v>
      </c>
      <c r="J19">
        <v>16</v>
      </c>
      <c r="K19" s="3">
        <f t="shared" si="0"/>
        <v>7.3333333333333334E-2</v>
      </c>
      <c r="L19" s="2">
        <f t="shared" si="1"/>
        <v>1.5275252316519477E-2</v>
      </c>
    </row>
    <row r="20" spans="1:12" x14ac:dyDescent="0.3">
      <c r="A20">
        <v>17</v>
      </c>
      <c r="B20">
        <v>0.1</v>
      </c>
      <c r="D20">
        <v>17</v>
      </c>
      <c r="E20">
        <v>7.0000000000000007E-2</v>
      </c>
      <c r="G20">
        <v>17</v>
      </c>
      <c r="H20">
        <v>0.06</v>
      </c>
      <c r="J20">
        <v>17</v>
      </c>
      <c r="K20" s="3">
        <f t="shared" si="0"/>
        <v>7.6666666666666675E-2</v>
      </c>
      <c r="L20" s="2">
        <f t="shared" si="1"/>
        <v>2.0816659994661348E-2</v>
      </c>
    </row>
    <row r="21" spans="1:12" x14ac:dyDescent="0.3">
      <c r="A21">
        <v>18</v>
      </c>
      <c r="B21">
        <v>0.1</v>
      </c>
      <c r="D21">
        <v>18</v>
      </c>
      <c r="E21">
        <v>7.0000000000000007E-2</v>
      </c>
      <c r="G21">
        <v>18</v>
      </c>
      <c r="H21">
        <v>7.0000000000000007E-2</v>
      </c>
      <c r="J21">
        <v>18</v>
      </c>
      <c r="K21" s="3">
        <f t="shared" si="0"/>
        <v>0.08</v>
      </c>
      <c r="L21" s="2">
        <f t="shared" si="1"/>
        <v>1.732050807568877E-2</v>
      </c>
    </row>
    <row r="22" spans="1:12" x14ac:dyDescent="0.3">
      <c r="A22">
        <v>19</v>
      </c>
      <c r="B22">
        <v>0.14000000000000001</v>
      </c>
      <c r="D22">
        <v>19</v>
      </c>
      <c r="E22">
        <v>7.0000000000000007E-2</v>
      </c>
      <c r="G22">
        <v>19</v>
      </c>
      <c r="H22">
        <v>0.08</v>
      </c>
      <c r="J22">
        <v>19</v>
      </c>
      <c r="K22" s="3">
        <f t="shared" si="0"/>
        <v>9.6666666666666679E-2</v>
      </c>
      <c r="L22" s="2">
        <f t="shared" si="1"/>
        <v>3.7859388972001799E-2</v>
      </c>
    </row>
    <row r="23" spans="1:12" x14ac:dyDescent="0.3">
      <c r="A23">
        <v>20</v>
      </c>
      <c r="B23">
        <v>0.14000000000000001</v>
      </c>
      <c r="D23">
        <v>20</v>
      </c>
      <c r="E23">
        <v>0.08</v>
      </c>
      <c r="G23">
        <v>20</v>
      </c>
      <c r="H23">
        <v>0.11</v>
      </c>
      <c r="J23">
        <v>20</v>
      </c>
      <c r="K23" s="3">
        <f t="shared" si="0"/>
        <v>0.11</v>
      </c>
      <c r="L23" s="2">
        <f t="shared" si="1"/>
        <v>2.9999999999999968E-2</v>
      </c>
    </row>
    <row r="24" spans="1:12" x14ac:dyDescent="0.3">
      <c r="A24">
        <v>21</v>
      </c>
      <c r="B24">
        <v>0.14000000000000001</v>
      </c>
      <c r="D24">
        <v>21</v>
      </c>
      <c r="E24">
        <v>0.1</v>
      </c>
      <c r="G24">
        <v>21</v>
      </c>
      <c r="H24">
        <v>0.11</v>
      </c>
      <c r="J24">
        <v>21</v>
      </c>
      <c r="K24" s="3">
        <f t="shared" si="0"/>
        <v>0.11666666666666668</v>
      </c>
      <c r="L24" s="2">
        <f t="shared" si="1"/>
        <v>2.0816659994661264E-2</v>
      </c>
    </row>
    <row r="25" spans="1:12" x14ac:dyDescent="0.3">
      <c r="A25">
        <v>22</v>
      </c>
      <c r="B25">
        <v>0.14000000000000001</v>
      </c>
      <c r="D25">
        <v>22</v>
      </c>
      <c r="E25">
        <v>0.1</v>
      </c>
      <c r="G25">
        <v>22</v>
      </c>
      <c r="H25">
        <v>0.11</v>
      </c>
      <c r="J25">
        <v>22</v>
      </c>
      <c r="K25" s="3">
        <f t="shared" si="0"/>
        <v>0.11666666666666668</v>
      </c>
      <c r="L25" s="2">
        <f t="shared" si="1"/>
        <v>2.0816659994661264E-2</v>
      </c>
    </row>
    <row r="26" spans="1:12" x14ac:dyDescent="0.3">
      <c r="A26">
        <v>23</v>
      </c>
      <c r="B26">
        <v>0.14000000000000001</v>
      </c>
      <c r="D26">
        <v>23</v>
      </c>
      <c r="E26">
        <v>0.1</v>
      </c>
      <c r="G26">
        <v>23</v>
      </c>
      <c r="H26">
        <v>0.11</v>
      </c>
      <c r="J26">
        <v>23</v>
      </c>
      <c r="K26" s="3">
        <f t="shared" si="0"/>
        <v>0.11666666666666668</v>
      </c>
      <c r="L26" s="2">
        <f t="shared" si="1"/>
        <v>2.0816659994661264E-2</v>
      </c>
    </row>
    <row r="27" spans="1:12" x14ac:dyDescent="0.3">
      <c r="A27">
        <v>24</v>
      </c>
      <c r="B27">
        <v>0.14000000000000001</v>
      </c>
      <c r="D27">
        <v>24</v>
      </c>
      <c r="E27">
        <v>0.1</v>
      </c>
      <c r="G27">
        <v>24</v>
      </c>
      <c r="H27">
        <v>0.11</v>
      </c>
      <c r="J27">
        <v>24</v>
      </c>
      <c r="K27" s="3">
        <f t="shared" si="0"/>
        <v>0.11666666666666668</v>
      </c>
      <c r="L27" s="2">
        <f t="shared" si="1"/>
        <v>2.0816659994661264E-2</v>
      </c>
    </row>
    <row r="28" spans="1:12" x14ac:dyDescent="0.3">
      <c r="A28">
        <v>25</v>
      </c>
      <c r="B28">
        <v>0.15</v>
      </c>
      <c r="D28">
        <v>25</v>
      </c>
      <c r="E28">
        <v>0.11</v>
      </c>
      <c r="G28">
        <v>25</v>
      </c>
      <c r="H28">
        <v>0.11</v>
      </c>
      <c r="J28">
        <v>25</v>
      </c>
      <c r="K28" s="3">
        <f t="shared" si="0"/>
        <v>0.12333333333333334</v>
      </c>
      <c r="L28" s="2">
        <f t="shared" si="1"/>
        <v>2.3094010767585035E-2</v>
      </c>
    </row>
    <row r="29" spans="1:12" x14ac:dyDescent="0.3">
      <c r="A29">
        <v>26</v>
      </c>
      <c r="B29">
        <v>0.16</v>
      </c>
      <c r="D29">
        <v>26</v>
      </c>
      <c r="E29">
        <v>0.12</v>
      </c>
      <c r="G29">
        <v>26</v>
      </c>
      <c r="H29">
        <v>0.12</v>
      </c>
      <c r="J29">
        <v>26</v>
      </c>
      <c r="K29" s="3">
        <f t="shared" si="0"/>
        <v>0.13333333333333333</v>
      </c>
      <c r="L29" s="2">
        <f t="shared" si="1"/>
        <v>2.3094010767584959E-2</v>
      </c>
    </row>
    <row r="30" spans="1:12" x14ac:dyDescent="0.3">
      <c r="A30">
        <v>27</v>
      </c>
      <c r="B30">
        <v>0.18</v>
      </c>
      <c r="D30">
        <v>27</v>
      </c>
      <c r="E30">
        <v>0.12</v>
      </c>
      <c r="G30">
        <v>27</v>
      </c>
      <c r="H30">
        <v>0.14000000000000001</v>
      </c>
      <c r="J30">
        <v>27</v>
      </c>
      <c r="K30" s="3">
        <f t="shared" si="0"/>
        <v>0.14666666666666667</v>
      </c>
      <c r="L30" s="2">
        <f t="shared" si="1"/>
        <v>3.0550504633038954E-2</v>
      </c>
    </row>
    <row r="31" spans="1:12" x14ac:dyDescent="0.3">
      <c r="A31">
        <v>28</v>
      </c>
      <c r="B31">
        <v>0.18</v>
      </c>
      <c r="D31">
        <v>28</v>
      </c>
      <c r="E31">
        <v>0.14000000000000001</v>
      </c>
      <c r="G31">
        <v>28</v>
      </c>
      <c r="H31">
        <v>0.15</v>
      </c>
      <c r="J31">
        <v>28</v>
      </c>
      <c r="K31" s="3">
        <f t="shared" si="0"/>
        <v>0.15666666666666665</v>
      </c>
      <c r="L31" s="2">
        <f t="shared" si="1"/>
        <v>2.0816659994661514E-2</v>
      </c>
    </row>
    <row r="32" spans="1:12" x14ac:dyDescent="0.3">
      <c r="A32">
        <v>29</v>
      </c>
      <c r="B32">
        <v>0.18</v>
      </c>
      <c r="D32">
        <v>29</v>
      </c>
      <c r="E32">
        <v>0.16</v>
      </c>
      <c r="G32">
        <v>29</v>
      </c>
      <c r="H32">
        <v>0.15</v>
      </c>
      <c r="J32">
        <v>29</v>
      </c>
      <c r="K32" s="3">
        <f t="shared" si="0"/>
        <v>0.16333333333333333</v>
      </c>
      <c r="L32" s="2">
        <f t="shared" si="1"/>
        <v>1.5275252316519465E-2</v>
      </c>
    </row>
    <row r="33" spans="1:12" x14ac:dyDescent="0.3">
      <c r="A33">
        <v>30</v>
      </c>
      <c r="B33">
        <v>0.18</v>
      </c>
      <c r="D33">
        <v>30</v>
      </c>
      <c r="E33">
        <v>0.16</v>
      </c>
      <c r="G33">
        <v>30</v>
      </c>
      <c r="H33">
        <v>0.15</v>
      </c>
      <c r="J33">
        <v>30</v>
      </c>
      <c r="K33" s="3">
        <f t="shared" si="0"/>
        <v>0.16333333333333333</v>
      </c>
      <c r="L33" s="2">
        <f t="shared" si="1"/>
        <v>1.5275252316519465E-2</v>
      </c>
    </row>
    <row r="34" spans="1:12" x14ac:dyDescent="0.3">
      <c r="A34">
        <v>31</v>
      </c>
      <c r="B34">
        <v>0.18</v>
      </c>
      <c r="D34">
        <v>31</v>
      </c>
      <c r="E34">
        <v>0.16</v>
      </c>
      <c r="G34">
        <v>31</v>
      </c>
      <c r="H34">
        <v>0.15</v>
      </c>
      <c r="J34">
        <v>31</v>
      </c>
      <c r="K34" s="3">
        <f t="shared" si="0"/>
        <v>0.16333333333333333</v>
      </c>
      <c r="L34" s="2">
        <f t="shared" si="1"/>
        <v>1.5275252316519465E-2</v>
      </c>
    </row>
    <row r="35" spans="1:12" x14ac:dyDescent="0.3">
      <c r="A35">
        <v>32</v>
      </c>
      <c r="B35">
        <v>0.18</v>
      </c>
      <c r="D35">
        <v>32</v>
      </c>
      <c r="E35">
        <v>0.16</v>
      </c>
      <c r="G35">
        <v>32</v>
      </c>
      <c r="H35">
        <v>0.15</v>
      </c>
      <c r="J35">
        <v>32</v>
      </c>
      <c r="K35" s="3">
        <f t="shared" ref="K35:K66" si="2">AVERAGE(B35,E35,H35)</f>
        <v>0.16333333333333333</v>
      </c>
      <c r="L35" s="2">
        <f t="shared" ref="L35:L66" si="3">_xlfn.STDEV.S(B35,E35,H35)</f>
        <v>1.5275252316519465E-2</v>
      </c>
    </row>
    <row r="36" spans="1:12" x14ac:dyDescent="0.3">
      <c r="A36">
        <v>33</v>
      </c>
      <c r="B36">
        <v>0.18</v>
      </c>
      <c r="D36">
        <v>33</v>
      </c>
      <c r="E36">
        <v>0.16</v>
      </c>
      <c r="G36">
        <v>33</v>
      </c>
      <c r="H36">
        <v>0.16</v>
      </c>
      <c r="J36">
        <v>33</v>
      </c>
      <c r="K36" s="3">
        <f t="shared" si="2"/>
        <v>0.16666666666666666</v>
      </c>
      <c r="L36" s="2">
        <f t="shared" si="3"/>
        <v>1.1547005383792509E-2</v>
      </c>
    </row>
    <row r="37" spans="1:12" x14ac:dyDescent="0.3">
      <c r="A37">
        <v>34</v>
      </c>
      <c r="B37">
        <v>0.22</v>
      </c>
      <c r="D37">
        <v>34</v>
      </c>
      <c r="E37">
        <v>0.16</v>
      </c>
      <c r="G37">
        <v>34</v>
      </c>
      <c r="H37">
        <v>0.16</v>
      </c>
      <c r="J37">
        <v>34</v>
      </c>
      <c r="K37" s="3">
        <f t="shared" si="2"/>
        <v>0.18000000000000002</v>
      </c>
      <c r="L37" s="2">
        <f t="shared" si="3"/>
        <v>3.4641016151377442E-2</v>
      </c>
    </row>
    <row r="38" spans="1:12" x14ac:dyDescent="0.3">
      <c r="A38">
        <v>35</v>
      </c>
      <c r="B38">
        <v>0.22</v>
      </c>
      <c r="D38">
        <v>35</v>
      </c>
      <c r="E38">
        <v>0.17</v>
      </c>
      <c r="G38">
        <v>35</v>
      </c>
      <c r="H38">
        <v>0.2</v>
      </c>
      <c r="J38">
        <v>35</v>
      </c>
      <c r="K38" s="3">
        <f t="shared" si="2"/>
        <v>0.19666666666666668</v>
      </c>
      <c r="L38" s="2">
        <f t="shared" si="3"/>
        <v>2.5166114784235687E-2</v>
      </c>
    </row>
    <row r="39" spans="1:12" x14ac:dyDescent="0.3">
      <c r="A39">
        <v>36</v>
      </c>
      <c r="B39">
        <v>0.22</v>
      </c>
      <c r="D39">
        <v>36</v>
      </c>
      <c r="E39">
        <v>0.21</v>
      </c>
      <c r="G39">
        <v>36</v>
      </c>
      <c r="H39">
        <v>0.2</v>
      </c>
      <c r="J39">
        <v>36</v>
      </c>
      <c r="K39" s="3">
        <f t="shared" si="2"/>
        <v>0.21</v>
      </c>
      <c r="L39" s="2">
        <f t="shared" si="3"/>
        <v>9.999999999999995E-3</v>
      </c>
    </row>
    <row r="40" spans="1:12" x14ac:dyDescent="0.3">
      <c r="A40">
        <v>37</v>
      </c>
      <c r="B40">
        <v>0.22</v>
      </c>
      <c r="D40">
        <v>37</v>
      </c>
      <c r="E40">
        <v>0.21</v>
      </c>
      <c r="G40">
        <v>37</v>
      </c>
      <c r="H40">
        <v>0.2</v>
      </c>
      <c r="J40">
        <v>37</v>
      </c>
      <c r="K40" s="3">
        <f t="shared" si="2"/>
        <v>0.21</v>
      </c>
      <c r="L40" s="2">
        <f t="shared" si="3"/>
        <v>9.999999999999995E-3</v>
      </c>
    </row>
    <row r="41" spans="1:12" x14ac:dyDescent="0.3">
      <c r="A41">
        <v>38</v>
      </c>
      <c r="B41">
        <v>0.22</v>
      </c>
      <c r="D41">
        <v>38</v>
      </c>
      <c r="E41">
        <v>0.21</v>
      </c>
      <c r="G41">
        <v>38</v>
      </c>
      <c r="H41">
        <v>0.2</v>
      </c>
      <c r="J41">
        <v>38</v>
      </c>
      <c r="K41" s="3">
        <f t="shared" si="2"/>
        <v>0.21</v>
      </c>
      <c r="L41" s="2">
        <f t="shared" si="3"/>
        <v>9.999999999999995E-3</v>
      </c>
    </row>
    <row r="42" spans="1:12" x14ac:dyDescent="0.3">
      <c r="A42">
        <v>39</v>
      </c>
      <c r="B42">
        <v>0.22</v>
      </c>
      <c r="D42">
        <v>39</v>
      </c>
      <c r="E42">
        <v>0.21</v>
      </c>
      <c r="G42">
        <v>39</v>
      </c>
      <c r="H42">
        <v>0.2</v>
      </c>
      <c r="J42">
        <v>39</v>
      </c>
      <c r="K42" s="3">
        <f t="shared" si="2"/>
        <v>0.21</v>
      </c>
      <c r="L42" s="2">
        <f t="shared" si="3"/>
        <v>9.999999999999995E-3</v>
      </c>
    </row>
    <row r="43" spans="1:12" x14ac:dyDescent="0.3">
      <c r="A43">
        <v>40</v>
      </c>
      <c r="B43">
        <v>0.22</v>
      </c>
      <c r="D43">
        <v>40</v>
      </c>
      <c r="E43">
        <v>0.21</v>
      </c>
      <c r="G43">
        <v>40</v>
      </c>
      <c r="H43">
        <v>0.2</v>
      </c>
      <c r="J43">
        <v>40</v>
      </c>
      <c r="K43" s="3">
        <f t="shared" si="2"/>
        <v>0.21</v>
      </c>
      <c r="L43" s="2">
        <f t="shared" si="3"/>
        <v>9.999999999999995E-3</v>
      </c>
    </row>
    <row r="44" spans="1:12" x14ac:dyDescent="0.3">
      <c r="A44">
        <v>41</v>
      </c>
      <c r="B44">
        <v>0.22</v>
      </c>
      <c r="D44">
        <v>41</v>
      </c>
      <c r="E44">
        <v>0.21</v>
      </c>
      <c r="G44">
        <v>41</v>
      </c>
      <c r="H44">
        <v>0.2</v>
      </c>
      <c r="J44">
        <v>41</v>
      </c>
      <c r="K44" s="3">
        <f t="shared" si="2"/>
        <v>0.21</v>
      </c>
      <c r="L44" s="2">
        <f t="shared" si="3"/>
        <v>9.999999999999995E-3</v>
      </c>
    </row>
    <row r="45" spans="1:12" x14ac:dyDescent="0.3">
      <c r="A45">
        <v>42</v>
      </c>
      <c r="B45">
        <v>0.22</v>
      </c>
      <c r="D45">
        <v>42</v>
      </c>
      <c r="E45">
        <v>0.21</v>
      </c>
      <c r="G45">
        <v>42</v>
      </c>
      <c r="H45">
        <v>0.2</v>
      </c>
      <c r="J45">
        <v>42</v>
      </c>
      <c r="K45" s="3">
        <f t="shared" si="2"/>
        <v>0.21</v>
      </c>
      <c r="L45" s="2">
        <f t="shared" si="3"/>
        <v>9.999999999999995E-3</v>
      </c>
    </row>
    <row r="46" spans="1:12" x14ac:dyDescent="0.3">
      <c r="A46">
        <v>43</v>
      </c>
      <c r="B46">
        <v>0.24</v>
      </c>
      <c r="D46">
        <v>43</v>
      </c>
      <c r="E46">
        <v>0.21</v>
      </c>
      <c r="G46">
        <v>43</v>
      </c>
      <c r="H46">
        <v>0.2</v>
      </c>
      <c r="J46">
        <v>43</v>
      </c>
      <c r="K46" s="3">
        <f t="shared" si="2"/>
        <v>0.21666666666666665</v>
      </c>
      <c r="L46" s="2">
        <f t="shared" si="3"/>
        <v>2.081665999466132E-2</v>
      </c>
    </row>
    <row r="47" spans="1:12" x14ac:dyDescent="0.3">
      <c r="A47">
        <v>44</v>
      </c>
      <c r="B47">
        <v>0.25</v>
      </c>
      <c r="D47">
        <v>44</v>
      </c>
      <c r="E47">
        <v>0.22</v>
      </c>
      <c r="G47">
        <v>44</v>
      </c>
      <c r="H47">
        <v>0.22</v>
      </c>
      <c r="J47">
        <v>44</v>
      </c>
      <c r="K47" s="3">
        <f t="shared" si="2"/>
        <v>0.22999999999999998</v>
      </c>
      <c r="L47" s="2">
        <f t="shared" si="3"/>
        <v>1.7320508075688773E-2</v>
      </c>
    </row>
    <row r="48" spans="1:12" x14ac:dyDescent="0.3">
      <c r="A48">
        <v>45</v>
      </c>
      <c r="B48">
        <v>0.25</v>
      </c>
      <c r="D48">
        <v>45</v>
      </c>
      <c r="E48">
        <v>0.26</v>
      </c>
      <c r="G48">
        <v>45</v>
      </c>
      <c r="H48">
        <v>0.24</v>
      </c>
      <c r="J48">
        <v>45</v>
      </c>
      <c r="K48" s="3">
        <f t="shared" si="2"/>
        <v>0.25</v>
      </c>
      <c r="L48" s="2">
        <f t="shared" si="3"/>
        <v>1.0000000000000009E-2</v>
      </c>
    </row>
    <row r="49" spans="1:12" x14ac:dyDescent="0.3">
      <c r="A49">
        <v>46</v>
      </c>
      <c r="B49">
        <v>0.25</v>
      </c>
      <c r="D49">
        <v>46</v>
      </c>
      <c r="E49">
        <v>0.26</v>
      </c>
      <c r="G49">
        <v>46</v>
      </c>
      <c r="H49">
        <v>0.24</v>
      </c>
      <c r="J49">
        <v>46</v>
      </c>
      <c r="K49" s="3">
        <f t="shared" si="2"/>
        <v>0.25</v>
      </c>
      <c r="L49" s="2">
        <f t="shared" si="3"/>
        <v>1.0000000000000009E-2</v>
      </c>
    </row>
    <row r="50" spans="1:12" x14ac:dyDescent="0.3">
      <c r="A50">
        <v>47</v>
      </c>
      <c r="B50">
        <v>0.25</v>
      </c>
      <c r="D50">
        <v>47</v>
      </c>
      <c r="E50">
        <v>0.25</v>
      </c>
      <c r="G50">
        <v>47</v>
      </c>
      <c r="H50">
        <v>0.24</v>
      </c>
      <c r="J50">
        <v>47</v>
      </c>
      <c r="K50" s="3">
        <f t="shared" si="2"/>
        <v>0.24666666666666667</v>
      </c>
      <c r="L50" s="2">
        <f t="shared" si="3"/>
        <v>5.7735026918962632E-3</v>
      </c>
    </row>
    <row r="51" spans="1:12" x14ac:dyDescent="0.3">
      <c r="A51">
        <v>48</v>
      </c>
      <c r="B51">
        <v>0.25</v>
      </c>
      <c r="D51">
        <v>48</v>
      </c>
      <c r="E51">
        <v>0.25</v>
      </c>
      <c r="G51">
        <v>48</v>
      </c>
      <c r="H51">
        <v>0.24</v>
      </c>
      <c r="J51">
        <v>48</v>
      </c>
      <c r="K51" s="3">
        <f t="shared" si="2"/>
        <v>0.24666666666666667</v>
      </c>
      <c r="L51" s="2">
        <f t="shared" si="3"/>
        <v>5.7735026918962632E-3</v>
      </c>
    </row>
    <row r="52" spans="1:12" x14ac:dyDescent="0.3">
      <c r="A52">
        <v>49</v>
      </c>
      <c r="B52">
        <v>0.26</v>
      </c>
      <c r="D52">
        <v>49</v>
      </c>
      <c r="E52">
        <v>0.25</v>
      </c>
      <c r="G52">
        <v>49</v>
      </c>
      <c r="H52">
        <v>0.24</v>
      </c>
      <c r="J52">
        <v>49</v>
      </c>
      <c r="K52" s="3">
        <f t="shared" si="2"/>
        <v>0.25</v>
      </c>
      <c r="L52" s="2">
        <f t="shared" si="3"/>
        <v>1.0000000000000009E-2</v>
      </c>
    </row>
    <row r="53" spans="1:12" x14ac:dyDescent="0.3">
      <c r="A53">
        <v>50</v>
      </c>
      <c r="B53">
        <v>0.26</v>
      </c>
      <c r="D53">
        <v>50</v>
      </c>
      <c r="E53">
        <v>0.25</v>
      </c>
      <c r="G53">
        <v>50</v>
      </c>
      <c r="H53">
        <v>0.24</v>
      </c>
      <c r="J53">
        <v>50</v>
      </c>
      <c r="K53" s="3">
        <f t="shared" si="2"/>
        <v>0.25</v>
      </c>
      <c r="L53" s="2">
        <f t="shared" si="3"/>
        <v>1.0000000000000009E-2</v>
      </c>
    </row>
    <row r="54" spans="1:12" x14ac:dyDescent="0.3">
      <c r="A54">
        <v>51</v>
      </c>
      <c r="B54">
        <v>0.26</v>
      </c>
      <c r="D54">
        <v>51</v>
      </c>
      <c r="E54">
        <v>0.25</v>
      </c>
      <c r="G54">
        <v>51</v>
      </c>
      <c r="H54">
        <v>0.24</v>
      </c>
      <c r="J54">
        <v>51</v>
      </c>
      <c r="K54" s="3">
        <f t="shared" si="2"/>
        <v>0.25</v>
      </c>
      <c r="L54" s="2">
        <f t="shared" si="3"/>
        <v>1.0000000000000009E-2</v>
      </c>
    </row>
    <row r="55" spans="1:12" x14ac:dyDescent="0.3">
      <c r="A55">
        <v>52</v>
      </c>
      <c r="B55">
        <v>0.27</v>
      </c>
      <c r="D55">
        <v>52</v>
      </c>
      <c r="E55">
        <v>0.25</v>
      </c>
      <c r="G55">
        <v>52</v>
      </c>
      <c r="H55">
        <v>0.24</v>
      </c>
      <c r="J55">
        <v>52</v>
      </c>
      <c r="K55" s="3">
        <f t="shared" si="2"/>
        <v>0.25333333333333335</v>
      </c>
      <c r="L55" s="2">
        <f t="shared" si="3"/>
        <v>1.527525231651948E-2</v>
      </c>
    </row>
    <row r="56" spans="1:12" x14ac:dyDescent="0.3">
      <c r="A56">
        <v>53</v>
      </c>
      <c r="B56">
        <v>0.28999999999999998</v>
      </c>
      <c r="D56">
        <v>53</v>
      </c>
      <c r="E56">
        <v>0.27</v>
      </c>
      <c r="G56">
        <v>53</v>
      </c>
      <c r="H56">
        <v>0.25</v>
      </c>
      <c r="J56">
        <v>53</v>
      </c>
      <c r="K56" s="3">
        <f t="shared" si="2"/>
        <v>0.27</v>
      </c>
      <c r="L56" s="2">
        <f t="shared" si="3"/>
        <v>1.999999999999999E-2</v>
      </c>
    </row>
    <row r="57" spans="1:12" x14ac:dyDescent="0.3">
      <c r="A57">
        <v>54</v>
      </c>
      <c r="B57">
        <v>0.28999999999999998</v>
      </c>
      <c r="D57">
        <v>54</v>
      </c>
      <c r="E57">
        <v>0.28999999999999998</v>
      </c>
      <c r="G57">
        <v>54</v>
      </c>
      <c r="H57">
        <v>0.26</v>
      </c>
      <c r="J57">
        <v>54</v>
      </c>
      <c r="K57" s="3">
        <f t="shared" si="2"/>
        <v>0.27999999999999997</v>
      </c>
      <c r="L57" s="2">
        <f t="shared" si="3"/>
        <v>1.7320508075688756E-2</v>
      </c>
    </row>
    <row r="58" spans="1:12" x14ac:dyDescent="0.3">
      <c r="A58">
        <v>55</v>
      </c>
      <c r="B58">
        <v>0.28999999999999998</v>
      </c>
      <c r="D58">
        <v>55</v>
      </c>
      <c r="E58">
        <v>0.28999999999999998</v>
      </c>
      <c r="G58">
        <v>55</v>
      </c>
      <c r="H58">
        <v>0.28000000000000003</v>
      </c>
      <c r="J58">
        <v>55</v>
      </c>
      <c r="K58" s="3">
        <f t="shared" si="2"/>
        <v>0.28666666666666668</v>
      </c>
      <c r="L58" s="2">
        <f t="shared" si="3"/>
        <v>5.7735026918962311E-3</v>
      </c>
    </row>
    <row r="59" spans="1:12" x14ac:dyDescent="0.3">
      <c r="A59">
        <v>56</v>
      </c>
      <c r="B59">
        <v>0.28999999999999998</v>
      </c>
      <c r="D59">
        <v>56</v>
      </c>
      <c r="E59">
        <v>0.28999999999999998</v>
      </c>
      <c r="G59">
        <v>56</v>
      </c>
      <c r="H59">
        <v>0.28000000000000003</v>
      </c>
      <c r="J59">
        <v>56</v>
      </c>
      <c r="K59" s="3">
        <f t="shared" si="2"/>
        <v>0.28666666666666668</v>
      </c>
      <c r="L59" s="2">
        <f t="shared" si="3"/>
        <v>5.7735026918962311E-3</v>
      </c>
    </row>
    <row r="60" spans="1:12" x14ac:dyDescent="0.3">
      <c r="A60">
        <v>57</v>
      </c>
      <c r="B60">
        <v>0.28999999999999998</v>
      </c>
      <c r="D60">
        <v>57</v>
      </c>
      <c r="E60">
        <v>0.28999999999999998</v>
      </c>
      <c r="G60">
        <v>57</v>
      </c>
      <c r="H60">
        <v>0.28000000000000003</v>
      </c>
      <c r="J60">
        <v>57</v>
      </c>
      <c r="K60" s="3">
        <f t="shared" si="2"/>
        <v>0.28666666666666668</v>
      </c>
      <c r="L60" s="2">
        <f t="shared" si="3"/>
        <v>5.7735026918962311E-3</v>
      </c>
    </row>
    <row r="61" spans="1:12" x14ac:dyDescent="0.3">
      <c r="A61">
        <v>58</v>
      </c>
      <c r="B61">
        <v>0.28999999999999998</v>
      </c>
      <c r="D61">
        <v>58</v>
      </c>
      <c r="E61">
        <v>0.28999999999999998</v>
      </c>
      <c r="G61">
        <v>58</v>
      </c>
      <c r="H61">
        <v>0.28000000000000003</v>
      </c>
      <c r="J61">
        <v>58</v>
      </c>
      <c r="K61" s="3">
        <f t="shared" si="2"/>
        <v>0.28666666666666668</v>
      </c>
      <c r="L61" s="2">
        <f t="shared" si="3"/>
        <v>5.7735026918962311E-3</v>
      </c>
    </row>
    <row r="62" spans="1:12" x14ac:dyDescent="0.3">
      <c r="A62">
        <v>59</v>
      </c>
      <c r="B62">
        <v>0.28999999999999998</v>
      </c>
      <c r="D62">
        <v>59</v>
      </c>
      <c r="E62">
        <v>0.28999999999999998</v>
      </c>
      <c r="G62">
        <v>59</v>
      </c>
      <c r="H62">
        <v>0.28000000000000003</v>
      </c>
      <c r="J62">
        <v>59</v>
      </c>
      <c r="K62" s="3">
        <f t="shared" si="2"/>
        <v>0.28666666666666668</v>
      </c>
      <c r="L62" s="2">
        <f t="shared" si="3"/>
        <v>5.7735026918962311E-3</v>
      </c>
    </row>
    <row r="63" spans="1:12" x14ac:dyDescent="0.3">
      <c r="A63">
        <v>60</v>
      </c>
      <c r="B63">
        <v>0.28999999999999998</v>
      </c>
      <c r="D63">
        <v>60</v>
      </c>
      <c r="E63">
        <v>0.3</v>
      </c>
      <c r="G63">
        <v>60</v>
      </c>
      <c r="H63">
        <v>0.28000000000000003</v>
      </c>
      <c r="J63">
        <v>60</v>
      </c>
      <c r="K63" s="3">
        <f t="shared" si="2"/>
        <v>0.28999999999999998</v>
      </c>
      <c r="L63" s="2">
        <f t="shared" si="3"/>
        <v>9.9999999999999811E-3</v>
      </c>
    </row>
    <row r="64" spans="1:12" x14ac:dyDescent="0.3">
      <c r="A64">
        <v>61</v>
      </c>
      <c r="B64">
        <v>0.3</v>
      </c>
      <c r="D64">
        <v>61</v>
      </c>
      <c r="E64">
        <v>0.31</v>
      </c>
      <c r="G64">
        <v>61</v>
      </c>
      <c r="H64">
        <v>0.28000000000000003</v>
      </c>
      <c r="J64">
        <v>61</v>
      </c>
      <c r="K64" s="3">
        <f t="shared" si="2"/>
        <v>0.29666666666666669</v>
      </c>
      <c r="L64" s="2">
        <f t="shared" si="3"/>
        <v>1.5275252316519451E-2</v>
      </c>
    </row>
    <row r="65" spans="1:12" x14ac:dyDescent="0.3">
      <c r="A65">
        <v>62</v>
      </c>
      <c r="B65">
        <v>0.31</v>
      </c>
      <c r="D65">
        <v>62</v>
      </c>
      <c r="E65">
        <v>0.31</v>
      </c>
      <c r="G65">
        <v>62</v>
      </c>
      <c r="H65">
        <v>0.28000000000000003</v>
      </c>
      <c r="J65">
        <v>62</v>
      </c>
      <c r="K65" s="3">
        <f t="shared" si="2"/>
        <v>0.3</v>
      </c>
      <c r="L65" s="2">
        <f t="shared" si="3"/>
        <v>1.7320508075688756E-2</v>
      </c>
    </row>
    <row r="66" spans="1:12" x14ac:dyDescent="0.3">
      <c r="A66">
        <v>63</v>
      </c>
      <c r="B66">
        <v>0.34</v>
      </c>
      <c r="D66">
        <v>63</v>
      </c>
      <c r="E66">
        <v>0.33</v>
      </c>
      <c r="G66">
        <v>63</v>
      </c>
      <c r="H66">
        <v>0.28000000000000003</v>
      </c>
      <c r="J66">
        <v>63</v>
      </c>
      <c r="K66" s="3">
        <f t="shared" si="2"/>
        <v>0.31666666666666671</v>
      </c>
      <c r="L66" s="2">
        <f t="shared" si="3"/>
        <v>3.2145502536643181E-2</v>
      </c>
    </row>
    <row r="67" spans="1:12" x14ac:dyDescent="0.3">
      <c r="A67">
        <v>64</v>
      </c>
      <c r="B67">
        <v>0.34</v>
      </c>
      <c r="D67">
        <v>64</v>
      </c>
      <c r="E67">
        <v>0.33</v>
      </c>
      <c r="G67">
        <v>64</v>
      </c>
      <c r="H67">
        <v>0.3</v>
      </c>
      <c r="J67">
        <v>64</v>
      </c>
      <c r="K67" s="3">
        <f t="shared" ref="K67:K98" si="4">AVERAGE(B67,E67,H67)</f>
        <v>0.32333333333333331</v>
      </c>
      <c r="L67" s="2">
        <f t="shared" ref="L67:L98" si="5">_xlfn.STDEV.S(B67,E67,H67)</f>
        <v>2.0816659994661344E-2</v>
      </c>
    </row>
    <row r="68" spans="1:12" x14ac:dyDescent="0.3">
      <c r="A68">
        <v>65</v>
      </c>
      <c r="B68">
        <v>0.34</v>
      </c>
      <c r="D68">
        <v>65</v>
      </c>
      <c r="E68">
        <v>0.33</v>
      </c>
      <c r="G68">
        <v>65</v>
      </c>
      <c r="H68">
        <v>0.32</v>
      </c>
      <c r="J68">
        <v>65</v>
      </c>
      <c r="K68" s="3">
        <f t="shared" si="4"/>
        <v>0.33</v>
      </c>
      <c r="L68" s="2">
        <f t="shared" si="5"/>
        <v>1.0000000000000009E-2</v>
      </c>
    </row>
    <row r="69" spans="1:12" x14ac:dyDescent="0.3">
      <c r="A69">
        <v>66</v>
      </c>
      <c r="B69">
        <v>0.34</v>
      </c>
      <c r="D69">
        <v>66</v>
      </c>
      <c r="E69">
        <v>0.33</v>
      </c>
      <c r="G69">
        <v>66</v>
      </c>
      <c r="H69">
        <v>0.32</v>
      </c>
      <c r="J69">
        <v>66</v>
      </c>
      <c r="K69" s="3">
        <f t="shared" si="4"/>
        <v>0.33</v>
      </c>
      <c r="L69" s="2">
        <f t="shared" si="5"/>
        <v>1.0000000000000009E-2</v>
      </c>
    </row>
    <row r="70" spans="1:12" x14ac:dyDescent="0.3">
      <c r="A70">
        <v>67</v>
      </c>
      <c r="B70">
        <v>0.34</v>
      </c>
      <c r="D70">
        <v>67</v>
      </c>
      <c r="E70">
        <v>0.33</v>
      </c>
      <c r="G70">
        <v>67</v>
      </c>
      <c r="H70">
        <v>0.32</v>
      </c>
      <c r="J70">
        <v>67</v>
      </c>
      <c r="K70" s="3">
        <f t="shared" si="4"/>
        <v>0.33</v>
      </c>
      <c r="L70" s="2">
        <f t="shared" si="5"/>
        <v>1.0000000000000009E-2</v>
      </c>
    </row>
    <row r="71" spans="1:12" x14ac:dyDescent="0.3">
      <c r="A71">
        <v>68</v>
      </c>
      <c r="B71">
        <v>0.34</v>
      </c>
      <c r="D71">
        <v>68</v>
      </c>
      <c r="E71">
        <v>0.33</v>
      </c>
      <c r="G71">
        <v>68</v>
      </c>
      <c r="H71">
        <v>0.33</v>
      </c>
      <c r="J71">
        <v>68</v>
      </c>
      <c r="K71" s="3">
        <f t="shared" si="4"/>
        <v>0.33333333333333331</v>
      </c>
      <c r="L71" s="2">
        <f t="shared" si="5"/>
        <v>5.7735026918962623E-3</v>
      </c>
    </row>
    <row r="72" spans="1:12" x14ac:dyDescent="0.3">
      <c r="A72">
        <v>69</v>
      </c>
      <c r="B72">
        <v>0.34</v>
      </c>
      <c r="D72">
        <v>69</v>
      </c>
      <c r="E72">
        <v>0.34</v>
      </c>
      <c r="G72">
        <v>69</v>
      </c>
      <c r="H72">
        <v>0.33</v>
      </c>
      <c r="J72">
        <v>69</v>
      </c>
      <c r="K72" s="3">
        <f t="shared" si="4"/>
        <v>0.33666666666666667</v>
      </c>
      <c r="L72" s="2">
        <f t="shared" si="5"/>
        <v>5.7735026918962623E-3</v>
      </c>
    </row>
    <row r="73" spans="1:12" x14ac:dyDescent="0.3">
      <c r="A73">
        <v>70</v>
      </c>
      <c r="B73">
        <v>0.34</v>
      </c>
      <c r="D73">
        <v>70</v>
      </c>
      <c r="E73">
        <v>0.34</v>
      </c>
      <c r="G73">
        <v>70</v>
      </c>
      <c r="H73">
        <v>0.33</v>
      </c>
      <c r="J73">
        <v>70</v>
      </c>
      <c r="K73" s="3">
        <f t="shared" si="4"/>
        <v>0.33666666666666667</v>
      </c>
      <c r="L73" s="2">
        <f t="shared" si="5"/>
        <v>5.7735026918962623E-3</v>
      </c>
    </row>
    <row r="74" spans="1:12" x14ac:dyDescent="0.3">
      <c r="A74">
        <v>71</v>
      </c>
      <c r="B74">
        <v>0.34</v>
      </c>
      <c r="D74">
        <v>71</v>
      </c>
      <c r="E74">
        <v>0.35</v>
      </c>
      <c r="G74">
        <v>71</v>
      </c>
      <c r="H74">
        <v>0.33</v>
      </c>
      <c r="J74">
        <v>71</v>
      </c>
      <c r="K74" s="3">
        <f t="shared" si="4"/>
        <v>0.34</v>
      </c>
      <c r="L74" s="2">
        <f t="shared" si="5"/>
        <v>9.9999999999999811E-3</v>
      </c>
    </row>
    <row r="75" spans="1:12" x14ac:dyDescent="0.3">
      <c r="A75">
        <v>72</v>
      </c>
      <c r="B75">
        <v>0.34</v>
      </c>
      <c r="D75">
        <v>72</v>
      </c>
      <c r="E75">
        <v>0.38</v>
      </c>
      <c r="G75">
        <v>72</v>
      </c>
      <c r="H75">
        <v>0.33</v>
      </c>
      <c r="J75">
        <v>72</v>
      </c>
      <c r="K75" s="3">
        <f t="shared" si="4"/>
        <v>0.35000000000000003</v>
      </c>
      <c r="L75" s="2">
        <f t="shared" si="5"/>
        <v>2.6457513110645901E-2</v>
      </c>
    </row>
    <row r="76" spans="1:12" x14ac:dyDescent="0.3">
      <c r="A76">
        <v>73</v>
      </c>
      <c r="B76">
        <v>0.36</v>
      </c>
      <c r="D76">
        <v>73</v>
      </c>
      <c r="E76">
        <v>0.38</v>
      </c>
      <c r="G76">
        <v>73</v>
      </c>
      <c r="H76">
        <v>0.33</v>
      </c>
      <c r="J76">
        <v>73</v>
      </c>
      <c r="K76" s="3">
        <f t="shared" si="4"/>
        <v>0.35666666666666669</v>
      </c>
      <c r="L76" s="2">
        <f t="shared" si="5"/>
        <v>2.5166114784235825E-2</v>
      </c>
    </row>
    <row r="77" spans="1:12" x14ac:dyDescent="0.3">
      <c r="A77">
        <v>74</v>
      </c>
      <c r="B77">
        <v>0.37</v>
      </c>
      <c r="D77">
        <v>74</v>
      </c>
      <c r="E77">
        <v>0.38</v>
      </c>
      <c r="G77">
        <v>74</v>
      </c>
      <c r="H77">
        <v>0.33</v>
      </c>
      <c r="J77">
        <v>74</v>
      </c>
      <c r="K77" s="3">
        <f t="shared" si="4"/>
        <v>0.36000000000000004</v>
      </c>
      <c r="L77" s="2">
        <f t="shared" si="5"/>
        <v>2.6457513110645901E-2</v>
      </c>
    </row>
    <row r="78" spans="1:12" x14ac:dyDescent="0.3">
      <c r="A78">
        <v>75</v>
      </c>
      <c r="B78">
        <v>0.37</v>
      </c>
      <c r="D78">
        <v>75</v>
      </c>
      <c r="E78">
        <v>0.38</v>
      </c>
      <c r="G78">
        <v>75</v>
      </c>
      <c r="H78">
        <v>0.35</v>
      </c>
      <c r="J78">
        <v>75</v>
      </c>
      <c r="K78" s="3">
        <f t="shared" si="4"/>
        <v>0.3666666666666667</v>
      </c>
      <c r="L78" s="2">
        <f t="shared" si="5"/>
        <v>1.527525231651948E-2</v>
      </c>
    </row>
    <row r="79" spans="1:12" x14ac:dyDescent="0.3">
      <c r="A79">
        <v>76</v>
      </c>
      <c r="B79">
        <v>0.37</v>
      </c>
      <c r="D79">
        <v>76</v>
      </c>
      <c r="E79">
        <v>0.38</v>
      </c>
      <c r="G79">
        <v>76</v>
      </c>
      <c r="H79">
        <v>0.37</v>
      </c>
      <c r="J79">
        <v>76</v>
      </c>
      <c r="K79" s="3">
        <f t="shared" si="4"/>
        <v>0.37333333333333335</v>
      </c>
      <c r="L79" s="2">
        <f t="shared" si="5"/>
        <v>5.7735026918962623E-3</v>
      </c>
    </row>
    <row r="80" spans="1:12" x14ac:dyDescent="0.3">
      <c r="A80">
        <v>77</v>
      </c>
      <c r="B80">
        <v>0.38</v>
      </c>
      <c r="D80">
        <v>77</v>
      </c>
      <c r="E80">
        <v>0.38</v>
      </c>
      <c r="G80">
        <v>77</v>
      </c>
      <c r="H80">
        <v>0.37</v>
      </c>
      <c r="J80">
        <v>77</v>
      </c>
      <c r="K80" s="3">
        <f t="shared" si="4"/>
        <v>0.37666666666666665</v>
      </c>
      <c r="L80" s="2">
        <f t="shared" si="5"/>
        <v>5.7735026918962623E-3</v>
      </c>
    </row>
    <row r="81" spans="1:12" x14ac:dyDescent="0.3">
      <c r="A81">
        <v>78</v>
      </c>
      <c r="B81">
        <v>0.38</v>
      </c>
      <c r="D81">
        <v>78</v>
      </c>
      <c r="E81">
        <v>0.38</v>
      </c>
      <c r="G81">
        <v>78</v>
      </c>
      <c r="H81">
        <v>0.37</v>
      </c>
      <c r="J81">
        <v>78</v>
      </c>
      <c r="K81" s="3">
        <f t="shared" si="4"/>
        <v>0.37666666666666665</v>
      </c>
      <c r="L81" s="2">
        <f t="shared" si="5"/>
        <v>5.7735026918962623E-3</v>
      </c>
    </row>
    <row r="82" spans="1:12" x14ac:dyDescent="0.3">
      <c r="A82">
        <v>79</v>
      </c>
      <c r="B82">
        <v>0.38</v>
      </c>
      <c r="D82">
        <v>79</v>
      </c>
      <c r="E82">
        <v>0.38</v>
      </c>
      <c r="G82">
        <v>79</v>
      </c>
      <c r="H82">
        <v>0.37</v>
      </c>
      <c r="J82">
        <v>79</v>
      </c>
      <c r="K82" s="3">
        <f t="shared" si="4"/>
        <v>0.37666666666666665</v>
      </c>
      <c r="L82" s="2">
        <f t="shared" si="5"/>
        <v>5.7735026918962623E-3</v>
      </c>
    </row>
    <row r="83" spans="1:12" x14ac:dyDescent="0.3">
      <c r="A83">
        <v>80</v>
      </c>
      <c r="B83">
        <v>0.38</v>
      </c>
      <c r="D83">
        <v>80</v>
      </c>
      <c r="E83">
        <v>0.38</v>
      </c>
      <c r="G83">
        <v>80</v>
      </c>
      <c r="H83">
        <v>0.37</v>
      </c>
      <c r="J83">
        <v>80</v>
      </c>
      <c r="K83" s="3">
        <f t="shared" si="4"/>
        <v>0.37666666666666665</v>
      </c>
      <c r="L83" s="2">
        <f t="shared" si="5"/>
        <v>5.7735026918962623E-3</v>
      </c>
    </row>
    <row r="84" spans="1:12" x14ac:dyDescent="0.3">
      <c r="A84">
        <v>81</v>
      </c>
      <c r="B84">
        <v>0.38</v>
      </c>
      <c r="D84">
        <v>81</v>
      </c>
      <c r="E84">
        <v>0.38</v>
      </c>
      <c r="G84">
        <v>81</v>
      </c>
      <c r="H84">
        <v>0.37</v>
      </c>
      <c r="J84">
        <v>81</v>
      </c>
      <c r="K84" s="3">
        <f t="shared" si="4"/>
        <v>0.37666666666666665</v>
      </c>
      <c r="L84" s="2">
        <f t="shared" si="5"/>
        <v>5.7735026918962623E-3</v>
      </c>
    </row>
    <row r="85" spans="1:12" x14ac:dyDescent="0.3">
      <c r="A85">
        <v>82</v>
      </c>
      <c r="B85">
        <v>0.38</v>
      </c>
      <c r="D85">
        <v>82</v>
      </c>
      <c r="E85">
        <v>0.39</v>
      </c>
      <c r="G85">
        <v>82</v>
      </c>
      <c r="H85">
        <v>0.37</v>
      </c>
      <c r="J85">
        <v>82</v>
      </c>
      <c r="K85" s="3">
        <f t="shared" si="4"/>
        <v>0.38000000000000006</v>
      </c>
      <c r="L85" s="2">
        <f t="shared" si="5"/>
        <v>1.0000000000000009E-2</v>
      </c>
    </row>
    <row r="86" spans="1:12" x14ac:dyDescent="0.3">
      <c r="A86">
        <v>83</v>
      </c>
      <c r="B86">
        <v>0.39</v>
      </c>
      <c r="D86">
        <v>83</v>
      </c>
      <c r="E86">
        <v>0.4</v>
      </c>
      <c r="G86">
        <v>83</v>
      </c>
      <c r="H86">
        <v>0.37</v>
      </c>
      <c r="J86">
        <v>83</v>
      </c>
      <c r="K86" s="3">
        <f t="shared" si="4"/>
        <v>0.38666666666666671</v>
      </c>
      <c r="L86" s="2">
        <f t="shared" si="5"/>
        <v>1.527525231651948E-2</v>
      </c>
    </row>
    <row r="87" spans="1:12" x14ac:dyDescent="0.3">
      <c r="A87">
        <v>84</v>
      </c>
      <c r="B87">
        <v>0.4</v>
      </c>
      <c r="D87">
        <v>84</v>
      </c>
      <c r="E87">
        <v>0.42</v>
      </c>
      <c r="G87">
        <v>84</v>
      </c>
      <c r="H87">
        <v>0.37</v>
      </c>
      <c r="J87">
        <v>84</v>
      </c>
      <c r="K87" s="3">
        <f t="shared" si="4"/>
        <v>0.39666666666666667</v>
      </c>
      <c r="L87" s="2">
        <f t="shared" si="5"/>
        <v>2.5166114784235829E-2</v>
      </c>
    </row>
    <row r="88" spans="1:12" x14ac:dyDescent="0.3">
      <c r="A88">
        <v>85</v>
      </c>
      <c r="B88">
        <v>0.42</v>
      </c>
      <c r="D88">
        <v>85</v>
      </c>
      <c r="E88">
        <v>0.42</v>
      </c>
      <c r="G88">
        <v>85</v>
      </c>
      <c r="H88">
        <v>0.37</v>
      </c>
      <c r="J88">
        <v>85</v>
      </c>
      <c r="K88" s="3">
        <f t="shared" si="4"/>
        <v>0.40333333333333332</v>
      </c>
      <c r="L88" s="2">
        <f t="shared" si="5"/>
        <v>2.8867513459481284E-2</v>
      </c>
    </row>
    <row r="89" spans="1:12" x14ac:dyDescent="0.3">
      <c r="A89">
        <v>86</v>
      </c>
      <c r="B89">
        <v>0.42</v>
      </c>
      <c r="D89">
        <v>86</v>
      </c>
      <c r="E89">
        <v>0.42</v>
      </c>
      <c r="G89">
        <v>86</v>
      </c>
      <c r="H89">
        <v>0.37</v>
      </c>
      <c r="J89">
        <v>86</v>
      </c>
      <c r="K89" s="3">
        <f t="shared" si="4"/>
        <v>0.40333333333333332</v>
      </c>
      <c r="L89" s="2">
        <f t="shared" si="5"/>
        <v>2.8867513459481284E-2</v>
      </c>
    </row>
    <row r="90" spans="1:12" x14ac:dyDescent="0.3">
      <c r="A90">
        <v>87</v>
      </c>
      <c r="B90">
        <v>0.42</v>
      </c>
      <c r="D90">
        <v>87</v>
      </c>
      <c r="E90">
        <v>0.42</v>
      </c>
      <c r="G90">
        <v>87</v>
      </c>
      <c r="H90">
        <v>0.38</v>
      </c>
      <c r="J90">
        <v>87</v>
      </c>
      <c r="K90" s="3">
        <f t="shared" si="4"/>
        <v>0.40666666666666668</v>
      </c>
      <c r="L90" s="2">
        <f t="shared" si="5"/>
        <v>2.3094010767585018E-2</v>
      </c>
    </row>
    <row r="91" spans="1:12" x14ac:dyDescent="0.3">
      <c r="A91">
        <v>88</v>
      </c>
      <c r="B91">
        <v>0.42</v>
      </c>
      <c r="D91">
        <v>88</v>
      </c>
      <c r="E91">
        <v>0.43</v>
      </c>
      <c r="G91">
        <v>88</v>
      </c>
      <c r="H91">
        <v>0.39</v>
      </c>
      <c r="J91">
        <v>88</v>
      </c>
      <c r="K91" s="3">
        <f t="shared" si="4"/>
        <v>0.41333333333333333</v>
      </c>
      <c r="L91" s="2">
        <f t="shared" si="5"/>
        <v>2.0816659994661313E-2</v>
      </c>
    </row>
    <row r="92" spans="1:12" x14ac:dyDescent="0.3">
      <c r="A92">
        <v>89</v>
      </c>
      <c r="B92">
        <v>0.42</v>
      </c>
      <c r="D92">
        <v>89</v>
      </c>
      <c r="E92">
        <v>0.43</v>
      </c>
      <c r="G92">
        <v>89</v>
      </c>
      <c r="H92">
        <v>0.39</v>
      </c>
      <c r="J92">
        <v>89</v>
      </c>
      <c r="K92" s="3">
        <f t="shared" si="4"/>
        <v>0.41333333333333333</v>
      </c>
      <c r="L92" s="2">
        <f t="shared" si="5"/>
        <v>2.0816659994661313E-2</v>
      </c>
    </row>
    <row r="93" spans="1:12" x14ac:dyDescent="0.3">
      <c r="A93">
        <v>90</v>
      </c>
      <c r="B93">
        <v>0.42</v>
      </c>
      <c r="D93">
        <v>90</v>
      </c>
      <c r="E93">
        <v>0.43</v>
      </c>
      <c r="G93">
        <v>90</v>
      </c>
      <c r="H93">
        <v>0.39</v>
      </c>
      <c r="J93">
        <v>90</v>
      </c>
      <c r="K93" s="3">
        <f t="shared" si="4"/>
        <v>0.41333333333333333</v>
      </c>
      <c r="L93" s="2">
        <f t="shared" si="5"/>
        <v>2.0816659994661313E-2</v>
      </c>
    </row>
    <row r="94" spans="1:12" x14ac:dyDescent="0.3">
      <c r="A94">
        <v>91</v>
      </c>
      <c r="B94">
        <v>0.42</v>
      </c>
      <c r="D94">
        <v>91</v>
      </c>
      <c r="E94">
        <v>0.43</v>
      </c>
      <c r="G94">
        <v>91</v>
      </c>
      <c r="H94">
        <v>0.39</v>
      </c>
      <c r="J94">
        <v>91</v>
      </c>
      <c r="K94" s="3">
        <f t="shared" si="4"/>
        <v>0.41333333333333333</v>
      </c>
      <c r="L94" s="2">
        <f t="shared" si="5"/>
        <v>2.0816659994661313E-2</v>
      </c>
    </row>
    <row r="95" spans="1:12" x14ac:dyDescent="0.3">
      <c r="A95">
        <v>92</v>
      </c>
      <c r="B95">
        <v>0.42</v>
      </c>
      <c r="D95">
        <v>92</v>
      </c>
      <c r="E95">
        <v>0.43</v>
      </c>
      <c r="G95">
        <v>92</v>
      </c>
      <c r="H95">
        <v>0.39</v>
      </c>
      <c r="J95">
        <v>92</v>
      </c>
      <c r="K95" s="3">
        <f t="shared" si="4"/>
        <v>0.41333333333333333</v>
      </c>
      <c r="L95" s="2">
        <f t="shared" si="5"/>
        <v>2.0816659994661313E-2</v>
      </c>
    </row>
    <row r="96" spans="1:12" x14ac:dyDescent="0.3">
      <c r="A96">
        <v>93</v>
      </c>
      <c r="B96">
        <v>0.42</v>
      </c>
      <c r="D96">
        <v>93</v>
      </c>
      <c r="E96">
        <v>0.43</v>
      </c>
      <c r="G96">
        <v>93</v>
      </c>
      <c r="H96">
        <v>0.39</v>
      </c>
      <c r="J96">
        <v>93</v>
      </c>
      <c r="K96" s="3">
        <f t="shared" si="4"/>
        <v>0.41333333333333333</v>
      </c>
      <c r="L96" s="2">
        <f t="shared" si="5"/>
        <v>2.0816659994661313E-2</v>
      </c>
    </row>
    <row r="97" spans="1:14" x14ac:dyDescent="0.3">
      <c r="A97">
        <v>94</v>
      </c>
      <c r="B97">
        <v>0.43</v>
      </c>
      <c r="D97">
        <v>94</v>
      </c>
      <c r="E97">
        <v>0.44</v>
      </c>
      <c r="G97">
        <v>94</v>
      </c>
      <c r="H97">
        <v>0.4</v>
      </c>
      <c r="J97">
        <v>94</v>
      </c>
      <c r="K97" s="3">
        <f t="shared" si="4"/>
        <v>0.42333333333333334</v>
      </c>
      <c r="L97" s="2">
        <f t="shared" si="5"/>
        <v>2.0816659994661313E-2</v>
      </c>
    </row>
    <row r="98" spans="1:14" x14ac:dyDescent="0.3">
      <c r="A98">
        <v>95</v>
      </c>
      <c r="B98">
        <v>0.43</v>
      </c>
      <c r="D98">
        <v>95</v>
      </c>
      <c r="E98">
        <v>0.47</v>
      </c>
      <c r="G98">
        <v>95</v>
      </c>
      <c r="H98">
        <v>0.4</v>
      </c>
      <c r="J98">
        <v>95</v>
      </c>
      <c r="K98" s="3">
        <f t="shared" si="4"/>
        <v>0.43333333333333329</v>
      </c>
      <c r="L98" s="2">
        <f t="shared" si="5"/>
        <v>3.5118845842842437E-2</v>
      </c>
    </row>
    <row r="99" spans="1:14" x14ac:dyDescent="0.3">
      <c r="A99">
        <v>96</v>
      </c>
      <c r="B99">
        <v>0.45</v>
      </c>
      <c r="D99">
        <v>96</v>
      </c>
      <c r="E99">
        <v>0.47</v>
      </c>
      <c r="G99">
        <v>96</v>
      </c>
      <c r="H99">
        <v>0.4</v>
      </c>
      <c r="J99">
        <v>96</v>
      </c>
      <c r="K99" s="3">
        <f t="shared" ref="K99:K123" si="6">AVERAGE(B99,E99,H99)</f>
        <v>0.43999999999999995</v>
      </c>
      <c r="L99" s="2">
        <f t="shared" ref="L99:L123" si="7">_xlfn.STDEV.S(B99,E99,H99)</f>
        <v>3.6055512754639869E-2</v>
      </c>
    </row>
    <row r="100" spans="1:14" x14ac:dyDescent="0.3">
      <c r="A100">
        <v>97</v>
      </c>
      <c r="B100">
        <v>0.45</v>
      </c>
      <c r="D100">
        <v>97</v>
      </c>
      <c r="E100">
        <v>0.47</v>
      </c>
      <c r="G100">
        <v>97</v>
      </c>
      <c r="H100">
        <v>0.4</v>
      </c>
      <c r="J100">
        <v>97</v>
      </c>
      <c r="K100" s="3">
        <f t="shared" si="6"/>
        <v>0.43999999999999995</v>
      </c>
      <c r="L100" s="2">
        <f t="shared" si="7"/>
        <v>3.6055512754639869E-2</v>
      </c>
    </row>
    <row r="101" spans="1:14" x14ac:dyDescent="0.3">
      <c r="A101">
        <v>98</v>
      </c>
      <c r="B101">
        <v>0.45</v>
      </c>
      <c r="D101">
        <v>98</v>
      </c>
      <c r="E101">
        <v>0.47</v>
      </c>
      <c r="G101">
        <v>98</v>
      </c>
      <c r="H101">
        <v>0.4</v>
      </c>
      <c r="J101">
        <v>98</v>
      </c>
      <c r="K101" s="3">
        <f t="shared" si="6"/>
        <v>0.43999999999999995</v>
      </c>
      <c r="L101" s="2">
        <f t="shared" si="7"/>
        <v>3.6055512754639869E-2</v>
      </c>
    </row>
    <row r="102" spans="1:14" x14ac:dyDescent="0.3">
      <c r="A102">
        <v>99</v>
      </c>
      <c r="B102">
        <v>0.45</v>
      </c>
      <c r="D102">
        <v>99</v>
      </c>
      <c r="E102">
        <v>0.47</v>
      </c>
      <c r="G102">
        <v>99</v>
      </c>
      <c r="H102">
        <v>0.41</v>
      </c>
      <c r="J102">
        <v>99</v>
      </c>
      <c r="K102" s="3">
        <f t="shared" si="6"/>
        <v>0.4433333333333333</v>
      </c>
      <c r="L102" s="2">
        <f t="shared" si="7"/>
        <v>3.0550504633038936E-2</v>
      </c>
    </row>
    <row r="103" spans="1:14" x14ac:dyDescent="0.3">
      <c r="A103">
        <v>100</v>
      </c>
      <c r="B103">
        <v>0.45</v>
      </c>
      <c r="D103">
        <v>100</v>
      </c>
      <c r="E103">
        <v>0.47</v>
      </c>
      <c r="G103">
        <v>100</v>
      </c>
      <c r="H103">
        <v>0.43</v>
      </c>
      <c r="J103">
        <v>100</v>
      </c>
      <c r="K103" s="3">
        <f t="shared" si="6"/>
        <v>0.44999999999999996</v>
      </c>
      <c r="L103" s="2">
        <f t="shared" si="7"/>
        <v>1.999999999999999E-2</v>
      </c>
    </row>
    <row r="104" spans="1:14" x14ac:dyDescent="0.3">
      <c r="A104">
        <v>101</v>
      </c>
      <c r="B104">
        <v>0.45</v>
      </c>
      <c r="D104">
        <v>101</v>
      </c>
      <c r="E104">
        <v>0.47</v>
      </c>
      <c r="G104">
        <v>101</v>
      </c>
      <c r="H104">
        <v>0.44</v>
      </c>
      <c r="J104">
        <v>101</v>
      </c>
      <c r="K104" s="3">
        <f t="shared" si="6"/>
        <v>0.45333333333333331</v>
      </c>
      <c r="L104" s="2">
        <f t="shared" si="7"/>
        <v>1.5275252316519451E-2</v>
      </c>
    </row>
    <row r="105" spans="1:14" x14ac:dyDescent="0.3">
      <c r="A105">
        <v>102</v>
      </c>
      <c r="B105">
        <v>0.46</v>
      </c>
      <c r="D105">
        <v>102</v>
      </c>
      <c r="E105">
        <v>0.47</v>
      </c>
      <c r="G105">
        <v>102</v>
      </c>
      <c r="H105">
        <v>0.44</v>
      </c>
      <c r="J105">
        <v>102</v>
      </c>
      <c r="K105" s="3">
        <f t="shared" si="6"/>
        <v>0.45666666666666661</v>
      </c>
      <c r="L105" s="2">
        <f t="shared" si="7"/>
        <v>1.5275252316519456E-2</v>
      </c>
    </row>
    <row r="106" spans="1:14" x14ac:dyDescent="0.3">
      <c r="A106">
        <v>103</v>
      </c>
      <c r="B106">
        <v>0.46</v>
      </c>
      <c r="D106">
        <v>103</v>
      </c>
      <c r="E106">
        <v>0.47</v>
      </c>
      <c r="G106">
        <v>103</v>
      </c>
      <c r="H106">
        <v>0.44</v>
      </c>
      <c r="J106">
        <v>103</v>
      </c>
      <c r="K106" s="3">
        <f t="shared" si="6"/>
        <v>0.45666666666666661</v>
      </c>
      <c r="L106" s="2">
        <f t="shared" si="7"/>
        <v>1.5275252316519456E-2</v>
      </c>
    </row>
    <row r="107" spans="1:14" x14ac:dyDescent="0.3">
      <c r="A107">
        <v>104</v>
      </c>
      <c r="B107">
        <v>0.46</v>
      </c>
      <c r="D107">
        <v>104</v>
      </c>
      <c r="E107">
        <v>0.47</v>
      </c>
      <c r="G107">
        <v>104</v>
      </c>
      <c r="H107">
        <v>0.44</v>
      </c>
      <c r="J107">
        <v>104</v>
      </c>
      <c r="K107" s="3">
        <f t="shared" si="6"/>
        <v>0.45666666666666661</v>
      </c>
      <c r="L107" s="2">
        <f t="shared" si="7"/>
        <v>1.5275252316519456E-2</v>
      </c>
    </row>
    <row r="108" spans="1:14" x14ac:dyDescent="0.3">
      <c r="A108" s="4">
        <v>105</v>
      </c>
      <c r="B108">
        <v>0.46</v>
      </c>
      <c r="C108" s="4"/>
      <c r="D108" s="4">
        <v>105</v>
      </c>
      <c r="E108">
        <v>0.47</v>
      </c>
      <c r="F108" s="4"/>
      <c r="G108" s="4">
        <v>105</v>
      </c>
      <c r="H108">
        <v>0.44</v>
      </c>
      <c r="I108" s="4"/>
      <c r="J108" s="4">
        <v>105</v>
      </c>
      <c r="K108" s="5">
        <f t="shared" si="6"/>
        <v>0.45666666666666661</v>
      </c>
      <c r="L108" s="6">
        <f t="shared" si="7"/>
        <v>1.5275252316519456E-2</v>
      </c>
      <c r="M108" s="4"/>
      <c r="N108" s="4"/>
    </row>
    <row r="109" spans="1:14" x14ac:dyDescent="0.3">
      <c r="A109">
        <v>106</v>
      </c>
      <c r="B109">
        <v>0.47</v>
      </c>
      <c r="D109">
        <v>106</v>
      </c>
      <c r="E109">
        <v>0.47</v>
      </c>
      <c r="G109">
        <v>106</v>
      </c>
      <c r="H109">
        <v>0.44</v>
      </c>
      <c r="J109">
        <v>106</v>
      </c>
      <c r="K109" s="3">
        <f t="shared" si="6"/>
        <v>0.45999999999999996</v>
      </c>
      <c r="L109" s="2">
        <f t="shared" si="7"/>
        <v>1.7320508075688756E-2</v>
      </c>
    </row>
    <row r="110" spans="1:14" x14ac:dyDescent="0.3">
      <c r="A110">
        <v>107</v>
      </c>
      <c r="B110">
        <v>0.49</v>
      </c>
      <c r="D110">
        <v>107</v>
      </c>
      <c r="E110">
        <v>0.47</v>
      </c>
      <c r="G110">
        <v>107</v>
      </c>
      <c r="H110">
        <v>0.44</v>
      </c>
      <c r="J110">
        <v>107</v>
      </c>
      <c r="K110" s="3">
        <f t="shared" si="6"/>
        <v>0.46666666666666662</v>
      </c>
      <c r="L110" s="2">
        <f t="shared" si="7"/>
        <v>2.5166114784235825E-2</v>
      </c>
    </row>
    <row r="111" spans="1:14" x14ac:dyDescent="0.3">
      <c r="A111">
        <v>108</v>
      </c>
      <c r="B111">
        <v>0.49</v>
      </c>
      <c r="D111">
        <v>108</v>
      </c>
      <c r="E111">
        <v>0.47</v>
      </c>
      <c r="G111">
        <v>108</v>
      </c>
      <c r="H111">
        <v>0.44</v>
      </c>
      <c r="J111">
        <v>108</v>
      </c>
      <c r="K111" s="3">
        <f t="shared" si="6"/>
        <v>0.46666666666666662</v>
      </c>
      <c r="L111" s="2">
        <f t="shared" si="7"/>
        <v>2.5166114784235825E-2</v>
      </c>
    </row>
    <row r="112" spans="1:14" x14ac:dyDescent="0.3">
      <c r="A112">
        <v>109</v>
      </c>
      <c r="B112">
        <v>0.49</v>
      </c>
      <c r="D112">
        <v>109</v>
      </c>
      <c r="E112">
        <v>0.47</v>
      </c>
      <c r="G112">
        <v>109</v>
      </c>
      <c r="H112">
        <v>0.44</v>
      </c>
      <c r="J112">
        <v>109</v>
      </c>
      <c r="K112" s="3">
        <f t="shared" si="6"/>
        <v>0.46666666666666662</v>
      </c>
      <c r="L112" s="2">
        <f t="shared" si="7"/>
        <v>2.5166114784235825E-2</v>
      </c>
    </row>
    <row r="113" spans="1:12" x14ac:dyDescent="0.3">
      <c r="A113">
        <v>110</v>
      </c>
      <c r="B113">
        <v>0.49</v>
      </c>
      <c r="D113">
        <v>110</v>
      </c>
      <c r="E113">
        <v>0.5</v>
      </c>
      <c r="G113">
        <v>110</v>
      </c>
      <c r="H113">
        <v>0.44</v>
      </c>
      <c r="J113">
        <v>110</v>
      </c>
      <c r="K113" s="3">
        <f t="shared" si="6"/>
        <v>0.47666666666666663</v>
      </c>
      <c r="L113" s="2">
        <f t="shared" si="7"/>
        <v>3.2145502536643181E-2</v>
      </c>
    </row>
    <row r="114" spans="1:12" x14ac:dyDescent="0.3">
      <c r="A114">
        <v>111</v>
      </c>
      <c r="B114">
        <v>0.49</v>
      </c>
      <c r="D114">
        <v>111</v>
      </c>
      <c r="E114">
        <v>0.5</v>
      </c>
      <c r="G114">
        <v>111</v>
      </c>
      <c r="H114">
        <v>0.44</v>
      </c>
      <c r="J114">
        <v>111</v>
      </c>
      <c r="K114" s="3">
        <f t="shared" si="6"/>
        <v>0.47666666666666663</v>
      </c>
      <c r="L114" s="2">
        <f t="shared" si="7"/>
        <v>3.2145502536643181E-2</v>
      </c>
    </row>
    <row r="115" spans="1:12" x14ac:dyDescent="0.3">
      <c r="A115">
        <v>112</v>
      </c>
      <c r="B115">
        <v>0.49</v>
      </c>
      <c r="D115">
        <v>112</v>
      </c>
      <c r="E115">
        <v>0.5</v>
      </c>
      <c r="G115">
        <v>112</v>
      </c>
      <c r="H115">
        <v>0.44</v>
      </c>
      <c r="J115">
        <v>112</v>
      </c>
      <c r="K115" s="3">
        <f t="shared" si="6"/>
        <v>0.47666666666666663</v>
      </c>
      <c r="L115" s="2">
        <f t="shared" si="7"/>
        <v>3.2145502536643181E-2</v>
      </c>
    </row>
    <row r="116" spans="1:12" x14ac:dyDescent="0.3">
      <c r="A116">
        <v>113</v>
      </c>
      <c r="B116">
        <v>0.49</v>
      </c>
      <c r="D116">
        <v>113</v>
      </c>
      <c r="E116">
        <v>0.5</v>
      </c>
      <c r="G116">
        <v>113</v>
      </c>
      <c r="H116">
        <v>0.44</v>
      </c>
      <c r="J116">
        <v>113</v>
      </c>
      <c r="K116" s="3">
        <f t="shared" si="6"/>
        <v>0.47666666666666663</v>
      </c>
      <c r="L116" s="2">
        <f t="shared" si="7"/>
        <v>3.2145502536643181E-2</v>
      </c>
    </row>
    <row r="117" spans="1:12" x14ac:dyDescent="0.3">
      <c r="A117">
        <v>114</v>
      </c>
      <c r="B117">
        <v>0.49</v>
      </c>
      <c r="D117">
        <v>114</v>
      </c>
      <c r="E117">
        <v>0.5</v>
      </c>
      <c r="G117">
        <v>114</v>
      </c>
      <c r="H117">
        <v>0.45</v>
      </c>
      <c r="J117">
        <v>114</v>
      </c>
      <c r="K117" s="3">
        <f t="shared" si="6"/>
        <v>0.48</v>
      </c>
      <c r="L117" s="2">
        <f t="shared" si="7"/>
        <v>2.6457513110645897E-2</v>
      </c>
    </row>
    <row r="118" spans="1:12" x14ac:dyDescent="0.3">
      <c r="A118">
        <v>115</v>
      </c>
      <c r="B118">
        <v>0.49</v>
      </c>
      <c r="D118">
        <v>115</v>
      </c>
      <c r="E118">
        <v>0.5</v>
      </c>
      <c r="G118">
        <v>115</v>
      </c>
      <c r="H118">
        <v>0.47</v>
      </c>
      <c r="J118">
        <v>115</v>
      </c>
      <c r="K118" s="3">
        <f t="shared" si="6"/>
        <v>0.48666666666666664</v>
      </c>
      <c r="L118" s="2">
        <f t="shared" si="7"/>
        <v>1.527525231651948E-2</v>
      </c>
    </row>
    <row r="119" spans="1:12" x14ac:dyDescent="0.3">
      <c r="A119">
        <v>116</v>
      </c>
      <c r="B119">
        <v>0.49</v>
      </c>
      <c r="D119">
        <v>116</v>
      </c>
      <c r="E119">
        <v>0.5</v>
      </c>
      <c r="G119">
        <v>116</v>
      </c>
      <c r="H119">
        <v>0.48</v>
      </c>
      <c r="J119">
        <v>116</v>
      </c>
      <c r="K119" s="3">
        <f t="shared" si="6"/>
        <v>0.49</v>
      </c>
      <c r="L119" s="2">
        <f t="shared" si="7"/>
        <v>1.0000000000000009E-2</v>
      </c>
    </row>
    <row r="120" spans="1:12" x14ac:dyDescent="0.3">
      <c r="A120">
        <v>117</v>
      </c>
      <c r="B120">
        <v>0.49</v>
      </c>
      <c r="D120">
        <v>117</v>
      </c>
      <c r="E120">
        <v>0.5</v>
      </c>
      <c r="G120">
        <v>117</v>
      </c>
      <c r="H120">
        <v>0.48</v>
      </c>
      <c r="J120">
        <v>117</v>
      </c>
      <c r="K120" s="3">
        <f t="shared" si="6"/>
        <v>0.49</v>
      </c>
      <c r="L120" s="2">
        <f t="shared" si="7"/>
        <v>1.0000000000000009E-2</v>
      </c>
    </row>
    <row r="121" spans="1:12" x14ac:dyDescent="0.3">
      <c r="A121">
        <v>118</v>
      </c>
      <c r="B121">
        <v>0.51</v>
      </c>
      <c r="D121">
        <v>118</v>
      </c>
      <c r="E121">
        <v>0.51</v>
      </c>
      <c r="G121">
        <v>118</v>
      </c>
      <c r="H121">
        <v>0.48</v>
      </c>
      <c r="J121">
        <v>118</v>
      </c>
      <c r="K121" s="3">
        <f t="shared" si="6"/>
        <v>0.5</v>
      </c>
      <c r="L121" s="2">
        <f t="shared" si="7"/>
        <v>1.732050807568879E-2</v>
      </c>
    </row>
    <row r="122" spans="1:12" x14ac:dyDescent="0.3">
      <c r="A122">
        <v>119</v>
      </c>
      <c r="B122">
        <v>0.54</v>
      </c>
      <c r="D122">
        <v>119</v>
      </c>
      <c r="E122">
        <v>0.54</v>
      </c>
      <c r="G122">
        <v>119</v>
      </c>
      <c r="H122">
        <v>0.48</v>
      </c>
      <c r="J122">
        <v>119</v>
      </c>
      <c r="K122" s="3">
        <f t="shared" si="6"/>
        <v>0.52</v>
      </c>
      <c r="L122" s="2">
        <f t="shared" si="7"/>
        <v>3.4641016151377581E-2</v>
      </c>
    </row>
    <row r="123" spans="1:12" x14ac:dyDescent="0.3">
      <c r="A123">
        <v>120</v>
      </c>
      <c r="B123">
        <v>0.54</v>
      </c>
      <c r="D123">
        <v>120</v>
      </c>
      <c r="E123">
        <v>0.54</v>
      </c>
      <c r="G123">
        <v>120</v>
      </c>
      <c r="H123">
        <v>0.48</v>
      </c>
      <c r="J123">
        <v>120</v>
      </c>
      <c r="K123" s="3">
        <f t="shared" si="6"/>
        <v>0.52</v>
      </c>
      <c r="L123" s="2">
        <f t="shared" si="7"/>
        <v>3.4641016151377581E-2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O9" sqref="O9"/>
    </sheetView>
  </sheetViews>
  <sheetFormatPr defaultRowHeight="14.4" x14ac:dyDescent="0.3"/>
  <cols>
    <col min="11" max="11" width="14.21875" bestFit="1" customWidth="1"/>
    <col min="13" max="13" width="11.21875" bestFit="1" customWidth="1"/>
  </cols>
  <sheetData>
    <row r="1" spans="1:13" x14ac:dyDescent="0.3">
      <c r="A1" t="s">
        <v>0</v>
      </c>
      <c r="D1" t="s">
        <v>1</v>
      </c>
      <c r="G1" t="s">
        <v>2</v>
      </c>
      <c r="J1" s="1" t="s">
        <v>3</v>
      </c>
    </row>
    <row r="2" spans="1:13" x14ac:dyDescent="0.3">
      <c r="A2" t="s">
        <v>4</v>
      </c>
      <c r="B2" t="s">
        <v>5</v>
      </c>
      <c r="D2" t="s">
        <v>4</v>
      </c>
      <c r="E2" t="s">
        <v>5</v>
      </c>
      <c r="G2" t="s">
        <v>4</v>
      </c>
      <c r="H2" t="s">
        <v>5</v>
      </c>
      <c r="J2" t="s">
        <v>4</v>
      </c>
      <c r="K2" t="s">
        <v>7</v>
      </c>
      <c r="L2" t="s">
        <v>8</v>
      </c>
      <c r="M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Views>
    <sheetView zoomScale="90" zoomScaleNormal="90" workbookViewId="0">
      <selection activeCell="O1" sqref="O1:Q7"/>
    </sheetView>
  </sheetViews>
  <sheetFormatPr defaultRowHeight="14.4" x14ac:dyDescent="0.3"/>
  <cols>
    <col min="11" max="11" width="15.33203125" bestFit="1" customWidth="1"/>
    <col min="13" max="13" width="12.109375" bestFit="1" customWidth="1"/>
  </cols>
  <sheetData>
    <row r="1" spans="1:13" x14ac:dyDescent="0.3">
      <c r="A1" t="s">
        <v>0</v>
      </c>
      <c r="D1" t="s">
        <v>1</v>
      </c>
      <c r="G1" t="s">
        <v>2</v>
      </c>
      <c r="J1" s="1" t="s">
        <v>3</v>
      </c>
    </row>
    <row r="2" spans="1:13" x14ac:dyDescent="0.3">
      <c r="A2" t="s">
        <v>4</v>
      </c>
      <c r="B2" t="s">
        <v>5</v>
      </c>
      <c r="D2" t="s">
        <v>4</v>
      </c>
      <c r="E2" t="s">
        <v>5</v>
      </c>
      <c r="G2" t="s">
        <v>4</v>
      </c>
      <c r="H2" t="s">
        <v>5</v>
      </c>
      <c r="J2" t="s">
        <v>4</v>
      </c>
      <c r="K2" t="s">
        <v>7</v>
      </c>
      <c r="L2" t="s">
        <v>8</v>
      </c>
      <c r="M2" t="s">
        <v>6</v>
      </c>
    </row>
    <row r="3" spans="1:13" x14ac:dyDescent="0.3">
      <c r="A3">
        <v>0</v>
      </c>
      <c r="B3">
        <v>0</v>
      </c>
      <c r="D3">
        <v>0</v>
      </c>
      <c r="E3">
        <v>0</v>
      </c>
      <c r="G3">
        <v>0</v>
      </c>
      <c r="H3">
        <v>0</v>
      </c>
      <c r="J3">
        <v>0</v>
      </c>
      <c r="K3" s="3">
        <f t="shared" ref="K3:K34" si="0">AVERAGE(B3,E3,H3)</f>
        <v>0</v>
      </c>
      <c r="L3" s="2">
        <f t="shared" ref="L3:L34" si="1">_xlfn.STDEV.S(B3,E3,H3)</f>
        <v>0</v>
      </c>
    </row>
    <row r="4" spans="1:13" x14ac:dyDescent="0.3">
      <c r="A4">
        <v>1</v>
      </c>
      <c r="B4">
        <v>0</v>
      </c>
      <c r="D4">
        <v>1</v>
      </c>
      <c r="E4">
        <v>0</v>
      </c>
      <c r="G4">
        <v>1</v>
      </c>
      <c r="H4">
        <v>0</v>
      </c>
      <c r="J4">
        <v>1</v>
      </c>
      <c r="K4" s="3">
        <f t="shared" si="0"/>
        <v>0</v>
      </c>
      <c r="L4" s="2">
        <f t="shared" si="1"/>
        <v>0</v>
      </c>
    </row>
    <row r="5" spans="1:13" x14ac:dyDescent="0.3">
      <c r="A5">
        <v>2</v>
      </c>
      <c r="B5">
        <v>0.39</v>
      </c>
      <c r="D5">
        <v>2</v>
      </c>
      <c r="E5">
        <v>0.16</v>
      </c>
      <c r="G5">
        <v>2</v>
      </c>
      <c r="H5">
        <v>0.38</v>
      </c>
      <c r="J5">
        <v>2</v>
      </c>
      <c r="K5" s="3">
        <f t="shared" si="0"/>
        <v>0.31</v>
      </c>
      <c r="L5" s="2">
        <f t="shared" si="1"/>
        <v>0.13</v>
      </c>
    </row>
    <row r="6" spans="1:13" x14ac:dyDescent="0.3">
      <c r="A6">
        <v>3</v>
      </c>
      <c r="B6">
        <v>2.6</v>
      </c>
      <c r="D6">
        <v>3</v>
      </c>
      <c r="E6">
        <v>1.22</v>
      </c>
      <c r="G6">
        <v>3</v>
      </c>
      <c r="H6">
        <v>1.43</v>
      </c>
      <c r="J6">
        <v>3</v>
      </c>
      <c r="K6" s="3">
        <f t="shared" si="0"/>
        <v>1.75</v>
      </c>
      <c r="L6" s="2">
        <f t="shared" si="1"/>
        <v>0.74357245780085224</v>
      </c>
    </row>
    <row r="7" spans="1:13" x14ac:dyDescent="0.3">
      <c r="A7">
        <v>4</v>
      </c>
      <c r="B7">
        <v>4.45</v>
      </c>
      <c r="D7">
        <v>4</v>
      </c>
      <c r="E7">
        <v>2.58</v>
      </c>
      <c r="G7">
        <v>4</v>
      </c>
      <c r="H7">
        <v>2.79</v>
      </c>
      <c r="J7">
        <v>4</v>
      </c>
      <c r="K7" s="3">
        <f t="shared" si="0"/>
        <v>3.2733333333333334</v>
      </c>
      <c r="L7" s="2">
        <f t="shared" si="1"/>
        <v>1.0244185342589878</v>
      </c>
    </row>
    <row r="8" spans="1:13" x14ac:dyDescent="0.3">
      <c r="A8">
        <v>5</v>
      </c>
      <c r="B8">
        <v>6.15</v>
      </c>
      <c r="D8">
        <v>5</v>
      </c>
      <c r="E8">
        <v>3.92</v>
      </c>
      <c r="G8">
        <v>5</v>
      </c>
      <c r="H8">
        <v>4.88</v>
      </c>
      <c r="J8">
        <v>5</v>
      </c>
      <c r="K8" s="3">
        <f t="shared" si="0"/>
        <v>4.9833333333333334</v>
      </c>
      <c r="L8" s="2">
        <f t="shared" si="1"/>
        <v>1.1185854161991111</v>
      </c>
    </row>
    <row r="9" spans="1:13" x14ac:dyDescent="0.3">
      <c r="A9">
        <v>6</v>
      </c>
      <c r="B9">
        <v>7.83</v>
      </c>
      <c r="D9">
        <v>6</v>
      </c>
      <c r="E9">
        <v>5.26</v>
      </c>
      <c r="G9">
        <v>6</v>
      </c>
      <c r="H9">
        <v>5.63</v>
      </c>
      <c r="J9">
        <v>6</v>
      </c>
      <c r="K9" s="3">
        <f t="shared" si="0"/>
        <v>6.2399999999999993</v>
      </c>
      <c r="L9" s="2">
        <f t="shared" si="1"/>
        <v>1.3893523671121051</v>
      </c>
    </row>
    <row r="10" spans="1:13" x14ac:dyDescent="0.3">
      <c r="A10">
        <v>7</v>
      </c>
      <c r="B10">
        <v>8.99</v>
      </c>
      <c r="D10">
        <v>7</v>
      </c>
      <c r="E10">
        <v>6.56</v>
      </c>
      <c r="G10">
        <v>7</v>
      </c>
      <c r="H10">
        <v>6.9</v>
      </c>
      <c r="J10">
        <v>7</v>
      </c>
      <c r="K10" s="3">
        <f t="shared" si="0"/>
        <v>7.4833333333333343</v>
      </c>
      <c r="L10" s="2">
        <f t="shared" si="1"/>
        <v>1.3158394025614706</v>
      </c>
    </row>
    <row r="11" spans="1:13" x14ac:dyDescent="0.3">
      <c r="A11">
        <v>8</v>
      </c>
      <c r="B11">
        <v>10.26</v>
      </c>
      <c r="D11">
        <v>8</v>
      </c>
      <c r="E11">
        <v>7.78</v>
      </c>
      <c r="G11">
        <v>8</v>
      </c>
      <c r="H11">
        <v>8.1</v>
      </c>
      <c r="J11">
        <v>8</v>
      </c>
      <c r="K11" s="3">
        <f t="shared" si="0"/>
        <v>8.7133333333333329</v>
      </c>
      <c r="L11" s="2">
        <f t="shared" si="1"/>
        <v>1.3489749194604517</v>
      </c>
    </row>
    <row r="12" spans="1:13" x14ac:dyDescent="0.3">
      <c r="A12">
        <v>9</v>
      </c>
      <c r="B12">
        <v>11.46</v>
      </c>
      <c r="D12">
        <v>9</v>
      </c>
      <c r="E12">
        <v>8.94</v>
      </c>
      <c r="G12">
        <v>9</v>
      </c>
      <c r="H12">
        <v>9.2799999999999994</v>
      </c>
      <c r="J12">
        <v>9</v>
      </c>
      <c r="K12" s="3">
        <f t="shared" si="0"/>
        <v>9.8933333333333326</v>
      </c>
      <c r="L12" s="2">
        <f t="shared" si="1"/>
        <v>1.3673819266515692</v>
      </c>
    </row>
    <row r="13" spans="1:13" x14ac:dyDescent="0.3">
      <c r="A13">
        <v>10</v>
      </c>
      <c r="B13">
        <v>12.59</v>
      </c>
      <c r="D13">
        <v>10</v>
      </c>
      <c r="E13">
        <v>10.02</v>
      </c>
      <c r="G13">
        <v>10</v>
      </c>
      <c r="H13">
        <v>10.41</v>
      </c>
      <c r="J13">
        <v>10</v>
      </c>
      <c r="K13" s="3">
        <f t="shared" si="0"/>
        <v>11.006666666666666</v>
      </c>
      <c r="L13" s="2">
        <f t="shared" si="1"/>
        <v>1.385003008420334</v>
      </c>
    </row>
    <row r="14" spans="1:13" x14ac:dyDescent="0.3">
      <c r="A14">
        <v>11</v>
      </c>
      <c r="B14">
        <v>13.64</v>
      </c>
      <c r="D14">
        <v>11</v>
      </c>
      <c r="E14">
        <v>11.07</v>
      </c>
      <c r="G14">
        <v>11</v>
      </c>
      <c r="H14">
        <v>11.46</v>
      </c>
      <c r="J14">
        <v>11</v>
      </c>
      <c r="K14" s="3">
        <f t="shared" si="0"/>
        <v>12.056666666666667</v>
      </c>
      <c r="L14" s="2">
        <f t="shared" si="1"/>
        <v>1.3850030084203189</v>
      </c>
    </row>
    <row r="15" spans="1:13" x14ac:dyDescent="0.3">
      <c r="A15">
        <v>12</v>
      </c>
      <c r="B15">
        <v>14.62</v>
      </c>
      <c r="D15">
        <v>12</v>
      </c>
      <c r="E15">
        <v>12.07</v>
      </c>
      <c r="G15">
        <v>12</v>
      </c>
      <c r="H15">
        <v>12.47</v>
      </c>
      <c r="J15">
        <v>12</v>
      </c>
      <c r="K15" s="3">
        <f t="shared" si="0"/>
        <v>13.053333333333333</v>
      </c>
      <c r="L15" s="2">
        <f t="shared" si="1"/>
        <v>1.3714347718113797</v>
      </c>
    </row>
    <row r="16" spans="1:13" x14ac:dyDescent="0.3">
      <c r="A16">
        <v>13</v>
      </c>
      <c r="B16">
        <v>15.49</v>
      </c>
      <c r="D16">
        <v>13</v>
      </c>
      <c r="E16">
        <v>13.21</v>
      </c>
      <c r="G16">
        <v>13</v>
      </c>
      <c r="H16">
        <v>13.46</v>
      </c>
      <c r="J16">
        <v>13</v>
      </c>
      <c r="K16" s="3">
        <f t="shared" si="0"/>
        <v>14.053333333333335</v>
      </c>
      <c r="L16" s="2">
        <f t="shared" si="1"/>
        <v>1.2504532511586879</v>
      </c>
    </row>
    <row r="17" spans="1:12" x14ac:dyDescent="0.3">
      <c r="A17">
        <v>14</v>
      </c>
      <c r="B17">
        <v>16.350000000000001</v>
      </c>
      <c r="D17">
        <v>14</v>
      </c>
      <c r="E17">
        <v>13.91</v>
      </c>
      <c r="G17">
        <v>14</v>
      </c>
      <c r="H17">
        <v>14.4</v>
      </c>
      <c r="J17">
        <v>14</v>
      </c>
      <c r="K17" s="3">
        <f t="shared" si="0"/>
        <v>14.886666666666668</v>
      </c>
      <c r="L17" s="2">
        <f t="shared" si="1"/>
        <v>1.2907491364836681</v>
      </c>
    </row>
    <row r="18" spans="1:12" x14ac:dyDescent="0.3">
      <c r="A18">
        <v>15</v>
      </c>
      <c r="B18">
        <v>17.14</v>
      </c>
      <c r="D18">
        <v>15</v>
      </c>
      <c r="E18">
        <v>14.75</v>
      </c>
      <c r="G18">
        <v>15</v>
      </c>
      <c r="H18">
        <v>15.28</v>
      </c>
      <c r="J18">
        <v>15</v>
      </c>
      <c r="K18" s="3">
        <f t="shared" si="0"/>
        <v>15.723333333333334</v>
      </c>
      <c r="L18" s="2">
        <f t="shared" si="1"/>
        <v>1.2551626720602131</v>
      </c>
    </row>
    <row r="19" spans="1:12" x14ac:dyDescent="0.3">
      <c r="A19">
        <v>16</v>
      </c>
      <c r="B19">
        <v>17.89</v>
      </c>
      <c r="D19">
        <v>16</v>
      </c>
      <c r="E19">
        <v>15.7</v>
      </c>
      <c r="G19">
        <v>16</v>
      </c>
      <c r="H19">
        <v>16.13</v>
      </c>
      <c r="J19">
        <v>16</v>
      </c>
      <c r="K19" s="3">
        <f t="shared" si="0"/>
        <v>16.573333333333334</v>
      </c>
      <c r="L19" s="2">
        <f t="shared" si="1"/>
        <v>1.1603591398068682</v>
      </c>
    </row>
    <row r="20" spans="1:12" x14ac:dyDescent="0.3">
      <c r="A20">
        <v>17</v>
      </c>
      <c r="B20">
        <v>18.53</v>
      </c>
      <c r="D20">
        <v>17</v>
      </c>
      <c r="E20">
        <v>16.48</v>
      </c>
      <c r="G20">
        <v>17</v>
      </c>
      <c r="H20">
        <v>16.89</v>
      </c>
      <c r="J20">
        <v>17</v>
      </c>
      <c r="K20" s="3">
        <f t="shared" si="0"/>
        <v>17.3</v>
      </c>
      <c r="L20" s="2">
        <f t="shared" si="1"/>
        <v>1.0847580375364825</v>
      </c>
    </row>
    <row r="21" spans="1:12" x14ac:dyDescent="0.3">
      <c r="A21">
        <v>18</v>
      </c>
      <c r="B21">
        <v>19.36</v>
      </c>
      <c r="D21">
        <v>18</v>
      </c>
      <c r="E21">
        <v>17.07</v>
      </c>
      <c r="G21">
        <v>18</v>
      </c>
      <c r="H21">
        <v>17.64</v>
      </c>
      <c r="J21">
        <v>18</v>
      </c>
      <c r="K21" s="3">
        <f t="shared" si="0"/>
        <v>18.023333333333333</v>
      </c>
      <c r="L21" s="2">
        <f t="shared" si="1"/>
        <v>1.1921549116341097</v>
      </c>
    </row>
    <row r="22" spans="1:12" x14ac:dyDescent="0.3">
      <c r="A22">
        <v>19</v>
      </c>
      <c r="B22">
        <v>19.95</v>
      </c>
      <c r="D22">
        <v>19</v>
      </c>
      <c r="E22">
        <v>17.77</v>
      </c>
      <c r="G22">
        <v>19</v>
      </c>
      <c r="H22">
        <v>18.27</v>
      </c>
      <c r="J22">
        <v>19</v>
      </c>
      <c r="K22" s="3">
        <f t="shared" si="0"/>
        <v>18.66333333333333</v>
      </c>
      <c r="L22" s="2">
        <f t="shared" si="1"/>
        <v>1.1419865731843493</v>
      </c>
    </row>
    <row r="23" spans="1:12" x14ac:dyDescent="0.3">
      <c r="A23">
        <v>20</v>
      </c>
      <c r="B23">
        <v>20.5</v>
      </c>
      <c r="D23">
        <v>20</v>
      </c>
      <c r="E23">
        <v>18.48</v>
      </c>
      <c r="G23">
        <v>20</v>
      </c>
      <c r="H23">
        <v>18.88</v>
      </c>
      <c r="J23">
        <v>20</v>
      </c>
      <c r="K23" s="3">
        <f t="shared" si="0"/>
        <v>19.286666666666665</v>
      </c>
      <c r="L23" s="2">
        <f t="shared" si="1"/>
        <v>1.0696416845529784</v>
      </c>
    </row>
    <row r="24" spans="1:12" x14ac:dyDescent="0.3">
      <c r="A24">
        <v>21</v>
      </c>
      <c r="B24">
        <v>21.17</v>
      </c>
      <c r="D24">
        <v>21</v>
      </c>
      <c r="E24">
        <v>19.07</v>
      </c>
      <c r="G24">
        <v>21</v>
      </c>
      <c r="H24">
        <v>19.59</v>
      </c>
      <c r="J24">
        <v>21</v>
      </c>
      <c r="K24" s="3">
        <f t="shared" si="0"/>
        <v>19.943333333333332</v>
      </c>
      <c r="L24" s="2">
        <f t="shared" si="1"/>
        <v>1.0936788072068213</v>
      </c>
    </row>
    <row r="25" spans="1:12" x14ac:dyDescent="0.3">
      <c r="A25">
        <v>22</v>
      </c>
      <c r="B25">
        <v>21.68</v>
      </c>
      <c r="D25">
        <v>22</v>
      </c>
      <c r="E25">
        <v>19.79</v>
      </c>
      <c r="G25">
        <v>22</v>
      </c>
      <c r="H25">
        <v>20.09</v>
      </c>
      <c r="J25">
        <v>22</v>
      </c>
      <c r="K25" s="3">
        <f t="shared" si="0"/>
        <v>20.52</v>
      </c>
      <c r="L25" s="2">
        <f t="shared" si="1"/>
        <v>1.0157263410978374</v>
      </c>
    </row>
    <row r="26" spans="1:12" x14ac:dyDescent="0.3">
      <c r="A26">
        <v>23</v>
      </c>
      <c r="B26">
        <v>22.11</v>
      </c>
      <c r="D26">
        <v>23</v>
      </c>
      <c r="E26">
        <v>20.32</v>
      </c>
      <c r="G26">
        <v>23</v>
      </c>
      <c r="H26">
        <v>20.57</v>
      </c>
      <c r="J26">
        <v>23</v>
      </c>
      <c r="K26" s="3">
        <f t="shared" si="0"/>
        <v>21</v>
      </c>
      <c r="L26" s="2">
        <f t="shared" si="1"/>
        <v>0.96938124595021902</v>
      </c>
    </row>
    <row r="27" spans="1:12" x14ac:dyDescent="0.3">
      <c r="A27">
        <v>24</v>
      </c>
      <c r="B27">
        <v>22.67</v>
      </c>
      <c r="D27">
        <v>24</v>
      </c>
      <c r="E27">
        <v>20.83</v>
      </c>
      <c r="G27">
        <v>24</v>
      </c>
      <c r="H27">
        <v>21.15</v>
      </c>
      <c r="J27">
        <v>24</v>
      </c>
      <c r="K27" s="3">
        <f t="shared" si="0"/>
        <v>21.55</v>
      </c>
      <c r="L27" s="2">
        <f t="shared" si="1"/>
        <v>0.98305645819556253</v>
      </c>
    </row>
    <row r="28" spans="1:12" x14ac:dyDescent="0.3">
      <c r="A28">
        <v>25</v>
      </c>
      <c r="B28">
        <v>23.05</v>
      </c>
      <c r="D28">
        <v>25</v>
      </c>
      <c r="E28">
        <v>21.35</v>
      </c>
      <c r="G28">
        <v>25</v>
      </c>
      <c r="H28">
        <v>21.57</v>
      </c>
      <c r="J28">
        <v>25</v>
      </c>
      <c r="K28" s="3">
        <f t="shared" si="0"/>
        <v>21.99</v>
      </c>
      <c r="L28" s="2">
        <f t="shared" si="1"/>
        <v>0.92455394650609746</v>
      </c>
    </row>
    <row r="29" spans="1:12" x14ac:dyDescent="0.3">
      <c r="A29">
        <v>26</v>
      </c>
      <c r="B29">
        <v>23.57</v>
      </c>
      <c r="D29">
        <v>26</v>
      </c>
      <c r="E29">
        <v>21.92</v>
      </c>
      <c r="G29">
        <v>26</v>
      </c>
      <c r="H29">
        <v>22.1</v>
      </c>
      <c r="J29">
        <v>26</v>
      </c>
      <c r="K29" s="3">
        <f t="shared" si="0"/>
        <v>22.53</v>
      </c>
      <c r="L29" s="2">
        <f t="shared" si="1"/>
        <v>0.90515192095028918</v>
      </c>
    </row>
    <row r="30" spans="1:12" x14ac:dyDescent="0.3">
      <c r="A30">
        <v>27</v>
      </c>
      <c r="B30">
        <v>24.07</v>
      </c>
      <c r="D30">
        <v>27</v>
      </c>
      <c r="E30">
        <v>22.3</v>
      </c>
      <c r="G30">
        <v>27</v>
      </c>
      <c r="H30">
        <v>22.48</v>
      </c>
      <c r="J30">
        <v>27</v>
      </c>
      <c r="K30" s="3">
        <f t="shared" si="0"/>
        <v>22.950000000000003</v>
      </c>
      <c r="L30" s="2">
        <f t="shared" si="1"/>
        <v>0.97411498294605836</v>
      </c>
    </row>
    <row r="31" spans="1:12" x14ac:dyDescent="0.3">
      <c r="A31">
        <v>28</v>
      </c>
      <c r="B31">
        <v>24.31</v>
      </c>
      <c r="D31">
        <v>28</v>
      </c>
      <c r="E31">
        <v>22.81</v>
      </c>
      <c r="G31">
        <v>28</v>
      </c>
      <c r="H31">
        <v>22.98</v>
      </c>
      <c r="J31">
        <v>28</v>
      </c>
      <c r="K31" s="3">
        <f t="shared" si="0"/>
        <v>23.366666666666664</v>
      </c>
      <c r="L31" s="2">
        <f t="shared" si="1"/>
        <v>0.82136065971857497</v>
      </c>
    </row>
    <row r="32" spans="1:12" x14ac:dyDescent="0.3">
      <c r="A32">
        <v>29</v>
      </c>
      <c r="B32">
        <v>24.84</v>
      </c>
      <c r="D32">
        <v>29</v>
      </c>
      <c r="E32">
        <v>23.16</v>
      </c>
      <c r="G32">
        <v>29</v>
      </c>
      <c r="H32">
        <v>23.33</v>
      </c>
      <c r="J32">
        <v>29</v>
      </c>
      <c r="K32" s="3">
        <f t="shared" si="0"/>
        <v>23.776666666666667</v>
      </c>
      <c r="L32" s="2">
        <f t="shared" si="1"/>
        <v>0.92478826405471526</v>
      </c>
    </row>
    <row r="33" spans="1:12" x14ac:dyDescent="0.3">
      <c r="A33">
        <v>30</v>
      </c>
      <c r="B33">
        <v>25.22</v>
      </c>
      <c r="D33">
        <v>30</v>
      </c>
      <c r="E33">
        <v>23.53</v>
      </c>
      <c r="G33">
        <v>30</v>
      </c>
      <c r="H33">
        <v>23.72</v>
      </c>
      <c r="J33">
        <v>30</v>
      </c>
      <c r="K33" s="3">
        <f t="shared" si="0"/>
        <v>24.156666666666666</v>
      </c>
      <c r="L33" s="2">
        <f t="shared" si="1"/>
        <v>0.92576094826544275</v>
      </c>
    </row>
    <row r="34" spans="1:12" x14ac:dyDescent="0.3">
      <c r="A34">
        <v>31</v>
      </c>
      <c r="B34">
        <v>25.61</v>
      </c>
      <c r="D34">
        <v>31</v>
      </c>
      <c r="E34">
        <v>24.09</v>
      </c>
      <c r="G34">
        <v>31</v>
      </c>
      <c r="H34">
        <v>24.12</v>
      </c>
      <c r="J34">
        <v>31</v>
      </c>
      <c r="K34" s="3">
        <f t="shared" si="0"/>
        <v>24.606666666666669</v>
      </c>
      <c r="L34" s="2">
        <f t="shared" si="1"/>
        <v>0.86904161772226562</v>
      </c>
    </row>
    <row r="35" spans="1:12" x14ac:dyDescent="0.3">
      <c r="A35">
        <v>32</v>
      </c>
      <c r="B35">
        <v>25.84</v>
      </c>
      <c r="D35">
        <v>32</v>
      </c>
      <c r="E35">
        <v>24.45</v>
      </c>
      <c r="G35">
        <v>32</v>
      </c>
      <c r="H35">
        <v>24.55</v>
      </c>
      <c r="J35">
        <v>32</v>
      </c>
      <c r="K35" s="3">
        <f t="shared" ref="K35:K66" si="2">AVERAGE(B35,E35,H35)</f>
        <v>24.946666666666669</v>
      </c>
      <c r="L35" s="2">
        <f t="shared" ref="L35:L66" si="3">_xlfn.STDEV.S(B35,E35,H35)</f>
        <v>0.77526339610053385</v>
      </c>
    </row>
    <row r="36" spans="1:12" x14ac:dyDescent="0.3">
      <c r="A36">
        <v>33</v>
      </c>
      <c r="B36">
        <v>26.2</v>
      </c>
      <c r="D36">
        <v>33</v>
      </c>
      <c r="E36">
        <v>24.8</v>
      </c>
      <c r="G36">
        <v>33</v>
      </c>
      <c r="H36">
        <v>24.87</v>
      </c>
      <c r="J36">
        <v>33</v>
      </c>
      <c r="K36" s="3">
        <f t="shared" si="2"/>
        <v>25.290000000000003</v>
      </c>
      <c r="L36" s="2">
        <f t="shared" si="3"/>
        <v>0.78885993687092426</v>
      </c>
    </row>
    <row r="37" spans="1:12" x14ac:dyDescent="0.3">
      <c r="A37">
        <v>34</v>
      </c>
      <c r="B37">
        <v>26.57</v>
      </c>
      <c r="D37">
        <v>34</v>
      </c>
      <c r="E37">
        <v>25.02</v>
      </c>
      <c r="G37">
        <v>34</v>
      </c>
      <c r="H37">
        <v>25.23</v>
      </c>
      <c r="J37">
        <v>34</v>
      </c>
      <c r="K37" s="3">
        <f t="shared" si="2"/>
        <v>25.606666666666669</v>
      </c>
      <c r="L37" s="2">
        <f t="shared" si="3"/>
        <v>0.84085274176477165</v>
      </c>
    </row>
    <row r="38" spans="1:12" x14ac:dyDescent="0.3">
      <c r="A38">
        <v>35</v>
      </c>
      <c r="B38">
        <v>26.81</v>
      </c>
      <c r="D38">
        <v>35</v>
      </c>
      <c r="E38">
        <v>25.4</v>
      </c>
      <c r="G38">
        <v>35</v>
      </c>
      <c r="H38">
        <v>25.6</v>
      </c>
      <c r="J38">
        <v>35</v>
      </c>
      <c r="K38" s="3">
        <f t="shared" si="2"/>
        <v>25.936666666666667</v>
      </c>
      <c r="L38" s="2">
        <f t="shared" si="3"/>
        <v>0.7629110913686683</v>
      </c>
    </row>
    <row r="39" spans="1:12" x14ac:dyDescent="0.3">
      <c r="A39">
        <v>36</v>
      </c>
      <c r="B39">
        <v>27.05</v>
      </c>
      <c r="D39">
        <v>36</v>
      </c>
      <c r="E39">
        <v>25.79</v>
      </c>
      <c r="G39">
        <v>36</v>
      </c>
      <c r="H39">
        <v>25.98</v>
      </c>
      <c r="J39">
        <v>36</v>
      </c>
      <c r="K39" s="3">
        <f t="shared" si="2"/>
        <v>26.273333333333337</v>
      </c>
      <c r="L39" s="2">
        <f t="shared" si="3"/>
        <v>0.67928884381633581</v>
      </c>
    </row>
    <row r="40" spans="1:12" x14ac:dyDescent="0.3">
      <c r="A40">
        <v>37</v>
      </c>
      <c r="B40">
        <v>27.34</v>
      </c>
      <c r="D40">
        <v>37</v>
      </c>
      <c r="E40">
        <v>26.01</v>
      </c>
      <c r="G40">
        <v>37</v>
      </c>
      <c r="H40">
        <v>26.22</v>
      </c>
      <c r="J40">
        <v>37</v>
      </c>
      <c r="K40" s="3">
        <f t="shared" si="2"/>
        <v>26.52333333333333</v>
      </c>
      <c r="L40" s="2">
        <f t="shared" si="3"/>
        <v>0.71500582748207919</v>
      </c>
    </row>
    <row r="41" spans="1:12" x14ac:dyDescent="0.3">
      <c r="A41">
        <v>38</v>
      </c>
      <c r="B41">
        <v>27.71</v>
      </c>
      <c r="D41">
        <v>38</v>
      </c>
      <c r="E41">
        <v>26.25</v>
      </c>
      <c r="G41">
        <v>38</v>
      </c>
      <c r="H41">
        <v>26.57</v>
      </c>
      <c r="J41">
        <v>38</v>
      </c>
      <c r="K41" s="3">
        <f t="shared" si="2"/>
        <v>26.843333333333334</v>
      </c>
      <c r="L41" s="2">
        <f t="shared" si="3"/>
        <v>0.76741991981791424</v>
      </c>
    </row>
    <row r="42" spans="1:12" x14ac:dyDescent="0.3">
      <c r="A42">
        <v>39</v>
      </c>
      <c r="B42">
        <v>27.82</v>
      </c>
      <c r="D42">
        <v>39</v>
      </c>
      <c r="E42">
        <v>26.46</v>
      </c>
      <c r="G42">
        <v>39</v>
      </c>
      <c r="H42">
        <v>26.82</v>
      </c>
      <c r="J42">
        <v>39</v>
      </c>
      <c r="K42" s="3">
        <f t="shared" si="2"/>
        <v>27.033333333333331</v>
      </c>
      <c r="L42" s="2">
        <f t="shared" si="3"/>
        <v>0.70465121395860308</v>
      </c>
    </row>
    <row r="43" spans="1:12" x14ac:dyDescent="0.3">
      <c r="A43">
        <v>40</v>
      </c>
      <c r="B43">
        <v>28.08</v>
      </c>
      <c r="D43">
        <v>40</v>
      </c>
      <c r="E43">
        <v>26.63</v>
      </c>
      <c r="G43">
        <v>40</v>
      </c>
      <c r="H43">
        <v>27.07</v>
      </c>
      <c r="J43">
        <v>40</v>
      </c>
      <c r="K43" s="3">
        <f t="shared" si="2"/>
        <v>27.26</v>
      </c>
      <c r="L43" s="2">
        <f t="shared" si="3"/>
        <v>0.74343795975185389</v>
      </c>
    </row>
    <row r="44" spans="1:12" x14ac:dyDescent="0.3">
      <c r="A44">
        <v>41</v>
      </c>
      <c r="B44">
        <v>28.39</v>
      </c>
      <c r="D44">
        <v>41</v>
      </c>
      <c r="E44">
        <v>26.88</v>
      </c>
      <c r="G44">
        <v>41</v>
      </c>
      <c r="H44">
        <v>27.44</v>
      </c>
      <c r="J44">
        <v>41</v>
      </c>
      <c r="K44" s="3">
        <f t="shared" si="2"/>
        <v>27.569999999999997</v>
      </c>
      <c r="L44" s="2">
        <f t="shared" si="3"/>
        <v>0.76334788923530861</v>
      </c>
    </row>
    <row r="45" spans="1:12" x14ac:dyDescent="0.3">
      <c r="A45">
        <v>42</v>
      </c>
      <c r="B45">
        <v>28.59</v>
      </c>
      <c r="D45">
        <v>42</v>
      </c>
      <c r="E45">
        <v>27.14</v>
      </c>
      <c r="G45">
        <v>42</v>
      </c>
      <c r="H45">
        <v>27.57</v>
      </c>
      <c r="J45">
        <v>42</v>
      </c>
      <c r="K45" s="3">
        <f t="shared" si="2"/>
        <v>27.766666666666669</v>
      </c>
      <c r="L45" s="2">
        <f t="shared" si="3"/>
        <v>0.74473709007496913</v>
      </c>
    </row>
    <row r="46" spans="1:12" x14ac:dyDescent="0.3">
      <c r="A46">
        <v>43</v>
      </c>
      <c r="B46">
        <v>28.81</v>
      </c>
      <c r="D46">
        <v>43</v>
      </c>
      <c r="E46">
        <v>27.36</v>
      </c>
      <c r="G46">
        <v>43</v>
      </c>
      <c r="H46">
        <v>27.82</v>
      </c>
      <c r="J46">
        <v>43</v>
      </c>
      <c r="K46" s="3">
        <f t="shared" si="2"/>
        <v>27.99666666666667</v>
      </c>
      <c r="L46" s="2">
        <f t="shared" si="3"/>
        <v>0.74096783555923162</v>
      </c>
    </row>
    <row r="47" spans="1:12" x14ac:dyDescent="0.3">
      <c r="A47">
        <v>44</v>
      </c>
      <c r="B47">
        <v>29.04</v>
      </c>
      <c r="D47">
        <v>44</v>
      </c>
      <c r="E47">
        <v>27.67</v>
      </c>
      <c r="G47">
        <v>44</v>
      </c>
      <c r="H47">
        <v>28.07</v>
      </c>
      <c r="J47">
        <v>44</v>
      </c>
      <c r="K47" s="3">
        <f t="shared" si="2"/>
        <v>28.26</v>
      </c>
      <c r="L47" s="2">
        <f t="shared" si="3"/>
        <v>0.7044856279584405</v>
      </c>
    </row>
    <row r="48" spans="1:12" x14ac:dyDescent="0.3">
      <c r="A48">
        <v>45</v>
      </c>
      <c r="B48">
        <v>29.29</v>
      </c>
      <c r="D48">
        <v>45</v>
      </c>
      <c r="E48">
        <v>27.84</v>
      </c>
      <c r="G48">
        <v>45</v>
      </c>
      <c r="H48">
        <v>28.27</v>
      </c>
      <c r="J48">
        <v>45</v>
      </c>
      <c r="K48" s="3">
        <f t="shared" si="2"/>
        <v>28.466666666666665</v>
      </c>
      <c r="L48" s="2">
        <f t="shared" si="3"/>
        <v>0.74473709007496924</v>
      </c>
    </row>
    <row r="49" spans="1:12" x14ac:dyDescent="0.3">
      <c r="A49">
        <v>46</v>
      </c>
      <c r="B49">
        <v>29.44</v>
      </c>
      <c r="D49">
        <v>46</v>
      </c>
      <c r="E49">
        <v>28.09</v>
      </c>
      <c r="G49">
        <v>46</v>
      </c>
      <c r="H49">
        <v>28.45</v>
      </c>
      <c r="J49">
        <v>46</v>
      </c>
      <c r="K49" s="3">
        <f t="shared" si="2"/>
        <v>28.66</v>
      </c>
      <c r="L49" s="2">
        <f t="shared" si="3"/>
        <v>0.69907081186386355</v>
      </c>
    </row>
    <row r="50" spans="1:12" x14ac:dyDescent="0.3">
      <c r="A50">
        <v>47</v>
      </c>
      <c r="B50">
        <v>29.65</v>
      </c>
      <c r="D50">
        <v>47</v>
      </c>
      <c r="E50">
        <v>28.29</v>
      </c>
      <c r="G50">
        <v>47</v>
      </c>
      <c r="H50">
        <v>28.71</v>
      </c>
      <c r="J50">
        <v>47</v>
      </c>
      <c r="K50" s="3">
        <f t="shared" si="2"/>
        <v>28.883333333333336</v>
      </c>
      <c r="L50" s="2">
        <f t="shared" si="3"/>
        <v>0.6963715483370444</v>
      </c>
    </row>
    <row r="51" spans="1:12" x14ac:dyDescent="0.3">
      <c r="A51">
        <v>48</v>
      </c>
      <c r="B51">
        <v>29.88</v>
      </c>
      <c r="D51">
        <v>48</v>
      </c>
      <c r="E51">
        <v>28.52</v>
      </c>
      <c r="G51">
        <v>48</v>
      </c>
      <c r="H51">
        <v>28.91</v>
      </c>
      <c r="J51">
        <v>48</v>
      </c>
      <c r="K51" s="3">
        <f t="shared" si="2"/>
        <v>29.103333333333335</v>
      </c>
      <c r="L51" s="2">
        <f t="shared" si="3"/>
        <v>0.70030945540763112</v>
      </c>
    </row>
    <row r="52" spans="1:12" x14ac:dyDescent="0.3">
      <c r="A52">
        <v>49</v>
      </c>
      <c r="B52">
        <v>30</v>
      </c>
      <c r="D52">
        <v>49</v>
      </c>
      <c r="E52">
        <v>28.73</v>
      </c>
      <c r="G52">
        <v>49</v>
      </c>
      <c r="H52">
        <v>29.09</v>
      </c>
      <c r="J52">
        <v>49</v>
      </c>
      <c r="K52" s="3">
        <f t="shared" si="2"/>
        <v>29.273333333333337</v>
      </c>
      <c r="L52" s="2">
        <f t="shared" si="3"/>
        <v>0.65454819022997313</v>
      </c>
    </row>
    <row r="53" spans="1:12" x14ac:dyDescent="0.3">
      <c r="A53">
        <v>50</v>
      </c>
      <c r="B53">
        <v>30.18</v>
      </c>
      <c r="D53">
        <v>50</v>
      </c>
      <c r="E53">
        <v>28.88</v>
      </c>
      <c r="G53">
        <v>50</v>
      </c>
      <c r="H53">
        <v>29.28</v>
      </c>
      <c r="J53">
        <v>50</v>
      </c>
      <c r="K53" s="3">
        <f t="shared" si="2"/>
        <v>29.446666666666669</v>
      </c>
      <c r="L53" s="2">
        <f t="shared" si="3"/>
        <v>0.66583281184793941</v>
      </c>
    </row>
    <row r="54" spans="1:12" x14ac:dyDescent="0.3">
      <c r="A54">
        <v>51</v>
      </c>
      <c r="B54">
        <v>30.36</v>
      </c>
      <c r="D54">
        <v>51</v>
      </c>
      <c r="E54">
        <v>29.08</v>
      </c>
      <c r="G54">
        <v>51</v>
      </c>
      <c r="H54">
        <v>29.49</v>
      </c>
      <c r="J54">
        <v>51</v>
      </c>
      <c r="K54" s="3">
        <f t="shared" si="2"/>
        <v>29.643333333333331</v>
      </c>
      <c r="L54" s="2">
        <f t="shared" si="3"/>
        <v>0.65363088462322072</v>
      </c>
    </row>
    <row r="55" spans="1:12" x14ac:dyDescent="0.3">
      <c r="A55">
        <v>52</v>
      </c>
      <c r="B55">
        <v>30.51</v>
      </c>
      <c r="D55">
        <v>52</v>
      </c>
      <c r="E55">
        <v>29.3</v>
      </c>
      <c r="G55">
        <v>52</v>
      </c>
      <c r="H55">
        <v>29.62</v>
      </c>
      <c r="J55">
        <v>52</v>
      </c>
      <c r="K55" s="3">
        <f t="shared" si="2"/>
        <v>29.810000000000002</v>
      </c>
      <c r="L55" s="2">
        <f t="shared" si="3"/>
        <v>0.62697687357668985</v>
      </c>
    </row>
    <row r="56" spans="1:12" x14ac:dyDescent="0.3">
      <c r="A56">
        <v>53</v>
      </c>
      <c r="B56">
        <v>30.66</v>
      </c>
      <c r="D56">
        <v>53</v>
      </c>
      <c r="E56">
        <v>29.44</v>
      </c>
      <c r="G56">
        <v>53</v>
      </c>
      <c r="H56">
        <v>29.81</v>
      </c>
      <c r="J56">
        <v>53</v>
      </c>
      <c r="K56" s="3">
        <f t="shared" si="2"/>
        <v>29.97</v>
      </c>
      <c r="L56" s="2">
        <f t="shared" si="3"/>
        <v>0.62553976692133617</v>
      </c>
    </row>
    <row r="57" spans="1:12" x14ac:dyDescent="0.3">
      <c r="A57">
        <v>54</v>
      </c>
      <c r="B57">
        <v>30.89</v>
      </c>
      <c r="D57">
        <v>54</v>
      </c>
      <c r="E57">
        <v>29.62</v>
      </c>
      <c r="G57">
        <v>54</v>
      </c>
      <c r="H57">
        <v>29.96</v>
      </c>
      <c r="J57">
        <v>54</v>
      </c>
      <c r="K57" s="3">
        <f t="shared" si="2"/>
        <v>30.156666666666666</v>
      </c>
      <c r="L57" s="2">
        <f t="shared" si="3"/>
        <v>0.65744454772500249</v>
      </c>
    </row>
    <row r="58" spans="1:12" x14ac:dyDescent="0.3">
      <c r="A58">
        <v>55</v>
      </c>
      <c r="B58">
        <v>30.98</v>
      </c>
      <c r="D58">
        <v>55</v>
      </c>
      <c r="E58">
        <v>29.82</v>
      </c>
      <c r="G58">
        <v>55</v>
      </c>
      <c r="H58">
        <v>30.14</v>
      </c>
      <c r="J58">
        <v>55</v>
      </c>
      <c r="K58" s="3">
        <f t="shared" si="2"/>
        <v>30.313333333333333</v>
      </c>
      <c r="L58" s="2">
        <f t="shared" si="3"/>
        <v>0.59911045169762589</v>
      </c>
    </row>
    <row r="59" spans="1:12" x14ac:dyDescent="0.3">
      <c r="A59">
        <v>56</v>
      </c>
      <c r="B59">
        <v>31.19</v>
      </c>
      <c r="D59">
        <v>56</v>
      </c>
      <c r="E59">
        <v>29.95</v>
      </c>
      <c r="G59">
        <v>56</v>
      </c>
      <c r="H59">
        <v>30.29</v>
      </c>
      <c r="J59">
        <v>56</v>
      </c>
      <c r="K59" s="3">
        <f t="shared" si="2"/>
        <v>30.47666666666667</v>
      </c>
      <c r="L59" s="2">
        <f t="shared" si="3"/>
        <v>0.640728751761098</v>
      </c>
    </row>
    <row r="60" spans="1:12" x14ac:dyDescent="0.3">
      <c r="A60">
        <v>57</v>
      </c>
      <c r="B60">
        <v>31.3</v>
      </c>
      <c r="D60">
        <v>57</v>
      </c>
      <c r="E60">
        <v>30.11</v>
      </c>
      <c r="G60">
        <v>57</v>
      </c>
      <c r="H60">
        <v>30.45</v>
      </c>
      <c r="J60">
        <v>57</v>
      </c>
      <c r="K60" s="3">
        <f t="shared" si="2"/>
        <v>30.62</v>
      </c>
      <c r="L60" s="2">
        <f t="shared" si="3"/>
        <v>0.61294371682887894</v>
      </c>
    </row>
    <row r="61" spans="1:12" x14ac:dyDescent="0.3">
      <c r="A61">
        <v>58</v>
      </c>
      <c r="B61">
        <v>31.45</v>
      </c>
      <c r="D61">
        <v>58</v>
      </c>
      <c r="E61">
        <v>30.28</v>
      </c>
      <c r="G61">
        <v>58</v>
      </c>
      <c r="H61">
        <v>30.58</v>
      </c>
      <c r="J61">
        <v>58</v>
      </c>
      <c r="K61" s="3">
        <f t="shared" si="2"/>
        <v>30.77</v>
      </c>
      <c r="L61" s="2">
        <f t="shared" si="3"/>
        <v>0.60770058416953932</v>
      </c>
    </row>
    <row r="62" spans="1:12" x14ac:dyDescent="0.3">
      <c r="A62">
        <v>59</v>
      </c>
      <c r="B62">
        <v>31.58</v>
      </c>
      <c r="D62">
        <v>59</v>
      </c>
      <c r="E62">
        <v>30.4</v>
      </c>
      <c r="G62">
        <v>59</v>
      </c>
      <c r="H62">
        <v>30.72</v>
      </c>
      <c r="J62">
        <v>59</v>
      </c>
      <c r="K62" s="3">
        <f t="shared" si="2"/>
        <v>30.899999999999995</v>
      </c>
      <c r="L62" s="2">
        <f t="shared" si="3"/>
        <v>0.61024585209569404</v>
      </c>
    </row>
    <row r="63" spans="1:12" x14ac:dyDescent="0.3">
      <c r="A63">
        <v>60</v>
      </c>
      <c r="B63">
        <v>31.7</v>
      </c>
      <c r="D63">
        <v>60</v>
      </c>
      <c r="E63">
        <v>30.56</v>
      </c>
      <c r="G63">
        <v>60</v>
      </c>
      <c r="H63">
        <v>30.87</v>
      </c>
      <c r="J63">
        <v>60</v>
      </c>
      <c r="K63" s="3">
        <f t="shared" si="2"/>
        <v>31.043333333333333</v>
      </c>
      <c r="L63" s="2">
        <f t="shared" si="3"/>
        <v>0.58943475748663932</v>
      </c>
    </row>
    <row r="64" spans="1:12" x14ac:dyDescent="0.3">
      <c r="A64">
        <v>61</v>
      </c>
      <c r="B64">
        <v>31.84</v>
      </c>
      <c r="D64">
        <v>61</v>
      </c>
      <c r="E64">
        <v>30.72</v>
      </c>
      <c r="G64">
        <v>61</v>
      </c>
      <c r="H64">
        <v>31.01</v>
      </c>
      <c r="J64">
        <v>61</v>
      </c>
      <c r="K64" s="3">
        <f t="shared" si="2"/>
        <v>31.19</v>
      </c>
      <c r="L64" s="2">
        <f t="shared" si="3"/>
        <v>0.58129166517334496</v>
      </c>
    </row>
    <row r="65" spans="1:12" x14ac:dyDescent="0.3">
      <c r="A65">
        <v>62</v>
      </c>
      <c r="B65">
        <v>31.98</v>
      </c>
      <c r="D65">
        <v>62</v>
      </c>
      <c r="E65">
        <v>30.85</v>
      </c>
      <c r="G65">
        <v>62</v>
      </c>
      <c r="H65">
        <v>31.19</v>
      </c>
      <c r="J65">
        <v>62</v>
      </c>
      <c r="K65" s="3">
        <f t="shared" si="2"/>
        <v>31.34</v>
      </c>
      <c r="L65" s="2">
        <f t="shared" si="3"/>
        <v>0.57974132162542924</v>
      </c>
    </row>
    <row r="66" spans="1:12" x14ac:dyDescent="0.3">
      <c r="A66">
        <v>63</v>
      </c>
      <c r="B66">
        <v>32.090000000000003</v>
      </c>
      <c r="D66">
        <v>63</v>
      </c>
      <c r="E66">
        <v>30.99</v>
      </c>
      <c r="G66">
        <v>63</v>
      </c>
      <c r="H66">
        <v>31.27</v>
      </c>
      <c r="J66">
        <v>63</v>
      </c>
      <c r="K66" s="3">
        <f t="shared" si="2"/>
        <v>31.45</v>
      </c>
      <c r="L66" s="2">
        <f t="shared" si="3"/>
        <v>0.57166423711826064</v>
      </c>
    </row>
    <row r="67" spans="1:12" x14ac:dyDescent="0.3">
      <c r="A67">
        <v>64</v>
      </c>
      <c r="B67">
        <v>32.25</v>
      </c>
      <c r="D67">
        <v>64</v>
      </c>
      <c r="E67">
        <v>31.12</v>
      </c>
      <c r="G67">
        <v>64</v>
      </c>
      <c r="H67">
        <v>31.44</v>
      </c>
      <c r="J67">
        <v>64</v>
      </c>
      <c r="K67" s="3">
        <f t="shared" ref="K67:K98" si="4">AVERAGE(B67,E67,H67)</f>
        <v>31.603333333333335</v>
      </c>
      <c r="L67" s="2">
        <f t="shared" ref="L67:L98" si="5">_xlfn.STDEV.S(B67,E67,H67)</f>
        <v>0.58243740722358539</v>
      </c>
    </row>
    <row r="68" spans="1:12" x14ac:dyDescent="0.3">
      <c r="A68">
        <v>65</v>
      </c>
      <c r="B68">
        <v>32.33</v>
      </c>
      <c r="D68">
        <v>65</v>
      </c>
      <c r="E68">
        <v>31.27</v>
      </c>
      <c r="G68">
        <v>65</v>
      </c>
      <c r="H68">
        <v>31.54</v>
      </c>
      <c r="J68">
        <v>65</v>
      </c>
      <c r="K68" s="3">
        <f t="shared" si="4"/>
        <v>31.713333333333328</v>
      </c>
      <c r="L68" s="2">
        <f t="shared" si="5"/>
        <v>0.55084783137753446</v>
      </c>
    </row>
    <row r="69" spans="1:12" x14ac:dyDescent="0.3">
      <c r="A69">
        <v>66</v>
      </c>
      <c r="B69">
        <v>32.46</v>
      </c>
      <c r="D69">
        <v>66</v>
      </c>
      <c r="E69">
        <v>31.98</v>
      </c>
      <c r="G69">
        <v>66</v>
      </c>
      <c r="H69">
        <v>31.63</v>
      </c>
      <c r="J69">
        <v>66</v>
      </c>
      <c r="K69" s="3">
        <f t="shared" si="4"/>
        <v>32.023333333333333</v>
      </c>
      <c r="L69" s="2">
        <f t="shared" si="5"/>
        <v>0.41669333248005552</v>
      </c>
    </row>
    <row r="70" spans="1:12" x14ac:dyDescent="0.3">
      <c r="A70">
        <v>67</v>
      </c>
      <c r="B70">
        <v>32.590000000000003</v>
      </c>
      <c r="D70">
        <v>67</v>
      </c>
      <c r="E70">
        <v>31.48</v>
      </c>
      <c r="G70">
        <v>67</v>
      </c>
      <c r="H70">
        <v>31.77</v>
      </c>
      <c r="J70">
        <v>67</v>
      </c>
      <c r="K70" s="3">
        <f t="shared" si="4"/>
        <v>31.946666666666669</v>
      </c>
      <c r="L70" s="2">
        <f t="shared" si="5"/>
        <v>0.57570246945217751</v>
      </c>
    </row>
    <row r="71" spans="1:12" x14ac:dyDescent="0.3">
      <c r="A71">
        <v>68</v>
      </c>
      <c r="B71">
        <v>32.69</v>
      </c>
      <c r="D71">
        <v>68</v>
      </c>
      <c r="E71">
        <v>31.63</v>
      </c>
      <c r="G71">
        <v>68</v>
      </c>
      <c r="H71">
        <v>31.87</v>
      </c>
      <c r="J71">
        <v>68</v>
      </c>
      <c r="K71" s="3">
        <f t="shared" si="4"/>
        <v>32.063333333333333</v>
      </c>
      <c r="L71" s="2">
        <f t="shared" si="5"/>
        <v>0.55581771592252449</v>
      </c>
    </row>
    <row r="72" spans="1:12" x14ac:dyDescent="0.3">
      <c r="A72">
        <v>69</v>
      </c>
      <c r="B72">
        <v>32.81</v>
      </c>
      <c r="D72">
        <v>69</v>
      </c>
      <c r="E72">
        <v>31.75</v>
      </c>
      <c r="G72">
        <v>69</v>
      </c>
      <c r="H72">
        <v>31.98</v>
      </c>
      <c r="J72">
        <v>69</v>
      </c>
      <c r="K72" s="3">
        <f t="shared" si="4"/>
        <v>32.18</v>
      </c>
      <c r="L72" s="2">
        <f t="shared" si="5"/>
        <v>0.55758407437802715</v>
      </c>
    </row>
    <row r="73" spans="1:12" x14ac:dyDescent="0.3">
      <c r="A73">
        <v>70</v>
      </c>
      <c r="B73">
        <v>32.909999999999997</v>
      </c>
      <c r="D73">
        <v>70</v>
      </c>
      <c r="E73">
        <v>31.86</v>
      </c>
      <c r="G73">
        <v>70</v>
      </c>
      <c r="H73">
        <v>32.06</v>
      </c>
      <c r="J73">
        <v>70</v>
      </c>
      <c r="K73" s="3">
        <f t="shared" si="4"/>
        <v>32.276666666666664</v>
      </c>
      <c r="L73" s="2">
        <f t="shared" si="5"/>
        <v>0.55752428945592225</v>
      </c>
    </row>
    <row r="74" spans="1:12" x14ac:dyDescent="0.3">
      <c r="A74">
        <v>71</v>
      </c>
      <c r="B74">
        <v>33.020000000000003</v>
      </c>
      <c r="D74">
        <v>71</v>
      </c>
      <c r="E74">
        <v>31.97</v>
      </c>
      <c r="G74">
        <v>71</v>
      </c>
      <c r="H74">
        <v>32.17</v>
      </c>
      <c r="J74">
        <v>71</v>
      </c>
      <c r="K74" s="3">
        <f t="shared" si="4"/>
        <v>32.38666666666667</v>
      </c>
      <c r="L74" s="2">
        <f t="shared" si="5"/>
        <v>0.55752428945592625</v>
      </c>
    </row>
    <row r="75" spans="1:12" x14ac:dyDescent="0.3">
      <c r="A75">
        <v>72</v>
      </c>
      <c r="B75">
        <v>33.119999999999997</v>
      </c>
      <c r="D75">
        <v>72</v>
      </c>
      <c r="E75">
        <v>32.08</v>
      </c>
      <c r="G75">
        <v>72</v>
      </c>
      <c r="H75">
        <v>32.24</v>
      </c>
      <c r="J75">
        <v>72</v>
      </c>
      <c r="K75" s="3">
        <f t="shared" si="4"/>
        <v>32.479999999999997</v>
      </c>
      <c r="L75" s="2">
        <f t="shared" si="5"/>
        <v>0.55999999999999872</v>
      </c>
    </row>
    <row r="76" spans="1:12" x14ac:dyDescent="0.3">
      <c r="A76">
        <v>73</v>
      </c>
      <c r="B76">
        <v>33.200000000000003</v>
      </c>
      <c r="D76">
        <v>73</v>
      </c>
      <c r="E76">
        <v>32.19</v>
      </c>
      <c r="G76">
        <v>73</v>
      </c>
      <c r="H76">
        <v>32.43</v>
      </c>
      <c r="J76">
        <v>73</v>
      </c>
      <c r="K76" s="3">
        <f t="shared" si="4"/>
        <v>32.606666666666662</v>
      </c>
      <c r="L76" s="2">
        <f t="shared" si="5"/>
        <v>0.52766782480395369</v>
      </c>
    </row>
    <row r="77" spans="1:12" x14ac:dyDescent="0.3">
      <c r="A77">
        <v>74</v>
      </c>
      <c r="B77">
        <v>33.36</v>
      </c>
      <c r="D77">
        <v>74</v>
      </c>
      <c r="E77">
        <v>32.32</v>
      </c>
      <c r="G77">
        <v>74</v>
      </c>
      <c r="H77">
        <v>32.51</v>
      </c>
      <c r="J77">
        <v>74</v>
      </c>
      <c r="K77" s="3">
        <f t="shared" si="4"/>
        <v>32.729999999999997</v>
      </c>
      <c r="L77" s="2">
        <f t="shared" si="5"/>
        <v>0.55380501984001551</v>
      </c>
    </row>
    <row r="78" spans="1:12" x14ac:dyDescent="0.3">
      <c r="A78">
        <v>75</v>
      </c>
      <c r="B78">
        <v>33.44</v>
      </c>
      <c r="D78">
        <v>75</v>
      </c>
      <c r="E78">
        <v>32.43</v>
      </c>
      <c r="G78">
        <v>75</v>
      </c>
      <c r="H78">
        <v>32.61</v>
      </c>
      <c r="J78">
        <v>75</v>
      </c>
      <c r="K78" s="3">
        <f t="shared" si="4"/>
        <v>32.826666666666668</v>
      </c>
      <c r="L78" s="2">
        <f t="shared" si="5"/>
        <v>0.5387330817142495</v>
      </c>
    </row>
    <row r="79" spans="1:12" x14ac:dyDescent="0.3">
      <c r="A79">
        <v>76</v>
      </c>
      <c r="B79">
        <v>33.590000000000003</v>
      </c>
      <c r="D79">
        <v>76</v>
      </c>
      <c r="E79">
        <v>32.54</v>
      </c>
      <c r="G79">
        <v>76</v>
      </c>
      <c r="H79">
        <v>32.69</v>
      </c>
      <c r="J79">
        <v>76</v>
      </c>
      <c r="K79" s="3">
        <f t="shared" si="4"/>
        <v>32.94</v>
      </c>
      <c r="L79" s="2">
        <f t="shared" si="5"/>
        <v>0.56789083458003009</v>
      </c>
    </row>
    <row r="80" spans="1:12" x14ac:dyDescent="0.3">
      <c r="A80">
        <v>77</v>
      </c>
      <c r="B80">
        <v>33.729999999999997</v>
      </c>
      <c r="D80">
        <v>77</v>
      </c>
      <c r="E80">
        <v>32.619999999999997</v>
      </c>
      <c r="G80">
        <v>77</v>
      </c>
      <c r="H80">
        <v>32.79</v>
      </c>
      <c r="J80">
        <v>77</v>
      </c>
      <c r="K80" s="3">
        <f t="shared" si="4"/>
        <v>33.04666666666666</v>
      </c>
      <c r="L80" s="2">
        <f t="shared" si="5"/>
        <v>0.59785728508845026</v>
      </c>
    </row>
    <row r="81" spans="1:12" x14ac:dyDescent="0.3">
      <c r="A81">
        <v>78</v>
      </c>
      <c r="B81">
        <v>33.770000000000003</v>
      </c>
      <c r="D81">
        <v>78</v>
      </c>
      <c r="E81">
        <v>32.729999999999997</v>
      </c>
      <c r="G81">
        <v>78</v>
      </c>
      <c r="H81">
        <v>32.92</v>
      </c>
      <c r="J81">
        <v>78</v>
      </c>
      <c r="K81" s="3">
        <f t="shared" si="4"/>
        <v>33.14</v>
      </c>
      <c r="L81" s="2">
        <f t="shared" si="5"/>
        <v>0.55380501984001806</v>
      </c>
    </row>
    <row r="82" spans="1:12" x14ac:dyDescent="0.3">
      <c r="A82">
        <v>79</v>
      </c>
      <c r="B82">
        <v>33.89</v>
      </c>
      <c r="D82">
        <v>79</v>
      </c>
      <c r="E82">
        <v>32.840000000000003</v>
      </c>
      <c r="G82">
        <v>79</v>
      </c>
      <c r="H82">
        <v>33.020000000000003</v>
      </c>
      <c r="J82">
        <v>79</v>
      </c>
      <c r="K82" s="3">
        <f t="shared" si="4"/>
        <v>33.25</v>
      </c>
      <c r="L82" s="2">
        <f t="shared" si="5"/>
        <v>0.56151580565465675</v>
      </c>
    </row>
    <row r="83" spans="1:12" x14ac:dyDescent="0.3">
      <c r="A83">
        <v>80</v>
      </c>
      <c r="B83">
        <v>33.950000000000003</v>
      </c>
      <c r="D83">
        <v>80</v>
      </c>
      <c r="E83">
        <v>32.99</v>
      </c>
      <c r="G83">
        <v>80</v>
      </c>
      <c r="H83">
        <v>33.130000000000003</v>
      </c>
      <c r="J83">
        <v>80</v>
      </c>
      <c r="K83" s="3">
        <f t="shared" si="4"/>
        <v>33.356666666666662</v>
      </c>
      <c r="L83" s="2">
        <f t="shared" si="5"/>
        <v>0.51858782605585108</v>
      </c>
    </row>
    <row r="84" spans="1:12" x14ac:dyDescent="0.3">
      <c r="A84">
        <v>81</v>
      </c>
      <c r="B84">
        <v>34.01</v>
      </c>
      <c r="D84">
        <v>81</v>
      </c>
      <c r="E84">
        <v>33.090000000000003</v>
      </c>
      <c r="G84">
        <v>81</v>
      </c>
      <c r="H84">
        <v>33.22</v>
      </c>
      <c r="J84">
        <v>81</v>
      </c>
      <c r="K84" s="3">
        <f t="shared" si="4"/>
        <v>33.44</v>
      </c>
      <c r="L84" s="2">
        <f t="shared" si="5"/>
        <v>0.49789557138018198</v>
      </c>
    </row>
    <row r="85" spans="1:12" x14ac:dyDescent="0.3">
      <c r="A85">
        <v>82</v>
      </c>
      <c r="B85">
        <v>34.14</v>
      </c>
      <c r="D85">
        <v>82</v>
      </c>
      <c r="E85">
        <v>33.130000000000003</v>
      </c>
      <c r="G85">
        <v>82</v>
      </c>
      <c r="H85">
        <v>33.32</v>
      </c>
      <c r="J85">
        <v>82</v>
      </c>
      <c r="K85" s="3">
        <f t="shared" si="4"/>
        <v>33.53</v>
      </c>
      <c r="L85" s="2">
        <f t="shared" si="5"/>
        <v>0.536749476012785</v>
      </c>
    </row>
    <row r="86" spans="1:12" x14ac:dyDescent="0.3">
      <c r="A86">
        <v>83</v>
      </c>
      <c r="B86">
        <v>34.229999999999997</v>
      </c>
      <c r="D86">
        <v>83</v>
      </c>
      <c r="E86">
        <v>33.22</v>
      </c>
      <c r="G86">
        <v>83</v>
      </c>
      <c r="H86">
        <v>33.409999999999997</v>
      </c>
      <c r="J86">
        <v>83</v>
      </c>
      <c r="K86" s="3">
        <f t="shared" si="4"/>
        <v>33.619999999999997</v>
      </c>
      <c r="L86" s="2">
        <f t="shared" si="5"/>
        <v>0.536749476012785</v>
      </c>
    </row>
    <row r="87" spans="1:12" x14ac:dyDescent="0.3">
      <c r="A87">
        <v>84</v>
      </c>
      <c r="B87">
        <v>34.32</v>
      </c>
      <c r="D87">
        <v>84</v>
      </c>
      <c r="E87">
        <v>33.28</v>
      </c>
      <c r="G87">
        <v>84</v>
      </c>
      <c r="H87">
        <v>33.49</v>
      </c>
      <c r="J87">
        <v>84</v>
      </c>
      <c r="K87" s="3">
        <f t="shared" si="4"/>
        <v>33.696666666666665</v>
      </c>
      <c r="L87" s="2">
        <f t="shared" si="5"/>
        <v>0.54993939059984842</v>
      </c>
    </row>
    <row r="88" spans="1:12" x14ac:dyDescent="0.3">
      <c r="A88">
        <v>85</v>
      </c>
      <c r="B88">
        <v>34.39</v>
      </c>
      <c r="D88">
        <v>85</v>
      </c>
      <c r="E88">
        <v>33.43</v>
      </c>
      <c r="G88">
        <v>85</v>
      </c>
      <c r="H88">
        <v>33.57</v>
      </c>
      <c r="J88">
        <v>85</v>
      </c>
      <c r="K88" s="3">
        <f t="shared" si="4"/>
        <v>33.79666666666666</v>
      </c>
      <c r="L88" s="2">
        <f t="shared" si="5"/>
        <v>0.51858782605585108</v>
      </c>
    </row>
    <row r="89" spans="1:12" x14ac:dyDescent="0.3">
      <c r="A89">
        <v>86</v>
      </c>
      <c r="B89">
        <v>34.46</v>
      </c>
      <c r="D89">
        <v>86</v>
      </c>
      <c r="E89">
        <v>33.51</v>
      </c>
      <c r="G89">
        <v>86</v>
      </c>
      <c r="H89">
        <v>33.65</v>
      </c>
      <c r="J89">
        <v>86</v>
      </c>
      <c r="K89" s="3">
        <f t="shared" si="4"/>
        <v>33.873333333333335</v>
      </c>
      <c r="L89" s="2">
        <f t="shared" si="5"/>
        <v>0.51286775423430053</v>
      </c>
    </row>
    <row r="90" spans="1:12" x14ac:dyDescent="0.3">
      <c r="A90">
        <v>87</v>
      </c>
      <c r="B90">
        <v>34.58</v>
      </c>
      <c r="D90">
        <v>87</v>
      </c>
      <c r="E90">
        <v>33.6</v>
      </c>
      <c r="G90">
        <v>87</v>
      </c>
      <c r="H90">
        <v>33.71</v>
      </c>
      <c r="J90">
        <v>87</v>
      </c>
      <c r="K90" s="3">
        <f t="shared" si="4"/>
        <v>33.963333333333338</v>
      </c>
      <c r="L90" s="2">
        <f t="shared" si="5"/>
        <v>0.53687366608293574</v>
      </c>
    </row>
    <row r="91" spans="1:12" x14ac:dyDescent="0.3">
      <c r="A91">
        <v>88</v>
      </c>
      <c r="B91">
        <v>34.65</v>
      </c>
      <c r="D91">
        <v>88</v>
      </c>
      <c r="E91">
        <v>33.659999999999997</v>
      </c>
      <c r="G91">
        <v>88</v>
      </c>
      <c r="H91">
        <v>33.85</v>
      </c>
      <c r="J91">
        <v>88</v>
      </c>
      <c r="K91" s="3">
        <f t="shared" si="4"/>
        <v>34.053333333333335</v>
      </c>
      <c r="L91" s="2">
        <f t="shared" si="5"/>
        <v>0.52538874496255972</v>
      </c>
    </row>
    <row r="92" spans="1:12" x14ac:dyDescent="0.3">
      <c r="A92">
        <v>89</v>
      </c>
      <c r="B92">
        <v>34.72</v>
      </c>
      <c r="D92">
        <v>89</v>
      </c>
      <c r="E92">
        <v>33.79</v>
      </c>
      <c r="G92">
        <v>89</v>
      </c>
      <c r="H92">
        <v>33.92</v>
      </c>
      <c r="J92">
        <v>89</v>
      </c>
      <c r="K92" s="3">
        <f t="shared" si="4"/>
        <v>34.143333333333331</v>
      </c>
      <c r="L92" s="2">
        <f t="shared" si="5"/>
        <v>0.50362022728771783</v>
      </c>
    </row>
    <row r="93" spans="1:12" x14ac:dyDescent="0.3">
      <c r="A93">
        <v>90</v>
      </c>
      <c r="B93">
        <v>34.78</v>
      </c>
      <c r="D93">
        <v>90</v>
      </c>
      <c r="E93">
        <v>33.86</v>
      </c>
      <c r="G93">
        <v>90</v>
      </c>
      <c r="H93">
        <v>34.01</v>
      </c>
      <c r="J93">
        <v>90</v>
      </c>
      <c r="K93" s="3">
        <f t="shared" si="4"/>
        <v>34.216666666666669</v>
      </c>
      <c r="L93" s="2">
        <f t="shared" si="5"/>
        <v>0.49359227438578757</v>
      </c>
    </row>
    <row r="94" spans="1:12" x14ac:dyDescent="0.3">
      <c r="A94">
        <v>91</v>
      </c>
      <c r="B94">
        <v>34.880000000000003</v>
      </c>
      <c r="D94">
        <v>91</v>
      </c>
      <c r="E94">
        <v>33.950000000000003</v>
      </c>
      <c r="G94">
        <v>91</v>
      </c>
      <c r="H94">
        <v>34.07</v>
      </c>
      <c r="J94">
        <v>91</v>
      </c>
      <c r="K94" s="3">
        <f t="shared" si="4"/>
        <v>34.300000000000004</v>
      </c>
      <c r="L94" s="2">
        <f t="shared" si="5"/>
        <v>0.5058655947976699</v>
      </c>
    </row>
    <row r="95" spans="1:12" x14ac:dyDescent="0.3">
      <c r="A95">
        <v>92</v>
      </c>
      <c r="B95">
        <v>34.96</v>
      </c>
      <c r="D95">
        <v>92</v>
      </c>
      <c r="E95">
        <v>34.01</v>
      </c>
      <c r="G95">
        <v>92</v>
      </c>
      <c r="H95">
        <v>34.200000000000003</v>
      </c>
      <c r="J95">
        <v>92</v>
      </c>
      <c r="K95" s="3">
        <f t="shared" si="4"/>
        <v>34.39</v>
      </c>
      <c r="L95" s="2">
        <f t="shared" si="5"/>
        <v>0.50269274910227291</v>
      </c>
    </row>
    <row r="96" spans="1:12" x14ac:dyDescent="0.3">
      <c r="A96">
        <v>93</v>
      </c>
      <c r="B96">
        <v>35.03</v>
      </c>
      <c r="D96">
        <v>93</v>
      </c>
      <c r="E96">
        <v>34.14</v>
      </c>
      <c r="G96">
        <v>93</v>
      </c>
      <c r="H96">
        <v>34.270000000000003</v>
      </c>
      <c r="J96">
        <v>93</v>
      </c>
      <c r="K96" s="3">
        <f t="shared" si="4"/>
        <v>34.479999999999997</v>
      </c>
      <c r="L96" s="2">
        <f t="shared" si="5"/>
        <v>0.48072861366887637</v>
      </c>
    </row>
    <row r="97" spans="1:12" x14ac:dyDescent="0.3">
      <c r="A97">
        <v>94</v>
      </c>
      <c r="B97">
        <v>35.08</v>
      </c>
      <c r="D97">
        <v>94</v>
      </c>
      <c r="E97">
        <v>34.22</v>
      </c>
      <c r="G97">
        <v>94</v>
      </c>
      <c r="H97">
        <v>34.35</v>
      </c>
      <c r="J97">
        <v>94</v>
      </c>
      <c r="K97" s="3">
        <f t="shared" si="4"/>
        <v>34.550000000000004</v>
      </c>
      <c r="L97" s="2">
        <f t="shared" si="5"/>
        <v>0.46357307945996945</v>
      </c>
    </row>
    <row r="98" spans="1:12" x14ac:dyDescent="0.3">
      <c r="A98">
        <v>95</v>
      </c>
      <c r="B98">
        <v>35.200000000000003</v>
      </c>
      <c r="D98">
        <v>95</v>
      </c>
      <c r="E98">
        <v>34.28</v>
      </c>
      <c r="G98">
        <v>95</v>
      </c>
      <c r="H98">
        <v>34.409999999999997</v>
      </c>
      <c r="J98">
        <v>95</v>
      </c>
      <c r="K98" s="3">
        <f t="shared" si="4"/>
        <v>34.630000000000003</v>
      </c>
      <c r="L98" s="2">
        <f t="shared" si="5"/>
        <v>0.49789557138018609</v>
      </c>
    </row>
    <row r="99" spans="1:12" x14ac:dyDescent="0.3">
      <c r="A99">
        <v>96</v>
      </c>
      <c r="B99">
        <v>35.28</v>
      </c>
      <c r="D99">
        <v>96</v>
      </c>
      <c r="E99">
        <v>34.36</v>
      </c>
      <c r="G99">
        <v>96</v>
      </c>
      <c r="H99">
        <v>34.53</v>
      </c>
      <c r="J99">
        <v>96</v>
      </c>
      <c r="K99" s="3">
        <f t="shared" ref="K99:K123" si="6">AVERAGE(B99,E99,H99)</f>
        <v>34.723333333333336</v>
      </c>
      <c r="L99" s="2">
        <f t="shared" ref="L99:L123" si="7">_xlfn.STDEV.S(B99,E99,H99)</f>
        <v>0.48952357791360157</v>
      </c>
    </row>
    <row r="100" spans="1:12" x14ac:dyDescent="0.3">
      <c r="A100">
        <v>97</v>
      </c>
      <c r="B100">
        <v>35.32</v>
      </c>
      <c r="D100">
        <v>97</v>
      </c>
      <c r="E100">
        <v>34.42</v>
      </c>
      <c r="G100">
        <v>97</v>
      </c>
      <c r="H100">
        <v>34.619999999999997</v>
      </c>
      <c r="J100">
        <v>97</v>
      </c>
      <c r="K100" s="3">
        <f t="shared" si="6"/>
        <v>34.786666666666669</v>
      </c>
      <c r="L100" s="2">
        <f t="shared" si="7"/>
        <v>0.4725815626252608</v>
      </c>
    </row>
    <row r="101" spans="1:12" x14ac:dyDescent="0.3">
      <c r="A101">
        <v>98</v>
      </c>
      <c r="B101">
        <v>35.4</v>
      </c>
      <c r="D101">
        <v>98</v>
      </c>
      <c r="E101">
        <v>34.54</v>
      </c>
      <c r="G101">
        <v>98</v>
      </c>
      <c r="H101">
        <v>34.68</v>
      </c>
      <c r="J101">
        <v>98</v>
      </c>
      <c r="K101" s="3">
        <f t="shared" si="6"/>
        <v>34.873333333333335</v>
      </c>
      <c r="L101" s="2">
        <f t="shared" si="7"/>
        <v>0.46144699948459184</v>
      </c>
    </row>
    <row r="102" spans="1:12" x14ac:dyDescent="0.3">
      <c r="A102">
        <v>99</v>
      </c>
      <c r="B102">
        <v>35.44</v>
      </c>
      <c r="D102">
        <v>99</v>
      </c>
      <c r="E102">
        <v>34.6</v>
      </c>
      <c r="G102">
        <v>99</v>
      </c>
      <c r="H102">
        <v>34.76</v>
      </c>
      <c r="J102">
        <v>99</v>
      </c>
      <c r="K102" s="3">
        <f t="shared" si="6"/>
        <v>34.93333333333333</v>
      </c>
      <c r="L102" s="2">
        <f t="shared" si="7"/>
        <v>0.44601943156473806</v>
      </c>
    </row>
    <row r="103" spans="1:12" x14ac:dyDescent="0.3">
      <c r="A103">
        <v>100</v>
      </c>
      <c r="B103">
        <v>35.53</v>
      </c>
      <c r="D103">
        <v>100</v>
      </c>
      <c r="E103">
        <v>34.68</v>
      </c>
      <c r="G103">
        <v>100</v>
      </c>
      <c r="H103">
        <v>34.82</v>
      </c>
      <c r="J103">
        <v>100</v>
      </c>
      <c r="K103" s="3">
        <f t="shared" si="6"/>
        <v>35.01</v>
      </c>
      <c r="L103" s="2">
        <f t="shared" si="7"/>
        <v>0.45574115460423437</v>
      </c>
    </row>
    <row r="104" spans="1:12" x14ac:dyDescent="0.3">
      <c r="A104">
        <v>101</v>
      </c>
      <c r="B104">
        <v>34.619999999999997</v>
      </c>
      <c r="D104">
        <v>101</v>
      </c>
      <c r="E104">
        <v>34.729999999999997</v>
      </c>
      <c r="G104">
        <v>101</v>
      </c>
      <c r="H104">
        <v>34.93</v>
      </c>
      <c r="J104">
        <v>101</v>
      </c>
      <c r="K104" s="3">
        <f t="shared" si="6"/>
        <v>34.76</v>
      </c>
      <c r="L104" s="2">
        <f t="shared" si="7"/>
        <v>0.1571623364550184</v>
      </c>
    </row>
    <row r="105" spans="1:12" x14ac:dyDescent="0.3">
      <c r="A105">
        <v>102</v>
      </c>
      <c r="B105">
        <v>35.659999999999997</v>
      </c>
      <c r="D105">
        <v>102</v>
      </c>
      <c r="E105">
        <v>34.840000000000003</v>
      </c>
      <c r="G105">
        <v>102</v>
      </c>
      <c r="H105">
        <v>34.99</v>
      </c>
      <c r="J105">
        <v>102</v>
      </c>
      <c r="K105" s="3">
        <f t="shared" si="6"/>
        <v>35.163333333333334</v>
      </c>
      <c r="L105" s="2">
        <f t="shared" si="7"/>
        <v>0.43661577311559668</v>
      </c>
    </row>
    <row r="106" spans="1:12" x14ac:dyDescent="0.3">
      <c r="A106">
        <v>103</v>
      </c>
      <c r="B106">
        <v>35.74</v>
      </c>
      <c r="D106">
        <v>103</v>
      </c>
      <c r="E106">
        <v>34.909999999999997</v>
      </c>
      <c r="G106">
        <v>103</v>
      </c>
      <c r="H106">
        <v>35.08</v>
      </c>
      <c r="J106">
        <v>103</v>
      </c>
      <c r="K106" s="3">
        <f t="shared" si="6"/>
        <v>35.243333333333332</v>
      </c>
      <c r="L106" s="2">
        <f t="shared" si="7"/>
        <v>0.43844421918111287</v>
      </c>
    </row>
    <row r="107" spans="1:12" x14ac:dyDescent="0.3">
      <c r="A107">
        <v>104</v>
      </c>
      <c r="B107">
        <v>35.78</v>
      </c>
      <c r="D107">
        <v>104</v>
      </c>
      <c r="E107">
        <v>34.979999999999997</v>
      </c>
      <c r="G107">
        <v>104</v>
      </c>
      <c r="H107">
        <v>35.14</v>
      </c>
      <c r="J107">
        <v>104</v>
      </c>
      <c r="K107" s="3">
        <f t="shared" si="6"/>
        <v>35.299999999999997</v>
      </c>
      <c r="L107" s="2">
        <f t="shared" si="7"/>
        <v>0.42332020977033619</v>
      </c>
    </row>
    <row r="108" spans="1:12" x14ac:dyDescent="0.3">
      <c r="A108">
        <v>105</v>
      </c>
      <c r="B108">
        <v>35.86</v>
      </c>
      <c r="D108">
        <v>105</v>
      </c>
      <c r="E108">
        <v>35.03</v>
      </c>
      <c r="G108">
        <v>105</v>
      </c>
      <c r="H108">
        <v>35.25</v>
      </c>
      <c r="J108">
        <v>105</v>
      </c>
      <c r="K108" s="3">
        <f t="shared" si="6"/>
        <v>35.380000000000003</v>
      </c>
      <c r="L108" s="2">
        <f t="shared" si="7"/>
        <v>0.42999999999999922</v>
      </c>
    </row>
    <row r="109" spans="1:12" x14ac:dyDescent="0.3">
      <c r="A109">
        <v>106</v>
      </c>
      <c r="B109">
        <v>35.96</v>
      </c>
      <c r="D109">
        <v>106</v>
      </c>
      <c r="E109">
        <v>35.11</v>
      </c>
      <c r="G109">
        <v>106</v>
      </c>
      <c r="H109">
        <v>35.31</v>
      </c>
      <c r="J109">
        <v>106</v>
      </c>
      <c r="K109" s="3">
        <f t="shared" si="6"/>
        <v>35.46</v>
      </c>
      <c r="L109" s="2">
        <f t="shared" si="7"/>
        <v>0.44440972086577979</v>
      </c>
    </row>
    <row r="110" spans="1:12" x14ac:dyDescent="0.3">
      <c r="A110">
        <v>107</v>
      </c>
      <c r="B110">
        <v>35.99</v>
      </c>
      <c r="D110">
        <v>107</v>
      </c>
      <c r="E110">
        <v>35.200000000000003</v>
      </c>
      <c r="G110">
        <v>107</v>
      </c>
      <c r="H110">
        <v>35.369999999999997</v>
      </c>
      <c r="J110">
        <v>107</v>
      </c>
      <c r="K110" s="3">
        <f t="shared" si="6"/>
        <v>35.520000000000003</v>
      </c>
      <c r="L110" s="2">
        <f t="shared" si="7"/>
        <v>0.4158124577258363</v>
      </c>
    </row>
    <row r="111" spans="1:12" x14ac:dyDescent="0.3">
      <c r="A111">
        <v>108</v>
      </c>
      <c r="B111">
        <v>36.049999999999997</v>
      </c>
      <c r="D111">
        <v>108</v>
      </c>
      <c r="E111">
        <v>35.24</v>
      </c>
      <c r="G111">
        <v>108</v>
      </c>
      <c r="H111">
        <v>35.450000000000003</v>
      </c>
      <c r="J111">
        <v>108</v>
      </c>
      <c r="K111" s="3">
        <f t="shared" si="6"/>
        <v>35.58</v>
      </c>
      <c r="L111" s="2">
        <f t="shared" si="7"/>
        <v>0.42035699113967118</v>
      </c>
    </row>
    <row r="112" spans="1:12" x14ac:dyDescent="0.3">
      <c r="A112">
        <v>109</v>
      </c>
      <c r="B112">
        <v>36.08</v>
      </c>
      <c r="D112">
        <v>109</v>
      </c>
      <c r="E112">
        <v>35.32</v>
      </c>
      <c r="G112">
        <v>109</v>
      </c>
      <c r="H112">
        <v>35.49</v>
      </c>
      <c r="J112">
        <v>109</v>
      </c>
      <c r="K112" s="3">
        <f t="shared" si="6"/>
        <v>35.630000000000003</v>
      </c>
      <c r="L112" s="2">
        <f t="shared" si="7"/>
        <v>0.39887341350358119</v>
      </c>
    </row>
    <row r="113" spans="1:12" x14ac:dyDescent="0.3">
      <c r="A113">
        <v>110</v>
      </c>
      <c r="B113">
        <v>36.17</v>
      </c>
      <c r="D113">
        <v>110</v>
      </c>
      <c r="E113">
        <v>35.369999999999997</v>
      </c>
      <c r="G113">
        <v>110</v>
      </c>
      <c r="H113">
        <v>35.619999999999997</v>
      </c>
      <c r="J113">
        <v>110</v>
      </c>
      <c r="K113" s="3">
        <f t="shared" si="6"/>
        <v>35.72</v>
      </c>
      <c r="L113" s="2">
        <f t="shared" si="7"/>
        <v>0.40926763859362486</v>
      </c>
    </row>
    <row r="114" spans="1:12" x14ac:dyDescent="0.3">
      <c r="A114">
        <v>111</v>
      </c>
      <c r="B114">
        <v>36.25</v>
      </c>
      <c r="D114">
        <v>111</v>
      </c>
      <c r="E114">
        <v>35.450000000000003</v>
      </c>
      <c r="G114">
        <v>111</v>
      </c>
      <c r="H114">
        <v>35.659999999999997</v>
      </c>
      <c r="J114">
        <v>111</v>
      </c>
      <c r="K114" s="3">
        <f t="shared" si="6"/>
        <v>35.786666666666669</v>
      </c>
      <c r="L114" s="2">
        <f t="shared" si="7"/>
        <v>0.41476901202155014</v>
      </c>
    </row>
    <row r="115" spans="1:12" x14ac:dyDescent="0.3">
      <c r="A115">
        <v>112</v>
      </c>
      <c r="B115">
        <v>36.29</v>
      </c>
      <c r="D115">
        <v>112</v>
      </c>
      <c r="E115">
        <v>35.51</v>
      </c>
      <c r="G115">
        <v>112</v>
      </c>
      <c r="H115">
        <v>35.74</v>
      </c>
      <c r="J115">
        <v>112</v>
      </c>
      <c r="K115" s="3">
        <f t="shared" si="6"/>
        <v>35.846666666666664</v>
      </c>
      <c r="L115" s="2">
        <f t="shared" si="7"/>
        <v>0.40079088479322156</v>
      </c>
    </row>
    <row r="116" spans="1:12" x14ac:dyDescent="0.3">
      <c r="A116">
        <v>113</v>
      </c>
      <c r="B116">
        <v>36.36</v>
      </c>
      <c r="D116">
        <v>113</v>
      </c>
      <c r="E116">
        <v>35.57</v>
      </c>
      <c r="G116">
        <v>113</v>
      </c>
      <c r="H116">
        <v>35.83</v>
      </c>
      <c r="J116">
        <v>113</v>
      </c>
      <c r="K116" s="3">
        <f t="shared" si="6"/>
        <v>35.92</v>
      </c>
      <c r="L116" s="2">
        <f t="shared" si="7"/>
        <v>0.40261644278394765</v>
      </c>
    </row>
    <row r="117" spans="1:12" x14ac:dyDescent="0.3">
      <c r="A117">
        <v>114</v>
      </c>
      <c r="B117">
        <v>36.39</v>
      </c>
      <c r="D117">
        <v>114</v>
      </c>
      <c r="E117">
        <v>35.619999999999997</v>
      </c>
      <c r="G117">
        <v>114</v>
      </c>
      <c r="H117">
        <v>35.880000000000003</v>
      </c>
      <c r="J117">
        <v>114</v>
      </c>
      <c r="K117" s="3">
        <f t="shared" si="6"/>
        <v>35.963333333333331</v>
      </c>
      <c r="L117" s="2">
        <f t="shared" si="7"/>
        <v>0.39170567181665145</v>
      </c>
    </row>
    <row r="118" spans="1:12" x14ac:dyDescent="0.3">
      <c r="A118">
        <v>115</v>
      </c>
      <c r="B118">
        <v>36.479999999999997</v>
      </c>
      <c r="D118">
        <v>115</v>
      </c>
      <c r="E118">
        <v>35.69</v>
      </c>
      <c r="G118">
        <v>115</v>
      </c>
      <c r="H118">
        <v>35.94</v>
      </c>
      <c r="J118">
        <v>115</v>
      </c>
      <c r="K118" s="3">
        <f t="shared" si="6"/>
        <v>36.036666666666662</v>
      </c>
      <c r="L118" s="2">
        <f t="shared" si="7"/>
        <v>0.40377386410382354</v>
      </c>
    </row>
    <row r="119" spans="1:12" x14ac:dyDescent="0.3">
      <c r="A119">
        <v>116</v>
      </c>
      <c r="B119">
        <v>36.520000000000003</v>
      </c>
      <c r="D119">
        <v>116</v>
      </c>
      <c r="E119">
        <v>35.76</v>
      </c>
      <c r="G119">
        <v>116</v>
      </c>
      <c r="H119">
        <v>35.979999999999997</v>
      </c>
      <c r="J119">
        <v>116</v>
      </c>
      <c r="K119" s="3">
        <f t="shared" si="6"/>
        <v>36.086666666666666</v>
      </c>
      <c r="L119" s="2">
        <f t="shared" si="7"/>
        <v>0.39106691669500204</v>
      </c>
    </row>
    <row r="120" spans="1:12" x14ac:dyDescent="0.3">
      <c r="A120">
        <v>117</v>
      </c>
      <c r="B120">
        <v>36.57</v>
      </c>
      <c r="D120">
        <v>117</v>
      </c>
      <c r="E120">
        <v>35.83</v>
      </c>
      <c r="G120">
        <v>117</v>
      </c>
      <c r="H120">
        <v>36.020000000000003</v>
      </c>
      <c r="J120">
        <v>117</v>
      </c>
      <c r="K120" s="3">
        <f t="shared" si="6"/>
        <v>36.140000000000008</v>
      </c>
      <c r="L120" s="2">
        <f t="shared" si="7"/>
        <v>0.38431757701151309</v>
      </c>
    </row>
    <row r="121" spans="1:12" x14ac:dyDescent="0.3">
      <c r="A121">
        <v>118</v>
      </c>
      <c r="B121">
        <v>36.630000000000003</v>
      </c>
      <c r="D121">
        <v>118</v>
      </c>
      <c r="E121">
        <v>35.880000000000003</v>
      </c>
      <c r="G121">
        <v>118</v>
      </c>
      <c r="H121">
        <v>36.130000000000003</v>
      </c>
      <c r="J121">
        <v>118</v>
      </c>
      <c r="K121" s="3">
        <f t="shared" si="6"/>
        <v>36.213333333333338</v>
      </c>
      <c r="L121" s="2">
        <f t="shared" si="7"/>
        <v>0.38188130791298669</v>
      </c>
    </row>
    <row r="122" spans="1:12" x14ac:dyDescent="0.3">
      <c r="A122">
        <v>119</v>
      </c>
      <c r="B122">
        <v>36.67</v>
      </c>
      <c r="D122">
        <v>119</v>
      </c>
      <c r="E122">
        <v>35.93</v>
      </c>
      <c r="G122">
        <v>119</v>
      </c>
      <c r="H122">
        <v>36.18</v>
      </c>
      <c r="J122">
        <v>119</v>
      </c>
      <c r="K122" s="3">
        <f t="shared" si="6"/>
        <v>36.26</v>
      </c>
      <c r="L122" s="2">
        <f t="shared" si="7"/>
        <v>0.37643060449437532</v>
      </c>
    </row>
    <row r="123" spans="1:12" x14ac:dyDescent="0.3">
      <c r="A123">
        <v>120</v>
      </c>
      <c r="B123">
        <v>36.729999999999997</v>
      </c>
      <c r="D123">
        <v>120</v>
      </c>
      <c r="E123">
        <v>36.99</v>
      </c>
      <c r="G123">
        <v>120</v>
      </c>
      <c r="H123">
        <v>36.24</v>
      </c>
      <c r="J123">
        <v>120</v>
      </c>
      <c r="K123" s="3">
        <f t="shared" si="6"/>
        <v>36.653333333333336</v>
      </c>
      <c r="L123" s="2">
        <f t="shared" si="7"/>
        <v>0.38083242158898833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 mL</vt:lpstr>
      <vt:lpstr>20 mL</vt:lpstr>
      <vt:lpstr>60 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2026-04-10T10:33:48Z</dcterms:modified>
</cp:coreProperties>
</file>