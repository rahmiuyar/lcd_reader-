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Disfaji\Disfaji deneyleri\KıvamPro Deneyleri_20260317\"/>
    </mc:Choice>
  </mc:AlternateContent>
  <bookViews>
    <workbookView xWindow="-108" yWindow="-108" windowWidth="23256" windowHeight="14616"/>
  </bookViews>
  <sheets>
    <sheet name="Sayfa1" sheetId="1" r:id="rId1"/>
    <sheet name="Sayfa2" sheetId="2" r:id="rId2"/>
    <sheet name="Sayfa3" sheetId="3" r:id="rId3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E7" i="1" l="1"/>
  <c r="AI6" i="1"/>
  <c r="AI4" i="1"/>
  <c r="AE4" i="1"/>
  <c r="AE9" i="1" s="1"/>
  <c r="AI2" i="1"/>
  <c r="AI7" i="1" s="1"/>
  <c r="AE2" i="1"/>
</calcChain>
</file>

<file path=xl/sharedStrings.xml><?xml version="1.0" encoding="utf-8"?>
<sst xmlns="http://schemas.openxmlformats.org/spreadsheetml/2006/main" count="35" uniqueCount="23">
  <si>
    <t>10 ml 1</t>
  </si>
  <si>
    <t>10 ml 2</t>
  </si>
  <si>
    <t>10 ml 3</t>
  </si>
  <si>
    <t>60 ml 1</t>
  </si>
  <si>
    <t>60 ml 2</t>
  </si>
  <si>
    <t>60 ml 3</t>
  </si>
  <si>
    <t>20 ml 1</t>
  </si>
  <si>
    <t>20 ml 2</t>
  </si>
  <si>
    <t>20 ml 3</t>
  </si>
  <si>
    <t>t</t>
  </si>
  <si>
    <t>IDDSI 2</t>
  </si>
  <si>
    <t>IDDSI 3</t>
  </si>
  <si>
    <t>10 AVG</t>
  </si>
  <si>
    <t>60 avg</t>
  </si>
  <si>
    <t>10 avg</t>
  </si>
  <si>
    <t>60 ml avg</t>
  </si>
  <si>
    <t>iddsi2</t>
  </si>
  <si>
    <t>iddsi3</t>
  </si>
  <si>
    <t>30ml</t>
  </si>
  <si>
    <t>50 ml</t>
  </si>
  <si>
    <t>50ml</t>
  </si>
  <si>
    <t>84.5ml</t>
  </si>
  <si>
    <t>90 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</si>
</sst>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6" fontId="0" fillId="2" borderId="1" xfId="0" applyNumberFormat="1" applyFill="1" applyBorder="1"/>
    <xf numFmtId="0" fontId="0" fillId="2" borderId="1" xfId="0" applyNumberFormat="1" applyFill="1" applyBorder="1"/>
    <xf numFmtId="0" fontId="0" fillId="3" borderId="1" xfId="0" applyNumberFormat="1" applyFill="1" applyBorder="1"/>
    <xf numFmtId="0" fontId="0" fillId="4" borderId="1" xfId="0" applyNumberFormat="1" applyFill="1" applyBorder="1"/>
    <xf numFmtId="0" fontId="0" fillId="4" borderId="2" xfId="0" applyNumberFormat="1" applyFill="1" applyBorder="1"/>
    <xf numFmtId="0" fontId="0" fillId="5" borderId="1" xfId="0" applyNumberFormat="1" applyFill="1" applyBorder="1"/>
    <xf numFmtId="0" fontId="0" fillId="5" borderId="2" xfId="0" applyNumberFormat="1" applyFill="1" applyBorder="1"/>
    <xf numFmtId="0" fontId="0" fillId="0" borderId="0" xfId="0" applyFill="1"/>
    <xf numFmtId="0" fontId="0" fillId="6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10 ml IDDSI 2 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Sayfa1!$A$3:$A$183</c:f>
              <c:numCache>
                <c:formatCode>General</c:formatCode>
                <c:ptCount val="181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  <c:pt idx="48">
                  <c:v>24</c:v>
                </c:pt>
                <c:pt idx="49">
                  <c:v>24.5</c:v>
                </c:pt>
                <c:pt idx="50">
                  <c:v>25</c:v>
                </c:pt>
                <c:pt idx="51">
                  <c:v>25.5</c:v>
                </c:pt>
                <c:pt idx="52">
                  <c:v>26</c:v>
                </c:pt>
                <c:pt idx="53">
                  <c:v>26.5</c:v>
                </c:pt>
                <c:pt idx="54">
                  <c:v>27</c:v>
                </c:pt>
                <c:pt idx="55">
                  <c:v>27.5</c:v>
                </c:pt>
                <c:pt idx="56">
                  <c:v>28</c:v>
                </c:pt>
                <c:pt idx="57">
                  <c:v>28.5</c:v>
                </c:pt>
                <c:pt idx="58">
                  <c:v>29</c:v>
                </c:pt>
                <c:pt idx="59">
                  <c:v>29.5</c:v>
                </c:pt>
                <c:pt idx="60">
                  <c:v>30</c:v>
                </c:pt>
                <c:pt idx="61">
                  <c:v>30.5</c:v>
                </c:pt>
                <c:pt idx="62">
                  <c:v>31</c:v>
                </c:pt>
                <c:pt idx="63">
                  <c:v>31.5</c:v>
                </c:pt>
                <c:pt idx="64">
                  <c:v>32</c:v>
                </c:pt>
                <c:pt idx="65">
                  <c:v>32.5</c:v>
                </c:pt>
                <c:pt idx="66">
                  <c:v>33</c:v>
                </c:pt>
                <c:pt idx="67">
                  <c:v>33.5</c:v>
                </c:pt>
                <c:pt idx="68">
                  <c:v>34</c:v>
                </c:pt>
                <c:pt idx="69">
                  <c:v>34.5</c:v>
                </c:pt>
                <c:pt idx="70">
                  <c:v>35</c:v>
                </c:pt>
                <c:pt idx="71">
                  <c:v>35.5</c:v>
                </c:pt>
                <c:pt idx="72">
                  <c:v>36</c:v>
                </c:pt>
                <c:pt idx="73">
                  <c:v>36.5</c:v>
                </c:pt>
                <c:pt idx="74">
                  <c:v>37</c:v>
                </c:pt>
                <c:pt idx="75">
                  <c:v>37.5</c:v>
                </c:pt>
                <c:pt idx="76">
                  <c:v>38</c:v>
                </c:pt>
                <c:pt idx="77">
                  <c:v>38.5</c:v>
                </c:pt>
                <c:pt idx="78">
                  <c:v>39</c:v>
                </c:pt>
                <c:pt idx="79">
                  <c:v>39.5</c:v>
                </c:pt>
                <c:pt idx="80">
                  <c:v>40</c:v>
                </c:pt>
                <c:pt idx="81">
                  <c:v>40.5</c:v>
                </c:pt>
                <c:pt idx="82">
                  <c:v>41</c:v>
                </c:pt>
                <c:pt idx="83">
                  <c:v>41.5</c:v>
                </c:pt>
                <c:pt idx="84">
                  <c:v>42</c:v>
                </c:pt>
                <c:pt idx="85">
                  <c:v>42.5</c:v>
                </c:pt>
                <c:pt idx="86">
                  <c:v>43</c:v>
                </c:pt>
                <c:pt idx="87">
                  <c:v>43.5</c:v>
                </c:pt>
                <c:pt idx="88">
                  <c:v>44</c:v>
                </c:pt>
                <c:pt idx="89">
                  <c:v>44.5</c:v>
                </c:pt>
                <c:pt idx="90">
                  <c:v>45</c:v>
                </c:pt>
                <c:pt idx="91">
                  <c:v>45.5</c:v>
                </c:pt>
                <c:pt idx="92">
                  <c:v>46</c:v>
                </c:pt>
                <c:pt idx="93">
                  <c:v>46.5</c:v>
                </c:pt>
                <c:pt idx="94">
                  <c:v>47</c:v>
                </c:pt>
                <c:pt idx="95">
                  <c:v>47.5</c:v>
                </c:pt>
                <c:pt idx="96">
                  <c:v>48</c:v>
                </c:pt>
                <c:pt idx="97">
                  <c:v>48.5</c:v>
                </c:pt>
                <c:pt idx="98">
                  <c:v>49</c:v>
                </c:pt>
                <c:pt idx="99">
                  <c:v>49.5</c:v>
                </c:pt>
                <c:pt idx="100">
                  <c:v>50</c:v>
                </c:pt>
                <c:pt idx="101">
                  <c:v>50.5</c:v>
                </c:pt>
                <c:pt idx="102">
                  <c:v>51</c:v>
                </c:pt>
                <c:pt idx="103">
                  <c:v>51.5</c:v>
                </c:pt>
                <c:pt idx="104">
                  <c:v>52</c:v>
                </c:pt>
                <c:pt idx="105">
                  <c:v>52.5</c:v>
                </c:pt>
                <c:pt idx="106">
                  <c:v>53</c:v>
                </c:pt>
                <c:pt idx="107">
                  <c:v>53.5</c:v>
                </c:pt>
                <c:pt idx="108">
                  <c:v>54</c:v>
                </c:pt>
                <c:pt idx="109">
                  <c:v>54.5</c:v>
                </c:pt>
                <c:pt idx="110">
                  <c:v>55</c:v>
                </c:pt>
                <c:pt idx="111">
                  <c:v>55.5</c:v>
                </c:pt>
                <c:pt idx="112">
                  <c:v>56</c:v>
                </c:pt>
                <c:pt idx="113">
                  <c:v>56.5</c:v>
                </c:pt>
                <c:pt idx="114">
                  <c:v>57</c:v>
                </c:pt>
                <c:pt idx="115">
                  <c:v>57.5</c:v>
                </c:pt>
                <c:pt idx="116">
                  <c:v>58</c:v>
                </c:pt>
                <c:pt idx="117">
                  <c:v>58.5</c:v>
                </c:pt>
                <c:pt idx="118">
                  <c:v>59</c:v>
                </c:pt>
                <c:pt idx="119">
                  <c:v>59.5</c:v>
                </c:pt>
                <c:pt idx="120">
                  <c:v>60</c:v>
                </c:pt>
                <c:pt idx="121">
                  <c:v>60.5</c:v>
                </c:pt>
                <c:pt idx="122">
                  <c:v>61</c:v>
                </c:pt>
                <c:pt idx="123">
                  <c:v>61.5</c:v>
                </c:pt>
                <c:pt idx="124">
                  <c:v>62</c:v>
                </c:pt>
                <c:pt idx="125">
                  <c:v>62.5</c:v>
                </c:pt>
                <c:pt idx="126">
                  <c:v>63</c:v>
                </c:pt>
                <c:pt idx="127">
                  <c:v>63.5</c:v>
                </c:pt>
                <c:pt idx="128">
                  <c:v>64</c:v>
                </c:pt>
                <c:pt idx="129">
                  <c:v>64.5</c:v>
                </c:pt>
                <c:pt idx="130">
                  <c:v>65</c:v>
                </c:pt>
                <c:pt idx="131">
                  <c:v>65.5</c:v>
                </c:pt>
                <c:pt idx="132">
                  <c:v>66</c:v>
                </c:pt>
                <c:pt idx="133">
                  <c:v>66.5</c:v>
                </c:pt>
                <c:pt idx="134">
                  <c:v>67</c:v>
                </c:pt>
                <c:pt idx="135">
                  <c:v>67.5</c:v>
                </c:pt>
                <c:pt idx="136">
                  <c:v>68</c:v>
                </c:pt>
                <c:pt idx="137">
                  <c:v>68.5</c:v>
                </c:pt>
                <c:pt idx="138">
                  <c:v>69</c:v>
                </c:pt>
                <c:pt idx="139">
                  <c:v>69.5</c:v>
                </c:pt>
                <c:pt idx="140">
                  <c:v>70</c:v>
                </c:pt>
                <c:pt idx="141">
                  <c:v>70.5</c:v>
                </c:pt>
                <c:pt idx="142">
                  <c:v>71</c:v>
                </c:pt>
                <c:pt idx="143">
                  <c:v>71.5</c:v>
                </c:pt>
                <c:pt idx="144">
                  <c:v>72</c:v>
                </c:pt>
                <c:pt idx="145">
                  <c:v>72.5</c:v>
                </c:pt>
                <c:pt idx="146">
                  <c:v>73</c:v>
                </c:pt>
                <c:pt idx="147">
                  <c:v>73.5</c:v>
                </c:pt>
                <c:pt idx="148">
                  <c:v>74</c:v>
                </c:pt>
                <c:pt idx="149">
                  <c:v>74.5</c:v>
                </c:pt>
                <c:pt idx="150">
                  <c:v>75</c:v>
                </c:pt>
                <c:pt idx="151">
                  <c:v>75.5</c:v>
                </c:pt>
                <c:pt idx="152">
                  <c:v>76</c:v>
                </c:pt>
                <c:pt idx="153">
                  <c:v>76.5</c:v>
                </c:pt>
                <c:pt idx="154">
                  <c:v>77</c:v>
                </c:pt>
                <c:pt idx="155">
                  <c:v>77.5</c:v>
                </c:pt>
                <c:pt idx="156">
                  <c:v>78</c:v>
                </c:pt>
                <c:pt idx="157">
                  <c:v>78.5</c:v>
                </c:pt>
                <c:pt idx="158">
                  <c:v>79</c:v>
                </c:pt>
                <c:pt idx="159">
                  <c:v>79.5</c:v>
                </c:pt>
                <c:pt idx="160">
                  <c:v>80</c:v>
                </c:pt>
                <c:pt idx="161">
                  <c:v>80.5</c:v>
                </c:pt>
                <c:pt idx="162">
                  <c:v>81</c:v>
                </c:pt>
                <c:pt idx="163">
                  <c:v>81.5</c:v>
                </c:pt>
                <c:pt idx="164">
                  <c:v>82</c:v>
                </c:pt>
                <c:pt idx="165">
                  <c:v>82.5</c:v>
                </c:pt>
                <c:pt idx="166">
                  <c:v>83</c:v>
                </c:pt>
                <c:pt idx="167">
                  <c:v>83.5</c:v>
                </c:pt>
                <c:pt idx="168">
                  <c:v>84</c:v>
                </c:pt>
                <c:pt idx="169">
                  <c:v>84.5</c:v>
                </c:pt>
                <c:pt idx="170">
                  <c:v>85</c:v>
                </c:pt>
                <c:pt idx="171">
                  <c:v>85.5</c:v>
                </c:pt>
                <c:pt idx="172">
                  <c:v>86</c:v>
                </c:pt>
                <c:pt idx="173">
                  <c:v>86.5</c:v>
                </c:pt>
                <c:pt idx="174">
                  <c:v>87</c:v>
                </c:pt>
                <c:pt idx="175">
                  <c:v>87.5</c:v>
                </c:pt>
                <c:pt idx="176">
                  <c:v>88</c:v>
                </c:pt>
                <c:pt idx="177">
                  <c:v>88.5</c:v>
                </c:pt>
                <c:pt idx="178">
                  <c:v>89</c:v>
                </c:pt>
                <c:pt idx="179">
                  <c:v>89.5</c:v>
                </c:pt>
                <c:pt idx="180">
                  <c:v>90</c:v>
                </c:pt>
              </c:numCache>
            </c:numRef>
          </c:xVal>
          <c:yVal>
            <c:numRef>
              <c:f>Sayfa1!$B$3:$B$183</c:f>
              <c:numCache>
                <c:formatCode>General</c:formatCode>
                <c:ptCount val="181"/>
                <c:pt idx="0">
                  <c:v>7.206666666666667</c:v>
                </c:pt>
                <c:pt idx="1">
                  <c:v>7.2033333333333331</c:v>
                </c:pt>
                <c:pt idx="2">
                  <c:v>7.2</c:v>
                </c:pt>
                <c:pt idx="3">
                  <c:v>7.2</c:v>
                </c:pt>
                <c:pt idx="4">
                  <c:v>7.1933333333333342</c:v>
                </c:pt>
                <c:pt idx="5">
                  <c:v>7.19</c:v>
                </c:pt>
                <c:pt idx="6">
                  <c:v>7.1733333333333329</c:v>
                </c:pt>
                <c:pt idx="7">
                  <c:v>7.1733333333333329</c:v>
                </c:pt>
                <c:pt idx="8">
                  <c:v>7.163333333333334</c:v>
                </c:pt>
                <c:pt idx="9">
                  <c:v>7.16</c:v>
                </c:pt>
                <c:pt idx="10">
                  <c:v>7.1566666666666663</c:v>
                </c:pt>
                <c:pt idx="11">
                  <c:v>7.1533333333333333</c:v>
                </c:pt>
                <c:pt idx="12">
                  <c:v>7.1499999999999995</c:v>
                </c:pt>
                <c:pt idx="13">
                  <c:v>7.1466666666666656</c:v>
                </c:pt>
                <c:pt idx="14">
                  <c:v>7.1400000000000006</c:v>
                </c:pt>
                <c:pt idx="15">
                  <c:v>7.1333333333333329</c:v>
                </c:pt>
                <c:pt idx="16">
                  <c:v>7.13</c:v>
                </c:pt>
                <c:pt idx="17">
                  <c:v>7.1233333333333322</c:v>
                </c:pt>
                <c:pt idx="18">
                  <c:v>7.12</c:v>
                </c:pt>
                <c:pt idx="19">
                  <c:v>7.1166666666666671</c:v>
                </c:pt>
                <c:pt idx="20">
                  <c:v>7.1133333333333333</c:v>
                </c:pt>
                <c:pt idx="21">
                  <c:v>7.1099999999999994</c:v>
                </c:pt>
                <c:pt idx="22">
                  <c:v>7.0966666666666667</c:v>
                </c:pt>
                <c:pt idx="23">
                  <c:v>7.0933333333333337</c:v>
                </c:pt>
                <c:pt idx="24">
                  <c:v>7.0900000000000007</c:v>
                </c:pt>
                <c:pt idx="25">
                  <c:v>7.0866666666666669</c:v>
                </c:pt>
                <c:pt idx="26">
                  <c:v>7.0866666666666669</c:v>
                </c:pt>
                <c:pt idx="27">
                  <c:v>7.0799999999999992</c:v>
                </c:pt>
                <c:pt idx="28">
                  <c:v>7.0799999999999992</c:v>
                </c:pt>
                <c:pt idx="29">
                  <c:v>7.07</c:v>
                </c:pt>
                <c:pt idx="30">
                  <c:v>7.0633333333333335</c:v>
                </c:pt>
                <c:pt idx="31">
                  <c:v>7.0533333333333337</c:v>
                </c:pt>
                <c:pt idx="32">
                  <c:v>7.0466666666666669</c:v>
                </c:pt>
                <c:pt idx="33">
                  <c:v>7.04</c:v>
                </c:pt>
                <c:pt idx="34">
                  <c:v>7.03</c:v>
                </c:pt>
                <c:pt idx="35">
                  <c:v>7.0266666666666673</c:v>
                </c:pt>
                <c:pt idx="36">
                  <c:v>7.0233333333333334</c:v>
                </c:pt>
                <c:pt idx="37">
                  <c:v>7.0166666666666657</c:v>
                </c:pt>
                <c:pt idx="38">
                  <c:v>7.0100000000000007</c:v>
                </c:pt>
                <c:pt idx="39">
                  <c:v>6.996666666666667</c:v>
                </c:pt>
                <c:pt idx="40">
                  <c:v>6.9899999999999993</c:v>
                </c:pt>
                <c:pt idx="41">
                  <c:v>6.98</c:v>
                </c:pt>
                <c:pt idx="42">
                  <c:v>6.9766666666666666</c:v>
                </c:pt>
                <c:pt idx="43">
                  <c:v>6.9633333333333338</c:v>
                </c:pt>
                <c:pt idx="44">
                  <c:v>6.9633333333333338</c:v>
                </c:pt>
                <c:pt idx="45">
                  <c:v>6.956666666666667</c:v>
                </c:pt>
                <c:pt idx="46">
                  <c:v>6.9533333333333331</c:v>
                </c:pt>
                <c:pt idx="47">
                  <c:v>6.95</c:v>
                </c:pt>
                <c:pt idx="48">
                  <c:v>6.93</c:v>
                </c:pt>
                <c:pt idx="49">
                  <c:v>6.93</c:v>
                </c:pt>
                <c:pt idx="50">
                  <c:v>6.916666666666667</c:v>
                </c:pt>
                <c:pt idx="51">
                  <c:v>6.8966666666666674</c:v>
                </c:pt>
                <c:pt idx="52">
                  <c:v>6.8900000000000006</c:v>
                </c:pt>
                <c:pt idx="53">
                  <c:v>6.8833333333333337</c:v>
                </c:pt>
                <c:pt idx="54">
                  <c:v>6.8633333333333333</c:v>
                </c:pt>
                <c:pt idx="55">
                  <c:v>6.8500000000000005</c:v>
                </c:pt>
                <c:pt idx="56">
                  <c:v>6.8466666666666667</c:v>
                </c:pt>
                <c:pt idx="57">
                  <c:v>6.8366666666666669</c:v>
                </c:pt>
                <c:pt idx="58">
                  <c:v>6.8233333333333333</c:v>
                </c:pt>
                <c:pt idx="59">
                  <c:v>6.8066666666666675</c:v>
                </c:pt>
                <c:pt idx="60">
                  <c:v>6.7966666666666669</c:v>
                </c:pt>
                <c:pt idx="61">
                  <c:v>6.79</c:v>
                </c:pt>
                <c:pt idx="62">
                  <c:v>6.79</c:v>
                </c:pt>
                <c:pt idx="63">
                  <c:v>6.78</c:v>
                </c:pt>
                <c:pt idx="64">
                  <c:v>6.7600000000000007</c:v>
                </c:pt>
                <c:pt idx="65">
                  <c:v>6.753333333333333</c:v>
                </c:pt>
                <c:pt idx="66">
                  <c:v>6.7433333333333332</c:v>
                </c:pt>
                <c:pt idx="67">
                  <c:v>6.7366666666666672</c:v>
                </c:pt>
                <c:pt idx="68">
                  <c:v>6.73</c:v>
                </c:pt>
                <c:pt idx="69">
                  <c:v>6.7166666666666659</c:v>
                </c:pt>
                <c:pt idx="70">
                  <c:v>6.706666666666667</c:v>
                </c:pt>
                <c:pt idx="71">
                  <c:v>6.6966666666666663</c:v>
                </c:pt>
                <c:pt idx="72">
                  <c:v>6.69</c:v>
                </c:pt>
                <c:pt idx="73">
                  <c:v>6.68</c:v>
                </c:pt>
                <c:pt idx="74">
                  <c:v>6.6566666666666663</c:v>
                </c:pt>
                <c:pt idx="75">
                  <c:v>6.6499999999999995</c:v>
                </c:pt>
                <c:pt idx="76">
                  <c:v>6.623333333333334</c:v>
                </c:pt>
                <c:pt idx="77">
                  <c:v>6.6133333333333333</c:v>
                </c:pt>
                <c:pt idx="78">
                  <c:v>6.5966666666666667</c:v>
                </c:pt>
                <c:pt idx="79">
                  <c:v>6.5766666666666671</c:v>
                </c:pt>
                <c:pt idx="80">
                  <c:v>6.57</c:v>
                </c:pt>
                <c:pt idx="81">
                  <c:v>6.55</c:v>
                </c:pt>
                <c:pt idx="82">
                  <c:v>6.5366666666666662</c:v>
                </c:pt>
                <c:pt idx="83">
                  <c:v>6.53</c:v>
                </c:pt>
                <c:pt idx="84">
                  <c:v>6.52</c:v>
                </c:pt>
                <c:pt idx="85">
                  <c:v>6.5066666666666668</c:v>
                </c:pt>
                <c:pt idx="86">
                  <c:v>6.4933333333333332</c:v>
                </c:pt>
                <c:pt idx="87">
                  <c:v>6.4899999999999993</c:v>
                </c:pt>
                <c:pt idx="88">
                  <c:v>6.4833333333333334</c:v>
                </c:pt>
                <c:pt idx="89">
                  <c:v>6.456666666666667</c:v>
                </c:pt>
                <c:pt idx="90">
                  <c:v>6.4466666666666663</c:v>
                </c:pt>
                <c:pt idx="91">
                  <c:v>6.4366666666666674</c:v>
                </c:pt>
                <c:pt idx="92">
                  <c:v>6.4200000000000008</c:v>
                </c:pt>
                <c:pt idx="93">
                  <c:v>6.3933333333333335</c:v>
                </c:pt>
                <c:pt idx="94">
                  <c:v>6.3833333333333329</c:v>
                </c:pt>
                <c:pt idx="95">
                  <c:v>6.37</c:v>
                </c:pt>
                <c:pt idx="96">
                  <c:v>6.3500000000000005</c:v>
                </c:pt>
                <c:pt idx="97">
                  <c:v>6.3466666666666667</c:v>
                </c:pt>
                <c:pt idx="98">
                  <c:v>6.336666666666666</c:v>
                </c:pt>
                <c:pt idx="99">
                  <c:v>6.3233333333333333</c:v>
                </c:pt>
                <c:pt idx="100">
                  <c:v>6.3166666666666673</c:v>
                </c:pt>
                <c:pt idx="101">
                  <c:v>6.2833333333333341</c:v>
                </c:pt>
                <c:pt idx="102">
                  <c:v>6.2666666666666666</c:v>
                </c:pt>
                <c:pt idx="103">
                  <c:v>6.2566666666666668</c:v>
                </c:pt>
                <c:pt idx="104">
                  <c:v>6.2433333333333332</c:v>
                </c:pt>
                <c:pt idx="105">
                  <c:v>6.2299999999999995</c:v>
                </c:pt>
                <c:pt idx="106">
                  <c:v>6.2033333333333331</c:v>
                </c:pt>
                <c:pt idx="107">
                  <c:v>6.18</c:v>
                </c:pt>
                <c:pt idx="108">
                  <c:v>6.166666666666667</c:v>
                </c:pt>
                <c:pt idx="109">
                  <c:v>6.1533333333333333</c:v>
                </c:pt>
                <c:pt idx="110">
                  <c:v>6.1366666666666667</c:v>
                </c:pt>
                <c:pt idx="111">
                  <c:v>6.1266666666666678</c:v>
                </c:pt>
                <c:pt idx="112">
                  <c:v>6.09</c:v>
                </c:pt>
                <c:pt idx="113">
                  <c:v>6.086666666666666</c:v>
                </c:pt>
                <c:pt idx="114">
                  <c:v>6.0566666666666675</c:v>
                </c:pt>
                <c:pt idx="115">
                  <c:v>6.0366666666666662</c:v>
                </c:pt>
                <c:pt idx="116">
                  <c:v>6.0266666666666664</c:v>
                </c:pt>
                <c:pt idx="117">
                  <c:v>6.02</c:v>
                </c:pt>
                <c:pt idx="118">
                  <c:v>6.0133333333333328</c:v>
                </c:pt>
                <c:pt idx="119">
                  <c:v>5.9833333333333334</c:v>
                </c:pt>
                <c:pt idx="120">
                  <c:v>5.9633333333333338</c:v>
                </c:pt>
                <c:pt idx="121">
                  <c:v>5.9466666666666663</c:v>
                </c:pt>
                <c:pt idx="122">
                  <c:v>5.93</c:v>
                </c:pt>
                <c:pt idx="123">
                  <c:v>5.9066666666666663</c:v>
                </c:pt>
                <c:pt idx="124">
                  <c:v>5.8933333333333335</c:v>
                </c:pt>
                <c:pt idx="125">
                  <c:v>5.87</c:v>
                </c:pt>
                <c:pt idx="126">
                  <c:v>5.8533333333333344</c:v>
                </c:pt>
                <c:pt idx="127">
                  <c:v>5.833333333333333</c:v>
                </c:pt>
                <c:pt idx="128">
                  <c:v>5.7966666666666669</c:v>
                </c:pt>
                <c:pt idx="129">
                  <c:v>5.7866666666666662</c:v>
                </c:pt>
                <c:pt idx="130">
                  <c:v>5.7600000000000007</c:v>
                </c:pt>
                <c:pt idx="131">
                  <c:v>5.7066666666666661</c:v>
                </c:pt>
                <c:pt idx="132">
                  <c:v>5.7033333333333331</c:v>
                </c:pt>
                <c:pt idx="133">
                  <c:v>5.6966666666666663</c:v>
                </c:pt>
                <c:pt idx="134">
                  <c:v>5.6500000000000012</c:v>
                </c:pt>
                <c:pt idx="135">
                  <c:v>5.6099999999999994</c:v>
                </c:pt>
                <c:pt idx="136">
                  <c:v>5.5933333333333337</c:v>
                </c:pt>
                <c:pt idx="137">
                  <c:v>5.55</c:v>
                </c:pt>
                <c:pt idx="138">
                  <c:v>5.54</c:v>
                </c:pt>
                <c:pt idx="139">
                  <c:v>5.4733333333333336</c:v>
                </c:pt>
                <c:pt idx="140">
                  <c:v>5.43</c:v>
                </c:pt>
                <c:pt idx="141">
                  <c:v>5.3666666666666671</c:v>
                </c:pt>
                <c:pt idx="142">
                  <c:v>5.32</c:v>
                </c:pt>
                <c:pt idx="143">
                  <c:v>5.2666666666666666</c:v>
                </c:pt>
                <c:pt idx="144">
                  <c:v>5.2033333333333331</c:v>
                </c:pt>
                <c:pt idx="145">
                  <c:v>5.1466666666666674</c:v>
                </c:pt>
                <c:pt idx="146">
                  <c:v>5.07</c:v>
                </c:pt>
                <c:pt idx="147">
                  <c:v>5.0133333333333336</c:v>
                </c:pt>
                <c:pt idx="148">
                  <c:v>4.95</c:v>
                </c:pt>
                <c:pt idx="149">
                  <c:v>4.9000000000000004</c:v>
                </c:pt>
                <c:pt idx="150">
                  <c:v>4.83</c:v>
                </c:pt>
                <c:pt idx="151">
                  <c:v>4.7699999999999996</c:v>
                </c:pt>
                <c:pt idx="152">
                  <c:v>4.6966666666666663</c:v>
                </c:pt>
                <c:pt idx="153">
                  <c:v>4.6233333333333331</c:v>
                </c:pt>
                <c:pt idx="154">
                  <c:v>4.54</c:v>
                </c:pt>
                <c:pt idx="155">
                  <c:v>4.4466666666666663</c:v>
                </c:pt>
                <c:pt idx="156">
                  <c:v>4.3633333333333333</c:v>
                </c:pt>
                <c:pt idx="157">
                  <c:v>4.2700000000000005</c:v>
                </c:pt>
                <c:pt idx="158">
                  <c:v>4.2033333333333331</c:v>
                </c:pt>
                <c:pt idx="159">
                  <c:v>4.043333333333333</c:v>
                </c:pt>
                <c:pt idx="160">
                  <c:v>3.9266666666666672</c:v>
                </c:pt>
                <c:pt idx="161">
                  <c:v>3.8733333333333335</c:v>
                </c:pt>
                <c:pt idx="162">
                  <c:v>3.7433333333333336</c:v>
                </c:pt>
                <c:pt idx="163">
                  <c:v>3.6066666666666669</c:v>
                </c:pt>
                <c:pt idx="164">
                  <c:v>3.4500000000000006</c:v>
                </c:pt>
                <c:pt idx="165">
                  <c:v>3.31</c:v>
                </c:pt>
                <c:pt idx="166">
                  <c:v>3.2000000000000006</c:v>
                </c:pt>
                <c:pt idx="167">
                  <c:v>3.0500000000000003</c:v>
                </c:pt>
                <c:pt idx="168">
                  <c:v>2.8833333333333333</c:v>
                </c:pt>
                <c:pt idx="169">
                  <c:v>2.7100000000000004</c:v>
                </c:pt>
                <c:pt idx="170">
                  <c:v>2.5166666666666666</c:v>
                </c:pt>
                <c:pt idx="171">
                  <c:v>2.35</c:v>
                </c:pt>
                <c:pt idx="172">
                  <c:v>2.08</c:v>
                </c:pt>
                <c:pt idx="173">
                  <c:v>1.8866666666666667</c:v>
                </c:pt>
                <c:pt idx="174">
                  <c:v>1.6533333333333333</c:v>
                </c:pt>
                <c:pt idx="175">
                  <c:v>1.4666666666666668</c:v>
                </c:pt>
                <c:pt idx="176">
                  <c:v>1.1566666666666665</c:v>
                </c:pt>
                <c:pt idx="177">
                  <c:v>0.92666666666666664</c:v>
                </c:pt>
                <c:pt idx="178">
                  <c:v>0.62</c:v>
                </c:pt>
                <c:pt idx="179">
                  <c:v>0.36000000000000004</c:v>
                </c:pt>
                <c:pt idx="18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07A-4890-B3FF-8B00C0348F32}"/>
            </c:ext>
          </c:extLst>
        </c:ser>
        <c:ser>
          <c:idx val="1"/>
          <c:order val="1"/>
          <c:tx>
            <c:v>60 ml IDDSI 2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Sayfa1!$A$3:$A$36</c:f>
              <c:numCache>
                <c:formatCode>General</c:formatCode>
                <c:ptCount val="34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</c:numCache>
            </c:numRef>
          </c:xVal>
          <c:yVal>
            <c:numRef>
              <c:f>Sayfa1!$F$3:$F$36</c:f>
              <c:numCache>
                <c:formatCode>General</c:formatCode>
                <c:ptCount val="34"/>
                <c:pt idx="0">
                  <c:v>62.136666666666663</c:v>
                </c:pt>
                <c:pt idx="1">
                  <c:v>62.116666666666667</c:v>
                </c:pt>
                <c:pt idx="2">
                  <c:v>62.03</c:v>
                </c:pt>
                <c:pt idx="3">
                  <c:v>61.973333333333336</c:v>
                </c:pt>
                <c:pt idx="4">
                  <c:v>61.866666666666674</c:v>
                </c:pt>
                <c:pt idx="5">
                  <c:v>61.613333333333337</c:v>
                </c:pt>
                <c:pt idx="6">
                  <c:v>61.066666666666663</c:v>
                </c:pt>
                <c:pt idx="7">
                  <c:v>60.506666666666668</c:v>
                </c:pt>
                <c:pt idx="8">
                  <c:v>59.70333333333334</c:v>
                </c:pt>
                <c:pt idx="9">
                  <c:v>58.803333333333335</c:v>
                </c:pt>
                <c:pt idx="10">
                  <c:v>57.76</c:v>
                </c:pt>
                <c:pt idx="11">
                  <c:v>56.566666666666663</c:v>
                </c:pt>
                <c:pt idx="12">
                  <c:v>55.35</c:v>
                </c:pt>
                <c:pt idx="13">
                  <c:v>54.063333333333333</c:v>
                </c:pt>
                <c:pt idx="14">
                  <c:v>52.696666666666665</c:v>
                </c:pt>
                <c:pt idx="15">
                  <c:v>51.006666666666668</c:v>
                </c:pt>
                <c:pt idx="16">
                  <c:v>49.466666666666669</c:v>
                </c:pt>
                <c:pt idx="17">
                  <c:v>47.676666666666669</c:v>
                </c:pt>
                <c:pt idx="18">
                  <c:v>45.836666666666666</c:v>
                </c:pt>
                <c:pt idx="19">
                  <c:v>43.726666666666667</c:v>
                </c:pt>
                <c:pt idx="20">
                  <c:v>41.390000000000008</c:v>
                </c:pt>
                <c:pt idx="21">
                  <c:v>39.073333333333331</c:v>
                </c:pt>
                <c:pt idx="22">
                  <c:v>36.783333333333331</c:v>
                </c:pt>
                <c:pt idx="23">
                  <c:v>34.266666666666673</c:v>
                </c:pt>
                <c:pt idx="24">
                  <c:v>31.656666666666666</c:v>
                </c:pt>
                <c:pt idx="25">
                  <c:v>28.446666666666669</c:v>
                </c:pt>
                <c:pt idx="26">
                  <c:v>24.783333333333331</c:v>
                </c:pt>
                <c:pt idx="27">
                  <c:v>20.846666666666668</c:v>
                </c:pt>
                <c:pt idx="28">
                  <c:v>17.893333333333334</c:v>
                </c:pt>
                <c:pt idx="29">
                  <c:v>13.613333333333335</c:v>
                </c:pt>
                <c:pt idx="30">
                  <c:v>9.17</c:v>
                </c:pt>
                <c:pt idx="31">
                  <c:v>5.0366666666666662</c:v>
                </c:pt>
                <c:pt idx="32">
                  <c:v>1.22</c:v>
                </c:pt>
                <c:pt idx="33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07A-4890-B3FF-8B00C0348F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67558976"/>
        <c:axId val="1867559456"/>
      </c:scatterChart>
      <c:valAx>
        <c:axId val="18675589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tr-TR"/>
                  <a:t>Zaman (s)</a:t>
                </a:r>
                <a:endParaRPr 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7559456"/>
        <c:crosses val="autoZero"/>
        <c:crossBetween val="midCat"/>
      </c:valAx>
      <c:valAx>
        <c:axId val="18675594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spc="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Ş</a:t>
                </a:r>
                <a:r>
                  <a:rPr lang="tr-TR" sz="1000" b="0" i="0" u="none" strike="noStrike" kern="1200" spc="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ırıngadaki Kütle (g)</a:t>
                </a:r>
                <a:endParaRPr lang="en-US" sz="1000" b="0" i="0" u="none" strike="noStrike" kern="1200" spc="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755897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10 ml IDDSI 3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Sayfa1!$O$3:$O$123</c:f>
              <c:numCache>
                <c:formatCode>General</c:formatCode>
                <c:ptCount val="1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</c:numCache>
            </c:numRef>
          </c:xVal>
          <c:yVal>
            <c:numRef>
              <c:f>Sayfa1!$P$3:$P$123</c:f>
              <c:numCache>
                <c:formatCode>General</c:formatCode>
                <c:ptCount val="121"/>
                <c:pt idx="0">
                  <c:v>4.8066666666666658</c:v>
                </c:pt>
                <c:pt idx="1">
                  <c:v>4.7600000000000007</c:v>
                </c:pt>
                <c:pt idx="2">
                  <c:v>4.74</c:v>
                </c:pt>
                <c:pt idx="3">
                  <c:v>4.71</c:v>
                </c:pt>
                <c:pt idx="4">
                  <c:v>4.6966666666666672</c:v>
                </c:pt>
                <c:pt idx="5">
                  <c:v>4.6700000000000008</c:v>
                </c:pt>
                <c:pt idx="6">
                  <c:v>4.63</c:v>
                </c:pt>
                <c:pt idx="7">
                  <c:v>4.5933333333333337</c:v>
                </c:pt>
                <c:pt idx="8">
                  <c:v>4.57</c:v>
                </c:pt>
                <c:pt idx="9">
                  <c:v>4.5433333333333339</c:v>
                </c:pt>
                <c:pt idx="10">
                  <c:v>4.503333333333333</c:v>
                </c:pt>
                <c:pt idx="11">
                  <c:v>4.4766666666666666</c:v>
                </c:pt>
                <c:pt idx="12">
                  <c:v>4.4433333333333325</c:v>
                </c:pt>
                <c:pt idx="13">
                  <c:v>4.4266666666666667</c:v>
                </c:pt>
                <c:pt idx="14">
                  <c:v>4.4066666666666663</c:v>
                </c:pt>
                <c:pt idx="15">
                  <c:v>4.3833333333333337</c:v>
                </c:pt>
                <c:pt idx="16">
                  <c:v>4.3533333333333326</c:v>
                </c:pt>
                <c:pt idx="17">
                  <c:v>4.333333333333333</c:v>
                </c:pt>
                <c:pt idx="18">
                  <c:v>4.29</c:v>
                </c:pt>
                <c:pt idx="19">
                  <c:v>4.2766666666666664</c:v>
                </c:pt>
                <c:pt idx="20">
                  <c:v>4.2566666666666668</c:v>
                </c:pt>
                <c:pt idx="21">
                  <c:v>4.2366666666666672</c:v>
                </c:pt>
                <c:pt idx="22">
                  <c:v>4.2166666666666659</c:v>
                </c:pt>
                <c:pt idx="23">
                  <c:v>4.1866666666666665</c:v>
                </c:pt>
                <c:pt idx="24">
                  <c:v>4.1433333333333335</c:v>
                </c:pt>
                <c:pt idx="25">
                  <c:v>4.1133333333333333</c:v>
                </c:pt>
                <c:pt idx="26">
                  <c:v>4.083333333333333</c:v>
                </c:pt>
                <c:pt idx="27">
                  <c:v>4.0533333333333337</c:v>
                </c:pt>
                <c:pt idx="28">
                  <c:v>4.0266666666666673</c:v>
                </c:pt>
                <c:pt idx="29">
                  <c:v>4.0066666666666668</c:v>
                </c:pt>
                <c:pt idx="30">
                  <c:v>3.9266666666666672</c:v>
                </c:pt>
                <c:pt idx="31">
                  <c:v>3.9266666666666663</c:v>
                </c:pt>
                <c:pt idx="32">
                  <c:v>3.8766666666666665</c:v>
                </c:pt>
                <c:pt idx="33">
                  <c:v>3.8466666666666662</c:v>
                </c:pt>
                <c:pt idx="34">
                  <c:v>3.8266666666666667</c:v>
                </c:pt>
                <c:pt idx="35">
                  <c:v>3.7999999999999994</c:v>
                </c:pt>
                <c:pt idx="36">
                  <c:v>3.7633333333333332</c:v>
                </c:pt>
                <c:pt idx="37">
                  <c:v>3.7266666666666666</c:v>
                </c:pt>
                <c:pt idx="38">
                  <c:v>3.69</c:v>
                </c:pt>
                <c:pt idx="39">
                  <c:v>3.6566666666666663</c:v>
                </c:pt>
                <c:pt idx="40">
                  <c:v>3.6300000000000003</c:v>
                </c:pt>
                <c:pt idx="41">
                  <c:v>3.6233333333333331</c:v>
                </c:pt>
                <c:pt idx="42">
                  <c:v>3.6166666666666667</c:v>
                </c:pt>
                <c:pt idx="43">
                  <c:v>3.6</c:v>
                </c:pt>
                <c:pt idx="44">
                  <c:v>3.5833333333333335</c:v>
                </c:pt>
                <c:pt idx="45">
                  <c:v>3.5733333333333328</c:v>
                </c:pt>
                <c:pt idx="46">
                  <c:v>3.5533333333333332</c:v>
                </c:pt>
                <c:pt idx="47">
                  <c:v>3.5266666666666668</c:v>
                </c:pt>
                <c:pt idx="48">
                  <c:v>3.5166666666666671</c:v>
                </c:pt>
                <c:pt idx="49">
                  <c:v>3.5033333333333339</c:v>
                </c:pt>
                <c:pt idx="50">
                  <c:v>3.4899999999999998</c:v>
                </c:pt>
                <c:pt idx="51">
                  <c:v>3.4766666666666666</c:v>
                </c:pt>
                <c:pt idx="52">
                  <c:v>3.4366666666666661</c:v>
                </c:pt>
                <c:pt idx="53">
                  <c:v>3.41</c:v>
                </c:pt>
                <c:pt idx="54">
                  <c:v>3.3800000000000003</c:v>
                </c:pt>
                <c:pt idx="55">
                  <c:v>3.3666666666666667</c:v>
                </c:pt>
                <c:pt idx="56">
                  <c:v>3.3466666666666662</c:v>
                </c:pt>
                <c:pt idx="57">
                  <c:v>3.3266666666666667</c:v>
                </c:pt>
                <c:pt idx="58">
                  <c:v>3.3066666666666666</c:v>
                </c:pt>
                <c:pt idx="59">
                  <c:v>3.28</c:v>
                </c:pt>
                <c:pt idx="60">
                  <c:v>3.2666666666666671</c:v>
                </c:pt>
                <c:pt idx="61">
                  <c:v>3.23</c:v>
                </c:pt>
                <c:pt idx="62">
                  <c:v>3.22</c:v>
                </c:pt>
                <c:pt idx="63">
                  <c:v>3.2066666666666666</c:v>
                </c:pt>
                <c:pt idx="64">
                  <c:v>3.186666666666667</c:v>
                </c:pt>
                <c:pt idx="65">
                  <c:v>3.1766666666666672</c:v>
                </c:pt>
                <c:pt idx="66">
                  <c:v>3.16</c:v>
                </c:pt>
                <c:pt idx="67">
                  <c:v>3.1366666666666667</c:v>
                </c:pt>
                <c:pt idx="68">
                  <c:v>3.1166666666666667</c:v>
                </c:pt>
                <c:pt idx="69">
                  <c:v>3.1066666666666669</c:v>
                </c:pt>
                <c:pt idx="70">
                  <c:v>3.09</c:v>
                </c:pt>
                <c:pt idx="71">
                  <c:v>3.08</c:v>
                </c:pt>
                <c:pt idx="72">
                  <c:v>3.0666666666666664</c:v>
                </c:pt>
                <c:pt idx="73">
                  <c:v>3.0233333333333334</c:v>
                </c:pt>
                <c:pt idx="74">
                  <c:v>3.0066666666666664</c:v>
                </c:pt>
                <c:pt idx="75">
                  <c:v>2.9899999999999998</c:v>
                </c:pt>
                <c:pt idx="76">
                  <c:v>2.9766666666666666</c:v>
                </c:pt>
                <c:pt idx="77">
                  <c:v>2.9599999999999995</c:v>
                </c:pt>
                <c:pt idx="78">
                  <c:v>2.9333333333333336</c:v>
                </c:pt>
                <c:pt idx="79">
                  <c:v>2.8966666666666669</c:v>
                </c:pt>
                <c:pt idx="80">
                  <c:v>2.8800000000000003</c:v>
                </c:pt>
                <c:pt idx="81">
                  <c:v>2.8633333333333333</c:v>
                </c:pt>
                <c:pt idx="82">
                  <c:v>2.8333333333333335</c:v>
                </c:pt>
                <c:pt idx="83">
                  <c:v>2.8166666666666664</c:v>
                </c:pt>
                <c:pt idx="84">
                  <c:v>2.7933333333333334</c:v>
                </c:pt>
                <c:pt idx="85">
                  <c:v>2.7533333333333334</c:v>
                </c:pt>
                <c:pt idx="86">
                  <c:v>2.7266666666666666</c:v>
                </c:pt>
                <c:pt idx="87">
                  <c:v>2.6933333333333334</c:v>
                </c:pt>
                <c:pt idx="88">
                  <c:v>2.6433333333333331</c:v>
                </c:pt>
                <c:pt idx="89">
                  <c:v>2.6166666666666667</c:v>
                </c:pt>
                <c:pt idx="90">
                  <c:v>2.5433333333333334</c:v>
                </c:pt>
                <c:pt idx="91">
                  <c:v>2.5099999999999998</c:v>
                </c:pt>
                <c:pt idx="92">
                  <c:v>2.4833333333333334</c:v>
                </c:pt>
                <c:pt idx="93">
                  <c:v>2.44</c:v>
                </c:pt>
                <c:pt idx="94">
                  <c:v>2.4</c:v>
                </c:pt>
                <c:pt idx="95">
                  <c:v>2.3566666666666669</c:v>
                </c:pt>
                <c:pt idx="96">
                  <c:v>2.2933333333333334</c:v>
                </c:pt>
                <c:pt idx="97">
                  <c:v>2.2266666666666666</c:v>
                </c:pt>
                <c:pt idx="98">
                  <c:v>2.16</c:v>
                </c:pt>
                <c:pt idx="99">
                  <c:v>2.11</c:v>
                </c:pt>
                <c:pt idx="100">
                  <c:v>2.06</c:v>
                </c:pt>
                <c:pt idx="101">
                  <c:v>1.9833333333333334</c:v>
                </c:pt>
                <c:pt idx="102">
                  <c:v>1.9400000000000002</c:v>
                </c:pt>
                <c:pt idx="103">
                  <c:v>1.8633333333333333</c:v>
                </c:pt>
                <c:pt idx="104">
                  <c:v>1.8166666666666667</c:v>
                </c:pt>
                <c:pt idx="105">
                  <c:v>1.75</c:v>
                </c:pt>
                <c:pt idx="106">
                  <c:v>1.68</c:v>
                </c:pt>
                <c:pt idx="107">
                  <c:v>1.6066666666666667</c:v>
                </c:pt>
                <c:pt idx="108">
                  <c:v>1.5266666666666666</c:v>
                </c:pt>
                <c:pt idx="109">
                  <c:v>1.45</c:v>
                </c:pt>
                <c:pt idx="110">
                  <c:v>1.4000000000000001</c:v>
                </c:pt>
                <c:pt idx="111">
                  <c:v>1.3133333333333332</c:v>
                </c:pt>
                <c:pt idx="112">
                  <c:v>1.2366666666666668</c:v>
                </c:pt>
                <c:pt idx="113">
                  <c:v>1.1466666666666665</c:v>
                </c:pt>
                <c:pt idx="114">
                  <c:v>1.05</c:v>
                </c:pt>
                <c:pt idx="115">
                  <c:v>0.91</c:v>
                </c:pt>
                <c:pt idx="116">
                  <c:v>0.76666666666666661</c:v>
                </c:pt>
                <c:pt idx="117">
                  <c:v>0.56333333333333335</c:v>
                </c:pt>
                <c:pt idx="118">
                  <c:v>0.39666666666666667</c:v>
                </c:pt>
                <c:pt idx="119">
                  <c:v>0.22666666666666666</c:v>
                </c:pt>
                <c:pt idx="12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A20-4804-846A-E99B5DA177B6}"/>
            </c:ext>
          </c:extLst>
        </c:ser>
        <c:ser>
          <c:idx val="1"/>
          <c:order val="1"/>
          <c:tx>
            <c:v>60 ml IDDSI 3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Sayfa1!$T$3:$T$43</c:f>
              <c:numCache>
                <c:formatCode>General</c:formatCode>
                <c:ptCount val="41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</c:numCache>
            </c:numRef>
          </c:xVal>
          <c:yVal>
            <c:numRef>
              <c:f>Sayfa1!$U$3:$U$43</c:f>
              <c:numCache>
                <c:formatCode>General</c:formatCode>
                <c:ptCount val="41"/>
                <c:pt idx="0">
                  <c:v>57.993333333333339</c:v>
                </c:pt>
                <c:pt idx="1">
                  <c:v>57.613333333333337</c:v>
                </c:pt>
                <c:pt idx="2">
                  <c:v>57.300000000000004</c:v>
                </c:pt>
                <c:pt idx="3">
                  <c:v>56.879999999999995</c:v>
                </c:pt>
                <c:pt idx="4">
                  <c:v>56.56</c:v>
                </c:pt>
                <c:pt idx="5">
                  <c:v>56.096666666666664</c:v>
                </c:pt>
                <c:pt idx="6">
                  <c:v>55.756666666666668</c:v>
                </c:pt>
                <c:pt idx="7">
                  <c:v>55.266666666666673</c:v>
                </c:pt>
                <c:pt idx="8">
                  <c:v>54.656666666666666</c:v>
                </c:pt>
                <c:pt idx="9">
                  <c:v>54.323333333333331</c:v>
                </c:pt>
                <c:pt idx="10">
                  <c:v>53.933333333333337</c:v>
                </c:pt>
                <c:pt idx="11">
                  <c:v>53.346666666666664</c:v>
                </c:pt>
                <c:pt idx="12">
                  <c:v>52.943333333333328</c:v>
                </c:pt>
                <c:pt idx="13">
                  <c:v>52.1</c:v>
                </c:pt>
                <c:pt idx="14">
                  <c:v>51.166666666666664</c:v>
                </c:pt>
                <c:pt idx="15">
                  <c:v>50.283333333333331</c:v>
                </c:pt>
                <c:pt idx="16">
                  <c:v>49.410000000000004</c:v>
                </c:pt>
                <c:pt idx="17">
                  <c:v>48.376666666666665</c:v>
                </c:pt>
                <c:pt idx="18">
                  <c:v>47.393333333333338</c:v>
                </c:pt>
                <c:pt idx="19">
                  <c:v>46.386666666666663</c:v>
                </c:pt>
                <c:pt idx="20">
                  <c:v>45.093333333333334</c:v>
                </c:pt>
                <c:pt idx="21">
                  <c:v>44.023333333333333</c:v>
                </c:pt>
                <c:pt idx="22">
                  <c:v>42.673333333333339</c:v>
                </c:pt>
                <c:pt idx="23">
                  <c:v>40.980000000000004</c:v>
                </c:pt>
                <c:pt idx="24">
                  <c:v>39.556666666666665</c:v>
                </c:pt>
                <c:pt idx="25">
                  <c:v>37.946666666666665</c:v>
                </c:pt>
                <c:pt idx="26">
                  <c:v>36.286666666666669</c:v>
                </c:pt>
                <c:pt idx="27">
                  <c:v>34.453333333333333</c:v>
                </c:pt>
                <c:pt idx="28">
                  <c:v>32.466666666666669</c:v>
                </c:pt>
                <c:pt idx="29">
                  <c:v>30.41</c:v>
                </c:pt>
                <c:pt idx="30">
                  <c:v>28.179999999999996</c:v>
                </c:pt>
                <c:pt idx="31">
                  <c:v>25.99</c:v>
                </c:pt>
                <c:pt idx="32">
                  <c:v>23.546666666666667</c:v>
                </c:pt>
                <c:pt idx="33">
                  <c:v>20.8</c:v>
                </c:pt>
                <c:pt idx="34">
                  <c:v>18.173333333333332</c:v>
                </c:pt>
                <c:pt idx="35">
                  <c:v>15.376666666666665</c:v>
                </c:pt>
                <c:pt idx="36">
                  <c:v>12.26</c:v>
                </c:pt>
                <c:pt idx="37">
                  <c:v>8.9799999999999986</c:v>
                </c:pt>
                <c:pt idx="38">
                  <c:v>5.2966666666666669</c:v>
                </c:pt>
                <c:pt idx="39">
                  <c:v>1.9866666666666666</c:v>
                </c:pt>
                <c:pt idx="4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A20-4804-846A-E99B5DA177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61230592"/>
        <c:axId val="1861233952"/>
      </c:scatterChart>
      <c:valAx>
        <c:axId val="18612305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tr-TR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Zaman (s)</a:t>
                </a:r>
                <a:endParaRPr lang="en-US"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1233952"/>
        <c:crosses val="autoZero"/>
        <c:crossBetween val="midCat"/>
      </c:valAx>
      <c:valAx>
        <c:axId val="1861233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spc="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Ş</a:t>
                </a:r>
                <a:r>
                  <a:rPr lang="tr-TR" sz="1000" b="0" i="0" u="none" strike="noStrike" kern="1200" spc="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ırıngadaki Kütle (g)</a:t>
                </a:r>
                <a:endParaRPr lang="en-US" sz="1000" b="0" i="0" u="none" strike="noStrike" kern="1200" spc="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123059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402772</xdr:colOff>
      <xdr:row>3</xdr:row>
      <xdr:rowOff>122176</xdr:rowOff>
    </xdr:from>
    <xdr:to>
      <xdr:col>15</xdr:col>
      <xdr:colOff>109321</xdr:colOff>
      <xdr:row>18</xdr:row>
      <xdr:rowOff>70062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5998600-04D1-3E60-1B89-AAE7E582E03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375442</xdr:colOff>
      <xdr:row>19</xdr:row>
      <xdr:rowOff>32425</xdr:rowOff>
    </xdr:from>
    <xdr:to>
      <xdr:col>15</xdr:col>
      <xdr:colOff>81991</xdr:colOff>
      <xdr:row>33</xdr:row>
      <xdr:rowOff>163980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E58EDB6-7F32-2FFE-512B-7917A79E097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83"/>
  <sheetViews>
    <sheetView tabSelected="1" topLeftCell="B1" zoomScale="70" zoomScaleNormal="70" workbookViewId="0">
      <selection activeCell="N3" sqref="N3"/>
    </sheetView>
  </sheetViews>
  <sheetFormatPr defaultRowHeight="14.4" x14ac:dyDescent="0.3"/>
  <sheetData>
    <row r="1" spans="1:35" x14ac:dyDescent="0.3">
      <c r="C1" t="s">
        <v>10</v>
      </c>
      <c r="O1" t="s">
        <v>11</v>
      </c>
      <c r="AC1" t="s">
        <v>16</v>
      </c>
      <c r="AG1" t="s">
        <v>17</v>
      </c>
    </row>
    <row r="2" spans="1:35" x14ac:dyDescent="0.3">
      <c r="A2" t="s">
        <v>9</v>
      </c>
      <c r="B2" t="s">
        <v>12</v>
      </c>
      <c r="C2" s="1" t="s">
        <v>0</v>
      </c>
      <c r="D2" s="2" t="s">
        <v>1</v>
      </c>
      <c r="E2" s="2" t="s">
        <v>2</v>
      </c>
      <c r="F2" s="6" t="s">
        <v>13</v>
      </c>
      <c r="G2" s="3" t="s">
        <v>3</v>
      </c>
      <c r="H2" s="3" t="s">
        <v>4</v>
      </c>
      <c r="I2" s="3" t="s">
        <v>5</v>
      </c>
      <c r="J2" s="4" t="s">
        <v>6</v>
      </c>
      <c r="K2" s="4" t="s">
        <v>7</v>
      </c>
      <c r="L2" s="4" t="s">
        <v>8</v>
      </c>
      <c r="O2" s="5" t="s">
        <v>9</v>
      </c>
      <c r="P2" s="7" t="s">
        <v>14</v>
      </c>
      <c r="Q2" s="1" t="s">
        <v>0</v>
      </c>
      <c r="R2" s="2" t="s">
        <v>1</v>
      </c>
      <c r="S2" s="2" t="s">
        <v>2</v>
      </c>
      <c r="T2" t="s">
        <v>9</v>
      </c>
      <c r="U2" t="s">
        <v>15</v>
      </c>
      <c r="V2" s="3" t="s">
        <v>3</v>
      </c>
      <c r="W2" s="3" t="s">
        <v>4</v>
      </c>
      <c r="X2" s="3" t="s">
        <v>5</v>
      </c>
      <c r="Y2" s="4" t="s">
        <v>6</v>
      </c>
      <c r="Z2" s="4" t="s">
        <v>7</v>
      </c>
      <c r="AA2" s="4" t="s">
        <v>8</v>
      </c>
      <c r="AC2" t="s">
        <v>18</v>
      </c>
      <c r="AD2" s="8">
        <v>29.46</v>
      </c>
      <c r="AE2">
        <f>AD2/30*1000</f>
        <v>982</v>
      </c>
      <c r="AG2" t="s">
        <v>18</v>
      </c>
      <c r="AH2" s="9">
        <v>30.21</v>
      </c>
      <c r="AI2">
        <f>AH2/30*1000</f>
        <v>1007.0000000000001</v>
      </c>
    </row>
    <row r="3" spans="1:35" x14ac:dyDescent="0.3">
      <c r="A3">
        <v>0</v>
      </c>
      <c r="B3">
        <v>7.206666666666667</v>
      </c>
      <c r="C3">
        <v>0</v>
      </c>
      <c r="D3">
        <v>0</v>
      </c>
      <c r="E3">
        <v>0</v>
      </c>
      <c r="F3">
        <v>62.136666666666663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O3">
        <v>0</v>
      </c>
      <c r="P3">
        <v>4.8066666666666658</v>
      </c>
      <c r="Q3">
        <v>0</v>
      </c>
      <c r="R3">
        <v>0</v>
      </c>
      <c r="S3">
        <v>0</v>
      </c>
      <c r="T3">
        <v>0</v>
      </c>
      <c r="U3">
        <v>57.993333333333339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35" x14ac:dyDescent="0.3">
      <c r="A4">
        <v>0.5</v>
      </c>
      <c r="B4">
        <v>7.2033333333333331</v>
      </c>
      <c r="C4">
        <v>0.35</v>
      </c>
      <c r="D4">
        <v>0.35</v>
      </c>
      <c r="E4">
        <v>0.38</v>
      </c>
      <c r="F4">
        <v>62.116666666666667</v>
      </c>
      <c r="G4">
        <v>1.81</v>
      </c>
      <c r="H4">
        <v>1.31</v>
      </c>
      <c r="I4">
        <v>0.54</v>
      </c>
      <c r="O4">
        <v>1</v>
      </c>
      <c r="P4">
        <v>4.7600000000000007</v>
      </c>
      <c r="Q4">
        <v>0.24</v>
      </c>
      <c r="R4">
        <v>0.25</v>
      </c>
      <c r="S4">
        <v>0.19</v>
      </c>
      <c r="T4">
        <v>0.5</v>
      </c>
      <c r="U4">
        <v>57.613333333333337</v>
      </c>
      <c r="V4">
        <v>2.06</v>
      </c>
      <c r="W4">
        <v>1.83</v>
      </c>
      <c r="X4">
        <v>2.0699999999999998</v>
      </c>
      <c r="AC4" t="s">
        <v>19</v>
      </c>
      <c r="AD4" s="9">
        <v>49.59</v>
      </c>
      <c r="AE4">
        <f>AD4/50*1000</f>
        <v>991.80000000000007</v>
      </c>
      <c r="AG4" t="s">
        <v>20</v>
      </c>
      <c r="AH4" s="9">
        <v>50.12</v>
      </c>
      <c r="AI4">
        <f>AH4/50*1000</f>
        <v>1002.4</v>
      </c>
    </row>
    <row r="5" spans="1:35" x14ac:dyDescent="0.3">
      <c r="A5">
        <v>1</v>
      </c>
      <c r="B5">
        <v>7.2</v>
      </c>
      <c r="C5">
        <v>0.76</v>
      </c>
      <c r="D5">
        <v>0.54</v>
      </c>
      <c r="E5">
        <v>0.56000000000000005</v>
      </c>
      <c r="F5">
        <v>62.03</v>
      </c>
      <c r="G5">
        <v>6.5</v>
      </c>
      <c r="H5">
        <v>4.72</v>
      </c>
      <c r="I5">
        <v>3.89</v>
      </c>
      <c r="O5">
        <v>2</v>
      </c>
      <c r="P5">
        <v>4.74</v>
      </c>
      <c r="Q5">
        <v>0.43</v>
      </c>
      <c r="R5">
        <v>0.37</v>
      </c>
      <c r="S5">
        <v>0.39</v>
      </c>
      <c r="T5">
        <v>1</v>
      </c>
      <c r="U5">
        <v>57.300000000000004</v>
      </c>
      <c r="V5">
        <v>5.12</v>
      </c>
      <c r="W5">
        <v>4.8099999999999996</v>
      </c>
      <c r="X5">
        <v>5.96</v>
      </c>
    </row>
    <row r="6" spans="1:35" x14ac:dyDescent="0.3">
      <c r="A6">
        <v>1.5</v>
      </c>
      <c r="B6">
        <v>7.2</v>
      </c>
      <c r="C6">
        <v>0.97</v>
      </c>
      <c r="D6">
        <v>0.89</v>
      </c>
      <c r="E6">
        <v>0.92</v>
      </c>
      <c r="F6">
        <v>61.973333333333336</v>
      </c>
      <c r="G6">
        <v>10.050000000000001</v>
      </c>
      <c r="H6">
        <v>9.14</v>
      </c>
      <c r="I6">
        <v>8.32</v>
      </c>
      <c r="O6">
        <v>3</v>
      </c>
      <c r="P6">
        <v>4.71</v>
      </c>
      <c r="Q6">
        <v>0.66</v>
      </c>
      <c r="R6">
        <v>0.52</v>
      </c>
      <c r="S6">
        <v>0.51</v>
      </c>
      <c r="T6">
        <v>1.5</v>
      </c>
      <c r="U6">
        <v>56.879999999999995</v>
      </c>
      <c r="V6">
        <v>8.16</v>
      </c>
      <c r="W6">
        <v>8.4499999999999993</v>
      </c>
      <c r="X6">
        <v>10.33</v>
      </c>
      <c r="AG6" t="s">
        <v>21</v>
      </c>
      <c r="AH6" s="9">
        <v>84.18</v>
      </c>
      <c r="AI6">
        <f>AH6/84.5*1000</f>
        <v>996.21301775147936</v>
      </c>
    </row>
    <row r="7" spans="1:35" x14ac:dyDescent="0.3">
      <c r="A7">
        <v>2</v>
      </c>
      <c r="B7">
        <v>7.1933333333333342</v>
      </c>
      <c r="C7">
        <v>1.25</v>
      </c>
      <c r="D7">
        <v>1.0900000000000001</v>
      </c>
      <c r="E7">
        <v>1.1299999999999999</v>
      </c>
      <c r="F7">
        <v>61.866666666666674</v>
      </c>
      <c r="G7">
        <v>15.08</v>
      </c>
      <c r="H7">
        <v>14.02</v>
      </c>
      <c r="I7">
        <v>11.74</v>
      </c>
      <c r="O7">
        <v>4</v>
      </c>
      <c r="P7">
        <v>4.6966666666666672</v>
      </c>
      <c r="Q7">
        <v>0.86</v>
      </c>
      <c r="R7">
        <v>0.69</v>
      </c>
      <c r="S7">
        <v>0.75</v>
      </c>
      <c r="T7">
        <v>2</v>
      </c>
      <c r="U7">
        <v>56.56</v>
      </c>
      <c r="V7">
        <v>11.05</v>
      </c>
      <c r="W7">
        <v>11.3</v>
      </c>
      <c r="X7">
        <v>14.43</v>
      </c>
      <c r="AC7" t="s">
        <v>22</v>
      </c>
      <c r="AD7" s="9">
        <v>89.65</v>
      </c>
      <c r="AE7">
        <f>AD7/90*1000</f>
        <v>996.1111111111112</v>
      </c>
      <c r="AI7" s="9">
        <f>AVERAGE(AI2,AI4,AI6)</f>
        <v>1001.8710059171599</v>
      </c>
    </row>
    <row r="8" spans="1:35" x14ac:dyDescent="0.3">
      <c r="A8">
        <v>2.5</v>
      </c>
      <c r="B8">
        <v>7.19</v>
      </c>
      <c r="C8">
        <v>1.63</v>
      </c>
      <c r="D8">
        <v>1.44</v>
      </c>
      <c r="E8">
        <v>1.33</v>
      </c>
      <c r="F8">
        <v>61.613333333333337</v>
      </c>
      <c r="G8">
        <v>19.239999999999998</v>
      </c>
      <c r="H8">
        <v>17.84</v>
      </c>
      <c r="I8">
        <v>16.600000000000001</v>
      </c>
      <c r="O8">
        <v>5</v>
      </c>
      <c r="P8">
        <v>4.6700000000000008</v>
      </c>
      <c r="Q8">
        <v>1.07</v>
      </c>
      <c r="R8">
        <v>0.75</v>
      </c>
      <c r="S8">
        <v>0.91</v>
      </c>
      <c r="T8">
        <v>2.5</v>
      </c>
      <c r="U8">
        <v>56.096666666666664</v>
      </c>
      <c r="V8">
        <v>13.83</v>
      </c>
      <c r="W8">
        <v>14.17</v>
      </c>
      <c r="X8">
        <v>18.13</v>
      </c>
    </row>
    <row r="9" spans="1:35" x14ac:dyDescent="0.3">
      <c r="A9">
        <v>3</v>
      </c>
      <c r="B9">
        <v>7.1733333333333329</v>
      </c>
      <c r="C9">
        <v>1.8</v>
      </c>
      <c r="D9">
        <v>1.64</v>
      </c>
      <c r="E9">
        <v>1.52</v>
      </c>
      <c r="F9">
        <v>61.066666666666663</v>
      </c>
      <c r="G9">
        <v>22.05</v>
      </c>
      <c r="H9">
        <v>20.13</v>
      </c>
      <c r="I9">
        <v>20.36</v>
      </c>
      <c r="O9">
        <v>6</v>
      </c>
      <c r="P9">
        <v>4.63</v>
      </c>
      <c r="Q9">
        <v>1.21</v>
      </c>
      <c r="R9">
        <v>0.88</v>
      </c>
      <c r="S9">
        <v>1.06</v>
      </c>
      <c r="T9">
        <v>3</v>
      </c>
      <c r="U9">
        <v>55.756666666666668</v>
      </c>
      <c r="V9">
        <v>16.48</v>
      </c>
      <c r="W9">
        <v>16.77</v>
      </c>
      <c r="X9">
        <v>21.27</v>
      </c>
      <c r="AE9" s="9">
        <f>AVERAGE(AE4,AE7)</f>
        <v>993.95555555555563</v>
      </c>
    </row>
    <row r="10" spans="1:35" x14ac:dyDescent="0.3">
      <c r="A10">
        <v>3.5</v>
      </c>
      <c r="B10">
        <v>7.1733333333333329</v>
      </c>
      <c r="C10">
        <v>2.12</v>
      </c>
      <c r="D10">
        <v>1.83</v>
      </c>
      <c r="E10">
        <v>1.71</v>
      </c>
      <c r="F10">
        <v>60.506666666666668</v>
      </c>
      <c r="G10">
        <v>25.6</v>
      </c>
      <c r="H10">
        <v>24.85</v>
      </c>
      <c r="I10">
        <v>23.9</v>
      </c>
      <c r="O10">
        <v>7</v>
      </c>
      <c r="P10">
        <v>4.5933333333333337</v>
      </c>
      <c r="Q10">
        <v>1.31</v>
      </c>
      <c r="R10">
        <v>0.95</v>
      </c>
      <c r="S10">
        <v>1.18</v>
      </c>
      <c r="T10">
        <v>3.5</v>
      </c>
      <c r="U10">
        <v>55.266666666666673</v>
      </c>
      <c r="V10">
        <v>18.98</v>
      </c>
      <c r="W10">
        <v>19.23</v>
      </c>
      <c r="X10">
        <v>24.19</v>
      </c>
    </row>
    <row r="11" spans="1:35" x14ac:dyDescent="0.3">
      <c r="A11">
        <v>4</v>
      </c>
      <c r="B11">
        <v>7.163333333333334</v>
      </c>
      <c r="C11">
        <v>2.31</v>
      </c>
      <c r="D11">
        <v>2.0299999999999998</v>
      </c>
      <c r="E11">
        <v>1.9</v>
      </c>
      <c r="F11">
        <v>59.70333333333334</v>
      </c>
      <c r="G11">
        <v>29.98</v>
      </c>
      <c r="H11">
        <v>28.11</v>
      </c>
      <c r="I11">
        <v>27.25</v>
      </c>
      <c r="O11">
        <v>8</v>
      </c>
      <c r="P11">
        <v>4.57</v>
      </c>
      <c r="Q11">
        <v>1.37</v>
      </c>
      <c r="R11">
        <v>1.03</v>
      </c>
      <c r="S11">
        <v>1.31</v>
      </c>
      <c r="T11">
        <v>4</v>
      </c>
      <c r="U11">
        <v>54.656666666666666</v>
      </c>
      <c r="V11">
        <v>21.3</v>
      </c>
      <c r="W11">
        <v>21.52</v>
      </c>
      <c r="X11">
        <v>27.82</v>
      </c>
    </row>
    <row r="12" spans="1:35" x14ac:dyDescent="0.3">
      <c r="A12">
        <v>4.5</v>
      </c>
      <c r="B12">
        <v>7.16</v>
      </c>
      <c r="C12">
        <v>2.68</v>
      </c>
      <c r="D12">
        <v>2.2799999999999998</v>
      </c>
      <c r="E12">
        <v>2.09</v>
      </c>
      <c r="F12">
        <v>58.803333333333335</v>
      </c>
      <c r="G12">
        <v>33.44</v>
      </c>
      <c r="H12">
        <v>31.2</v>
      </c>
      <c r="I12">
        <v>30.33</v>
      </c>
      <c r="O12">
        <v>9</v>
      </c>
      <c r="P12">
        <v>4.5433333333333339</v>
      </c>
      <c r="Q12">
        <v>1.42</v>
      </c>
      <c r="R12">
        <v>1.1200000000000001</v>
      </c>
      <c r="S12">
        <v>1.4</v>
      </c>
      <c r="T12">
        <v>4.5</v>
      </c>
      <c r="U12">
        <v>54.323333333333331</v>
      </c>
      <c r="V12">
        <v>23.5</v>
      </c>
      <c r="W12">
        <v>24.2</v>
      </c>
      <c r="X12">
        <v>30.27</v>
      </c>
    </row>
    <row r="13" spans="1:35" x14ac:dyDescent="0.3">
      <c r="A13">
        <v>5</v>
      </c>
      <c r="B13">
        <v>7.1566666666666663</v>
      </c>
      <c r="C13">
        <v>2.88</v>
      </c>
      <c r="D13">
        <v>2.41</v>
      </c>
      <c r="E13">
        <v>2.2599999999999998</v>
      </c>
      <c r="F13">
        <v>57.76</v>
      </c>
      <c r="G13">
        <v>35.21</v>
      </c>
      <c r="H13">
        <v>34.06</v>
      </c>
      <c r="I13">
        <v>33.53</v>
      </c>
      <c r="O13">
        <v>10</v>
      </c>
      <c r="P13">
        <v>4.503333333333333</v>
      </c>
      <c r="Q13">
        <v>1.45</v>
      </c>
      <c r="R13">
        <v>1.18</v>
      </c>
      <c r="S13">
        <v>1.57</v>
      </c>
      <c r="T13">
        <v>5</v>
      </c>
      <c r="U13">
        <v>53.933333333333337</v>
      </c>
      <c r="V13">
        <v>25.61</v>
      </c>
      <c r="W13">
        <v>26.47</v>
      </c>
      <c r="X13">
        <v>32.46</v>
      </c>
    </row>
    <row r="14" spans="1:35" x14ac:dyDescent="0.3">
      <c r="A14">
        <v>5.5</v>
      </c>
      <c r="B14">
        <v>7.1533333333333333</v>
      </c>
      <c r="C14">
        <v>3.06</v>
      </c>
      <c r="D14">
        <v>2.58</v>
      </c>
      <c r="E14">
        <v>2.4900000000000002</v>
      </c>
      <c r="F14">
        <v>56.566666666666663</v>
      </c>
      <c r="G14">
        <v>37.770000000000003</v>
      </c>
      <c r="H14">
        <v>36.71</v>
      </c>
      <c r="I14">
        <v>35.869999999999997</v>
      </c>
      <c r="O14">
        <v>11</v>
      </c>
      <c r="P14">
        <v>4.4766666666666666</v>
      </c>
      <c r="Q14">
        <v>1.45</v>
      </c>
      <c r="R14">
        <v>1.23</v>
      </c>
      <c r="S14">
        <v>1.67</v>
      </c>
      <c r="T14">
        <v>5.5</v>
      </c>
      <c r="U14">
        <v>53.346666666666664</v>
      </c>
      <c r="V14">
        <v>27.53</v>
      </c>
      <c r="W14">
        <v>28.14</v>
      </c>
      <c r="X14">
        <v>35.56</v>
      </c>
    </row>
    <row r="15" spans="1:35" x14ac:dyDescent="0.3">
      <c r="A15">
        <v>6</v>
      </c>
      <c r="B15">
        <v>7.1499999999999995</v>
      </c>
      <c r="C15">
        <v>3.25</v>
      </c>
      <c r="D15">
        <v>2.76</v>
      </c>
      <c r="E15">
        <v>2.64</v>
      </c>
      <c r="F15">
        <v>55.35</v>
      </c>
      <c r="G15">
        <v>40.11</v>
      </c>
      <c r="H15">
        <v>38.71</v>
      </c>
      <c r="I15">
        <v>38.4</v>
      </c>
      <c r="O15">
        <v>12</v>
      </c>
      <c r="P15">
        <v>4.4433333333333325</v>
      </c>
      <c r="Q15">
        <v>1.51</v>
      </c>
      <c r="R15">
        <v>1.29</v>
      </c>
      <c r="S15">
        <v>1.78</v>
      </c>
      <c r="T15">
        <v>6</v>
      </c>
      <c r="U15">
        <v>52.943333333333328</v>
      </c>
      <c r="V15">
        <v>29.3</v>
      </c>
      <c r="W15">
        <v>30.04</v>
      </c>
      <c r="X15">
        <v>38.06</v>
      </c>
    </row>
    <row r="16" spans="1:35" x14ac:dyDescent="0.3">
      <c r="A16">
        <v>6.5</v>
      </c>
      <c r="B16">
        <v>7.1466666666666656</v>
      </c>
      <c r="C16">
        <v>3.49</v>
      </c>
      <c r="D16">
        <v>2.95</v>
      </c>
      <c r="E16">
        <v>2.71</v>
      </c>
      <c r="F16">
        <v>54.063333333333333</v>
      </c>
      <c r="G16">
        <v>41.89</v>
      </c>
      <c r="H16">
        <v>41.51</v>
      </c>
      <c r="I16">
        <v>40.770000000000003</v>
      </c>
      <c r="O16">
        <v>13</v>
      </c>
      <c r="P16">
        <v>4.4266666666666667</v>
      </c>
      <c r="Q16">
        <v>1.52</v>
      </c>
      <c r="R16">
        <v>1.38</v>
      </c>
      <c r="S16">
        <v>1.92</v>
      </c>
      <c r="T16">
        <v>6.5</v>
      </c>
      <c r="U16">
        <v>52.1</v>
      </c>
      <c r="V16">
        <v>30.96</v>
      </c>
      <c r="W16">
        <v>31.5</v>
      </c>
      <c r="X16">
        <v>40.9</v>
      </c>
    </row>
    <row r="17" spans="1:24" x14ac:dyDescent="0.3">
      <c r="A17">
        <v>7</v>
      </c>
      <c r="B17">
        <v>7.1400000000000006</v>
      </c>
      <c r="C17">
        <v>3.58</v>
      </c>
      <c r="D17">
        <v>3.14</v>
      </c>
      <c r="E17">
        <v>2.88</v>
      </c>
      <c r="F17">
        <v>52.696666666666665</v>
      </c>
      <c r="G17">
        <v>44.43</v>
      </c>
      <c r="H17">
        <v>43.75</v>
      </c>
      <c r="I17">
        <v>43</v>
      </c>
      <c r="O17">
        <v>14</v>
      </c>
      <c r="P17">
        <v>4.4066666666666663</v>
      </c>
      <c r="Q17">
        <v>1.56</v>
      </c>
      <c r="R17">
        <v>1.47</v>
      </c>
      <c r="S17">
        <v>2.0099999999999998</v>
      </c>
      <c r="T17">
        <v>7</v>
      </c>
      <c r="U17">
        <v>51.166666666666664</v>
      </c>
      <c r="V17">
        <v>32.57</v>
      </c>
      <c r="W17">
        <v>33.46</v>
      </c>
      <c r="X17">
        <v>42.83</v>
      </c>
    </row>
    <row r="18" spans="1:24" x14ac:dyDescent="0.3">
      <c r="A18">
        <v>7.5</v>
      </c>
      <c r="B18">
        <v>7.1333333333333329</v>
      </c>
      <c r="C18">
        <v>3.66</v>
      </c>
      <c r="D18">
        <v>3.19</v>
      </c>
      <c r="E18">
        <v>3.08</v>
      </c>
      <c r="F18">
        <v>51.006666666666668</v>
      </c>
      <c r="G18">
        <v>46.48</v>
      </c>
      <c r="H18">
        <v>45.92</v>
      </c>
      <c r="I18">
        <v>45.11</v>
      </c>
      <c r="O18">
        <v>15</v>
      </c>
      <c r="P18">
        <v>4.3833333333333337</v>
      </c>
      <c r="Q18">
        <v>1.57</v>
      </c>
      <c r="R18">
        <v>1.56</v>
      </c>
      <c r="S18">
        <v>2.12</v>
      </c>
      <c r="T18">
        <v>7.5</v>
      </c>
      <c r="U18">
        <v>50.283333333333331</v>
      </c>
      <c r="V18">
        <v>34.119999999999997</v>
      </c>
      <c r="W18">
        <v>34.75</v>
      </c>
      <c r="X18">
        <v>44.97</v>
      </c>
    </row>
    <row r="19" spans="1:24" x14ac:dyDescent="0.3">
      <c r="A19">
        <v>8</v>
      </c>
      <c r="B19">
        <v>7.13</v>
      </c>
      <c r="C19">
        <v>3.87</v>
      </c>
      <c r="D19">
        <v>3.36</v>
      </c>
      <c r="E19">
        <v>3.12</v>
      </c>
      <c r="F19">
        <v>49.466666666666669</v>
      </c>
      <c r="G19">
        <v>48.06</v>
      </c>
      <c r="H19">
        <v>47.88</v>
      </c>
      <c r="I19">
        <v>47.09</v>
      </c>
      <c r="O19">
        <v>16</v>
      </c>
      <c r="P19">
        <v>4.3533333333333326</v>
      </c>
      <c r="Q19">
        <v>1.57</v>
      </c>
      <c r="R19">
        <v>1.64</v>
      </c>
      <c r="S19">
        <v>2.2400000000000002</v>
      </c>
      <c r="T19">
        <v>8</v>
      </c>
      <c r="U19">
        <v>49.410000000000004</v>
      </c>
      <c r="V19">
        <v>35.61</v>
      </c>
      <c r="W19">
        <v>36.270000000000003</v>
      </c>
      <c r="X19">
        <v>46.79</v>
      </c>
    </row>
    <row r="20" spans="1:24" x14ac:dyDescent="0.3">
      <c r="A20">
        <v>8.5</v>
      </c>
      <c r="B20">
        <v>7.1233333333333322</v>
      </c>
      <c r="C20">
        <v>3.9</v>
      </c>
      <c r="D20">
        <v>3.59</v>
      </c>
      <c r="E20">
        <v>3.33</v>
      </c>
      <c r="F20">
        <v>47.676666666666669</v>
      </c>
      <c r="G20">
        <v>49.9</v>
      </c>
      <c r="H20">
        <v>49.57</v>
      </c>
      <c r="I20">
        <v>48.93</v>
      </c>
      <c r="O20">
        <v>17</v>
      </c>
      <c r="P20">
        <v>4.333333333333333</v>
      </c>
      <c r="Q20">
        <v>1.61</v>
      </c>
      <c r="R20">
        <v>1.68</v>
      </c>
      <c r="S20">
        <v>2.2999999999999998</v>
      </c>
      <c r="T20">
        <v>8.5</v>
      </c>
      <c r="U20">
        <v>48.376666666666665</v>
      </c>
      <c r="V20">
        <v>37.04</v>
      </c>
      <c r="W20">
        <v>37.450000000000003</v>
      </c>
      <c r="X20">
        <v>48.45</v>
      </c>
    </row>
    <row r="21" spans="1:24" x14ac:dyDescent="0.3">
      <c r="A21">
        <v>9</v>
      </c>
      <c r="B21">
        <v>7.12</v>
      </c>
      <c r="C21">
        <v>4.0199999999999996</v>
      </c>
      <c r="D21">
        <v>3.72</v>
      </c>
      <c r="E21">
        <v>3.49</v>
      </c>
      <c r="F21">
        <v>45.836666666666666</v>
      </c>
      <c r="G21">
        <v>51.13</v>
      </c>
      <c r="H21">
        <v>51.26</v>
      </c>
      <c r="I21">
        <v>50.63</v>
      </c>
      <c r="O21">
        <v>18</v>
      </c>
      <c r="P21">
        <v>4.29</v>
      </c>
      <c r="Q21">
        <v>1.63</v>
      </c>
      <c r="R21">
        <v>1.79</v>
      </c>
      <c r="S21">
        <v>2.4</v>
      </c>
      <c r="T21">
        <v>9</v>
      </c>
      <c r="U21">
        <v>47.393333333333338</v>
      </c>
      <c r="V21">
        <v>38.64</v>
      </c>
      <c r="W21">
        <v>39.32</v>
      </c>
      <c r="X21">
        <v>50.06</v>
      </c>
    </row>
    <row r="22" spans="1:24" x14ac:dyDescent="0.3">
      <c r="A22">
        <v>9.5</v>
      </c>
      <c r="B22">
        <v>7.1166666666666671</v>
      </c>
      <c r="C22">
        <v>4.1399999999999997</v>
      </c>
      <c r="D22">
        <v>3.78</v>
      </c>
      <c r="E22">
        <v>3.7</v>
      </c>
      <c r="F22">
        <v>43.726666666666667</v>
      </c>
      <c r="G22">
        <v>53.14</v>
      </c>
      <c r="H22">
        <v>52.77</v>
      </c>
      <c r="I22">
        <v>52.18</v>
      </c>
      <c r="O22">
        <v>19</v>
      </c>
      <c r="P22">
        <v>4.2766666666666664</v>
      </c>
      <c r="Q22">
        <v>1.63</v>
      </c>
      <c r="R22">
        <v>1.85</v>
      </c>
      <c r="S22">
        <v>2.4700000000000002</v>
      </c>
      <c r="T22">
        <v>9.5</v>
      </c>
      <c r="U22">
        <v>46.386666666666663</v>
      </c>
      <c r="V22">
        <v>39.83</v>
      </c>
      <c r="W22">
        <v>40.72</v>
      </c>
      <c r="X22">
        <v>51.52</v>
      </c>
    </row>
    <row r="23" spans="1:24" x14ac:dyDescent="0.3">
      <c r="A23">
        <v>10</v>
      </c>
      <c r="B23">
        <v>7.1133333333333333</v>
      </c>
      <c r="C23">
        <v>4.1500000000000004</v>
      </c>
      <c r="D23">
        <v>3.89</v>
      </c>
      <c r="E23">
        <v>3.74</v>
      </c>
      <c r="F23">
        <v>41.390000000000008</v>
      </c>
      <c r="G23">
        <v>54.43</v>
      </c>
      <c r="H23">
        <v>54.17</v>
      </c>
      <c r="I23">
        <v>53.59</v>
      </c>
      <c r="O23">
        <v>20</v>
      </c>
      <c r="P23">
        <v>4.2566666666666668</v>
      </c>
      <c r="Q23">
        <v>1.63</v>
      </c>
      <c r="R23">
        <v>1.94</v>
      </c>
      <c r="S23">
        <v>2.61</v>
      </c>
      <c r="T23">
        <v>10</v>
      </c>
      <c r="U23">
        <v>45.093333333333334</v>
      </c>
      <c r="V23">
        <v>40.83</v>
      </c>
      <c r="W23">
        <v>41.82</v>
      </c>
      <c r="X23">
        <v>52.63</v>
      </c>
    </row>
    <row r="24" spans="1:24" x14ac:dyDescent="0.3">
      <c r="A24">
        <v>10.5</v>
      </c>
      <c r="B24">
        <v>7.1099999999999994</v>
      </c>
      <c r="C24">
        <v>4.21</v>
      </c>
      <c r="D24">
        <v>3.99</v>
      </c>
      <c r="E24">
        <v>3.93</v>
      </c>
      <c r="F24">
        <v>39.073333333333331</v>
      </c>
      <c r="G24">
        <v>55.65</v>
      </c>
      <c r="H24">
        <v>55.5</v>
      </c>
      <c r="I24">
        <v>54.9</v>
      </c>
      <c r="O24">
        <v>21</v>
      </c>
      <c r="P24">
        <v>4.2366666666666672</v>
      </c>
      <c r="Q24">
        <v>1.63</v>
      </c>
      <c r="R24">
        <v>2.02</v>
      </c>
      <c r="S24">
        <v>2.68</v>
      </c>
      <c r="T24">
        <v>10.5</v>
      </c>
      <c r="U24">
        <v>44.023333333333333</v>
      </c>
      <c r="V24">
        <v>41.98</v>
      </c>
      <c r="W24">
        <v>42.91</v>
      </c>
      <c r="X24">
        <v>54.27</v>
      </c>
    </row>
    <row r="25" spans="1:24" x14ac:dyDescent="0.3">
      <c r="A25">
        <v>11</v>
      </c>
      <c r="B25">
        <v>7.0966666666666667</v>
      </c>
      <c r="C25">
        <v>4.32</v>
      </c>
      <c r="D25">
        <v>4.16</v>
      </c>
      <c r="E25">
        <v>4.13</v>
      </c>
      <c r="F25">
        <v>36.783333333333331</v>
      </c>
      <c r="G25">
        <v>56.81</v>
      </c>
      <c r="H25">
        <v>56.73</v>
      </c>
      <c r="I25">
        <v>56.16</v>
      </c>
      <c r="O25">
        <v>22</v>
      </c>
      <c r="P25">
        <v>4.2166666666666659</v>
      </c>
      <c r="Q25">
        <v>1.64</v>
      </c>
      <c r="R25">
        <v>2.0699999999999998</v>
      </c>
      <c r="S25">
        <v>2.77</v>
      </c>
      <c r="T25">
        <v>11</v>
      </c>
      <c r="U25">
        <v>42.673333333333339</v>
      </c>
      <c r="V25">
        <v>43.06</v>
      </c>
      <c r="W25">
        <v>43.7</v>
      </c>
      <c r="X25">
        <v>55.42</v>
      </c>
    </row>
    <row r="26" spans="1:24" x14ac:dyDescent="0.3">
      <c r="A26">
        <v>11.5</v>
      </c>
      <c r="B26">
        <v>7.0933333333333337</v>
      </c>
      <c r="C26">
        <v>4.43</v>
      </c>
      <c r="D26">
        <v>4.21</v>
      </c>
      <c r="E26">
        <v>4.17</v>
      </c>
      <c r="F26">
        <v>34.266666666666673</v>
      </c>
      <c r="G26">
        <v>57.88</v>
      </c>
      <c r="H26">
        <v>57.86</v>
      </c>
      <c r="I26">
        <v>57.54</v>
      </c>
      <c r="O26">
        <v>23</v>
      </c>
      <c r="P26">
        <v>4.1866666666666665</v>
      </c>
      <c r="Q26">
        <v>1.69</v>
      </c>
      <c r="R26">
        <v>2.16</v>
      </c>
      <c r="S26">
        <v>2.83</v>
      </c>
      <c r="T26">
        <v>11.5</v>
      </c>
      <c r="U26">
        <v>40.980000000000004</v>
      </c>
      <c r="V26">
        <v>44.1</v>
      </c>
      <c r="W26">
        <v>44.48</v>
      </c>
      <c r="X26">
        <v>56.55</v>
      </c>
    </row>
    <row r="27" spans="1:24" x14ac:dyDescent="0.3">
      <c r="A27">
        <v>12</v>
      </c>
      <c r="B27">
        <v>7.0900000000000007</v>
      </c>
      <c r="C27">
        <v>4.53</v>
      </c>
      <c r="D27">
        <v>4.28</v>
      </c>
      <c r="E27">
        <v>4.28</v>
      </c>
      <c r="F27">
        <v>31.656666666666666</v>
      </c>
      <c r="G27">
        <v>58.88</v>
      </c>
      <c r="H27">
        <v>58.93</v>
      </c>
      <c r="I27">
        <v>58.6</v>
      </c>
      <c r="O27">
        <v>24</v>
      </c>
      <c r="P27">
        <v>4.1433333333333335</v>
      </c>
      <c r="Q27">
        <v>1.69</v>
      </c>
      <c r="R27">
        <v>2.2400000000000002</v>
      </c>
      <c r="S27">
        <v>2.95</v>
      </c>
      <c r="T27">
        <v>12</v>
      </c>
      <c r="U27">
        <v>39.556666666666665</v>
      </c>
      <c r="V27">
        <v>45.12</v>
      </c>
      <c r="W27">
        <v>45.47</v>
      </c>
      <c r="X27">
        <v>57.64</v>
      </c>
    </row>
    <row r="28" spans="1:24" x14ac:dyDescent="0.3">
      <c r="A28">
        <v>12.5</v>
      </c>
      <c r="B28">
        <v>7.0866666666666669</v>
      </c>
      <c r="C28">
        <v>4.63</v>
      </c>
      <c r="D28">
        <v>4.3499999999999996</v>
      </c>
      <c r="E28">
        <v>4.3600000000000003</v>
      </c>
      <c r="F28">
        <v>28.446666666666669</v>
      </c>
      <c r="G28">
        <v>59.79</v>
      </c>
      <c r="H28">
        <v>59.89</v>
      </c>
      <c r="I28">
        <v>59.43</v>
      </c>
      <c r="O28">
        <v>25</v>
      </c>
      <c r="P28">
        <v>4.1133333333333333</v>
      </c>
      <c r="Q28">
        <v>1.69</v>
      </c>
      <c r="R28">
        <v>2.35</v>
      </c>
      <c r="S28">
        <v>3.03</v>
      </c>
      <c r="T28">
        <v>12.5</v>
      </c>
      <c r="U28">
        <v>37.946666666666665</v>
      </c>
      <c r="V28">
        <v>46.28</v>
      </c>
      <c r="W28">
        <v>46.07</v>
      </c>
      <c r="X28">
        <v>58.5</v>
      </c>
    </row>
    <row r="29" spans="1:24" x14ac:dyDescent="0.3">
      <c r="A29">
        <v>13</v>
      </c>
      <c r="B29">
        <v>7.0866666666666669</v>
      </c>
      <c r="C29">
        <v>4.78</v>
      </c>
      <c r="D29">
        <v>4.45</v>
      </c>
      <c r="E29">
        <v>4.3899999999999997</v>
      </c>
      <c r="F29">
        <v>24.783333333333331</v>
      </c>
      <c r="G29">
        <v>60.38</v>
      </c>
      <c r="H29">
        <v>60.65</v>
      </c>
      <c r="I29">
        <v>60.49</v>
      </c>
      <c r="O29">
        <v>26</v>
      </c>
      <c r="P29">
        <v>4.083333333333333</v>
      </c>
      <c r="Q29">
        <v>1.69</v>
      </c>
      <c r="R29">
        <v>2.41</v>
      </c>
      <c r="S29">
        <v>3.1</v>
      </c>
      <c r="T29">
        <v>13</v>
      </c>
      <c r="U29">
        <v>36.286666666666669</v>
      </c>
      <c r="V29">
        <v>47.15</v>
      </c>
      <c r="W29">
        <v>46.85</v>
      </c>
      <c r="X29">
        <v>59.5</v>
      </c>
    </row>
    <row r="30" spans="1:24" x14ac:dyDescent="0.3">
      <c r="A30">
        <v>13.5</v>
      </c>
      <c r="B30">
        <v>7.0799999999999992</v>
      </c>
      <c r="C30">
        <v>4.8899999999999997</v>
      </c>
      <c r="D30">
        <v>4.5599999999999996</v>
      </c>
      <c r="E30">
        <v>4.42</v>
      </c>
      <c r="F30">
        <v>20.846666666666668</v>
      </c>
      <c r="G30">
        <v>60.99</v>
      </c>
      <c r="H30">
        <v>61.17</v>
      </c>
      <c r="I30">
        <v>61.04</v>
      </c>
      <c r="O30">
        <v>27</v>
      </c>
      <c r="P30">
        <v>4.0533333333333337</v>
      </c>
      <c r="Q30">
        <v>1.69</v>
      </c>
      <c r="R30">
        <v>2.46</v>
      </c>
      <c r="S30">
        <v>3.17</v>
      </c>
      <c r="T30">
        <v>13.5</v>
      </c>
      <c r="U30">
        <v>34.453333333333333</v>
      </c>
      <c r="V30">
        <v>47.94</v>
      </c>
      <c r="W30">
        <v>47.96</v>
      </c>
      <c r="X30">
        <v>60.4</v>
      </c>
    </row>
    <row r="31" spans="1:24" x14ac:dyDescent="0.3">
      <c r="A31">
        <v>14</v>
      </c>
      <c r="B31">
        <v>7.0799999999999992</v>
      </c>
      <c r="C31">
        <v>4.96</v>
      </c>
      <c r="D31">
        <v>4.6399999999999997</v>
      </c>
      <c r="E31">
        <v>4.49</v>
      </c>
      <c r="F31">
        <v>17.893333333333334</v>
      </c>
      <c r="G31">
        <v>61.34</v>
      </c>
      <c r="H31">
        <v>61.76</v>
      </c>
      <c r="I31">
        <v>61.74</v>
      </c>
      <c r="O31">
        <v>28</v>
      </c>
      <c r="P31">
        <v>4.0266666666666673</v>
      </c>
      <c r="Q31">
        <v>1.69</v>
      </c>
      <c r="R31">
        <v>2.52</v>
      </c>
      <c r="S31">
        <v>3.24</v>
      </c>
      <c r="T31">
        <v>14</v>
      </c>
      <c r="U31">
        <v>32.466666666666669</v>
      </c>
      <c r="V31">
        <v>48.98</v>
      </c>
      <c r="W31">
        <v>48.82</v>
      </c>
      <c r="X31">
        <v>61.03</v>
      </c>
    </row>
    <row r="32" spans="1:24" x14ac:dyDescent="0.3">
      <c r="A32">
        <v>14.5</v>
      </c>
      <c r="B32">
        <v>7.07</v>
      </c>
      <c r="C32">
        <v>5.04</v>
      </c>
      <c r="D32">
        <v>4.7699999999999996</v>
      </c>
      <c r="E32">
        <v>4.5</v>
      </c>
      <c r="F32">
        <v>13.613333333333335</v>
      </c>
      <c r="G32">
        <v>61.54</v>
      </c>
      <c r="H32">
        <v>61.95</v>
      </c>
      <c r="I32">
        <v>62.11</v>
      </c>
      <c r="O32">
        <v>29</v>
      </c>
      <c r="P32">
        <v>4.0066666666666668</v>
      </c>
      <c r="Q32">
        <v>1.69</v>
      </c>
      <c r="R32">
        <v>2.56</v>
      </c>
      <c r="S32">
        <v>3.28</v>
      </c>
      <c r="T32">
        <v>14.5</v>
      </c>
      <c r="U32">
        <v>30.41</v>
      </c>
      <c r="V32">
        <v>49.27</v>
      </c>
      <c r="W32">
        <v>49.42</v>
      </c>
      <c r="X32">
        <v>61.35</v>
      </c>
    </row>
    <row r="33" spans="1:24" x14ac:dyDescent="0.3">
      <c r="A33">
        <v>15</v>
      </c>
      <c r="B33">
        <v>7.0633333333333335</v>
      </c>
      <c r="C33">
        <v>5.09</v>
      </c>
      <c r="D33">
        <v>4.8899999999999997</v>
      </c>
      <c r="E33">
        <v>4.51</v>
      </c>
      <c r="F33">
        <v>9.17</v>
      </c>
      <c r="G33">
        <v>61.72</v>
      </c>
      <c r="H33">
        <v>62.02</v>
      </c>
      <c r="I33">
        <v>62.18</v>
      </c>
      <c r="O33">
        <v>30</v>
      </c>
      <c r="P33">
        <v>3.9266666666666672</v>
      </c>
      <c r="Q33">
        <v>1.71</v>
      </c>
      <c r="R33">
        <v>2.62</v>
      </c>
      <c r="S33">
        <v>3.3</v>
      </c>
      <c r="T33">
        <v>15</v>
      </c>
      <c r="U33">
        <v>28.179999999999996</v>
      </c>
      <c r="V33">
        <v>50.06</v>
      </c>
      <c r="W33">
        <v>50.35</v>
      </c>
      <c r="X33">
        <v>61.39</v>
      </c>
    </row>
    <row r="34" spans="1:24" x14ac:dyDescent="0.3">
      <c r="A34">
        <v>15.5</v>
      </c>
      <c r="B34">
        <v>7.0533333333333337</v>
      </c>
      <c r="C34">
        <v>5.16</v>
      </c>
      <c r="D34">
        <v>4.96</v>
      </c>
      <c r="E34">
        <v>4.58</v>
      </c>
      <c r="F34">
        <v>5.0366666666666662</v>
      </c>
      <c r="G34">
        <v>61.75</v>
      </c>
      <c r="H34">
        <v>62.11</v>
      </c>
      <c r="I34">
        <v>62.23</v>
      </c>
      <c r="O34">
        <v>31</v>
      </c>
      <c r="P34">
        <v>3.9266666666666663</v>
      </c>
      <c r="Q34">
        <v>1.75</v>
      </c>
      <c r="R34">
        <v>2.71</v>
      </c>
      <c r="S34">
        <v>3.39</v>
      </c>
      <c r="T34">
        <v>15.5</v>
      </c>
      <c r="U34">
        <v>25.99</v>
      </c>
      <c r="V34">
        <v>50.57</v>
      </c>
      <c r="W34">
        <v>50.92</v>
      </c>
      <c r="X34">
        <v>61.48</v>
      </c>
    </row>
    <row r="35" spans="1:24" x14ac:dyDescent="0.3">
      <c r="A35">
        <v>16</v>
      </c>
      <c r="B35">
        <v>7.0466666666666669</v>
      </c>
      <c r="C35">
        <v>5.23</v>
      </c>
      <c r="D35">
        <v>5.04</v>
      </c>
      <c r="E35">
        <v>4.58</v>
      </c>
      <c r="F35">
        <v>1.22</v>
      </c>
      <c r="G35">
        <v>61.79</v>
      </c>
      <c r="H35">
        <v>62.27</v>
      </c>
      <c r="I35">
        <v>62.29</v>
      </c>
      <c r="O35">
        <v>32</v>
      </c>
      <c r="P35">
        <v>3.8766666666666665</v>
      </c>
      <c r="Q35">
        <v>1.75</v>
      </c>
      <c r="R35">
        <v>2.76</v>
      </c>
      <c r="S35">
        <v>3.42</v>
      </c>
      <c r="T35">
        <v>16</v>
      </c>
      <c r="U35">
        <v>23.546666666666667</v>
      </c>
      <c r="V35">
        <v>51.28</v>
      </c>
      <c r="W35">
        <v>51.11</v>
      </c>
      <c r="X35">
        <v>61.58</v>
      </c>
    </row>
    <row r="36" spans="1:24" x14ac:dyDescent="0.3">
      <c r="A36">
        <v>16.5</v>
      </c>
      <c r="B36">
        <v>7.04</v>
      </c>
      <c r="C36">
        <v>5.32</v>
      </c>
      <c r="D36">
        <v>5.12</v>
      </c>
      <c r="E36">
        <v>4.5999999999999996</v>
      </c>
      <c r="F36">
        <v>0</v>
      </c>
      <c r="G36">
        <v>61.81</v>
      </c>
      <c r="H36">
        <v>62.28</v>
      </c>
      <c r="I36">
        <v>62.32</v>
      </c>
      <c r="O36">
        <v>33</v>
      </c>
      <c r="P36">
        <v>3.8466666666666662</v>
      </c>
      <c r="Q36">
        <v>1.74</v>
      </c>
      <c r="R36">
        <v>2.82</v>
      </c>
      <c r="S36">
        <v>3.52</v>
      </c>
      <c r="T36">
        <v>16.5</v>
      </c>
      <c r="U36">
        <v>20.8</v>
      </c>
      <c r="V36">
        <v>51.78</v>
      </c>
      <c r="W36">
        <v>52.24</v>
      </c>
      <c r="X36">
        <v>61.78</v>
      </c>
    </row>
    <row r="37" spans="1:24" x14ac:dyDescent="0.3">
      <c r="A37">
        <v>17</v>
      </c>
      <c r="B37">
        <v>7.03</v>
      </c>
      <c r="C37">
        <v>5.41</v>
      </c>
      <c r="D37">
        <v>5.18</v>
      </c>
      <c r="E37">
        <v>4.62</v>
      </c>
      <c r="I37">
        <v>6.52</v>
      </c>
      <c r="O37">
        <v>34</v>
      </c>
      <c r="P37">
        <v>3.8266666666666667</v>
      </c>
      <c r="Q37">
        <v>1.74</v>
      </c>
      <c r="R37">
        <v>2.85</v>
      </c>
      <c r="S37">
        <v>3.59</v>
      </c>
      <c r="T37">
        <v>17</v>
      </c>
      <c r="U37">
        <v>18.173333333333332</v>
      </c>
      <c r="V37">
        <v>52.46</v>
      </c>
      <c r="W37">
        <v>52.97</v>
      </c>
      <c r="X37">
        <v>61.84</v>
      </c>
    </row>
    <row r="38" spans="1:24" x14ac:dyDescent="0.3">
      <c r="A38">
        <v>17.5</v>
      </c>
      <c r="B38">
        <v>7.0266666666666673</v>
      </c>
      <c r="C38">
        <v>5.5</v>
      </c>
      <c r="D38">
        <v>5.28</v>
      </c>
      <c r="E38">
        <v>4.66</v>
      </c>
      <c r="O38">
        <v>35</v>
      </c>
      <c r="P38">
        <v>3.7999999999999994</v>
      </c>
      <c r="Q38">
        <v>1.74</v>
      </c>
      <c r="R38">
        <v>2.9</v>
      </c>
      <c r="S38">
        <v>3.62</v>
      </c>
      <c r="T38">
        <v>17.5</v>
      </c>
      <c r="U38">
        <v>15.376666666666665</v>
      </c>
      <c r="V38">
        <v>52.91</v>
      </c>
      <c r="W38">
        <v>53.47</v>
      </c>
      <c r="X38">
        <v>61.91</v>
      </c>
    </row>
    <row r="39" spans="1:24" x14ac:dyDescent="0.3">
      <c r="A39">
        <v>18</v>
      </c>
      <c r="B39">
        <v>7.0233333333333334</v>
      </c>
      <c r="C39">
        <v>5.58</v>
      </c>
      <c r="D39">
        <v>5.35</v>
      </c>
      <c r="E39">
        <v>4.68</v>
      </c>
      <c r="O39">
        <v>36</v>
      </c>
      <c r="P39">
        <v>3.7633333333333332</v>
      </c>
      <c r="Q39">
        <v>1.74</v>
      </c>
      <c r="R39">
        <v>2.99</v>
      </c>
      <c r="S39">
        <v>3.65</v>
      </c>
      <c r="T39">
        <v>18</v>
      </c>
      <c r="U39">
        <v>12.26</v>
      </c>
      <c r="V39">
        <v>53.53</v>
      </c>
      <c r="W39">
        <v>54.16</v>
      </c>
      <c r="X39">
        <v>61.99</v>
      </c>
    </row>
    <row r="40" spans="1:24" x14ac:dyDescent="0.3">
      <c r="A40">
        <v>18.5</v>
      </c>
      <c r="B40">
        <v>7.0166666666666657</v>
      </c>
      <c r="C40">
        <v>5.69</v>
      </c>
      <c r="D40">
        <v>5.41</v>
      </c>
      <c r="E40">
        <v>4.7</v>
      </c>
      <c r="O40">
        <v>37</v>
      </c>
      <c r="P40">
        <v>3.7266666666666666</v>
      </c>
      <c r="Q40">
        <v>1.74</v>
      </c>
      <c r="R40">
        <v>3.05</v>
      </c>
      <c r="S40">
        <v>3.66</v>
      </c>
      <c r="T40">
        <v>18.5</v>
      </c>
      <c r="U40">
        <v>8.9799999999999986</v>
      </c>
      <c r="V40">
        <v>53.94</v>
      </c>
      <c r="W40">
        <v>54.61</v>
      </c>
      <c r="X40">
        <v>62.09</v>
      </c>
    </row>
    <row r="41" spans="1:24" x14ac:dyDescent="0.3">
      <c r="A41">
        <v>19</v>
      </c>
      <c r="B41">
        <v>7.0100000000000007</v>
      </c>
      <c r="C41">
        <v>5.73</v>
      </c>
      <c r="D41">
        <v>5.51</v>
      </c>
      <c r="E41">
        <v>4.72</v>
      </c>
      <c r="O41">
        <v>38</v>
      </c>
      <c r="P41">
        <v>3.69</v>
      </c>
      <c r="Q41">
        <v>1.74</v>
      </c>
      <c r="R41">
        <v>3.09</v>
      </c>
      <c r="S41">
        <v>3.67</v>
      </c>
      <c r="T41">
        <v>19</v>
      </c>
      <c r="U41">
        <v>5.2966666666666669</v>
      </c>
      <c r="V41">
        <v>54.53</v>
      </c>
      <c r="W41">
        <v>55.24</v>
      </c>
      <c r="X41">
        <v>62.13</v>
      </c>
    </row>
    <row r="42" spans="1:24" x14ac:dyDescent="0.3">
      <c r="A42">
        <v>19.5</v>
      </c>
      <c r="B42">
        <v>6.996666666666667</v>
      </c>
      <c r="C42">
        <v>5.8</v>
      </c>
      <c r="D42">
        <v>5.54</v>
      </c>
      <c r="E42">
        <v>4.76</v>
      </c>
      <c r="O42">
        <v>39</v>
      </c>
      <c r="P42">
        <v>3.6566666666666663</v>
      </c>
      <c r="Q42">
        <v>1.75</v>
      </c>
      <c r="R42">
        <v>3.13</v>
      </c>
      <c r="S42">
        <v>3.71</v>
      </c>
      <c r="T42">
        <v>19.5</v>
      </c>
      <c r="U42">
        <v>1.9866666666666666</v>
      </c>
      <c r="V42">
        <v>54.92</v>
      </c>
      <c r="W42">
        <v>55.64</v>
      </c>
      <c r="X42">
        <v>62.28</v>
      </c>
    </row>
    <row r="43" spans="1:24" x14ac:dyDescent="0.3">
      <c r="A43">
        <v>20</v>
      </c>
      <c r="B43">
        <v>6.9899999999999993</v>
      </c>
      <c r="C43">
        <v>5.88</v>
      </c>
      <c r="D43">
        <v>5.64</v>
      </c>
      <c r="E43">
        <v>4.7699999999999996</v>
      </c>
      <c r="O43">
        <v>40</v>
      </c>
      <c r="P43">
        <v>3.6300000000000003</v>
      </c>
      <c r="Q43">
        <v>1.75</v>
      </c>
      <c r="R43">
        <v>3.18</v>
      </c>
      <c r="S43">
        <v>3.71</v>
      </c>
      <c r="T43">
        <v>20</v>
      </c>
      <c r="U43">
        <v>0</v>
      </c>
      <c r="V43">
        <v>55.46</v>
      </c>
      <c r="W43">
        <v>56.21</v>
      </c>
      <c r="X43">
        <v>62.31</v>
      </c>
    </row>
    <row r="44" spans="1:24" x14ac:dyDescent="0.3">
      <c r="A44">
        <v>20.5</v>
      </c>
      <c r="B44">
        <v>6.98</v>
      </c>
      <c r="C44">
        <v>5.94</v>
      </c>
      <c r="D44">
        <v>5.7</v>
      </c>
      <c r="E44">
        <v>4.78</v>
      </c>
      <c r="O44">
        <v>41</v>
      </c>
      <c r="P44">
        <v>3.6233333333333331</v>
      </c>
      <c r="Q44">
        <v>1.75</v>
      </c>
      <c r="R44">
        <v>3.23</v>
      </c>
      <c r="S44">
        <v>3.71</v>
      </c>
      <c r="T44">
        <v>20.5</v>
      </c>
      <c r="V44">
        <v>55.88</v>
      </c>
      <c r="W44">
        <v>56.57</v>
      </c>
    </row>
    <row r="45" spans="1:24" x14ac:dyDescent="0.3">
      <c r="A45">
        <v>21</v>
      </c>
      <c r="B45">
        <v>6.9766666666666666</v>
      </c>
      <c r="C45">
        <v>6.01</v>
      </c>
      <c r="D45">
        <v>5.73</v>
      </c>
      <c r="E45">
        <v>4.88</v>
      </c>
      <c r="O45">
        <v>42</v>
      </c>
      <c r="P45">
        <v>3.6166666666666667</v>
      </c>
      <c r="Q45">
        <v>1.76</v>
      </c>
      <c r="R45">
        <v>3.33</v>
      </c>
      <c r="S45">
        <v>3.71</v>
      </c>
      <c r="T45">
        <v>21</v>
      </c>
      <c r="V45">
        <v>56.26</v>
      </c>
      <c r="W45">
        <v>57.07</v>
      </c>
    </row>
    <row r="46" spans="1:24" x14ac:dyDescent="0.3">
      <c r="A46">
        <v>21.5</v>
      </c>
      <c r="B46">
        <v>6.9633333333333338</v>
      </c>
      <c r="C46">
        <v>6.08</v>
      </c>
      <c r="D46">
        <v>5.75</v>
      </c>
      <c r="E46">
        <v>4.82</v>
      </c>
      <c r="O46">
        <v>43</v>
      </c>
      <c r="P46">
        <v>3.6</v>
      </c>
      <c r="Q46">
        <v>1.8</v>
      </c>
      <c r="R46">
        <v>3.37</v>
      </c>
      <c r="S46">
        <v>3.71</v>
      </c>
      <c r="T46">
        <v>21.5</v>
      </c>
      <c r="V46">
        <v>56.63</v>
      </c>
      <c r="W46">
        <v>57.39</v>
      </c>
    </row>
    <row r="47" spans="1:24" x14ac:dyDescent="0.3">
      <c r="A47">
        <v>22</v>
      </c>
      <c r="B47">
        <v>6.9633333333333338</v>
      </c>
      <c r="C47">
        <v>6.17</v>
      </c>
      <c r="D47">
        <v>5.77</v>
      </c>
      <c r="E47">
        <v>4.84</v>
      </c>
      <c r="O47">
        <v>44</v>
      </c>
      <c r="P47">
        <v>3.5833333333333335</v>
      </c>
      <c r="Q47">
        <v>1.8</v>
      </c>
      <c r="R47">
        <v>3.42</v>
      </c>
      <c r="S47">
        <v>3.71</v>
      </c>
      <c r="T47">
        <v>22</v>
      </c>
      <c r="V47">
        <v>57</v>
      </c>
      <c r="W47">
        <v>57.72</v>
      </c>
    </row>
    <row r="48" spans="1:24" x14ac:dyDescent="0.3">
      <c r="A48">
        <v>22.5</v>
      </c>
      <c r="B48">
        <v>6.956666666666667</v>
      </c>
      <c r="C48">
        <v>6.19</v>
      </c>
      <c r="D48">
        <v>5.79</v>
      </c>
      <c r="E48">
        <v>4.8499999999999996</v>
      </c>
      <c r="O48">
        <v>45</v>
      </c>
      <c r="P48">
        <v>3.5733333333333328</v>
      </c>
      <c r="Q48">
        <v>1.8</v>
      </c>
      <c r="R48">
        <v>3.46</v>
      </c>
      <c r="S48">
        <v>3.71</v>
      </c>
      <c r="T48">
        <v>22.5</v>
      </c>
      <c r="V48">
        <v>57.36</v>
      </c>
      <c r="W48">
        <v>58.12</v>
      </c>
    </row>
    <row r="49" spans="1:23" x14ac:dyDescent="0.3">
      <c r="A49">
        <v>23</v>
      </c>
      <c r="B49">
        <v>6.9533333333333331</v>
      </c>
      <c r="C49">
        <v>6.25</v>
      </c>
      <c r="D49">
        <v>5.8</v>
      </c>
      <c r="E49">
        <v>4.9000000000000004</v>
      </c>
      <c r="O49">
        <v>46</v>
      </c>
      <c r="P49">
        <v>3.5533333333333332</v>
      </c>
      <c r="Q49">
        <v>1.8</v>
      </c>
      <c r="R49">
        <v>3.51</v>
      </c>
      <c r="S49">
        <v>3.71</v>
      </c>
      <c r="T49">
        <v>23</v>
      </c>
      <c r="V49">
        <v>57.56</v>
      </c>
      <c r="W49">
        <v>58.53</v>
      </c>
    </row>
    <row r="50" spans="1:23" x14ac:dyDescent="0.3">
      <c r="A50">
        <v>23.5</v>
      </c>
      <c r="B50">
        <v>6.95</v>
      </c>
      <c r="C50">
        <v>6.34</v>
      </c>
      <c r="D50">
        <v>5.82</v>
      </c>
      <c r="E50">
        <v>4.93</v>
      </c>
      <c r="O50">
        <v>47</v>
      </c>
      <c r="P50">
        <v>3.5266666666666668</v>
      </c>
      <c r="Q50">
        <v>1.8</v>
      </c>
      <c r="R50">
        <v>3.55</v>
      </c>
      <c r="S50">
        <v>3.72</v>
      </c>
      <c r="T50">
        <v>23.5</v>
      </c>
      <c r="V50">
        <v>57.9</v>
      </c>
      <c r="W50">
        <v>58.74</v>
      </c>
    </row>
    <row r="51" spans="1:23" x14ac:dyDescent="0.3">
      <c r="A51">
        <v>24</v>
      </c>
      <c r="B51">
        <v>6.93</v>
      </c>
      <c r="C51">
        <v>6.35</v>
      </c>
      <c r="D51">
        <v>5.83</v>
      </c>
      <c r="E51">
        <v>4.93</v>
      </c>
      <c r="O51">
        <v>48</v>
      </c>
      <c r="P51">
        <v>3.5166666666666671</v>
      </c>
      <c r="Q51">
        <v>1.8</v>
      </c>
      <c r="R51">
        <v>3.63</v>
      </c>
      <c r="S51">
        <v>3.77</v>
      </c>
      <c r="T51">
        <v>24</v>
      </c>
      <c r="V51">
        <v>58.22</v>
      </c>
      <c r="W51">
        <v>59.1</v>
      </c>
    </row>
    <row r="52" spans="1:23" x14ac:dyDescent="0.3">
      <c r="A52">
        <v>24.5</v>
      </c>
      <c r="B52">
        <v>6.93</v>
      </c>
      <c r="C52">
        <v>6.3</v>
      </c>
      <c r="D52">
        <v>5.89</v>
      </c>
      <c r="E52">
        <v>4.93</v>
      </c>
      <c r="O52">
        <v>49</v>
      </c>
      <c r="P52">
        <v>3.5033333333333339</v>
      </c>
      <c r="Q52">
        <v>1.8</v>
      </c>
      <c r="R52">
        <v>3.67</v>
      </c>
      <c r="S52">
        <v>3.77</v>
      </c>
      <c r="T52">
        <v>24.5</v>
      </c>
      <c r="V52">
        <v>58.57</v>
      </c>
      <c r="W52">
        <v>59.43</v>
      </c>
    </row>
    <row r="53" spans="1:23" x14ac:dyDescent="0.3">
      <c r="A53">
        <v>25</v>
      </c>
      <c r="B53">
        <v>6.916666666666667</v>
      </c>
      <c r="C53">
        <v>6.44</v>
      </c>
      <c r="D53">
        <v>5.9</v>
      </c>
      <c r="E53">
        <v>4.9400000000000004</v>
      </c>
      <c r="O53">
        <v>50</v>
      </c>
      <c r="P53">
        <v>3.4899999999999998</v>
      </c>
      <c r="Q53">
        <v>1.8</v>
      </c>
      <c r="R53">
        <v>3.71</v>
      </c>
      <c r="S53">
        <v>3.76</v>
      </c>
      <c r="T53">
        <v>25</v>
      </c>
      <c r="V53">
        <v>58.74</v>
      </c>
      <c r="W53">
        <v>59.61</v>
      </c>
    </row>
    <row r="54" spans="1:23" x14ac:dyDescent="0.3">
      <c r="A54">
        <v>25.5</v>
      </c>
      <c r="B54">
        <v>6.8966666666666674</v>
      </c>
      <c r="C54">
        <v>6.51</v>
      </c>
      <c r="D54">
        <v>5.91</v>
      </c>
      <c r="E54">
        <v>4.9400000000000004</v>
      </c>
      <c r="O54">
        <v>51</v>
      </c>
      <c r="P54">
        <v>3.4766666666666666</v>
      </c>
      <c r="Q54">
        <v>1.8</v>
      </c>
      <c r="R54">
        <v>3.76</v>
      </c>
      <c r="S54">
        <v>3.76</v>
      </c>
      <c r="T54">
        <v>25.5</v>
      </c>
      <c r="V54">
        <v>59.1</v>
      </c>
      <c r="W54">
        <v>59.95</v>
      </c>
    </row>
    <row r="55" spans="1:23" x14ac:dyDescent="0.3">
      <c r="A55">
        <v>26</v>
      </c>
      <c r="B55">
        <v>6.8900000000000006</v>
      </c>
      <c r="C55">
        <v>6.53</v>
      </c>
      <c r="D55">
        <v>5.91</v>
      </c>
      <c r="E55">
        <v>4.95</v>
      </c>
      <c r="O55">
        <v>52</v>
      </c>
      <c r="P55">
        <v>3.4366666666666661</v>
      </c>
      <c r="Q55">
        <v>1.8</v>
      </c>
      <c r="R55">
        <v>3.79</v>
      </c>
      <c r="S55">
        <v>3.76</v>
      </c>
      <c r="T55">
        <v>26</v>
      </c>
      <c r="V55">
        <v>59.3</v>
      </c>
      <c r="W55">
        <v>60.14</v>
      </c>
    </row>
    <row r="56" spans="1:23" x14ac:dyDescent="0.3">
      <c r="A56">
        <v>26.5</v>
      </c>
      <c r="B56">
        <v>6.8833333333333337</v>
      </c>
      <c r="C56">
        <v>6.61</v>
      </c>
      <c r="D56">
        <v>5.93</v>
      </c>
      <c r="E56">
        <v>4.96</v>
      </c>
      <c r="O56">
        <v>53</v>
      </c>
      <c r="P56">
        <v>3.41</v>
      </c>
      <c r="Q56">
        <v>1.82</v>
      </c>
      <c r="R56">
        <v>3.83</v>
      </c>
      <c r="S56">
        <v>3.76</v>
      </c>
      <c r="T56">
        <v>26.5</v>
      </c>
      <c r="V56">
        <v>59.5</v>
      </c>
      <c r="W56">
        <v>60.31</v>
      </c>
    </row>
    <row r="57" spans="1:23" x14ac:dyDescent="0.3">
      <c r="A57">
        <v>27</v>
      </c>
      <c r="B57">
        <v>6.8633333333333333</v>
      </c>
      <c r="C57">
        <v>6.63</v>
      </c>
      <c r="D57">
        <v>5.95</v>
      </c>
      <c r="E57">
        <v>4.9800000000000004</v>
      </c>
      <c r="O57">
        <v>54</v>
      </c>
      <c r="P57">
        <v>3.3800000000000003</v>
      </c>
      <c r="Q57">
        <v>1.85</v>
      </c>
      <c r="R57">
        <v>3.88</v>
      </c>
      <c r="S57">
        <v>3.75</v>
      </c>
      <c r="T57">
        <v>27</v>
      </c>
      <c r="V57">
        <v>59.7</v>
      </c>
      <c r="W57">
        <v>60.35</v>
      </c>
    </row>
    <row r="58" spans="1:23" x14ac:dyDescent="0.3">
      <c r="A58">
        <v>27.5</v>
      </c>
      <c r="B58">
        <v>6.8500000000000005</v>
      </c>
      <c r="C58">
        <v>6.67</v>
      </c>
      <c r="D58">
        <v>5.96</v>
      </c>
      <c r="E58">
        <v>4.9800000000000004</v>
      </c>
      <c r="O58">
        <v>55</v>
      </c>
      <c r="P58">
        <v>3.3666666666666667</v>
      </c>
      <c r="Q58">
        <v>1.85</v>
      </c>
      <c r="R58">
        <v>3.93</v>
      </c>
      <c r="S58">
        <v>3.75</v>
      </c>
      <c r="T58">
        <v>27.5</v>
      </c>
      <c r="V58">
        <v>59.88</v>
      </c>
      <c r="W58">
        <v>60.48</v>
      </c>
    </row>
    <row r="59" spans="1:23" x14ac:dyDescent="0.3">
      <c r="A59">
        <v>28</v>
      </c>
      <c r="B59">
        <v>6.8466666666666667</v>
      </c>
      <c r="C59">
        <v>6.71</v>
      </c>
      <c r="D59">
        <v>5.98</v>
      </c>
      <c r="E59">
        <v>4.99</v>
      </c>
      <c r="O59">
        <v>56</v>
      </c>
      <c r="P59">
        <v>3.3466666666666662</v>
      </c>
      <c r="Q59">
        <v>1.85</v>
      </c>
      <c r="R59">
        <v>3.96</v>
      </c>
      <c r="S59">
        <v>3.75</v>
      </c>
      <c r="T59">
        <v>28</v>
      </c>
      <c r="V59">
        <v>60.08</v>
      </c>
      <c r="W59">
        <v>60.6</v>
      </c>
    </row>
    <row r="60" spans="1:23" x14ac:dyDescent="0.3">
      <c r="A60">
        <v>28.5</v>
      </c>
      <c r="B60">
        <v>6.8366666666666669</v>
      </c>
      <c r="C60">
        <v>6.73</v>
      </c>
      <c r="D60">
        <v>5.99</v>
      </c>
      <c r="E60">
        <v>5</v>
      </c>
      <c r="O60">
        <v>57</v>
      </c>
      <c r="P60">
        <v>3.3266666666666667</v>
      </c>
      <c r="Q60">
        <v>1.85</v>
      </c>
      <c r="R60">
        <v>4.0199999999999996</v>
      </c>
      <c r="S60">
        <v>3.75</v>
      </c>
      <c r="T60">
        <v>28.5</v>
      </c>
      <c r="V60">
        <v>60.14</v>
      </c>
      <c r="W60">
        <v>60.73</v>
      </c>
    </row>
    <row r="61" spans="1:23" x14ac:dyDescent="0.3">
      <c r="A61">
        <v>29</v>
      </c>
      <c r="B61">
        <v>6.8233333333333333</v>
      </c>
      <c r="C61">
        <v>6.76</v>
      </c>
      <c r="D61">
        <v>6</v>
      </c>
      <c r="E61">
        <v>5.03</v>
      </c>
      <c r="O61">
        <v>58</v>
      </c>
      <c r="P61">
        <v>3.3066666666666666</v>
      </c>
      <c r="Q61">
        <v>1.85</v>
      </c>
      <c r="R61">
        <v>4.0599999999999996</v>
      </c>
      <c r="S61">
        <v>3.75</v>
      </c>
      <c r="T61">
        <v>29</v>
      </c>
      <c r="V61">
        <v>60.22</v>
      </c>
      <c r="W61">
        <v>60.81</v>
      </c>
    </row>
    <row r="62" spans="1:23" x14ac:dyDescent="0.3">
      <c r="A62">
        <v>29.5</v>
      </c>
      <c r="B62">
        <v>6.8066666666666675</v>
      </c>
      <c r="C62">
        <v>6.78</v>
      </c>
      <c r="D62">
        <v>6.02</v>
      </c>
      <c r="E62">
        <v>5.04</v>
      </c>
      <c r="O62">
        <v>59</v>
      </c>
      <c r="P62">
        <v>3.28</v>
      </c>
      <c r="Q62">
        <v>1.85</v>
      </c>
      <c r="R62">
        <v>4.08</v>
      </c>
      <c r="S62">
        <v>3.76</v>
      </c>
      <c r="T62">
        <v>29.5</v>
      </c>
      <c r="V62">
        <v>60.28</v>
      </c>
      <c r="W62">
        <v>60.98</v>
      </c>
    </row>
    <row r="63" spans="1:23" x14ac:dyDescent="0.3">
      <c r="A63">
        <v>30</v>
      </c>
      <c r="B63">
        <v>6.7966666666666669</v>
      </c>
      <c r="C63">
        <v>6.81</v>
      </c>
      <c r="D63">
        <v>6.03</v>
      </c>
      <c r="E63">
        <v>5.05</v>
      </c>
      <c r="O63">
        <v>60</v>
      </c>
      <c r="P63">
        <v>3.2666666666666671</v>
      </c>
      <c r="Q63">
        <v>1.85</v>
      </c>
      <c r="R63">
        <v>4.1500000000000004</v>
      </c>
      <c r="S63">
        <v>3.8</v>
      </c>
      <c r="T63">
        <v>30</v>
      </c>
      <c r="V63">
        <v>60.31</v>
      </c>
      <c r="W63">
        <v>60.99</v>
      </c>
    </row>
    <row r="64" spans="1:23" x14ac:dyDescent="0.3">
      <c r="A64">
        <v>30.5</v>
      </c>
      <c r="B64">
        <v>6.79</v>
      </c>
      <c r="C64">
        <v>6.82</v>
      </c>
      <c r="D64">
        <v>6.04</v>
      </c>
      <c r="E64">
        <v>5.09</v>
      </c>
      <c r="O64">
        <v>61</v>
      </c>
      <c r="P64">
        <v>3.23</v>
      </c>
      <c r="Q64">
        <v>1.86</v>
      </c>
      <c r="R64">
        <v>4.18</v>
      </c>
      <c r="S64">
        <v>3.8</v>
      </c>
      <c r="T64">
        <v>30.5</v>
      </c>
      <c r="V64">
        <v>60.37</v>
      </c>
      <c r="W64">
        <v>61.07</v>
      </c>
    </row>
    <row r="65" spans="1:23" x14ac:dyDescent="0.3">
      <c r="A65">
        <v>31</v>
      </c>
      <c r="B65">
        <v>6.79</v>
      </c>
      <c r="C65">
        <v>6.83</v>
      </c>
      <c r="D65">
        <v>6.12</v>
      </c>
      <c r="E65">
        <v>5.09</v>
      </c>
      <c r="O65">
        <v>62</v>
      </c>
      <c r="P65">
        <v>3.22</v>
      </c>
      <c r="Q65">
        <v>1.89</v>
      </c>
      <c r="R65">
        <v>4.21</v>
      </c>
      <c r="S65">
        <v>3.82</v>
      </c>
      <c r="T65">
        <v>31</v>
      </c>
      <c r="V65">
        <v>60.44</v>
      </c>
      <c r="W65">
        <v>61.15</v>
      </c>
    </row>
    <row r="66" spans="1:23" x14ac:dyDescent="0.3">
      <c r="A66">
        <v>31.5</v>
      </c>
      <c r="B66">
        <v>6.78</v>
      </c>
      <c r="C66">
        <v>6.83</v>
      </c>
      <c r="D66">
        <v>6.12</v>
      </c>
      <c r="E66">
        <v>5.1100000000000003</v>
      </c>
      <c r="O66">
        <v>63</v>
      </c>
      <c r="P66">
        <v>3.2066666666666666</v>
      </c>
      <c r="Q66">
        <v>1.89</v>
      </c>
      <c r="R66">
        <v>4.2300000000000004</v>
      </c>
      <c r="S66">
        <v>3.86</v>
      </c>
      <c r="T66">
        <v>31.5</v>
      </c>
      <c r="V66">
        <v>60.52</v>
      </c>
      <c r="W66">
        <v>61.2</v>
      </c>
    </row>
    <row r="67" spans="1:23" x14ac:dyDescent="0.3">
      <c r="A67">
        <v>32</v>
      </c>
      <c r="B67">
        <v>6.7600000000000007</v>
      </c>
      <c r="C67">
        <v>6.83</v>
      </c>
      <c r="D67">
        <v>6.12</v>
      </c>
      <c r="E67">
        <v>5.13</v>
      </c>
      <c r="O67">
        <v>64</v>
      </c>
      <c r="P67">
        <v>3.186666666666667</v>
      </c>
      <c r="Q67">
        <v>1.89</v>
      </c>
      <c r="R67">
        <v>4.26</v>
      </c>
      <c r="S67">
        <v>3.89</v>
      </c>
      <c r="T67">
        <v>32</v>
      </c>
      <c r="V67">
        <v>60.86</v>
      </c>
      <c r="W67">
        <v>61.27</v>
      </c>
    </row>
    <row r="68" spans="1:23" x14ac:dyDescent="0.3">
      <c r="A68">
        <v>32.5</v>
      </c>
      <c r="B68">
        <v>6.753333333333333</v>
      </c>
      <c r="C68">
        <v>6.84</v>
      </c>
      <c r="D68">
        <v>6.12</v>
      </c>
      <c r="E68">
        <v>5.15</v>
      </c>
      <c r="O68">
        <v>65</v>
      </c>
      <c r="P68">
        <v>3.1766666666666672</v>
      </c>
      <c r="Q68">
        <v>1.89</v>
      </c>
      <c r="R68">
        <v>4.29</v>
      </c>
      <c r="S68">
        <v>3.92</v>
      </c>
      <c r="T68">
        <v>32.5</v>
      </c>
      <c r="V68">
        <v>61.03</v>
      </c>
      <c r="W68">
        <v>61.35</v>
      </c>
    </row>
    <row r="69" spans="1:23" x14ac:dyDescent="0.3">
      <c r="A69">
        <v>33</v>
      </c>
      <c r="B69">
        <v>6.7433333333333332</v>
      </c>
      <c r="C69">
        <v>6.87</v>
      </c>
      <c r="D69">
        <v>6.13</v>
      </c>
      <c r="E69">
        <v>5.17</v>
      </c>
      <c r="O69">
        <v>66</v>
      </c>
      <c r="P69">
        <v>3.16</v>
      </c>
      <c r="Q69">
        <v>1.89</v>
      </c>
      <c r="R69">
        <v>4.3</v>
      </c>
      <c r="S69">
        <v>3.95</v>
      </c>
      <c r="T69">
        <v>33</v>
      </c>
      <c r="V69">
        <v>61.21</v>
      </c>
      <c r="W69">
        <v>61.37</v>
      </c>
    </row>
    <row r="70" spans="1:23" x14ac:dyDescent="0.3">
      <c r="A70">
        <v>33.5</v>
      </c>
      <c r="B70">
        <v>6.7366666666666672</v>
      </c>
      <c r="C70">
        <v>6.89</v>
      </c>
      <c r="D70">
        <v>6.19</v>
      </c>
      <c r="E70">
        <v>5.19</v>
      </c>
      <c r="O70">
        <v>67</v>
      </c>
      <c r="P70">
        <v>3.1366666666666667</v>
      </c>
      <c r="Q70">
        <v>1.88</v>
      </c>
      <c r="R70">
        <v>4.34</v>
      </c>
      <c r="S70">
        <v>4.01</v>
      </c>
      <c r="T70">
        <v>33.5</v>
      </c>
      <c r="V70">
        <v>61.26</v>
      </c>
      <c r="W70">
        <v>61.47</v>
      </c>
    </row>
    <row r="71" spans="1:23" x14ac:dyDescent="0.3">
      <c r="A71">
        <v>34</v>
      </c>
      <c r="B71">
        <v>6.73</v>
      </c>
      <c r="C71">
        <v>6.92</v>
      </c>
      <c r="D71">
        <v>6.14</v>
      </c>
      <c r="E71">
        <v>5.2</v>
      </c>
      <c r="O71">
        <v>68</v>
      </c>
      <c r="P71">
        <v>3.1166666666666667</v>
      </c>
      <c r="Q71">
        <v>1.89</v>
      </c>
      <c r="R71">
        <v>4.38</v>
      </c>
      <c r="S71">
        <v>4.04</v>
      </c>
      <c r="T71">
        <v>34</v>
      </c>
      <c r="V71">
        <v>61.34</v>
      </c>
      <c r="W71">
        <v>61.46</v>
      </c>
    </row>
    <row r="72" spans="1:23" x14ac:dyDescent="0.3">
      <c r="A72">
        <v>34.5</v>
      </c>
      <c r="B72">
        <v>6.7166666666666659</v>
      </c>
      <c r="C72">
        <v>6.99</v>
      </c>
      <c r="D72">
        <v>6.15</v>
      </c>
      <c r="E72">
        <v>5.24</v>
      </c>
      <c r="O72">
        <v>69</v>
      </c>
      <c r="P72">
        <v>3.1066666666666669</v>
      </c>
      <c r="Q72">
        <v>1.94</v>
      </c>
      <c r="R72">
        <v>4.41</v>
      </c>
      <c r="S72">
        <v>4.08</v>
      </c>
      <c r="T72">
        <v>34.5</v>
      </c>
      <c r="V72">
        <v>61.38</v>
      </c>
    </row>
    <row r="73" spans="1:23" x14ac:dyDescent="0.3">
      <c r="A73">
        <v>35</v>
      </c>
      <c r="B73">
        <v>6.706666666666667</v>
      </c>
      <c r="C73">
        <v>6.99</v>
      </c>
      <c r="D73">
        <v>6.16</v>
      </c>
      <c r="E73">
        <v>5.26</v>
      </c>
      <c r="O73">
        <v>70</v>
      </c>
      <c r="P73">
        <v>3.09</v>
      </c>
      <c r="Q73">
        <v>1.94</v>
      </c>
      <c r="R73">
        <v>4.43</v>
      </c>
      <c r="S73">
        <v>4.0999999999999996</v>
      </c>
      <c r="T73">
        <v>35</v>
      </c>
      <c r="V73">
        <v>61.43</v>
      </c>
    </row>
    <row r="74" spans="1:23" x14ac:dyDescent="0.3">
      <c r="A74">
        <v>35.5</v>
      </c>
      <c r="B74">
        <v>6.6966666666666663</v>
      </c>
      <c r="C74">
        <v>7.01</v>
      </c>
      <c r="D74">
        <v>6.18</v>
      </c>
      <c r="E74">
        <v>5.27</v>
      </c>
      <c r="O74">
        <v>71</v>
      </c>
      <c r="P74">
        <v>3.08</v>
      </c>
      <c r="Q74">
        <v>1.94</v>
      </c>
      <c r="R74">
        <v>4.4400000000000004</v>
      </c>
      <c r="S74">
        <v>4.13</v>
      </c>
      <c r="T74">
        <v>35.5</v>
      </c>
      <c r="V74">
        <v>61.47</v>
      </c>
    </row>
    <row r="75" spans="1:23" x14ac:dyDescent="0.3">
      <c r="A75">
        <v>36</v>
      </c>
      <c r="B75">
        <v>6.69</v>
      </c>
      <c r="C75">
        <v>7.03</v>
      </c>
      <c r="D75">
        <v>6.19</v>
      </c>
      <c r="E75">
        <v>5.28</v>
      </c>
      <c r="O75">
        <v>72</v>
      </c>
      <c r="P75">
        <v>3.0666666666666664</v>
      </c>
      <c r="Q75">
        <v>1.94</v>
      </c>
      <c r="R75">
        <v>4.46</v>
      </c>
      <c r="S75">
        <v>4.1500000000000004</v>
      </c>
      <c r="T75">
        <v>36</v>
      </c>
      <c r="V75">
        <v>61.5</v>
      </c>
    </row>
    <row r="76" spans="1:23" x14ac:dyDescent="0.3">
      <c r="A76">
        <v>36.5</v>
      </c>
      <c r="B76">
        <v>6.68</v>
      </c>
      <c r="C76">
        <v>7.04</v>
      </c>
      <c r="D76">
        <v>6.19</v>
      </c>
      <c r="E76">
        <v>5.31</v>
      </c>
      <c r="O76">
        <v>73</v>
      </c>
      <c r="P76">
        <v>3.0233333333333334</v>
      </c>
      <c r="Q76">
        <v>1.94</v>
      </c>
      <c r="R76">
        <v>4.4800000000000004</v>
      </c>
      <c r="S76">
        <v>4.16</v>
      </c>
      <c r="T76">
        <v>36.5</v>
      </c>
      <c r="V76">
        <v>61.52</v>
      </c>
    </row>
    <row r="77" spans="1:23" x14ac:dyDescent="0.3">
      <c r="A77">
        <v>37</v>
      </c>
      <c r="B77">
        <v>6.6566666666666663</v>
      </c>
      <c r="C77">
        <v>7.09</v>
      </c>
      <c r="D77">
        <v>6.2</v>
      </c>
      <c r="E77">
        <v>5.32</v>
      </c>
      <c r="O77">
        <v>74</v>
      </c>
      <c r="P77">
        <v>3.0066666666666664</v>
      </c>
      <c r="Q77">
        <v>1.94</v>
      </c>
      <c r="R77">
        <v>4.51</v>
      </c>
      <c r="S77">
        <v>4.21</v>
      </c>
      <c r="T77">
        <v>37</v>
      </c>
      <c r="V77">
        <v>61.55</v>
      </c>
    </row>
    <row r="78" spans="1:23" x14ac:dyDescent="0.3">
      <c r="A78">
        <v>37.5</v>
      </c>
      <c r="B78">
        <v>6.6499999999999995</v>
      </c>
      <c r="C78">
        <v>7.15</v>
      </c>
      <c r="D78">
        <v>6.21</v>
      </c>
      <c r="E78">
        <v>5.33</v>
      </c>
      <c r="O78">
        <v>75</v>
      </c>
      <c r="P78">
        <v>2.9899999999999998</v>
      </c>
      <c r="Q78">
        <v>1.94</v>
      </c>
      <c r="R78">
        <v>4.5599999999999996</v>
      </c>
      <c r="S78">
        <v>4.22</v>
      </c>
      <c r="T78">
        <v>37.5</v>
      </c>
      <c r="V78">
        <v>61.56</v>
      </c>
    </row>
    <row r="79" spans="1:23" x14ac:dyDescent="0.3">
      <c r="A79">
        <v>38</v>
      </c>
      <c r="B79">
        <v>6.623333333333334</v>
      </c>
      <c r="C79">
        <v>7.17</v>
      </c>
      <c r="D79">
        <v>6.22</v>
      </c>
      <c r="E79">
        <v>5.34</v>
      </c>
      <c r="O79">
        <v>76</v>
      </c>
      <c r="P79">
        <v>2.9766666666666666</v>
      </c>
      <c r="Q79">
        <v>1.96</v>
      </c>
      <c r="R79">
        <v>4.57</v>
      </c>
      <c r="S79">
        <v>4.22</v>
      </c>
      <c r="T79">
        <v>38</v>
      </c>
      <c r="V79">
        <v>61.59</v>
      </c>
    </row>
    <row r="80" spans="1:23" x14ac:dyDescent="0.3">
      <c r="A80">
        <v>38.5</v>
      </c>
      <c r="B80">
        <v>6.6133333333333333</v>
      </c>
      <c r="C80">
        <v>7.19</v>
      </c>
      <c r="D80">
        <v>6.22</v>
      </c>
      <c r="E80">
        <v>5.36</v>
      </c>
      <c r="O80">
        <v>77</v>
      </c>
      <c r="P80">
        <v>2.9599999999999995</v>
      </c>
      <c r="Q80">
        <v>1.98</v>
      </c>
      <c r="R80">
        <v>4.59</v>
      </c>
      <c r="S80">
        <v>4.2300000000000004</v>
      </c>
      <c r="T80">
        <v>38.5</v>
      </c>
      <c r="V80">
        <v>61.6</v>
      </c>
    </row>
    <row r="81" spans="1:22" x14ac:dyDescent="0.3">
      <c r="A81">
        <v>39</v>
      </c>
      <c r="B81">
        <v>6.5966666666666667</v>
      </c>
      <c r="C81">
        <v>7.22</v>
      </c>
      <c r="D81">
        <v>6.22</v>
      </c>
      <c r="E81">
        <v>5.36</v>
      </c>
      <c r="O81">
        <v>78</v>
      </c>
      <c r="P81">
        <v>2.9333333333333336</v>
      </c>
      <c r="Q81">
        <v>1.98</v>
      </c>
      <c r="R81">
        <v>4.62</v>
      </c>
      <c r="S81">
        <v>4.25</v>
      </c>
      <c r="T81">
        <v>39</v>
      </c>
      <c r="V81">
        <v>61.65</v>
      </c>
    </row>
    <row r="82" spans="1:22" x14ac:dyDescent="0.3">
      <c r="A82">
        <v>39.5</v>
      </c>
      <c r="B82">
        <v>6.5766666666666671</v>
      </c>
      <c r="C82">
        <v>7.23</v>
      </c>
      <c r="D82">
        <v>6.24</v>
      </c>
      <c r="E82">
        <v>5.38</v>
      </c>
      <c r="O82">
        <v>79</v>
      </c>
      <c r="P82">
        <v>2.8966666666666669</v>
      </c>
      <c r="Q82">
        <v>1.98</v>
      </c>
      <c r="R82">
        <v>4.63</v>
      </c>
      <c r="S82">
        <v>4.26</v>
      </c>
      <c r="T82">
        <v>39.5</v>
      </c>
      <c r="V82">
        <v>61.65</v>
      </c>
    </row>
    <row r="83" spans="1:22" x14ac:dyDescent="0.3">
      <c r="A83">
        <v>40</v>
      </c>
      <c r="B83">
        <v>6.57</v>
      </c>
      <c r="C83">
        <v>7.25</v>
      </c>
      <c r="D83">
        <v>6.24</v>
      </c>
      <c r="E83">
        <v>5.48</v>
      </c>
      <c r="O83">
        <v>80</v>
      </c>
      <c r="P83">
        <v>2.8800000000000003</v>
      </c>
      <c r="Q83">
        <v>2</v>
      </c>
      <c r="R83">
        <v>4.6399999999999997</v>
      </c>
      <c r="S83">
        <v>4.25</v>
      </c>
      <c r="T83">
        <v>40</v>
      </c>
      <c r="V83">
        <v>61.66</v>
      </c>
    </row>
    <row r="84" spans="1:22" x14ac:dyDescent="0.3">
      <c r="A84">
        <v>40.5</v>
      </c>
      <c r="B84">
        <v>6.55</v>
      </c>
      <c r="C84">
        <v>7.28</v>
      </c>
      <c r="D84">
        <v>6.25</v>
      </c>
      <c r="E84">
        <v>5.42</v>
      </c>
      <c r="O84">
        <v>81</v>
      </c>
      <c r="P84">
        <v>2.8633333333333333</v>
      </c>
      <c r="Q84">
        <v>2.02</v>
      </c>
      <c r="R84">
        <v>4.68</v>
      </c>
      <c r="S84">
        <v>4.2699999999999996</v>
      </c>
      <c r="T84">
        <v>40.5</v>
      </c>
      <c r="V84">
        <v>61.75</v>
      </c>
    </row>
    <row r="85" spans="1:22" x14ac:dyDescent="0.3">
      <c r="A85">
        <v>41</v>
      </c>
      <c r="B85">
        <v>6.5366666666666662</v>
      </c>
      <c r="C85">
        <v>7.31</v>
      </c>
      <c r="D85">
        <v>6.25</v>
      </c>
      <c r="E85">
        <v>5.48</v>
      </c>
      <c r="O85">
        <v>82</v>
      </c>
      <c r="P85">
        <v>2.8333333333333335</v>
      </c>
      <c r="Q85">
        <v>2.0699999999999998</v>
      </c>
      <c r="R85">
        <v>4.7</v>
      </c>
      <c r="S85">
        <v>4.3</v>
      </c>
    </row>
    <row r="86" spans="1:22" x14ac:dyDescent="0.3">
      <c r="A86">
        <v>41.5</v>
      </c>
      <c r="B86">
        <v>6.53</v>
      </c>
      <c r="C86">
        <v>7.32</v>
      </c>
      <c r="D86">
        <v>6.26</v>
      </c>
      <c r="E86">
        <v>5.43</v>
      </c>
      <c r="O86">
        <v>83</v>
      </c>
      <c r="P86">
        <v>2.8166666666666664</v>
      </c>
      <c r="Q86">
        <v>2.17</v>
      </c>
      <c r="R86">
        <v>4.71</v>
      </c>
      <c r="S86">
        <v>4.3</v>
      </c>
    </row>
    <row r="87" spans="1:22" x14ac:dyDescent="0.3">
      <c r="A87">
        <v>42</v>
      </c>
      <c r="B87">
        <v>6.52</v>
      </c>
      <c r="C87">
        <v>7.35</v>
      </c>
      <c r="D87">
        <v>6.26</v>
      </c>
      <c r="E87">
        <v>5.44</v>
      </c>
      <c r="O87">
        <v>84</v>
      </c>
      <c r="P87">
        <v>2.7933333333333334</v>
      </c>
      <c r="Q87">
        <v>2.2400000000000002</v>
      </c>
      <c r="R87">
        <v>4.74</v>
      </c>
      <c r="S87">
        <v>4.3099999999999996</v>
      </c>
    </row>
    <row r="88" spans="1:22" x14ac:dyDescent="0.3">
      <c r="A88">
        <v>42.5</v>
      </c>
      <c r="B88">
        <v>6.5066666666666668</v>
      </c>
      <c r="C88">
        <v>7.38</v>
      </c>
      <c r="D88">
        <v>6.27</v>
      </c>
      <c r="E88">
        <v>5.46</v>
      </c>
      <c r="O88">
        <v>85</v>
      </c>
      <c r="P88">
        <v>2.7533333333333334</v>
      </c>
      <c r="Q88">
        <v>2.29</v>
      </c>
      <c r="R88">
        <v>4.7699999999999996</v>
      </c>
      <c r="S88">
        <v>4.34</v>
      </c>
    </row>
    <row r="89" spans="1:22" x14ac:dyDescent="0.3">
      <c r="A89">
        <v>43</v>
      </c>
      <c r="B89">
        <v>6.4933333333333332</v>
      </c>
      <c r="C89">
        <v>7.39</v>
      </c>
      <c r="D89">
        <v>6.27</v>
      </c>
      <c r="E89">
        <v>5.49</v>
      </c>
      <c r="O89">
        <v>86</v>
      </c>
      <c r="P89">
        <v>2.7266666666666666</v>
      </c>
      <c r="Q89">
        <v>2.35</v>
      </c>
      <c r="R89">
        <v>4.78</v>
      </c>
      <c r="S89">
        <v>4.3499999999999996</v>
      </c>
    </row>
    <row r="90" spans="1:22" x14ac:dyDescent="0.3">
      <c r="A90">
        <v>43.5</v>
      </c>
      <c r="B90">
        <v>6.4899999999999993</v>
      </c>
      <c r="C90">
        <v>7.41</v>
      </c>
      <c r="D90">
        <v>6.27</v>
      </c>
      <c r="E90">
        <v>5.5</v>
      </c>
      <c r="O90">
        <v>87</v>
      </c>
      <c r="P90">
        <v>2.6933333333333334</v>
      </c>
      <c r="Q90">
        <v>2.39</v>
      </c>
      <c r="R90">
        <v>4.79</v>
      </c>
      <c r="S90">
        <v>4.3600000000000003</v>
      </c>
    </row>
    <row r="91" spans="1:22" x14ac:dyDescent="0.3">
      <c r="A91">
        <v>44</v>
      </c>
      <c r="B91">
        <v>6.4833333333333334</v>
      </c>
      <c r="C91">
        <v>7.46</v>
      </c>
      <c r="D91">
        <v>6.27</v>
      </c>
      <c r="E91">
        <v>5.53</v>
      </c>
      <c r="O91">
        <v>88</v>
      </c>
      <c r="P91">
        <v>2.6433333333333331</v>
      </c>
      <c r="Q91">
        <v>2.44</v>
      </c>
      <c r="R91">
        <v>4.82</v>
      </c>
      <c r="S91">
        <v>4.37</v>
      </c>
    </row>
    <row r="92" spans="1:22" x14ac:dyDescent="0.3">
      <c r="A92">
        <v>44.5</v>
      </c>
      <c r="B92">
        <v>6.456666666666667</v>
      </c>
      <c r="C92">
        <v>7.48</v>
      </c>
      <c r="D92">
        <v>6.28</v>
      </c>
      <c r="E92">
        <v>5.55</v>
      </c>
      <c r="O92">
        <v>89</v>
      </c>
      <c r="P92">
        <v>2.6166666666666667</v>
      </c>
      <c r="Q92">
        <v>2.5299999999999998</v>
      </c>
      <c r="R92">
        <v>4.8499999999999996</v>
      </c>
      <c r="S92">
        <v>4.4000000000000004</v>
      </c>
    </row>
    <row r="93" spans="1:22" x14ac:dyDescent="0.3">
      <c r="A93">
        <v>45</v>
      </c>
      <c r="B93">
        <v>6.4466666666666663</v>
      </c>
      <c r="C93">
        <v>7.5</v>
      </c>
      <c r="D93">
        <v>6.28</v>
      </c>
      <c r="E93">
        <v>5.56</v>
      </c>
      <c r="O93">
        <v>90</v>
      </c>
      <c r="P93">
        <v>2.5433333333333334</v>
      </c>
      <c r="Q93">
        <v>2.5</v>
      </c>
      <c r="R93">
        <v>4.8600000000000003</v>
      </c>
      <c r="S93">
        <v>4.42</v>
      </c>
    </row>
    <row r="94" spans="1:22" x14ac:dyDescent="0.3">
      <c r="A94">
        <v>45.5</v>
      </c>
      <c r="B94">
        <v>6.4366666666666674</v>
      </c>
      <c r="C94">
        <v>7.5</v>
      </c>
      <c r="D94">
        <v>6.28</v>
      </c>
      <c r="E94">
        <v>5.59</v>
      </c>
      <c r="O94">
        <v>91</v>
      </c>
      <c r="P94">
        <v>2.5099999999999998</v>
      </c>
      <c r="Q94">
        <v>2.69</v>
      </c>
      <c r="R94">
        <v>4.88</v>
      </c>
      <c r="S94">
        <v>4.45</v>
      </c>
    </row>
    <row r="95" spans="1:22" x14ac:dyDescent="0.3">
      <c r="A95">
        <v>46</v>
      </c>
      <c r="B95">
        <v>6.4200000000000008</v>
      </c>
      <c r="C95">
        <v>7.59</v>
      </c>
      <c r="D95">
        <v>6.28</v>
      </c>
      <c r="E95">
        <v>5.6</v>
      </c>
      <c r="O95">
        <v>92</v>
      </c>
      <c r="P95">
        <v>2.4833333333333334</v>
      </c>
      <c r="Q95">
        <v>2.73</v>
      </c>
      <c r="R95">
        <v>4.9000000000000004</v>
      </c>
      <c r="S95">
        <v>4.45</v>
      </c>
    </row>
    <row r="96" spans="1:22" x14ac:dyDescent="0.3">
      <c r="A96">
        <v>46.5</v>
      </c>
      <c r="B96">
        <v>6.3933333333333335</v>
      </c>
      <c r="C96">
        <v>7.56</v>
      </c>
      <c r="D96">
        <v>6.28</v>
      </c>
      <c r="E96">
        <v>5.61</v>
      </c>
      <c r="O96">
        <v>93</v>
      </c>
      <c r="P96">
        <v>2.44</v>
      </c>
      <c r="Q96">
        <v>2.79</v>
      </c>
      <c r="R96">
        <v>4.92</v>
      </c>
      <c r="S96">
        <v>4.45</v>
      </c>
    </row>
    <row r="97" spans="1:19" x14ac:dyDescent="0.3">
      <c r="A97">
        <v>47</v>
      </c>
      <c r="B97">
        <v>6.3833333333333329</v>
      </c>
      <c r="C97">
        <v>7.58</v>
      </c>
      <c r="D97">
        <v>6.28</v>
      </c>
      <c r="E97">
        <v>5.62</v>
      </c>
      <c r="O97">
        <v>94</v>
      </c>
      <c r="P97">
        <v>2.4</v>
      </c>
      <c r="Q97">
        <v>2.85</v>
      </c>
      <c r="R97">
        <v>4.9400000000000004</v>
      </c>
      <c r="S97">
        <v>4.46</v>
      </c>
    </row>
    <row r="98" spans="1:19" x14ac:dyDescent="0.3">
      <c r="A98">
        <v>47.5</v>
      </c>
      <c r="B98">
        <v>6.37</v>
      </c>
      <c r="C98">
        <v>7.59</v>
      </c>
      <c r="D98">
        <v>6.29</v>
      </c>
      <c r="E98">
        <v>5.64</v>
      </c>
      <c r="O98">
        <v>95</v>
      </c>
      <c r="P98">
        <v>2.3566666666666669</v>
      </c>
      <c r="Q98">
        <v>2.89</v>
      </c>
      <c r="R98">
        <v>4.97</v>
      </c>
      <c r="S98">
        <v>4.4800000000000004</v>
      </c>
    </row>
    <row r="99" spans="1:19" x14ac:dyDescent="0.3">
      <c r="A99">
        <v>48</v>
      </c>
      <c r="B99">
        <v>6.3500000000000005</v>
      </c>
      <c r="C99">
        <v>7.6</v>
      </c>
      <c r="D99">
        <v>6.3</v>
      </c>
      <c r="E99">
        <v>5.66</v>
      </c>
      <c r="O99">
        <v>96</v>
      </c>
      <c r="P99">
        <v>2.2933333333333334</v>
      </c>
      <c r="Q99">
        <v>2.95</v>
      </c>
      <c r="R99">
        <v>4.9800000000000004</v>
      </c>
      <c r="S99">
        <v>4.5</v>
      </c>
    </row>
    <row r="100" spans="1:19" x14ac:dyDescent="0.3">
      <c r="A100">
        <v>48.5</v>
      </c>
      <c r="B100">
        <v>6.3466666666666667</v>
      </c>
      <c r="C100">
        <v>7.62</v>
      </c>
      <c r="D100">
        <v>6.3</v>
      </c>
      <c r="E100">
        <v>5.67</v>
      </c>
      <c r="O100">
        <v>97</v>
      </c>
      <c r="P100">
        <v>2.2266666666666666</v>
      </c>
      <c r="Q100">
        <v>3.04</v>
      </c>
      <c r="R100">
        <v>5.01</v>
      </c>
      <c r="S100">
        <v>4.51</v>
      </c>
    </row>
    <row r="101" spans="1:19" x14ac:dyDescent="0.3">
      <c r="A101">
        <v>49</v>
      </c>
      <c r="B101">
        <v>6.336666666666666</v>
      </c>
      <c r="C101">
        <v>7.63</v>
      </c>
      <c r="D101">
        <v>6.31</v>
      </c>
      <c r="E101">
        <v>5.67</v>
      </c>
      <c r="O101">
        <v>98</v>
      </c>
      <c r="P101">
        <v>2.16</v>
      </c>
      <c r="Q101">
        <v>3.1</v>
      </c>
      <c r="R101">
        <v>5.0199999999999996</v>
      </c>
      <c r="S101">
        <v>4.53</v>
      </c>
    </row>
    <row r="102" spans="1:19" x14ac:dyDescent="0.3">
      <c r="A102">
        <v>49.5</v>
      </c>
      <c r="B102">
        <v>6.3233333333333333</v>
      </c>
      <c r="C102">
        <v>7.64</v>
      </c>
      <c r="D102">
        <v>6.31</v>
      </c>
      <c r="E102">
        <v>5.7</v>
      </c>
      <c r="O102">
        <v>99</v>
      </c>
      <c r="P102">
        <v>2.11</v>
      </c>
      <c r="Q102">
        <v>3.14</v>
      </c>
      <c r="R102">
        <v>5.03</v>
      </c>
      <c r="S102">
        <v>4.54</v>
      </c>
    </row>
    <row r="103" spans="1:19" x14ac:dyDescent="0.3">
      <c r="A103">
        <v>50</v>
      </c>
      <c r="B103">
        <v>6.3166666666666673</v>
      </c>
      <c r="C103">
        <v>7.66</v>
      </c>
      <c r="D103">
        <v>6.32</v>
      </c>
      <c r="E103">
        <v>5.73</v>
      </c>
      <c r="O103">
        <v>100</v>
      </c>
      <c r="P103">
        <v>2.06</v>
      </c>
      <c r="Q103">
        <v>3.17</v>
      </c>
      <c r="R103">
        <v>5.05</v>
      </c>
      <c r="S103">
        <v>4.55</v>
      </c>
    </row>
    <row r="104" spans="1:19" x14ac:dyDescent="0.3">
      <c r="A104">
        <v>50.5</v>
      </c>
      <c r="B104">
        <v>6.2833333333333341</v>
      </c>
      <c r="C104">
        <v>7.67</v>
      </c>
      <c r="D104">
        <v>6.33</v>
      </c>
      <c r="E104">
        <v>5.73</v>
      </c>
      <c r="O104">
        <v>101</v>
      </c>
      <c r="P104">
        <v>1.9833333333333334</v>
      </c>
      <c r="Q104">
        <v>3.22</v>
      </c>
      <c r="R104">
        <v>5.05</v>
      </c>
      <c r="S104">
        <v>4.5599999999999996</v>
      </c>
    </row>
    <row r="105" spans="1:19" x14ac:dyDescent="0.3">
      <c r="A105">
        <v>51</v>
      </c>
      <c r="B105">
        <v>6.2666666666666666</v>
      </c>
      <c r="C105">
        <v>7.71</v>
      </c>
      <c r="D105">
        <v>6.34</v>
      </c>
      <c r="E105">
        <v>5.74</v>
      </c>
      <c r="O105">
        <v>102</v>
      </c>
      <c r="P105">
        <v>1.9400000000000002</v>
      </c>
      <c r="Q105">
        <v>3.24</v>
      </c>
      <c r="R105">
        <v>5.0599999999999996</v>
      </c>
      <c r="S105">
        <v>4.57</v>
      </c>
    </row>
    <row r="106" spans="1:19" x14ac:dyDescent="0.3">
      <c r="A106">
        <v>51.5</v>
      </c>
      <c r="B106">
        <v>6.2566666666666668</v>
      </c>
      <c r="C106">
        <v>7.73</v>
      </c>
      <c r="D106">
        <v>6.34</v>
      </c>
      <c r="E106">
        <v>5.77</v>
      </c>
      <c r="O106">
        <v>103</v>
      </c>
      <c r="P106">
        <v>1.8633333333333333</v>
      </c>
      <c r="Q106">
        <v>3.29</v>
      </c>
      <c r="R106">
        <v>5.12</v>
      </c>
      <c r="S106">
        <v>4.59</v>
      </c>
    </row>
    <row r="107" spans="1:19" x14ac:dyDescent="0.3">
      <c r="A107">
        <v>52</v>
      </c>
      <c r="B107">
        <v>6.2433333333333332</v>
      </c>
      <c r="C107">
        <v>7.74</v>
      </c>
      <c r="D107">
        <v>6.35</v>
      </c>
      <c r="E107">
        <v>5.78</v>
      </c>
      <c r="O107">
        <v>104</v>
      </c>
      <c r="P107">
        <v>1.8166666666666667</v>
      </c>
      <c r="Q107">
        <v>3.34</v>
      </c>
      <c r="R107">
        <v>5.13</v>
      </c>
      <c r="S107">
        <v>4.59</v>
      </c>
    </row>
    <row r="108" spans="1:19" x14ac:dyDescent="0.3">
      <c r="A108">
        <v>52.5</v>
      </c>
      <c r="B108">
        <v>6.2299999999999995</v>
      </c>
      <c r="C108">
        <v>7.75</v>
      </c>
      <c r="D108">
        <v>6.36</v>
      </c>
      <c r="E108">
        <v>5.84</v>
      </c>
      <c r="O108">
        <v>105</v>
      </c>
      <c r="P108">
        <v>1.75</v>
      </c>
      <c r="Q108">
        <v>3.37</v>
      </c>
      <c r="R108">
        <v>5.16</v>
      </c>
      <c r="S108">
        <v>4.62</v>
      </c>
    </row>
    <row r="109" spans="1:19" x14ac:dyDescent="0.3">
      <c r="A109">
        <v>53</v>
      </c>
      <c r="B109">
        <v>6.2033333333333331</v>
      </c>
      <c r="C109">
        <v>7.77</v>
      </c>
      <c r="D109">
        <v>6.36</v>
      </c>
      <c r="E109">
        <v>5.84</v>
      </c>
      <c r="O109">
        <v>106</v>
      </c>
      <c r="P109">
        <v>1.68</v>
      </c>
      <c r="Q109">
        <v>3.42</v>
      </c>
      <c r="R109">
        <v>5.17</v>
      </c>
      <c r="S109">
        <v>4.63</v>
      </c>
    </row>
    <row r="110" spans="1:19" x14ac:dyDescent="0.3">
      <c r="A110">
        <v>53.5</v>
      </c>
      <c r="B110">
        <v>6.18</v>
      </c>
      <c r="C110">
        <v>7.79</v>
      </c>
      <c r="D110">
        <v>6.4</v>
      </c>
      <c r="E110">
        <v>5.85</v>
      </c>
      <c r="O110">
        <v>107</v>
      </c>
      <c r="P110">
        <v>1.6066666666666667</v>
      </c>
      <c r="Q110">
        <v>3.46</v>
      </c>
      <c r="R110">
        <v>5.18</v>
      </c>
      <c r="S110">
        <v>4.6399999999999997</v>
      </c>
    </row>
    <row r="111" spans="1:19" x14ac:dyDescent="0.3">
      <c r="A111">
        <v>54</v>
      </c>
      <c r="B111">
        <v>6.166666666666667</v>
      </c>
      <c r="C111">
        <v>7.8</v>
      </c>
      <c r="D111">
        <v>6.41</v>
      </c>
      <c r="E111">
        <v>5.86</v>
      </c>
      <c r="O111">
        <v>108</v>
      </c>
      <c r="P111">
        <v>1.5266666666666666</v>
      </c>
      <c r="Q111">
        <v>3.51</v>
      </c>
      <c r="R111">
        <v>5.18</v>
      </c>
      <c r="S111">
        <v>4.6399999999999997</v>
      </c>
    </row>
    <row r="112" spans="1:19" x14ac:dyDescent="0.3">
      <c r="A112">
        <v>54.5</v>
      </c>
      <c r="B112">
        <v>6.1533333333333333</v>
      </c>
      <c r="C112">
        <v>7.81</v>
      </c>
      <c r="D112">
        <v>6.42</v>
      </c>
      <c r="E112">
        <v>5.86</v>
      </c>
      <c r="O112">
        <v>109</v>
      </c>
      <c r="P112">
        <v>1.45</v>
      </c>
      <c r="Q112">
        <v>3.58</v>
      </c>
      <c r="R112">
        <v>5.21</v>
      </c>
      <c r="S112">
        <v>4.6399999999999997</v>
      </c>
    </row>
    <row r="113" spans="1:19" x14ac:dyDescent="0.3">
      <c r="A113">
        <v>55</v>
      </c>
      <c r="B113">
        <v>6.1366666666666667</v>
      </c>
      <c r="C113">
        <v>7.83</v>
      </c>
      <c r="D113">
        <v>6.42</v>
      </c>
      <c r="E113">
        <v>5.87</v>
      </c>
      <c r="O113">
        <v>110</v>
      </c>
      <c r="P113">
        <v>1.4000000000000001</v>
      </c>
      <c r="Q113">
        <v>3.63</v>
      </c>
      <c r="R113">
        <v>5.22</v>
      </c>
      <c r="S113">
        <v>4.66</v>
      </c>
    </row>
    <row r="114" spans="1:19" x14ac:dyDescent="0.3">
      <c r="A114">
        <v>55.5</v>
      </c>
      <c r="B114">
        <v>6.1266666666666678</v>
      </c>
      <c r="C114">
        <v>7.84</v>
      </c>
      <c r="D114">
        <v>6.43</v>
      </c>
      <c r="E114">
        <v>5.88</v>
      </c>
      <c r="O114">
        <v>111</v>
      </c>
      <c r="P114">
        <v>1.3133333333333332</v>
      </c>
      <c r="Q114">
        <v>3.7</v>
      </c>
      <c r="R114">
        <v>5.24</v>
      </c>
      <c r="S114">
        <v>4.6900000000000004</v>
      </c>
    </row>
    <row r="115" spans="1:19" x14ac:dyDescent="0.3">
      <c r="A115">
        <v>56</v>
      </c>
      <c r="B115">
        <v>6.09</v>
      </c>
      <c r="C115">
        <v>7.86</v>
      </c>
      <c r="D115">
        <v>6.44</v>
      </c>
      <c r="E115">
        <v>5.89</v>
      </c>
      <c r="O115">
        <v>112</v>
      </c>
      <c r="P115">
        <v>1.2366666666666668</v>
      </c>
      <c r="Q115">
        <v>3.75</v>
      </c>
      <c r="R115">
        <v>5.27</v>
      </c>
      <c r="S115">
        <v>4.6900000000000004</v>
      </c>
    </row>
    <row r="116" spans="1:19" x14ac:dyDescent="0.3">
      <c r="A116">
        <v>56.5</v>
      </c>
      <c r="B116">
        <v>6.086666666666666</v>
      </c>
      <c r="C116">
        <v>7.86</v>
      </c>
      <c r="D116">
        <v>6.45</v>
      </c>
      <c r="E116">
        <v>5.9</v>
      </c>
      <c r="O116">
        <v>113</v>
      </c>
      <c r="P116">
        <v>1.1466666666666665</v>
      </c>
      <c r="Q116">
        <v>3.81</v>
      </c>
      <c r="R116">
        <v>5.28</v>
      </c>
      <c r="S116">
        <v>4.6900000000000004</v>
      </c>
    </row>
    <row r="117" spans="1:19" x14ac:dyDescent="0.3">
      <c r="A117">
        <v>57</v>
      </c>
      <c r="B117">
        <v>6.0566666666666675</v>
      </c>
      <c r="C117">
        <v>7.87</v>
      </c>
      <c r="D117">
        <v>6.45</v>
      </c>
      <c r="E117">
        <v>5.91</v>
      </c>
      <c r="O117">
        <v>114</v>
      </c>
      <c r="P117">
        <v>1.05</v>
      </c>
      <c r="Q117">
        <v>3.9</v>
      </c>
      <c r="R117">
        <v>5.29</v>
      </c>
      <c r="S117">
        <v>4.7</v>
      </c>
    </row>
    <row r="118" spans="1:19" x14ac:dyDescent="0.3">
      <c r="A118">
        <v>57.5</v>
      </c>
      <c r="B118">
        <v>6.0366666666666662</v>
      </c>
      <c r="C118">
        <v>7.88</v>
      </c>
      <c r="D118">
        <v>6.46</v>
      </c>
      <c r="E118">
        <v>5.92</v>
      </c>
      <c r="O118">
        <v>115</v>
      </c>
      <c r="P118">
        <v>0.91</v>
      </c>
      <c r="Q118">
        <v>3.97</v>
      </c>
      <c r="R118">
        <v>5.32</v>
      </c>
      <c r="S118">
        <v>4.72</v>
      </c>
    </row>
    <row r="119" spans="1:19" x14ac:dyDescent="0.3">
      <c r="A119">
        <v>58</v>
      </c>
      <c r="B119">
        <v>6.0266666666666664</v>
      </c>
      <c r="C119">
        <v>7.89</v>
      </c>
      <c r="D119">
        <v>6.46</v>
      </c>
      <c r="E119">
        <v>5.93</v>
      </c>
      <c r="O119">
        <v>116</v>
      </c>
      <c r="P119">
        <v>0.76666666666666661</v>
      </c>
      <c r="Q119">
        <v>4.03</v>
      </c>
      <c r="R119">
        <v>5.32</v>
      </c>
      <c r="S119">
        <v>4.74</v>
      </c>
    </row>
    <row r="120" spans="1:19" x14ac:dyDescent="0.3">
      <c r="A120">
        <v>58.5</v>
      </c>
      <c r="B120">
        <v>6.02</v>
      </c>
      <c r="C120">
        <v>7.92</v>
      </c>
      <c r="D120">
        <v>6.48</v>
      </c>
      <c r="E120">
        <v>5.94</v>
      </c>
      <c r="O120">
        <v>117</v>
      </c>
      <c r="P120">
        <v>0.56333333333333335</v>
      </c>
      <c r="Q120">
        <v>4.07</v>
      </c>
      <c r="R120">
        <v>5.33</v>
      </c>
      <c r="S120">
        <v>4.7300000000000004</v>
      </c>
    </row>
    <row r="121" spans="1:19" x14ac:dyDescent="0.3">
      <c r="A121">
        <v>59</v>
      </c>
      <c r="B121">
        <v>6.0133333333333328</v>
      </c>
      <c r="C121">
        <v>7.92</v>
      </c>
      <c r="D121">
        <v>6.48</v>
      </c>
      <c r="E121">
        <v>5.97</v>
      </c>
      <c r="O121">
        <v>118</v>
      </c>
      <c r="P121">
        <v>0.39666666666666667</v>
      </c>
      <c r="Q121">
        <v>4.13</v>
      </c>
      <c r="R121">
        <v>5.36</v>
      </c>
      <c r="S121">
        <v>4.7300000000000004</v>
      </c>
    </row>
    <row r="122" spans="1:19" x14ac:dyDescent="0.3">
      <c r="A122">
        <v>59.5</v>
      </c>
      <c r="B122">
        <v>5.9833333333333334</v>
      </c>
      <c r="C122">
        <v>7.92</v>
      </c>
      <c r="D122">
        <v>6.48</v>
      </c>
      <c r="E122">
        <v>5.97</v>
      </c>
      <c r="O122">
        <v>119</v>
      </c>
      <c r="P122">
        <v>0.22666666666666666</v>
      </c>
      <c r="Q122">
        <v>4.17</v>
      </c>
      <c r="R122">
        <v>5.36</v>
      </c>
      <c r="S122">
        <v>4.75</v>
      </c>
    </row>
    <row r="123" spans="1:19" x14ac:dyDescent="0.3">
      <c r="A123">
        <v>60</v>
      </c>
      <c r="B123">
        <v>5.9633333333333338</v>
      </c>
      <c r="C123">
        <v>7.92</v>
      </c>
      <c r="D123">
        <v>6.49</v>
      </c>
      <c r="E123">
        <v>5.98</v>
      </c>
      <c r="O123">
        <v>120</v>
      </c>
      <c r="P123">
        <v>0</v>
      </c>
      <c r="Q123">
        <v>4.2699999999999996</v>
      </c>
      <c r="R123">
        <v>5.36</v>
      </c>
      <c r="S123">
        <v>4.79</v>
      </c>
    </row>
    <row r="124" spans="1:19" x14ac:dyDescent="0.3">
      <c r="A124">
        <v>60.5</v>
      </c>
      <c r="B124">
        <v>5.9466666666666663</v>
      </c>
      <c r="C124">
        <v>7.93</v>
      </c>
      <c r="D124">
        <v>6.5</v>
      </c>
      <c r="E124">
        <v>5.99</v>
      </c>
    </row>
    <row r="125" spans="1:19" x14ac:dyDescent="0.3">
      <c r="A125">
        <v>61</v>
      </c>
      <c r="B125">
        <v>5.93</v>
      </c>
      <c r="C125">
        <v>7.95</v>
      </c>
      <c r="D125">
        <v>6.5</v>
      </c>
      <c r="E125">
        <v>6.02</v>
      </c>
    </row>
    <row r="126" spans="1:19" x14ac:dyDescent="0.3">
      <c r="A126">
        <v>61.5</v>
      </c>
      <c r="B126">
        <v>5.9066666666666663</v>
      </c>
      <c r="C126">
        <v>7.96</v>
      </c>
      <c r="D126">
        <v>6.52</v>
      </c>
      <c r="E126">
        <v>6.03</v>
      </c>
    </row>
    <row r="127" spans="1:19" x14ac:dyDescent="0.3">
      <c r="A127">
        <v>62</v>
      </c>
      <c r="B127">
        <v>5.8933333333333335</v>
      </c>
      <c r="C127">
        <v>7.98</v>
      </c>
      <c r="D127">
        <v>6.52</v>
      </c>
      <c r="E127">
        <v>6.04</v>
      </c>
    </row>
    <row r="128" spans="1:19" x14ac:dyDescent="0.3">
      <c r="A128">
        <v>62.5</v>
      </c>
      <c r="B128">
        <v>5.87</v>
      </c>
      <c r="C128">
        <v>7.98</v>
      </c>
      <c r="D128">
        <v>6.52</v>
      </c>
      <c r="E128">
        <v>6.05</v>
      </c>
    </row>
    <row r="129" spans="1:5" x14ac:dyDescent="0.3">
      <c r="A129">
        <v>63</v>
      </c>
      <c r="B129">
        <v>5.8533333333333344</v>
      </c>
      <c r="C129">
        <v>7.99</v>
      </c>
      <c r="D129">
        <v>6.53</v>
      </c>
      <c r="E129">
        <v>6.07</v>
      </c>
    </row>
    <row r="130" spans="1:5" x14ac:dyDescent="0.3">
      <c r="A130">
        <v>63.5</v>
      </c>
      <c r="B130">
        <v>5.833333333333333</v>
      </c>
      <c r="C130">
        <v>8</v>
      </c>
      <c r="D130">
        <v>6.53</v>
      </c>
      <c r="E130">
        <v>6.12</v>
      </c>
    </row>
    <row r="131" spans="1:5" x14ac:dyDescent="0.3">
      <c r="A131">
        <v>64</v>
      </c>
      <c r="B131">
        <v>5.7966666666666669</v>
      </c>
      <c r="C131">
        <v>8.01</v>
      </c>
      <c r="D131">
        <v>6.54</v>
      </c>
      <c r="E131">
        <v>6.12</v>
      </c>
    </row>
    <row r="132" spans="1:5" x14ac:dyDescent="0.3">
      <c r="A132">
        <v>64.5</v>
      </c>
      <c r="B132">
        <v>5.7866666666666662</v>
      </c>
      <c r="C132">
        <v>8.02</v>
      </c>
      <c r="D132">
        <v>6.55</v>
      </c>
      <c r="E132">
        <v>6.12</v>
      </c>
    </row>
    <row r="133" spans="1:5" x14ac:dyDescent="0.3">
      <c r="A133">
        <v>65</v>
      </c>
      <c r="B133">
        <v>5.7600000000000007</v>
      </c>
      <c r="C133">
        <v>8.06</v>
      </c>
      <c r="D133">
        <v>6.56</v>
      </c>
      <c r="E133">
        <v>6.13</v>
      </c>
    </row>
    <row r="134" spans="1:5" x14ac:dyDescent="0.3">
      <c r="A134">
        <v>65.5</v>
      </c>
      <c r="B134">
        <v>5.7066666666666661</v>
      </c>
      <c r="C134">
        <v>8.08</v>
      </c>
      <c r="D134">
        <v>6.57</v>
      </c>
      <c r="E134">
        <v>6.14</v>
      </c>
    </row>
    <row r="135" spans="1:5" x14ac:dyDescent="0.3">
      <c r="A135">
        <v>66</v>
      </c>
      <c r="B135">
        <v>5.7033333333333331</v>
      </c>
      <c r="C135">
        <v>8.08</v>
      </c>
      <c r="D135">
        <v>6.57</v>
      </c>
      <c r="E135">
        <v>6.14</v>
      </c>
    </row>
    <row r="136" spans="1:5" x14ac:dyDescent="0.3">
      <c r="A136">
        <v>66.5</v>
      </c>
      <c r="B136">
        <v>5.6966666666666663</v>
      </c>
      <c r="C136">
        <v>8.08</v>
      </c>
      <c r="D136">
        <v>6.58</v>
      </c>
      <c r="E136">
        <v>6.19</v>
      </c>
    </row>
    <row r="137" spans="1:5" x14ac:dyDescent="0.3">
      <c r="A137">
        <v>67</v>
      </c>
      <c r="B137">
        <v>5.6500000000000012</v>
      </c>
      <c r="C137">
        <v>8.09</v>
      </c>
      <c r="D137">
        <v>6.58</v>
      </c>
      <c r="E137">
        <v>6.19</v>
      </c>
    </row>
    <row r="138" spans="1:5" x14ac:dyDescent="0.3">
      <c r="A138">
        <v>67.5</v>
      </c>
      <c r="B138">
        <v>5.6099999999999994</v>
      </c>
      <c r="C138">
        <v>8.1</v>
      </c>
      <c r="D138">
        <v>6.58</v>
      </c>
      <c r="E138">
        <v>6.19</v>
      </c>
    </row>
    <row r="139" spans="1:5" x14ac:dyDescent="0.3">
      <c r="A139">
        <v>68</v>
      </c>
      <c r="B139">
        <v>5.5933333333333337</v>
      </c>
      <c r="C139">
        <v>8.11</v>
      </c>
      <c r="D139">
        <v>6.58</v>
      </c>
      <c r="E139">
        <v>6.2</v>
      </c>
    </row>
    <row r="140" spans="1:5" x14ac:dyDescent="0.3">
      <c r="A140">
        <v>68.5</v>
      </c>
      <c r="B140">
        <v>5.55</v>
      </c>
      <c r="C140">
        <v>8.11</v>
      </c>
      <c r="D140">
        <v>6.58</v>
      </c>
      <c r="E140">
        <v>6.2</v>
      </c>
    </row>
    <row r="141" spans="1:5" x14ac:dyDescent="0.3">
      <c r="A141">
        <v>69</v>
      </c>
      <c r="B141">
        <v>5.54</v>
      </c>
      <c r="C141">
        <v>8.1199999999999992</v>
      </c>
      <c r="D141">
        <v>6.59</v>
      </c>
      <c r="E141">
        <v>6.22</v>
      </c>
    </row>
    <row r="142" spans="1:5" x14ac:dyDescent="0.3">
      <c r="A142">
        <v>69.5</v>
      </c>
      <c r="B142">
        <v>5.4733333333333336</v>
      </c>
      <c r="C142">
        <v>8.1300000000000008</v>
      </c>
      <c r="D142">
        <v>6.59</v>
      </c>
      <c r="E142">
        <v>6.22</v>
      </c>
    </row>
    <row r="143" spans="1:5" x14ac:dyDescent="0.3">
      <c r="A143">
        <v>70</v>
      </c>
      <c r="B143">
        <v>5.43</v>
      </c>
      <c r="C143">
        <v>8.14</v>
      </c>
      <c r="D143">
        <v>6.61</v>
      </c>
      <c r="E143">
        <v>6.22</v>
      </c>
    </row>
    <row r="144" spans="1:5" x14ac:dyDescent="0.3">
      <c r="A144">
        <v>70.5</v>
      </c>
      <c r="B144">
        <v>5.3666666666666671</v>
      </c>
      <c r="C144">
        <v>8.15</v>
      </c>
      <c r="D144">
        <v>6.61</v>
      </c>
      <c r="E144">
        <v>6.23</v>
      </c>
    </row>
    <row r="145" spans="1:5" x14ac:dyDescent="0.3">
      <c r="A145">
        <v>71</v>
      </c>
      <c r="B145">
        <v>5.32</v>
      </c>
      <c r="C145">
        <v>8.16</v>
      </c>
      <c r="D145">
        <v>6.62</v>
      </c>
      <c r="E145">
        <v>6.25</v>
      </c>
    </row>
    <row r="146" spans="1:5" x14ac:dyDescent="0.3">
      <c r="A146">
        <v>71.5</v>
      </c>
      <c r="B146">
        <v>5.2666666666666666</v>
      </c>
      <c r="C146">
        <v>8.16</v>
      </c>
      <c r="D146">
        <v>6.63</v>
      </c>
      <c r="E146">
        <v>6.26</v>
      </c>
    </row>
    <row r="147" spans="1:5" x14ac:dyDescent="0.3">
      <c r="A147">
        <v>72</v>
      </c>
      <c r="B147">
        <v>5.2033333333333331</v>
      </c>
      <c r="C147">
        <v>8.16</v>
      </c>
      <c r="D147">
        <v>6.64</v>
      </c>
      <c r="E147">
        <v>6.27</v>
      </c>
    </row>
    <row r="148" spans="1:5" x14ac:dyDescent="0.3">
      <c r="A148">
        <v>72.5</v>
      </c>
      <c r="B148">
        <v>5.1466666666666674</v>
      </c>
      <c r="C148">
        <v>8.16</v>
      </c>
      <c r="D148">
        <v>6.64</v>
      </c>
      <c r="E148">
        <v>6.28</v>
      </c>
    </row>
    <row r="149" spans="1:5" x14ac:dyDescent="0.3">
      <c r="A149">
        <v>73</v>
      </c>
      <c r="B149">
        <v>5.07</v>
      </c>
      <c r="C149">
        <v>8.17</v>
      </c>
      <c r="D149">
        <v>6.64</v>
      </c>
      <c r="E149">
        <v>6.28</v>
      </c>
    </row>
    <row r="150" spans="1:5" x14ac:dyDescent="0.3">
      <c r="A150">
        <v>73.5</v>
      </c>
      <c r="B150">
        <v>5.0133333333333336</v>
      </c>
      <c r="C150">
        <v>8.18</v>
      </c>
      <c r="D150">
        <v>6.65</v>
      </c>
      <c r="E150">
        <v>6.29</v>
      </c>
    </row>
    <row r="151" spans="1:5" x14ac:dyDescent="0.3">
      <c r="A151">
        <v>74</v>
      </c>
      <c r="B151">
        <v>4.95</v>
      </c>
      <c r="C151">
        <v>8.1999999999999993</v>
      </c>
      <c r="D151">
        <v>6.66</v>
      </c>
      <c r="E151">
        <v>6.28</v>
      </c>
    </row>
    <row r="152" spans="1:5" x14ac:dyDescent="0.3">
      <c r="A152">
        <v>74.5</v>
      </c>
      <c r="B152">
        <v>4.9000000000000004</v>
      </c>
      <c r="C152">
        <v>8.2100000000000009</v>
      </c>
      <c r="D152">
        <v>6.66</v>
      </c>
      <c r="E152">
        <v>6.29</v>
      </c>
    </row>
    <row r="153" spans="1:5" x14ac:dyDescent="0.3">
      <c r="A153">
        <v>75</v>
      </c>
      <c r="B153">
        <v>4.83</v>
      </c>
      <c r="C153">
        <v>8.2200000000000006</v>
      </c>
      <c r="D153">
        <v>6.67</v>
      </c>
      <c r="E153">
        <v>6.3</v>
      </c>
    </row>
    <row r="154" spans="1:5" x14ac:dyDescent="0.3">
      <c r="A154">
        <v>75.5</v>
      </c>
      <c r="B154">
        <v>4.7699999999999996</v>
      </c>
      <c r="C154">
        <v>8.2200000000000006</v>
      </c>
      <c r="D154">
        <v>6.68</v>
      </c>
      <c r="E154">
        <v>6.31</v>
      </c>
    </row>
    <row r="155" spans="1:5" x14ac:dyDescent="0.3">
      <c r="A155">
        <v>76</v>
      </c>
      <c r="B155">
        <v>4.6966666666666663</v>
      </c>
      <c r="C155">
        <v>8.2200000000000006</v>
      </c>
      <c r="D155">
        <v>6.71</v>
      </c>
      <c r="E155">
        <v>6.31</v>
      </c>
    </row>
    <row r="156" spans="1:5" x14ac:dyDescent="0.3">
      <c r="A156">
        <v>76.5</v>
      </c>
      <c r="B156">
        <v>4.6233333333333331</v>
      </c>
      <c r="C156">
        <v>8.2200000000000006</v>
      </c>
      <c r="D156">
        <v>6.71</v>
      </c>
      <c r="E156">
        <v>6.31</v>
      </c>
    </row>
    <row r="157" spans="1:5" x14ac:dyDescent="0.3">
      <c r="A157">
        <v>77</v>
      </c>
      <c r="B157">
        <v>4.54</v>
      </c>
      <c r="C157">
        <v>8.2200000000000006</v>
      </c>
      <c r="D157">
        <v>6.72</v>
      </c>
      <c r="E157">
        <v>6.32</v>
      </c>
    </row>
    <row r="158" spans="1:5" x14ac:dyDescent="0.3">
      <c r="A158">
        <v>77.5</v>
      </c>
      <c r="B158">
        <v>4.4466666666666663</v>
      </c>
      <c r="C158">
        <v>8.2200000000000006</v>
      </c>
      <c r="D158">
        <v>6.72</v>
      </c>
      <c r="E158">
        <v>6.32</v>
      </c>
    </row>
    <row r="159" spans="1:5" x14ac:dyDescent="0.3">
      <c r="A159">
        <v>78</v>
      </c>
      <c r="B159">
        <v>4.3633333333333333</v>
      </c>
      <c r="C159">
        <v>8.2200000000000006</v>
      </c>
      <c r="D159">
        <v>6.73</v>
      </c>
      <c r="E159">
        <v>6.32</v>
      </c>
    </row>
    <row r="160" spans="1:5" x14ac:dyDescent="0.3">
      <c r="A160">
        <v>78.5</v>
      </c>
      <c r="B160">
        <v>4.2700000000000005</v>
      </c>
      <c r="C160">
        <v>8.2200000000000006</v>
      </c>
      <c r="D160">
        <v>6.73</v>
      </c>
      <c r="E160">
        <v>6.33</v>
      </c>
    </row>
    <row r="161" spans="1:5" x14ac:dyDescent="0.3">
      <c r="A161">
        <v>79</v>
      </c>
      <c r="B161">
        <v>4.2033333333333331</v>
      </c>
      <c r="C161">
        <v>8.2200000000000006</v>
      </c>
      <c r="D161">
        <v>6.74</v>
      </c>
      <c r="E161">
        <v>6.33</v>
      </c>
    </row>
    <row r="162" spans="1:5" x14ac:dyDescent="0.3">
      <c r="A162">
        <v>79.5</v>
      </c>
      <c r="B162">
        <v>4.043333333333333</v>
      </c>
      <c r="C162">
        <v>8.24</v>
      </c>
      <c r="D162">
        <v>6.75</v>
      </c>
      <c r="E162">
        <v>6.34</v>
      </c>
    </row>
    <row r="163" spans="1:5" x14ac:dyDescent="0.3">
      <c r="A163">
        <v>80</v>
      </c>
      <c r="B163">
        <v>3.9266666666666672</v>
      </c>
      <c r="C163">
        <v>8.25</v>
      </c>
      <c r="D163">
        <v>6.75</v>
      </c>
      <c r="E163">
        <v>6.34</v>
      </c>
    </row>
    <row r="164" spans="1:5" x14ac:dyDescent="0.3">
      <c r="A164">
        <v>80.5</v>
      </c>
      <c r="B164">
        <v>3.8733333333333335</v>
      </c>
      <c r="C164">
        <v>8.26</v>
      </c>
      <c r="D164">
        <v>6.75</v>
      </c>
      <c r="E164">
        <v>6.34</v>
      </c>
    </row>
    <row r="165" spans="1:5" x14ac:dyDescent="0.3">
      <c r="A165">
        <v>81</v>
      </c>
      <c r="B165">
        <v>3.7433333333333336</v>
      </c>
      <c r="C165">
        <v>8.27</v>
      </c>
      <c r="D165">
        <v>6.75</v>
      </c>
      <c r="E165">
        <v>6.34</v>
      </c>
    </row>
    <row r="166" spans="1:5" x14ac:dyDescent="0.3">
      <c r="A166">
        <v>81.5</v>
      </c>
      <c r="B166">
        <v>3.6066666666666669</v>
      </c>
      <c r="C166">
        <v>8.27</v>
      </c>
      <c r="D166">
        <v>6.76</v>
      </c>
      <c r="E166">
        <v>6.34</v>
      </c>
    </row>
    <row r="167" spans="1:5" x14ac:dyDescent="0.3">
      <c r="A167">
        <v>82</v>
      </c>
      <c r="B167">
        <v>3.4500000000000006</v>
      </c>
      <c r="C167">
        <v>8.2799999999999994</v>
      </c>
      <c r="D167">
        <v>6.77</v>
      </c>
      <c r="E167">
        <v>6.34</v>
      </c>
    </row>
    <row r="168" spans="1:5" x14ac:dyDescent="0.3">
      <c r="A168">
        <v>82.5</v>
      </c>
      <c r="B168">
        <v>3.31</v>
      </c>
      <c r="C168">
        <v>8.2899999999999991</v>
      </c>
      <c r="D168">
        <v>6.77</v>
      </c>
      <c r="E168">
        <v>6.34</v>
      </c>
    </row>
    <row r="169" spans="1:5" x14ac:dyDescent="0.3">
      <c r="A169">
        <v>83</v>
      </c>
      <c r="B169">
        <v>3.2000000000000006</v>
      </c>
      <c r="C169">
        <v>8.3000000000000007</v>
      </c>
      <c r="D169">
        <v>6.77</v>
      </c>
      <c r="E169">
        <v>6.35</v>
      </c>
    </row>
    <row r="170" spans="1:5" x14ac:dyDescent="0.3">
      <c r="A170">
        <v>83.5</v>
      </c>
      <c r="B170">
        <v>3.0500000000000003</v>
      </c>
      <c r="C170">
        <v>8.32</v>
      </c>
      <c r="D170">
        <v>6.77</v>
      </c>
      <c r="E170">
        <v>6.35</v>
      </c>
    </row>
    <row r="171" spans="1:5" x14ac:dyDescent="0.3">
      <c r="A171">
        <v>84</v>
      </c>
      <c r="B171">
        <v>2.8833333333333333</v>
      </c>
      <c r="C171">
        <v>8.32</v>
      </c>
      <c r="D171">
        <v>6.77</v>
      </c>
      <c r="E171">
        <v>6.36</v>
      </c>
    </row>
    <row r="172" spans="1:5" x14ac:dyDescent="0.3">
      <c r="A172">
        <v>84.5</v>
      </c>
      <c r="B172">
        <v>2.7100000000000004</v>
      </c>
      <c r="C172">
        <v>8.33</v>
      </c>
      <c r="D172">
        <v>6.77</v>
      </c>
      <c r="E172">
        <v>6.36</v>
      </c>
    </row>
    <row r="173" spans="1:5" x14ac:dyDescent="0.3">
      <c r="A173">
        <v>85</v>
      </c>
      <c r="B173">
        <v>2.5166666666666666</v>
      </c>
      <c r="C173">
        <v>8.33</v>
      </c>
      <c r="D173">
        <v>6.77</v>
      </c>
      <c r="E173">
        <v>6.37</v>
      </c>
    </row>
    <row r="174" spans="1:5" x14ac:dyDescent="0.3">
      <c r="A174">
        <v>85.5</v>
      </c>
      <c r="B174">
        <v>2.35</v>
      </c>
      <c r="C174">
        <v>8.33</v>
      </c>
      <c r="D174">
        <v>6.78</v>
      </c>
      <c r="E174">
        <v>6.37</v>
      </c>
    </row>
    <row r="175" spans="1:5" x14ac:dyDescent="0.3">
      <c r="A175">
        <v>86</v>
      </c>
      <c r="B175">
        <v>2.08</v>
      </c>
      <c r="C175">
        <v>8.34</v>
      </c>
      <c r="D175">
        <v>6.78</v>
      </c>
      <c r="E175">
        <v>6.37</v>
      </c>
    </row>
    <row r="176" spans="1:5" x14ac:dyDescent="0.3">
      <c r="A176">
        <v>86.5</v>
      </c>
      <c r="B176">
        <v>1.8866666666666667</v>
      </c>
      <c r="C176">
        <v>8.35</v>
      </c>
      <c r="D176">
        <v>6.79</v>
      </c>
      <c r="E176">
        <v>6.38</v>
      </c>
    </row>
    <row r="177" spans="1:5" x14ac:dyDescent="0.3">
      <c r="A177">
        <v>87</v>
      </c>
      <c r="B177">
        <v>1.6533333333333333</v>
      </c>
      <c r="C177">
        <v>8.35</v>
      </c>
      <c r="D177">
        <v>6.79</v>
      </c>
      <c r="E177">
        <v>6.38</v>
      </c>
    </row>
    <row r="178" spans="1:5" x14ac:dyDescent="0.3">
      <c r="A178">
        <v>87.5</v>
      </c>
      <c r="B178">
        <v>1.4666666666666668</v>
      </c>
      <c r="C178">
        <v>8.39</v>
      </c>
      <c r="D178">
        <v>6.8</v>
      </c>
      <c r="E178">
        <v>6.38</v>
      </c>
    </row>
    <row r="179" spans="1:5" x14ac:dyDescent="0.3">
      <c r="A179">
        <v>88</v>
      </c>
      <c r="B179">
        <v>1.1566666666666665</v>
      </c>
      <c r="C179">
        <v>8.39</v>
      </c>
      <c r="D179">
        <v>6.8</v>
      </c>
      <c r="E179">
        <v>6.39</v>
      </c>
    </row>
    <row r="180" spans="1:5" x14ac:dyDescent="0.3">
      <c r="A180">
        <v>88.5</v>
      </c>
      <c r="B180">
        <v>0.92666666666666664</v>
      </c>
      <c r="C180">
        <v>8.39</v>
      </c>
      <c r="D180">
        <v>6.81</v>
      </c>
      <c r="E180">
        <v>6.4</v>
      </c>
    </row>
    <row r="181" spans="1:5" x14ac:dyDescent="0.3">
      <c r="A181">
        <v>89</v>
      </c>
      <c r="B181">
        <v>0.62</v>
      </c>
      <c r="C181">
        <v>8.39</v>
      </c>
      <c r="D181">
        <v>6.81</v>
      </c>
      <c r="E181">
        <v>6.4</v>
      </c>
    </row>
    <row r="182" spans="1:5" x14ac:dyDescent="0.3">
      <c r="A182">
        <v>89.5</v>
      </c>
      <c r="B182">
        <v>0.36000000000000004</v>
      </c>
      <c r="C182">
        <v>8.39</v>
      </c>
      <c r="D182">
        <v>6.82</v>
      </c>
      <c r="E182">
        <v>6.4</v>
      </c>
    </row>
    <row r="183" spans="1:5" x14ac:dyDescent="0.3">
      <c r="A183">
        <v>90</v>
      </c>
      <c r="B183">
        <v>0</v>
      </c>
      <c r="C183">
        <v>8.4</v>
      </c>
      <c r="D183">
        <v>6.82</v>
      </c>
      <c r="E183">
        <v>6.4</v>
      </c>
    </row>
  </sheetData>
  <sortState ref="U3:U43">
    <sortCondition descending="1" ref="U3:U43"/>
  </sortState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Sayfa1</vt:lpstr>
      <vt:lpstr>Sayfa2</vt:lpstr>
      <vt:lpstr>Sayfa3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HP Inc.</cp:lastModifiedBy>
  <cp:lastPrinted>2026-04-03T12:43:28Z</cp:lastPrinted>
  <dcterms:created xsi:type="dcterms:W3CDTF">2026-03-25T12:20:15Z</dcterms:created>
  <dcterms:modified xsi:type="dcterms:W3CDTF">2026-04-10T10:34:18Z</dcterms:modified>
</cp:coreProperties>
</file>