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10 mL" sheetId="1" r:id="rId1"/>
    <sheet name="20 mL" sheetId="2" r:id="rId2"/>
    <sheet name="60 m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1" l="1"/>
  <c r="T4" i="1"/>
  <c r="T9" i="1" s="1"/>
  <c r="T7" i="1"/>
  <c r="N52" i="2" l="1"/>
  <c r="N16" i="2"/>
  <c r="N3" i="1" l="1"/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3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3" i="1"/>
  <c r="N45" i="1"/>
  <c r="N4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6" i="1"/>
  <c r="O25" i="3"/>
  <c r="O15" i="3"/>
  <c r="O3" i="3" l="1"/>
  <c r="O13" i="3"/>
  <c r="O4" i="3"/>
  <c r="O5" i="3"/>
  <c r="O17" i="3"/>
  <c r="O18" i="3"/>
  <c r="N3" i="3"/>
  <c r="N25" i="3"/>
  <c r="O24" i="3"/>
  <c r="N4" i="3"/>
  <c r="N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N14" i="3"/>
  <c r="O14" i="3"/>
  <c r="N15" i="3"/>
  <c r="N16" i="3"/>
  <c r="O16" i="3"/>
  <c r="N17" i="3"/>
  <c r="N18" i="3"/>
  <c r="N19" i="3"/>
  <c r="O19" i="3"/>
  <c r="N20" i="3"/>
  <c r="O20" i="3"/>
  <c r="N21" i="3"/>
  <c r="O21" i="3"/>
  <c r="N22" i="3"/>
  <c r="O22" i="3"/>
  <c r="N23" i="3"/>
  <c r="O23" i="3"/>
  <c r="N24" i="3"/>
</calcChain>
</file>

<file path=xl/sharedStrings.xml><?xml version="1.0" encoding="utf-8"?>
<sst xmlns="http://schemas.openxmlformats.org/spreadsheetml/2006/main" count="55" uniqueCount="13">
  <si>
    <t>1.paralel</t>
  </si>
  <si>
    <t>2.paralel</t>
  </si>
  <si>
    <t>3.paralel</t>
  </si>
  <si>
    <t>Time(s)</t>
  </si>
  <si>
    <t>Ağırlık (g)</t>
  </si>
  <si>
    <t>Volume (mL)</t>
  </si>
  <si>
    <t>ORT</t>
  </si>
  <si>
    <t>Std</t>
  </si>
  <si>
    <t>Deney-Ağırlık (g)</t>
  </si>
  <si>
    <t>iddsi1</t>
  </si>
  <si>
    <t>30 ml</t>
  </si>
  <si>
    <t>50 ml</t>
  </si>
  <si>
    <t>90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</si>
</sst>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zoomScale="90" zoomScaleNormal="90" workbookViewId="0">
      <selection activeCell="R21" sqref="R21"/>
    </sheetView>
  </sheetViews>
  <sheetFormatPr defaultRowHeight="14.4" x14ac:dyDescent="0.3"/>
  <cols>
    <col min="2" max="2" width="9.21875" bestFit="1" customWidth="1"/>
    <col min="3" max="3" width="12.109375" bestFit="1" customWidth="1"/>
    <col min="6" max="6" width="9.21875" bestFit="1" customWidth="1"/>
    <col min="7" max="7" width="12.109375" bestFit="1" customWidth="1"/>
    <col min="9" max="9" width="8.109375" bestFit="1" customWidth="1"/>
    <col min="10" max="10" width="9.21875" bestFit="1" customWidth="1"/>
    <col min="11" max="11" width="12.109375" bestFit="1" customWidth="1"/>
    <col min="14" max="14" width="15.21875" bestFit="1" customWidth="1"/>
    <col min="15" max="15" width="11.21875" bestFit="1" customWidth="1"/>
    <col min="16" max="16" width="11.6640625" bestFit="1" customWidth="1"/>
    <col min="17" max="17" width="16" bestFit="1" customWidth="1"/>
    <col min="18" max="18" width="11.5546875" bestFit="1" customWidth="1"/>
    <col min="19" max="19" width="10.44140625" bestFit="1" customWidth="1"/>
    <col min="20" max="20" width="12.109375" bestFit="1" customWidth="1"/>
  </cols>
  <sheetData>
    <row r="1" spans="1:20" x14ac:dyDescent="0.3">
      <c r="A1" t="s">
        <v>0</v>
      </c>
      <c r="E1" t="s">
        <v>1</v>
      </c>
      <c r="I1" t="s">
        <v>2</v>
      </c>
      <c r="M1" s="1" t="s">
        <v>6</v>
      </c>
      <c r="R1" t="s">
        <v>9</v>
      </c>
    </row>
    <row r="2" spans="1:20" x14ac:dyDescent="0.3">
      <c r="A2" t="s">
        <v>3</v>
      </c>
      <c r="B2" t="s">
        <v>4</v>
      </c>
      <c r="C2" t="s">
        <v>5</v>
      </c>
      <c r="E2" t="s">
        <v>3</v>
      </c>
      <c r="F2" t="s">
        <v>4</v>
      </c>
      <c r="G2" t="s">
        <v>5</v>
      </c>
      <c r="I2" t="s">
        <v>3</v>
      </c>
      <c r="J2" t="s">
        <v>4</v>
      </c>
      <c r="K2" t="s">
        <v>5</v>
      </c>
      <c r="M2" t="s">
        <v>3</v>
      </c>
      <c r="N2" t="s">
        <v>8</v>
      </c>
      <c r="O2" t="s">
        <v>7</v>
      </c>
      <c r="P2" t="s">
        <v>5</v>
      </c>
      <c r="R2" t="s">
        <v>10</v>
      </c>
      <c r="S2" s="1">
        <v>29.51</v>
      </c>
      <c r="T2">
        <f>S2/30*1000</f>
        <v>983.66666666666674</v>
      </c>
    </row>
    <row r="3" spans="1:20" x14ac:dyDescent="0.3">
      <c r="A3">
        <v>0</v>
      </c>
      <c r="B3">
        <v>0</v>
      </c>
      <c r="E3">
        <v>0</v>
      </c>
      <c r="F3">
        <v>0</v>
      </c>
      <c r="I3">
        <v>0</v>
      </c>
      <c r="J3">
        <v>0</v>
      </c>
      <c r="M3">
        <v>0</v>
      </c>
      <c r="N3" s="2">
        <f t="shared" ref="N3:N47" si="0">AVERAGE(B3,F3,J3)</f>
        <v>0</v>
      </c>
      <c r="O3" s="3">
        <f t="shared" ref="O3:O47" si="1">_xlfn.STDEV.S(B3,F3,J3)</f>
        <v>0</v>
      </c>
      <c r="P3" s="3"/>
    </row>
    <row r="4" spans="1:20" x14ac:dyDescent="0.3">
      <c r="A4">
        <v>0.5</v>
      </c>
      <c r="B4">
        <v>0.39</v>
      </c>
      <c r="E4">
        <v>0.5</v>
      </c>
      <c r="F4">
        <v>0.41</v>
      </c>
      <c r="I4">
        <v>0.5</v>
      </c>
      <c r="J4">
        <v>0.36</v>
      </c>
      <c r="M4">
        <v>0.5</v>
      </c>
      <c r="N4" s="2">
        <f t="shared" si="0"/>
        <v>0.38666666666666671</v>
      </c>
      <c r="O4" s="3">
        <f t="shared" si="1"/>
        <v>2.5166114784235829E-2</v>
      </c>
      <c r="P4" s="3"/>
      <c r="R4" t="s">
        <v>11</v>
      </c>
      <c r="S4" s="1">
        <v>49.55</v>
      </c>
      <c r="T4">
        <f>S4/50*1000</f>
        <v>991</v>
      </c>
    </row>
    <row r="5" spans="1:20" x14ac:dyDescent="0.3">
      <c r="A5">
        <v>1</v>
      </c>
      <c r="B5">
        <v>1.32</v>
      </c>
      <c r="E5">
        <v>1</v>
      </c>
      <c r="F5">
        <v>1.25</v>
      </c>
      <c r="I5">
        <v>1</v>
      </c>
      <c r="J5">
        <v>1.34</v>
      </c>
      <c r="M5">
        <v>1</v>
      </c>
      <c r="N5" s="2">
        <f t="shared" si="0"/>
        <v>1.3033333333333335</v>
      </c>
      <c r="O5" s="3">
        <f t="shared" si="1"/>
        <v>4.7258156262526121E-2</v>
      </c>
      <c r="P5" s="3"/>
    </row>
    <row r="6" spans="1:20" x14ac:dyDescent="0.3">
      <c r="A6">
        <v>1.5</v>
      </c>
      <c r="B6">
        <v>2.0499999999999998</v>
      </c>
      <c r="E6">
        <v>1.5</v>
      </c>
      <c r="F6">
        <v>2.36</v>
      </c>
      <c r="I6">
        <v>1.5</v>
      </c>
      <c r="J6">
        <v>2.2400000000000002</v>
      </c>
      <c r="M6">
        <v>1.5</v>
      </c>
      <c r="N6" s="2">
        <f t="shared" si="0"/>
        <v>2.2166666666666668</v>
      </c>
      <c r="O6" s="3">
        <f t="shared" si="1"/>
        <v>0.15631165450257811</v>
      </c>
      <c r="P6" s="3"/>
    </row>
    <row r="7" spans="1:20" x14ac:dyDescent="0.3">
      <c r="A7">
        <v>2</v>
      </c>
      <c r="B7">
        <v>2.89</v>
      </c>
      <c r="E7">
        <v>2</v>
      </c>
      <c r="F7">
        <v>3.04</v>
      </c>
      <c r="I7">
        <v>2</v>
      </c>
      <c r="J7">
        <v>2.98</v>
      </c>
      <c r="M7">
        <v>2</v>
      </c>
      <c r="N7" s="2">
        <f t="shared" si="0"/>
        <v>2.97</v>
      </c>
      <c r="O7" s="3">
        <f t="shared" si="1"/>
        <v>7.5498344352707442E-2</v>
      </c>
      <c r="P7" s="3"/>
      <c r="R7" t="s">
        <v>12</v>
      </c>
      <c r="S7" s="1">
        <v>89.8</v>
      </c>
      <c r="T7">
        <f>S7/90*1000</f>
        <v>997.77777777777771</v>
      </c>
    </row>
    <row r="8" spans="1:20" x14ac:dyDescent="0.3">
      <c r="A8">
        <v>2.5</v>
      </c>
      <c r="B8">
        <v>3.66</v>
      </c>
      <c r="E8">
        <v>2.5</v>
      </c>
      <c r="F8">
        <v>3.81</v>
      </c>
      <c r="I8">
        <v>2.5</v>
      </c>
      <c r="J8">
        <v>3.84</v>
      </c>
      <c r="M8">
        <v>2.5</v>
      </c>
      <c r="N8" s="2">
        <f t="shared" si="0"/>
        <v>3.77</v>
      </c>
      <c r="O8" s="3">
        <f t="shared" si="1"/>
        <v>9.6436507609929417E-2</v>
      </c>
      <c r="P8" s="3"/>
    </row>
    <row r="9" spans="1:20" x14ac:dyDescent="0.3">
      <c r="A9">
        <v>3</v>
      </c>
      <c r="B9">
        <v>4.3600000000000003</v>
      </c>
      <c r="E9">
        <v>3</v>
      </c>
      <c r="F9">
        <v>4.5</v>
      </c>
      <c r="I9">
        <v>3</v>
      </c>
      <c r="J9">
        <v>4.41</v>
      </c>
      <c r="M9">
        <v>3</v>
      </c>
      <c r="N9" s="2">
        <f t="shared" si="0"/>
        <v>4.4233333333333329</v>
      </c>
      <c r="O9" s="3">
        <f t="shared" si="1"/>
        <v>7.0945988845975722E-2</v>
      </c>
      <c r="P9" s="3"/>
      <c r="T9" s="1">
        <f>AVERAGE(T2,T4,T7)</f>
        <v>990.81481481481478</v>
      </c>
    </row>
    <row r="10" spans="1:20" x14ac:dyDescent="0.3">
      <c r="A10">
        <v>3.5</v>
      </c>
      <c r="B10">
        <v>4.88</v>
      </c>
      <c r="E10">
        <v>3.5</v>
      </c>
      <c r="F10">
        <v>5.01</v>
      </c>
      <c r="I10">
        <v>3.5</v>
      </c>
      <c r="J10">
        <v>4.9400000000000004</v>
      </c>
      <c r="M10">
        <v>3.5</v>
      </c>
      <c r="N10" s="2">
        <f t="shared" si="0"/>
        <v>4.9433333333333342</v>
      </c>
      <c r="O10" s="3">
        <f t="shared" si="1"/>
        <v>6.5064070986477054E-2</v>
      </c>
      <c r="P10" s="3"/>
      <c r="S10" s="3"/>
    </row>
    <row r="11" spans="1:20" x14ac:dyDescent="0.3">
      <c r="A11">
        <v>4</v>
      </c>
      <c r="B11">
        <v>5.55</v>
      </c>
      <c r="E11">
        <v>4</v>
      </c>
      <c r="F11">
        <v>5.72</v>
      </c>
      <c r="I11">
        <v>4</v>
      </c>
      <c r="J11">
        <v>5.68</v>
      </c>
      <c r="M11">
        <v>4</v>
      </c>
      <c r="N11" s="2">
        <f t="shared" si="0"/>
        <v>5.6499999999999995</v>
      </c>
      <c r="O11" s="3">
        <f t="shared" si="1"/>
        <v>8.8881944173155841E-2</v>
      </c>
      <c r="P11" s="3"/>
      <c r="S11" s="3"/>
    </row>
    <row r="12" spans="1:20" x14ac:dyDescent="0.3">
      <c r="A12">
        <v>4.5</v>
      </c>
      <c r="B12">
        <v>5.99</v>
      </c>
      <c r="E12">
        <v>4.5</v>
      </c>
      <c r="F12">
        <v>6.35</v>
      </c>
      <c r="I12">
        <v>4.5</v>
      </c>
      <c r="J12">
        <v>6.34</v>
      </c>
      <c r="M12">
        <v>4.5</v>
      </c>
      <c r="N12" s="2">
        <f t="shared" si="0"/>
        <v>6.2266666666666666</v>
      </c>
      <c r="O12" s="3">
        <f t="shared" si="1"/>
        <v>0.2050203241957568</v>
      </c>
      <c r="P12" s="3"/>
      <c r="S12" s="3"/>
    </row>
    <row r="13" spans="1:20" x14ac:dyDescent="0.3">
      <c r="A13">
        <v>5</v>
      </c>
      <c r="B13">
        <v>6.57</v>
      </c>
      <c r="E13">
        <v>5</v>
      </c>
      <c r="F13">
        <v>6.75</v>
      </c>
      <c r="I13">
        <v>5</v>
      </c>
      <c r="J13">
        <v>6.74</v>
      </c>
      <c r="M13">
        <v>5</v>
      </c>
      <c r="N13" s="2">
        <f t="shared" si="0"/>
        <v>6.6866666666666674</v>
      </c>
      <c r="O13" s="3">
        <f t="shared" si="1"/>
        <v>0.10115993936995668</v>
      </c>
      <c r="P13" s="3"/>
      <c r="S13" s="3"/>
    </row>
    <row r="14" spans="1:20" x14ac:dyDescent="0.3">
      <c r="A14">
        <v>5.5</v>
      </c>
      <c r="B14">
        <v>6.92</v>
      </c>
      <c r="E14">
        <v>5.5</v>
      </c>
      <c r="F14">
        <v>7.11</v>
      </c>
      <c r="I14">
        <v>5.5</v>
      </c>
      <c r="J14">
        <v>7.26</v>
      </c>
      <c r="M14">
        <v>5.5</v>
      </c>
      <c r="N14" s="2">
        <f t="shared" si="0"/>
        <v>7.0966666666666667</v>
      </c>
      <c r="O14" s="3">
        <f t="shared" si="1"/>
        <v>0.17039170558842737</v>
      </c>
      <c r="P14" s="3"/>
      <c r="S14" s="3"/>
    </row>
    <row r="15" spans="1:20" x14ac:dyDescent="0.3">
      <c r="A15">
        <v>6</v>
      </c>
      <c r="B15">
        <v>7.39</v>
      </c>
      <c r="E15">
        <v>6</v>
      </c>
      <c r="F15">
        <v>7.61</v>
      </c>
      <c r="I15">
        <v>6</v>
      </c>
      <c r="J15">
        <v>7.57</v>
      </c>
      <c r="M15">
        <v>6</v>
      </c>
      <c r="N15" s="2">
        <f t="shared" si="0"/>
        <v>7.5233333333333334</v>
      </c>
      <c r="O15" s="3">
        <f t="shared" si="1"/>
        <v>0.11718930554164667</v>
      </c>
      <c r="P15" s="3"/>
      <c r="S15" s="3"/>
    </row>
    <row r="16" spans="1:20" x14ac:dyDescent="0.3">
      <c r="A16">
        <v>6.5</v>
      </c>
      <c r="B16">
        <v>7.75</v>
      </c>
      <c r="E16">
        <v>6.5</v>
      </c>
      <c r="F16">
        <v>7.97</v>
      </c>
      <c r="I16">
        <v>6.5</v>
      </c>
      <c r="J16">
        <v>7.98</v>
      </c>
      <c r="M16">
        <v>6.5</v>
      </c>
      <c r="N16" s="2">
        <f t="shared" si="0"/>
        <v>7.8999999999999995</v>
      </c>
      <c r="O16" s="3">
        <f t="shared" si="1"/>
        <v>0.13000000000000006</v>
      </c>
      <c r="P16" s="3"/>
      <c r="S16" s="3"/>
    </row>
    <row r="17" spans="1:19" x14ac:dyDescent="0.3">
      <c r="A17">
        <v>7</v>
      </c>
      <c r="B17">
        <v>7.98</v>
      </c>
      <c r="E17">
        <v>7</v>
      </c>
      <c r="F17">
        <v>8.33</v>
      </c>
      <c r="I17">
        <v>7</v>
      </c>
      <c r="J17">
        <v>8.17</v>
      </c>
      <c r="M17">
        <v>7</v>
      </c>
      <c r="N17" s="2">
        <f t="shared" si="0"/>
        <v>8.1600000000000019</v>
      </c>
      <c r="O17" s="3">
        <f t="shared" si="1"/>
        <v>0.17521415467935214</v>
      </c>
      <c r="P17" s="3"/>
      <c r="S17" s="3"/>
    </row>
    <row r="18" spans="1:19" x14ac:dyDescent="0.3">
      <c r="A18">
        <v>7.5</v>
      </c>
      <c r="B18">
        <v>8.33</v>
      </c>
      <c r="E18">
        <v>7.5</v>
      </c>
      <c r="F18">
        <v>8.51</v>
      </c>
      <c r="I18">
        <v>7.5</v>
      </c>
      <c r="J18">
        <v>8.51</v>
      </c>
      <c r="M18">
        <v>7.5</v>
      </c>
      <c r="N18" s="2">
        <f t="shared" si="0"/>
        <v>8.4500000000000011</v>
      </c>
      <c r="O18" s="3">
        <f t="shared" si="1"/>
        <v>0.10392304845413247</v>
      </c>
      <c r="P18" s="3"/>
      <c r="S18" s="3"/>
    </row>
    <row r="19" spans="1:19" x14ac:dyDescent="0.3">
      <c r="A19">
        <v>8</v>
      </c>
      <c r="B19">
        <v>8.51</v>
      </c>
      <c r="E19">
        <v>8</v>
      </c>
      <c r="F19">
        <v>8.7100000000000009</v>
      </c>
      <c r="I19">
        <v>8</v>
      </c>
      <c r="J19">
        <v>8.6999999999999993</v>
      </c>
      <c r="M19">
        <v>8</v>
      </c>
      <c r="N19" s="2">
        <f t="shared" si="0"/>
        <v>8.6399999999999988</v>
      </c>
      <c r="O19" s="3">
        <f t="shared" si="1"/>
        <v>0.11269427669584664</v>
      </c>
      <c r="P19" s="3"/>
      <c r="S19" s="3"/>
    </row>
    <row r="20" spans="1:19" x14ac:dyDescent="0.3">
      <c r="A20">
        <v>8.5</v>
      </c>
      <c r="B20">
        <v>8.85</v>
      </c>
      <c r="E20">
        <v>8.5</v>
      </c>
      <c r="F20">
        <v>8.9</v>
      </c>
      <c r="I20">
        <v>8.5</v>
      </c>
      <c r="J20">
        <v>8.8800000000000008</v>
      </c>
      <c r="M20">
        <v>8.5</v>
      </c>
      <c r="N20" s="2">
        <f t="shared" si="0"/>
        <v>8.8766666666666669</v>
      </c>
      <c r="O20" s="3">
        <f t="shared" si="1"/>
        <v>2.5166114784236235E-2</v>
      </c>
      <c r="P20" s="3"/>
      <c r="S20" s="3"/>
    </row>
    <row r="21" spans="1:19" x14ac:dyDescent="0.3">
      <c r="A21">
        <v>9</v>
      </c>
      <c r="B21">
        <v>9.0399999999999991</v>
      </c>
      <c r="E21">
        <v>9</v>
      </c>
      <c r="F21">
        <v>9.11</v>
      </c>
      <c r="I21">
        <v>9</v>
      </c>
      <c r="J21">
        <v>9.08</v>
      </c>
      <c r="M21">
        <v>9</v>
      </c>
      <c r="N21" s="2">
        <f t="shared" si="0"/>
        <v>9.0766666666666662</v>
      </c>
      <c r="O21" s="3">
        <f t="shared" si="1"/>
        <v>3.5118845842842639E-2</v>
      </c>
      <c r="P21" s="3"/>
      <c r="S21" s="3"/>
    </row>
    <row r="22" spans="1:19" x14ac:dyDescent="0.3">
      <c r="A22">
        <v>9.5</v>
      </c>
      <c r="B22">
        <v>9.2200000000000006</v>
      </c>
      <c r="E22">
        <v>9.5</v>
      </c>
      <c r="F22">
        <v>9.2799999999999994</v>
      </c>
      <c r="I22">
        <v>9.5</v>
      </c>
      <c r="J22">
        <v>9.27</v>
      </c>
      <c r="M22">
        <v>9.5</v>
      </c>
      <c r="N22" s="2">
        <f t="shared" si="0"/>
        <v>9.2566666666666659</v>
      </c>
      <c r="O22" s="3">
        <f t="shared" si="1"/>
        <v>3.2145502536642494E-2</v>
      </c>
      <c r="P22" s="3"/>
      <c r="S22" s="3"/>
    </row>
    <row r="23" spans="1:19" x14ac:dyDescent="0.3">
      <c r="A23">
        <v>10</v>
      </c>
      <c r="B23">
        <v>9.27</v>
      </c>
      <c r="E23">
        <v>10</v>
      </c>
      <c r="F23">
        <v>9.4700000000000006</v>
      </c>
      <c r="I23">
        <v>10</v>
      </c>
      <c r="J23">
        <v>9.33</v>
      </c>
      <c r="M23">
        <v>10</v>
      </c>
      <c r="N23" s="2">
        <f t="shared" si="0"/>
        <v>9.3566666666666674</v>
      </c>
      <c r="O23" s="3">
        <f t="shared" si="1"/>
        <v>0.10263202878893821</v>
      </c>
      <c r="P23" s="3"/>
      <c r="S23" s="3"/>
    </row>
    <row r="24" spans="1:19" x14ac:dyDescent="0.3">
      <c r="A24">
        <v>10.5</v>
      </c>
      <c r="B24">
        <v>9.4499999999999993</v>
      </c>
      <c r="E24">
        <v>10.5</v>
      </c>
      <c r="F24">
        <v>9.5399999999999991</v>
      </c>
      <c r="I24">
        <v>10.5</v>
      </c>
      <c r="J24">
        <v>9.4499999999999993</v>
      </c>
      <c r="M24">
        <v>10.5</v>
      </c>
      <c r="N24" s="2">
        <f t="shared" si="0"/>
        <v>9.4799999999999986</v>
      </c>
      <c r="O24" s="3">
        <f t="shared" si="1"/>
        <v>5.1961524227066236E-2</v>
      </c>
      <c r="P24" s="3"/>
      <c r="S24" s="3"/>
    </row>
    <row r="25" spans="1:19" x14ac:dyDescent="0.3">
      <c r="A25">
        <v>11</v>
      </c>
      <c r="B25">
        <v>9.51</v>
      </c>
      <c r="E25">
        <v>11</v>
      </c>
      <c r="F25">
        <v>9.64</v>
      </c>
      <c r="I25">
        <v>11</v>
      </c>
      <c r="J25">
        <v>9.56</v>
      </c>
      <c r="M25">
        <v>11</v>
      </c>
      <c r="N25" s="2">
        <f t="shared" si="0"/>
        <v>9.57</v>
      </c>
      <c r="O25" s="3">
        <f t="shared" si="1"/>
        <v>6.5574385243020367E-2</v>
      </c>
      <c r="P25" s="3"/>
      <c r="S25" s="3"/>
    </row>
    <row r="26" spans="1:19" x14ac:dyDescent="0.3">
      <c r="A26">
        <v>11.5</v>
      </c>
      <c r="B26">
        <v>9.6</v>
      </c>
      <c r="E26">
        <v>11.5</v>
      </c>
      <c r="F26">
        <v>9.7100000000000009</v>
      </c>
      <c r="I26">
        <v>11.5</v>
      </c>
      <c r="J26">
        <v>9.69</v>
      </c>
      <c r="M26">
        <v>11.5</v>
      </c>
      <c r="N26" s="2">
        <f t="shared" si="0"/>
        <v>9.6666666666666661</v>
      </c>
      <c r="O26" s="3">
        <f t="shared" si="1"/>
        <v>5.8594652770823569E-2</v>
      </c>
      <c r="P26" s="3"/>
      <c r="S26" s="3"/>
    </row>
    <row r="27" spans="1:19" x14ac:dyDescent="0.3">
      <c r="A27">
        <v>12</v>
      </c>
      <c r="B27">
        <v>9.69</v>
      </c>
      <c r="E27">
        <v>12</v>
      </c>
      <c r="F27">
        <v>9.77</v>
      </c>
      <c r="I27">
        <v>12</v>
      </c>
      <c r="J27">
        <v>9.76</v>
      </c>
      <c r="M27">
        <v>12</v>
      </c>
      <c r="N27" s="2">
        <f t="shared" si="0"/>
        <v>9.74</v>
      </c>
      <c r="O27" s="3">
        <f t="shared" si="1"/>
        <v>4.3588989435406823E-2</v>
      </c>
      <c r="P27" s="3"/>
      <c r="S27" s="3"/>
    </row>
    <row r="28" spans="1:19" x14ac:dyDescent="0.3">
      <c r="A28">
        <v>12.5</v>
      </c>
      <c r="B28">
        <v>9.75</v>
      </c>
      <c r="E28">
        <v>12.5</v>
      </c>
      <c r="F28">
        <v>9.8000000000000007</v>
      </c>
      <c r="I28">
        <v>12.5</v>
      </c>
      <c r="J28">
        <v>9.84</v>
      </c>
      <c r="M28">
        <v>12.5</v>
      </c>
      <c r="N28" s="2">
        <f t="shared" si="0"/>
        <v>9.7966666666666669</v>
      </c>
      <c r="O28" s="3">
        <f t="shared" si="1"/>
        <v>4.50924975282289E-2</v>
      </c>
      <c r="P28" s="3"/>
      <c r="S28" s="3"/>
    </row>
    <row r="29" spans="1:19" x14ac:dyDescent="0.3">
      <c r="A29">
        <v>13</v>
      </c>
      <c r="B29">
        <v>9.8000000000000007</v>
      </c>
      <c r="E29">
        <v>13</v>
      </c>
      <c r="F29">
        <v>9.8800000000000008</v>
      </c>
      <c r="I29">
        <v>13</v>
      </c>
      <c r="J29">
        <v>9.9499999999999993</v>
      </c>
      <c r="M29">
        <v>13</v>
      </c>
      <c r="N29" s="2">
        <f t="shared" si="0"/>
        <v>9.8766666666666669</v>
      </c>
      <c r="O29" s="3">
        <f t="shared" si="1"/>
        <v>7.5055534994650661E-2</v>
      </c>
      <c r="P29" s="3"/>
      <c r="S29" s="3"/>
    </row>
    <row r="30" spans="1:19" x14ac:dyDescent="0.3">
      <c r="A30">
        <v>13.5</v>
      </c>
      <c r="B30">
        <v>9.8699999999999992</v>
      </c>
      <c r="E30">
        <v>13.5</v>
      </c>
      <c r="F30">
        <v>9.9</v>
      </c>
      <c r="I30">
        <v>13.5</v>
      </c>
      <c r="J30">
        <v>9.9600000000000009</v>
      </c>
      <c r="M30">
        <v>13.5</v>
      </c>
      <c r="N30" s="2">
        <f t="shared" si="0"/>
        <v>9.91</v>
      </c>
      <c r="O30" s="3">
        <f t="shared" si="1"/>
        <v>4.582575694955917E-2</v>
      </c>
      <c r="P30" s="3"/>
      <c r="S30" s="3"/>
    </row>
    <row r="31" spans="1:19" x14ac:dyDescent="0.3">
      <c r="A31">
        <v>14</v>
      </c>
      <c r="B31">
        <v>9.92</v>
      </c>
      <c r="E31">
        <v>14</v>
      </c>
      <c r="F31">
        <v>9.9499999999999993</v>
      </c>
      <c r="I31">
        <v>14</v>
      </c>
      <c r="J31">
        <v>10</v>
      </c>
      <c r="M31">
        <v>14</v>
      </c>
      <c r="N31" s="2">
        <f t="shared" si="0"/>
        <v>9.9566666666666652</v>
      </c>
      <c r="O31" s="3">
        <f t="shared" si="1"/>
        <v>4.0414518843273899E-2</v>
      </c>
      <c r="P31" s="3"/>
      <c r="S31" s="3"/>
    </row>
    <row r="32" spans="1:19" x14ac:dyDescent="0.3">
      <c r="A32">
        <v>14.5</v>
      </c>
      <c r="B32">
        <v>9.9600000000000009</v>
      </c>
      <c r="E32">
        <v>14.5</v>
      </c>
      <c r="F32">
        <v>9.99</v>
      </c>
      <c r="I32">
        <v>14.5</v>
      </c>
      <c r="J32">
        <v>10.039999999999999</v>
      </c>
      <c r="M32">
        <v>14.5</v>
      </c>
      <c r="N32" s="2">
        <f t="shared" si="0"/>
        <v>9.9966666666666679</v>
      </c>
      <c r="O32" s="3">
        <f t="shared" si="1"/>
        <v>4.0414518843272941E-2</v>
      </c>
      <c r="P32" s="3"/>
      <c r="S32" s="3"/>
    </row>
    <row r="33" spans="1:19" x14ac:dyDescent="0.3">
      <c r="A33">
        <v>15</v>
      </c>
      <c r="B33">
        <v>9.98</v>
      </c>
      <c r="E33">
        <v>15</v>
      </c>
      <c r="F33">
        <v>9.99</v>
      </c>
      <c r="I33">
        <v>15</v>
      </c>
      <c r="J33">
        <v>10.050000000000001</v>
      </c>
      <c r="M33">
        <v>15</v>
      </c>
      <c r="N33" s="2">
        <f t="shared" si="0"/>
        <v>10.006666666666666</v>
      </c>
      <c r="O33" s="3">
        <f t="shared" si="1"/>
        <v>3.7859388972002035E-2</v>
      </c>
      <c r="P33" s="3"/>
      <c r="S33" s="3"/>
    </row>
    <row r="34" spans="1:19" x14ac:dyDescent="0.3">
      <c r="A34">
        <v>15.5</v>
      </c>
      <c r="B34">
        <v>9.98</v>
      </c>
      <c r="E34">
        <v>15.5</v>
      </c>
      <c r="F34">
        <v>9.99</v>
      </c>
      <c r="I34">
        <v>15.5</v>
      </c>
      <c r="J34">
        <v>10.050000000000001</v>
      </c>
      <c r="M34">
        <v>15.5</v>
      </c>
      <c r="N34" s="2">
        <f t="shared" si="0"/>
        <v>10.006666666666666</v>
      </c>
      <c r="O34" s="3">
        <f t="shared" si="1"/>
        <v>3.7859388972002035E-2</v>
      </c>
      <c r="P34" s="3"/>
      <c r="S34" s="3"/>
    </row>
    <row r="35" spans="1:19" x14ac:dyDescent="0.3">
      <c r="A35">
        <v>16</v>
      </c>
      <c r="B35">
        <v>9.99</v>
      </c>
      <c r="E35">
        <v>16</v>
      </c>
      <c r="F35">
        <v>10</v>
      </c>
      <c r="I35">
        <v>16</v>
      </c>
      <c r="J35">
        <v>10.06</v>
      </c>
      <c r="M35">
        <v>16</v>
      </c>
      <c r="N35" s="2">
        <f t="shared" si="0"/>
        <v>10.016666666666667</v>
      </c>
      <c r="O35" s="3">
        <f t="shared" si="1"/>
        <v>3.7859388972002035E-2</v>
      </c>
      <c r="P35" s="3"/>
      <c r="S35" s="3"/>
    </row>
    <row r="36" spans="1:19" x14ac:dyDescent="0.3">
      <c r="A36">
        <v>16.5</v>
      </c>
      <c r="B36">
        <v>9.99</v>
      </c>
      <c r="E36">
        <v>16.5</v>
      </c>
      <c r="F36">
        <v>10</v>
      </c>
      <c r="I36">
        <v>16.5</v>
      </c>
      <c r="J36">
        <v>10.06</v>
      </c>
      <c r="M36">
        <v>16.5</v>
      </c>
      <c r="N36" s="2">
        <f t="shared" si="0"/>
        <v>10.016666666666667</v>
      </c>
      <c r="O36" s="3">
        <f t="shared" si="1"/>
        <v>3.7859388972002035E-2</v>
      </c>
      <c r="P36" s="3"/>
      <c r="S36" s="3"/>
    </row>
    <row r="37" spans="1:19" x14ac:dyDescent="0.3">
      <c r="A37">
        <v>17</v>
      </c>
      <c r="B37" s="2">
        <v>10</v>
      </c>
      <c r="E37">
        <v>17</v>
      </c>
      <c r="F37">
        <v>10</v>
      </c>
      <c r="I37">
        <v>17</v>
      </c>
      <c r="J37">
        <v>10.06</v>
      </c>
      <c r="M37">
        <v>17</v>
      </c>
      <c r="N37" s="2">
        <f t="shared" si="0"/>
        <v>10.020000000000001</v>
      </c>
      <c r="O37" s="3">
        <f t="shared" si="1"/>
        <v>3.4641016151377831E-2</v>
      </c>
      <c r="P37" s="3"/>
      <c r="S37" s="3"/>
    </row>
    <row r="38" spans="1:19" x14ac:dyDescent="0.3">
      <c r="A38">
        <v>17.5</v>
      </c>
      <c r="B38" s="2">
        <v>10</v>
      </c>
      <c r="E38">
        <v>17.5</v>
      </c>
      <c r="F38">
        <v>10</v>
      </c>
      <c r="I38">
        <v>17.5</v>
      </c>
      <c r="J38">
        <v>10.06</v>
      </c>
      <c r="M38">
        <v>17.5</v>
      </c>
      <c r="N38" s="2">
        <f t="shared" si="0"/>
        <v>10.020000000000001</v>
      </c>
      <c r="O38" s="3">
        <f t="shared" si="1"/>
        <v>3.4641016151377831E-2</v>
      </c>
      <c r="P38" s="3"/>
      <c r="S38" s="3"/>
    </row>
    <row r="39" spans="1:19" x14ac:dyDescent="0.3">
      <c r="A39">
        <v>18</v>
      </c>
      <c r="B39" s="2">
        <v>10</v>
      </c>
      <c r="E39">
        <v>18</v>
      </c>
      <c r="F39">
        <v>10</v>
      </c>
      <c r="I39">
        <v>18</v>
      </c>
      <c r="J39">
        <v>10.06</v>
      </c>
      <c r="M39">
        <v>18</v>
      </c>
      <c r="N39" s="2">
        <f t="shared" si="0"/>
        <v>10.020000000000001</v>
      </c>
      <c r="O39" s="3">
        <f t="shared" si="1"/>
        <v>3.4641016151377831E-2</v>
      </c>
      <c r="P39" s="3"/>
      <c r="S39" s="3"/>
    </row>
    <row r="40" spans="1:19" x14ac:dyDescent="0.3">
      <c r="A40">
        <v>18.5</v>
      </c>
      <c r="B40" s="2">
        <v>10</v>
      </c>
      <c r="E40">
        <v>18.5</v>
      </c>
      <c r="F40">
        <v>10</v>
      </c>
      <c r="I40">
        <v>18.5</v>
      </c>
      <c r="J40">
        <v>10.06</v>
      </c>
      <c r="M40">
        <v>18.5</v>
      </c>
      <c r="N40" s="2">
        <f t="shared" si="0"/>
        <v>10.020000000000001</v>
      </c>
      <c r="O40" s="3">
        <f t="shared" si="1"/>
        <v>3.4641016151377831E-2</v>
      </c>
      <c r="P40" s="3"/>
      <c r="S40" s="3"/>
    </row>
    <row r="41" spans="1:19" x14ac:dyDescent="0.3">
      <c r="A41">
        <v>19</v>
      </c>
      <c r="B41" s="2">
        <v>10</v>
      </c>
      <c r="E41">
        <v>19</v>
      </c>
      <c r="F41">
        <v>10</v>
      </c>
      <c r="I41">
        <v>19</v>
      </c>
      <c r="J41">
        <v>10.06</v>
      </c>
      <c r="M41">
        <v>19</v>
      </c>
      <c r="N41" s="2">
        <f t="shared" si="0"/>
        <v>10.020000000000001</v>
      </c>
      <c r="O41" s="3">
        <f t="shared" si="1"/>
        <v>3.4641016151377831E-2</v>
      </c>
      <c r="P41" s="3"/>
      <c r="S41" s="3"/>
    </row>
    <row r="42" spans="1:19" x14ac:dyDescent="0.3">
      <c r="A42">
        <v>19.5</v>
      </c>
      <c r="B42" s="2">
        <v>10</v>
      </c>
      <c r="E42">
        <v>19.5</v>
      </c>
      <c r="F42">
        <v>10</v>
      </c>
      <c r="I42">
        <v>19.5</v>
      </c>
      <c r="J42">
        <v>10.06</v>
      </c>
      <c r="M42">
        <v>19.5</v>
      </c>
      <c r="N42" s="2">
        <f t="shared" si="0"/>
        <v>10.020000000000001</v>
      </c>
      <c r="O42" s="3">
        <f t="shared" si="1"/>
        <v>3.4641016151377831E-2</v>
      </c>
      <c r="P42" s="3"/>
      <c r="S42" s="3"/>
    </row>
    <row r="43" spans="1:19" x14ac:dyDescent="0.3">
      <c r="A43">
        <v>20</v>
      </c>
      <c r="B43" s="2">
        <v>10</v>
      </c>
      <c r="E43">
        <v>20</v>
      </c>
      <c r="F43">
        <v>10</v>
      </c>
      <c r="I43">
        <v>20</v>
      </c>
      <c r="J43">
        <v>10.06</v>
      </c>
      <c r="M43">
        <v>20</v>
      </c>
      <c r="N43" s="2">
        <f t="shared" si="0"/>
        <v>10.020000000000001</v>
      </c>
      <c r="O43" s="3">
        <f t="shared" si="1"/>
        <v>3.4641016151377831E-2</v>
      </c>
      <c r="P43" s="3"/>
      <c r="S43" s="3"/>
    </row>
    <row r="44" spans="1:19" x14ac:dyDescent="0.3">
      <c r="A44">
        <v>20.5</v>
      </c>
      <c r="B44" s="2">
        <v>10</v>
      </c>
      <c r="E44">
        <v>20.5</v>
      </c>
      <c r="F44">
        <v>10</v>
      </c>
      <c r="I44">
        <v>20.5</v>
      </c>
      <c r="J44">
        <v>10.06</v>
      </c>
      <c r="M44">
        <v>20.5</v>
      </c>
      <c r="N44" s="2">
        <f t="shared" si="0"/>
        <v>10.020000000000001</v>
      </c>
      <c r="O44" s="3">
        <f t="shared" si="1"/>
        <v>3.4641016151377831E-2</v>
      </c>
      <c r="P44" s="3"/>
      <c r="S44" s="3"/>
    </row>
    <row r="45" spans="1:19" x14ac:dyDescent="0.3">
      <c r="A45">
        <v>21</v>
      </c>
      <c r="B45" s="2">
        <v>10</v>
      </c>
      <c r="E45">
        <v>21</v>
      </c>
      <c r="F45">
        <v>10</v>
      </c>
      <c r="I45">
        <v>21</v>
      </c>
      <c r="J45">
        <v>10.06</v>
      </c>
      <c r="M45">
        <v>21</v>
      </c>
      <c r="N45" s="2">
        <f t="shared" si="0"/>
        <v>10.020000000000001</v>
      </c>
      <c r="O45" s="3">
        <f t="shared" si="1"/>
        <v>3.4641016151377831E-2</v>
      </c>
      <c r="P45" s="3"/>
      <c r="S45" s="3"/>
    </row>
    <row r="46" spans="1:19" x14ac:dyDescent="0.3">
      <c r="A46">
        <v>21.5</v>
      </c>
      <c r="B46" s="2">
        <v>10</v>
      </c>
      <c r="E46">
        <v>21.5</v>
      </c>
      <c r="F46">
        <v>10</v>
      </c>
      <c r="I46">
        <v>21.5</v>
      </c>
      <c r="J46">
        <v>10.07</v>
      </c>
      <c r="M46">
        <v>21.5</v>
      </c>
      <c r="N46" s="2">
        <f t="shared" si="0"/>
        <v>10.023333333333333</v>
      </c>
      <c r="O46" s="3">
        <f t="shared" si="1"/>
        <v>4.0414518843273968E-2</v>
      </c>
      <c r="P46" s="3"/>
      <c r="S46" s="3"/>
    </row>
    <row r="47" spans="1:19" x14ac:dyDescent="0.3">
      <c r="A47">
        <v>22</v>
      </c>
      <c r="B47" s="2">
        <v>10</v>
      </c>
      <c r="E47">
        <v>22</v>
      </c>
      <c r="F47">
        <v>10</v>
      </c>
      <c r="I47">
        <v>22</v>
      </c>
      <c r="J47">
        <v>10.07</v>
      </c>
      <c r="M47">
        <v>22</v>
      </c>
      <c r="N47" s="2">
        <f t="shared" si="0"/>
        <v>10.023333333333333</v>
      </c>
      <c r="O47" s="3">
        <f t="shared" si="1"/>
        <v>4.0414518843273968E-2</v>
      </c>
      <c r="P47" s="3"/>
      <c r="S47" s="3"/>
    </row>
    <row r="48" spans="1:19" x14ac:dyDescent="0.3">
      <c r="A48" s="4">
        <v>22.5</v>
      </c>
      <c r="B48" s="5">
        <v>10</v>
      </c>
      <c r="E48" s="4">
        <v>22.5</v>
      </c>
      <c r="F48" s="4">
        <v>10</v>
      </c>
    </row>
    <row r="49" spans="1:2" x14ac:dyDescent="0.3">
      <c r="A49" s="4">
        <v>23</v>
      </c>
      <c r="B49" s="4">
        <v>10.029999999999999</v>
      </c>
    </row>
    <row r="50" spans="1:2" x14ac:dyDescent="0.3">
      <c r="A50" s="4">
        <v>23.5</v>
      </c>
      <c r="B50" s="4">
        <v>10.039999999999999</v>
      </c>
    </row>
    <row r="51" spans="1:2" x14ac:dyDescent="0.3">
      <c r="A51" s="4">
        <v>24</v>
      </c>
      <c r="B51" s="4">
        <v>10.039999999999999</v>
      </c>
    </row>
    <row r="52" spans="1:2" x14ac:dyDescent="0.3">
      <c r="A52" s="4">
        <v>24.5</v>
      </c>
      <c r="B52" s="4">
        <v>10.039999999999999</v>
      </c>
    </row>
    <row r="53" spans="1:2" x14ac:dyDescent="0.3">
      <c r="A53" s="4">
        <v>25</v>
      </c>
      <c r="B53" s="4">
        <v>10.039999999999999</v>
      </c>
    </row>
    <row r="54" spans="1:2" x14ac:dyDescent="0.3">
      <c r="A54" s="4">
        <v>25.5</v>
      </c>
      <c r="B54" s="4">
        <v>10.039999999999999</v>
      </c>
    </row>
    <row r="55" spans="1:2" x14ac:dyDescent="0.3">
      <c r="A55" s="4">
        <v>26</v>
      </c>
      <c r="B55" s="4">
        <v>10.039999999999999</v>
      </c>
    </row>
    <row r="56" spans="1:2" x14ac:dyDescent="0.3">
      <c r="A56" s="4">
        <v>26.5</v>
      </c>
      <c r="B56" s="4">
        <v>10.039999999999999</v>
      </c>
    </row>
    <row r="57" spans="1:2" x14ac:dyDescent="0.3">
      <c r="A57" s="4">
        <v>27</v>
      </c>
      <c r="B57" s="4">
        <v>10.039999999999999</v>
      </c>
    </row>
    <row r="58" spans="1:2" x14ac:dyDescent="0.3">
      <c r="A58" s="4">
        <v>27.5</v>
      </c>
      <c r="B58" s="4">
        <v>10.039999999999999</v>
      </c>
    </row>
    <row r="59" spans="1:2" x14ac:dyDescent="0.3">
      <c r="A59" s="4">
        <v>28</v>
      </c>
      <c r="B59" s="4">
        <v>10.039999999999999</v>
      </c>
    </row>
    <row r="60" spans="1:2" x14ac:dyDescent="0.3">
      <c r="A60" s="4">
        <v>28.5</v>
      </c>
      <c r="B60" s="4">
        <v>10.039999999999999</v>
      </c>
    </row>
    <row r="61" spans="1:2" x14ac:dyDescent="0.3">
      <c r="A61" s="4">
        <v>29</v>
      </c>
      <c r="B61" s="4">
        <v>10.039999999999999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zoomScale="110" zoomScaleNormal="110" workbookViewId="0">
      <selection activeCell="N53" sqref="N53"/>
    </sheetView>
  </sheetViews>
  <sheetFormatPr defaultRowHeight="14.4" x14ac:dyDescent="0.3"/>
  <cols>
    <col min="3" max="3" width="11.21875" bestFit="1" customWidth="1"/>
    <col min="7" max="7" width="11.21875" bestFit="1" customWidth="1"/>
    <col min="11" max="11" width="11.21875" bestFit="1" customWidth="1"/>
    <col min="14" max="14" width="14.21875" bestFit="1" customWidth="1"/>
    <col min="16" max="16" width="11.21875" bestFit="1" customWidth="1"/>
  </cols>
  <sheetData>
    <row r="1" spans="1:16" x14ac:dyDescent="0.3">
      <c r="A1" t="s">
        <v>0</v>
      </c>
      <c r="E1" t="s">
        <v>1</v>
      </c>
      <c r="I1" t="s">
        <v>2</v>
      </c>
      <c r="M1" s="1" t="s">
        <v>6</v>
      </c>
    </row>
    <row r="2" spans="1:16" x14ac:dyDescent="0.3">
      <c r="A2" t="s">
        <v>3</v>
      </c>
      <c r="B2" t="s">
        <v>4</v>
      </c>
      <c r="C2" t="s">
        <v>5</v>
      </c>
      <c r="E2" t="s">
        <v>3</v>
      </c>
      <c r="F2" t="s">
        <v>4</v>
      </c>
      <c r="G2" t="s">
        <v>5</v>
      </c>
      <c r="I2" t="s">
        <v>3</v>
      </c>
      <c r="J2" t="s">
        <v>4</v>
      </c>
      <c r="K2" t="s">
        <v>5</v>
      </c>
      <c r="M2" t="s">
        <v>3</v>
      </c>
      <c r="N2" t="s">
        <v>8</v>
      </c>
      <c r="O2" t="s">
        <v>7</v>
      </c>
      <c r="P2" t="s">
        <v>5</v>
      </c>
    </row>
    <row r="3" spans="1:16" x14ac:dyDescent="0.3">
      <c r="A3">
        <v>0</v>
      </c>
      <c r="B3">
        <v>0</v>
      </c>
      <c r="E3">
        <v>0</v>
      </c>
      <c r="F3">
        <v>0</v>
      </c>
      <c r="I3">
        <v>0</v>
      </c>
      <c r="J3">
        <v>0</v>
      </c>
      <c r="M3">
        <v>0</v>
      </c>
      <c r="N3" s="2">
        <f t="shared" ref="N3:N34" si="0">AVERAGE(B3,F3,J3)</f>
        <v>0</v>
      </c>
      <c r="O3" s="3">
        <f t="shared" ref="O3:O34" si="1">_xlfn.STDEV.S(B3,F3,J3)</f>
        <v>0</v>
      </c>
    </row>
    <row r="4" spans="1:16" x14ac:dyDescent="0.3">
      <c r="A4">
        <v>1</v>
      </c>
      <c r="B4">
        <v>0</v>
      </c>
      <c r="E4">
        <v>1</v>
      </c>
      <c r="F4">
        <v>0</v>
      </c>
      <c r="I4">
        <v>1</v>
      </c>
      <c r="J4">
        <v>0</v>
      </c>
      <c r="M4">
        <v>1</v>
      </c>
      <c r="N4" s="2">
        <f t="shared" si="0"/>
        <v>0</v>
      </c>
      <c r="O4" s="3">
        <f t="shared" si="1"/>
        <v>0</v>
      </c>
    </row>
    <row r="5" spans="1:16" x14ac:dyDescent="0.3">
      <c r="A5">
        <v>2</v>
      </c>
      <c r="B5">
        <v>0.08</v>
      </c>
      <c r="E5">
        <v>2</v>
      </c>
      <c r="F5">
        <v>0</v>
      </c>
      <c r="I5">
        <v>2</v>
      </c>
      <c r="J5">
        <v>0.85</v>
      </c>
      <c r="M5">
        <v>2</v>
      </c>
      <c r="N5" s="2">
        <f t="shared" si="0"/>
        <v>0.31</v>
      </c>
      <c r="O5" s="3">
        <f t="shared" si="1"/>
        <v>0.4693612681080534</v>
      </c>
    </row>
    <row r="6" spans="1:16" x14ac:dyDescent="0.3">
      <c r="A6">
        <v>3</v>
      </c>
      <c r="B6">
        <v>1.29</v>
      </c>
      <c r="E6">
        <v>3</v>
      </c>
      <c r="F6">
        <v>0.56000000000000005</v>
      </c>
      <c r="I6">
        <v>3</v>
      </c>
      <c r="J6">
        <v>2.0299999999999998</v>
      </c>
      <c r="M6">
        <v>3</v>
      </c>
      <c r="N6" s="2">
        <f t="shared" si="0"/>
        <v>1.2933333333333332</v>
      </c>
      <c r="O6" s="3">
        <f t="shared" si="1"/>
        <v>0.73500566891237862</v>
      </c>
    </row>
    <row r="7" spans="1:16" x14ac:dyDescent="0.3">
      <c r="A7">
        <v>4</v>
      </c>
      <c r="B7">
        <v>2.48</v>
      </c>
      <c r="E7">
        <v>4</v>
      </c>
      <c r="F7">
        <v>1.65</v>
      </c>
      <c r="I7">
        <v>4</v>
      </c>
      <c r="J7">
        <v>3.18</v>
      </c>
      <c r="M7">
        <v>4</v>
      </c>
      <c r="N7" s="2">
        <f t="shared" si="0"/>
        <v>2.436666666666667</v>
      </c>
      <c r="O7" s="3">
        <f t="shared" si="1"/>
        <v>0.76591992618898053</v>
      </c>
    </row>
    <row r="8" spans="1:16" x14ac:dyDescent="0.3">
      <c r="A8">
        <v>5</v>
      </c>
      <c r="B8">
        <v>3.62</v>
      </c>
      <c r="E8">
        <v>5</v>
      </c>
      <c r="F8">
        <v>2.78</v>
      </c>
      <c r="I8">
        <v>5</v>
      </c>
      <c r="J8">
        <v>4.22</v>
      </c>
      <c r="M8">
        <v>5</v>
      </c>
      <c r="N8" s="2">
        <f t="shared" si="0"/>
        <v>3.5400000000000005</v>
      </c>
      <c r="O8" s="3">
        <f t="shared" si="1"/>
        <v>0.72332565280100203</v>
      </c>
    </row>
    <row r="9" spans="1:16" x14ac:dyDescent="0.3">
      <c r="A9">
        <v>6</v>
      </c>
      <c r="B9">
        <v>4.7</v>
      </c>
      <c r="E9">
        <v>6</v>
      </c>
      <c r="F9">
        <v>3.84</v>
      </c>
      <c r="I9">
        <v>6</v>
      </c>
      <c r="J9">
        <v>5.25</v>
      </c>
      <c r="M9">
        <v>6</v>
      </c>
      <c r="N9" s="2">
        <f t="shared" si="0"/>
        <v>4.5966666666666667</v>
      </c>
      <c r="O9" s="3">
        <f t="shared" si="1"/>
        <v>0.71065697304208131</v>
      </c>
    </row>
    <row r="10" spans="1:16" x14ac:dyDescent="0.3">
      <c r="A10">
        <v>7</v>
      </c>
      <c r="B10">
        <v>5.74</v>
      </c>
      <c r="E10">
        <v>7</v>
      </c>
      <c r="F10">
        <v>4.87</v>
      </c>
      <c r="I10">
        <v>7</v>
      </c>
      <c r="J10">
        <v>6.2</v>
      </c>
      <c r="M10">
        <v>7</v>
      </c>
      <c r="N10" s="2">
        <f t="shared" si="0"/>
        <v>5.6033333333333326</v>
      </c>
      <c r="O10" s="3">
        <f t="shared" si="1"/>
        <v>0.67545046697247413</v>
      </c>
    </row>
    <row r="11" spans="1:16" x14ac:dyDescent="0.3">
      <c r="A11">
        <v>8</v>
      </c>
      <c r="B11">
        <v>6.73</v>
      </c>
      <c r="E11">
        <v>8</v>
      </c>
      <c r="F11">
        <v>5.86</v>
      </c>
      <c r="I11">
        <v>8</v>
      </c>
      <c r="J11">
        <v>7.13</v>
      </c>
      <c r="M11">
        <v>8</v>
      </c>
      <c r="N11" s="2">
        <f t="shared" si="0"/>
        <v>6.5733333333333333</v>
      </c>
      <c r="O11" s="3">
        <f t="shared" si="1"/>
        <v>0.64933299110189457</v>
      </c>
    </row>
    <row r="12" spans="1:16" x14ac:dyDescent="0.3">
      <c r="A12">
        <v>9</v>
      </c>
      <c r="B12">
        <v>7.63</v>
      </c>
      <c r="E12">
        <v>9</v>
      </c>
      <c r="F12">
        <v>6.78</v>
      </c>
      <c r="I12">
        <v>9</v>
      </c>
      <c r="J12">
        <v>8.16</v>
      </c>
      <c r="M12">
        <v>9</v>
      </c>
      <c r="N12" s="2">
        <f t="shared" si="0"/>
        <v>7.5233333333333334</v>
      </c>
      <c r="O12" s="3">
        <f t="shared" si="1"/>
        <v>0.69615611276015754</v>
      </c>
    </row>
    <row r="13" spans="1:16" x14ac:dyDescent="0.3">
      <c r="A13">
        <v>10</v>
      </c>
      <c r="B13">
        <v>8.1999999999999993</v>
      </c>
      <c r="E13">
        <v>10</v>
      </c>
      <c r="F13">
        <v>7.66</v>
      </c>
      <c r="I13">
        <v>10</v>
      </c>
      <c r="J13">
        <v>8.83</v>
      </c>
      <c r="M13">
        <v>10</v>
      </c>
      <c r="N13" s="2">
        <f t="shared" si="0"/>
        <v>8.2299999999999986</v>
      </c>
      <c r="O13" s="3">
        <f t="shared" si="1"/>
        <v>0.58557663887829403</v>
      </c>
    </row>
    <row r="14" spans="1:16" x14ac:dyDescent="0.3">
      <c r="A14">
        <v>11</v>
      </c>
      <c r="B14">
        <v>8.94</v>
      </c>
      <c r="E14">
        <v>11</v>
      </c>
      <c r="F14">
        <v>8.49</v>
      </c>
      <c r="I14">
        <v>11</v>
      </c>
      <c r="J14">
        <v>9.75</v>
      </c>
      <c r="M14">
        <v>11</v>
      </c>
      <c r="N14" s="2">
        <f t="shared" si="0"/>
        <v>9.06</v>
      </c>
      <c r="O14" s="3">
        <f t="shared" si="1"/>
        <v>0.6385138996137828</v>
      </c>
    </row>
    <row r="15" spans="1:16" x14ac:dyDescent="0.3">
      <c r="A15">
        <v>12</v>
      </c>
      <c r="B15">
        <v>9.57</v>
      </c>
      <c r="E15">
        <v>12</v>
      </c>
      <c r="F15">
        <v>9.27</v>
      </c>
      <c r="I15">
        <v>12</v>
      </c>
      <c r="J15">
        <v>10.42</v>
      </c>
      <c r="M15">
        <v>12</v>
      </c>
      <c r="N15" s="2">
        <f t="shared" si="0"/>
        <v>9.7533333333333321</v>
      </c>
      <c r="O15" s="3">
        <f t="shared" si="1"/>
        <v>0.59651767227244279</v>
      </c>
    </row>
    <row r="16" spans="1:16" x14ac:dyDescent="0.3">
      <c r="A16">
        <v>13</v>
      </c>
      <c r="B16">
        <v>10.220000000000001</v>
      </c>
      <c r="E16">
        <v>13</v>
      </c>
      <c r="F16">
        <v>9.9600000000000009</v>
      </c>
      <c r="I16">
        <v>13</v>
      </c>
      <c r="J16">
        <v>11.03</v>
      </c>
      <c r="M16">
        <v>13</v>
      </c>
      <c r="N16" s="2">
        <f t="shared" si="0"/>
        <v>10.403333333333334</v>
      </c>
      <c r="O16" s="3">
        <f t="shared" si="1"/>
        <v>0.55806212318462578</v>
      </c>
    </row>
    <row r="17" spans="1:15" x14ac:dyDescent="0.3">
      <c r="A17">
        <v>14</v>
      </c>
      <c r="B17">
        <v>11.03</v>
      </c>
      <c r="E17">
        <v>14</v>
      </c>
      <c r="F17">
        <v>10.73</v>
      </c>
      <c r="I17">
        <v>14</v>
      </c>
      <c r="J17">
        <v>11.63</v>
      </c>
      <c r="M17">
        <v>14</v>
      </c>
      <c r="N17" s="2">
        <f t="shared" si="0"/>
        <v>11.13</v>
      </c>
      <c r="O17" s="3">
        <f t="shared" si="1"/>
        <v>0.45825756949558433</v>
      </c>
    </row>
    <row r="18" spans="1:15" x14ac:dyDescent="0.3">
      <c r="A18">
        <v>15</v>
      </c>
      <c r="B18">
        <v>11.67</v>
      </c>
      <c r="E18">
        <v>15</v>
      </c>
      <c r="F18">
        <v>11.34</v>
      </c>
      <c r="I18">
        <v>15</v>
      </c>
      <c r="J18">
        <v>12.35</v>
      </c>
      <c r="M18">
        <v>15</v>
      </c>
      <c r="N18" s="2">
        <f t="shared" si="0"/>
        <v>11.786666666666667</v>
      </c>
      <c r="O18" s="3">
        <f t="shared" si="1"/>
        <v>0.51500809055133612</v>
      </c>
    </row>
    <row r="19" spans="1:15" x14ac:dyDescent="0.3">
      <c r="A19">
        <v>16</v>
      </c>
      <c r="B19">
        <v>12.16</v>
      </c>
      <c r="E19">
        <v>16</v>
      </c>
      <c r="F19">
        <v>12.09</v>
      </c>
      <c r="I19">
        <v>16</v>
      </c>
      <c r="J19">
        <v>12.86</v>
      </c>
      <c r="M19">
        <v>16</v>
      </c>
      <c r="N19" s="2">
        <f t="shared" si="0"/>
        <v>12.37</v>
      </c>
      <c r="O19" s="3">
        <f t="shared" si="1"/>
        <v>0.42579337712087506</v>
      </c>
    </row>
    <row r="20" spans="1:15" x14ac:dyDescent="0.3">
      <c r="A20">
        <v>17</v>
      </c>
      <c r="B20">
        <v>12.68</v>
      </c>
      <c r="E20">
        <v>17</v>
      </c>
      <c r="F20">
        <v>12.62</v>
      </c>
      <c r="I20">
        <v>17</v>
      </c>
      <c r="J20">
        <v>13.41</v>
      </c>
      <c r="M20">
        <v>17</v>
      </c>
      <c r="N20" s="2">
        <f t="shared" si="0"/>
        <v>12.903333333333331</v>
      </c>
      <c r="O20" s="3">
        <f t="shared" si="1"/>
        <v>0.43981056528161494</v>
      </c>
    </row>
    <row r="21" spans="1:15" x14ac:dyDescent="0.3">
      <c r="A21">
        <v>18</v>
      </c>
      <c r="B21">
        <v>13.05</v>
      </c>
      <c r="E21">
        <v>18</v>
      </c>
      <c r="F21">
        <v>13.12</v>
      </c>
      <c r="I21">
        <v>18</v>
      </c>
      <c r="J21">
        <v>13.87</v>
      </c>
      <c r="M21">
        <v>18</v>
      </c>
      <c r="N21" s="2">
        <f t="shared" si="0"/>
        <v>13.346666666666666</v>
      </c>
      <c r="O21" s="3">
        <f t="shared" si="1"/>
        <v>0.45456939330902263</v>
      </c>
    </row>
    <row r="22" spans="1:15" x14ac:dyDescent="0.3">
      <c r="A22">
        <v>19</v>
      </c>
      <c r="B22">
        <v>13.57</v>
      </c>
      <c r="E22">
        <v>19</v>
      </c>
      <c r="F22">
        <v>13.71</v>
      </c>
      <c r="I22">
        <v>19</v>
      </c>
      <c r="J22">
        <v>14.39</v>
      </c>
      <c r="M22">
        <v>19</v>
      </c>
      <c r="N22" s="2">
        <f t="shared" si="0"/>
        <v>13.89</v>
      </c>
      <c r="O22" s="3">
        <f t="shared" si="1"/>
        <v>0.43863424398922624</v>
      </c>
    </row>
    <row r="23" spans="1:15" x14ac:dyDescent="0.3">
      <c r="A23">
        <v>20</v>
      </c>
      <c r="B23">
        <v>13.94</v>
      </c>
      <c r="E23">
        <v>20</v>
      </c>
      <c r="F23">
        <v>14.11</v>
      </c>
      <c r="I23">
        <v>20</v>
      </c>
      <c r="J23">
        <v>14.74</v>
      </c>
      <c r="M23">
        <v>20</v>
      </c>
      <c r="N23" s="2">
        <f t="shared" si="0"/>
        <v>14.263333333333334</v>
      </c>
      <c r="O23" s="3">
        <f t="shared" si="1"/>
        <v>0.42146569650842725</v>
      </c>
    </row>
    <row r="24" spans="1:15" x14ac:dyDescent="0.3">
      <c r="A24">
        <v>21</v>
      </c>
      <c r="B24">
        <v>14.31</v>
      </c>
      <c r="E24">
        <v>21</v>
      </c>
      <c r="F24">
        <v>14.51</v>
      </c>
      <c r="I24">
        <v>21</v>
      </c>
      <c r="J24">
        <v>15.13</v>
      </c>
      <c r="M24">
        <v>21</v>
      </c>
      <c r="N24" s="2">
        <f t="shared" si="0"/>
        <v>14.65</v>
      </c>
      <c r="O24" s="3">
        <f t="shared" si="1"/>
        <v>0.42755116652863928</v>
      </c>
    </row>
    <row r="25" spans="1:15" x14ac:dyDescent="0.3">
      <c r="A25">
        <v>22</v>
      </c>
      <c r="B25">
        <v>14.69</v>
      </c>
      <c r="E25">
        <v>22</v>
      </c>
      <c r="F25">
        <v>15.02</v>
      </c>
      <c r="I25">
        <v>22</v>
      </c>
      <c r="J25">
        <v>15.48</v>
      </c>
      <c r="M25">
        <v>22</v>
      </c>
      <c r="N25" s="2">
        <f t="shared" si="0"/>
        <v>15.063333333333333</v>
      </c>
      <c r="O25" s="3">
        <f t="shared" si="1"/>
        <v>0.39677869566464086</v>
      </c>
    </row>
    <row r="26" spans="1:15" x14ac:dyDescent="0.3">
      <c r="A26">
        <v>23</v>
      </c>
      <c r="B26">
        <v>15.06</v>
      </c>
      <c r="E26">
        <v>23</v>
      </c>
      <c r="F26">
        <v>15.36</v>
      </c>
      <c r="I26">
        <v>23</v>
      </c>
      <c r="J26">
        <v>15.85</v>
      </c>
      <c r="M26">
        <v>23</v>
      </c>
      <c r="N26" s="2">
        <f t="shared" si="0"/>
        <v>15.423333333333334</v>
      </c>
      <c r="O26" s="3">
        <f t="shared" si="1"/>
        <v>0.39878983604567081</v>
      </c>
    </row>
    <row r="27" spans="1:15" x14ac:dyDescent="0.3">
      <c r="A27">
        <v>24</v>
      </c>
      <c r="B27">
        <v>15.49</v>
      </c>
      <c r="E27">
        <v>24</v>
      </c>
      <c r="F27">
        <v>15.62</v>
      </c>
      <c r="I27">
        <v>24</v>
      </c>
      <c r="J27">
        <v>16.21</v>
      </c>
      <c r="M27">
        <v>24</v>
      </c>
      <c r="N27" s="2">
        <f t="shared" si="0"/>
        <v>15.773333333333333</v>
      </c>
      <c r="O27" s="3">
        <f t="shared" si="1"/>
        <v>0.38370995990895751</v>
      </c>
    </row>
    <row r="28" spans="1:15" x14ac:dyDescent="0.3">
      <c r="A28">
        <v>25</v>
      </c>
      <c r="B28">
        <v>15.8</v>
      </c>
      <c r="E28">
        <v>25</v>
      </c>
      <c r="F28">
        <v>16</v>
      </c>
      <c r="I28">
        <v>25</v>
      </c>
      <c r="J28">
        <v>16.46</v>
      </c>
      <c r="M28">
        <v>25</v>
      </c>
      <c r="N28" s="2">
        <f t="shared" si="0"/>
        <v>16.08666666666667</v>
      </c>
      <c r="O28" s="3">
        <f t="shared" si="1"/>
        <v>0.33842773723992164</v>
      </c>
    </row>
    <row r="29" spans="1:15" x14ac:dyDescent="0.3">
      <c r="A29">
        <v>26</v>
      </c>
      <c r="B29">
        <v>16.21</v>
      </c>
      <c r="E29">
        <v>26</v>
      </c>
      <c r="F29">
        <v>16.36</v>
      </c>
      <c r="I29">
        <v>26</v>
      </c>
      <c r="J29">
        <v>16.72</v>
      </c>
      <c r="M29">
        <v>26</v>
      </c>
      <c r="N29" s="2">
        <f t="shared" si="0"/>
        <v>16.43</v>
      </c>
      <c r="O29" s="3">
        <f t="shared" si="1"/>
        <v>0.26210684844162224</v>
      </c>
    </row>
    <row r="30" spans="1:15" x14ac:dyDescent="0.3">
      <c r="A30">
        <v>27</v>
      </c>
      <c r="B30">
        <v>16.43</v>
      </c>
      <c r="E30">
        <v>27</v>
      </c>
      <c r="F30">
        <v>16.579999999999998</v>
      </c>
      <c r="I30">
        <v>27</v>
      </c>
      <c r="J30">
        <v>16.93</v>
      </c>
      <c r="M30">
        <v>27</v>
      </c>
      <c r="N30" s="2">
        <f t="shared" si="0"/>
        <v>16.646666666666665</v>
      </c>
      <c r="O30" s="3">
        <f t="shared" si="1"/>
        <v>0.25658007197234439</v>
      </c>
    </row>
    <row r="31" spans="1:15" x14ac:dyDescent="0.3">
      <c r="A31">
        <v>28</v>
      </c>
      <c r="B31">
        <v>16.62</v>
      </c>
      <c r="E31">
        <v>28</v>
      </c>
      <c r="F31">
        <v>16.97</v>
      </c>
      <c r="I31">
        <v>28</v>
      </c>
      <c r="J31">
        <v>17.2</v>
      </c>
      <c r="M31">
        <v>28</v>
      </c>
      <c r="N31" s="2">
        <f t="shared" si="0"/>
        <v>16.930000000000003</v>
      </c>
      <c r="O31" s="3">
        <f t="shared" si="1"/>
        <v>0.29206163733020374</v>
      </c>
    </row>
    <row r="32" spans="1:15" x14ac:dyDescent="0.3">
      <c r="A32">
        <v>29</v>
      </c>
      <c r="B32">
        <v>16.71</v>
      </c>
      <c r="E32">
        <v>29</v>
      </c>
      <c r="F32">
        <v>17.21</v>
      </c>
      <c r="I32">
        <v>29</v>
      </c>
      <c r="J32">
        <v>17.440000000000001</v>
      </c>
      <c r="M32">
        <v>29</v>
      </c>
      <c r="N32" s="2">
        <f t="shared" si="0"/>
        <v>17.12</v>
      </c>
      <c r="O32" s="3">
        <f t="shared" si="1"/>
        <v>0.37322915213043067</v>
      </c>
    </row>
    <row r="33" spans="1:15" x14ac:dyDescent="0.3">
      <c r="A33">
        <v>30</v>
      </c>
      <c r="B33">
        <v>16.82</v>
      </c>
      <c r="E33">
        <v>30</v>
      </c>
      <c r="F33">
        <v>17.38</v>
      </c>
      <c r="I33">
        <v>30</v>
      </c>
      <c r="J33">
        <v>17.61</v>
      </c>
      <c r="M33">
        <v>30</v>
      </c>
      <c r="N33" s="2">
        <f t="shared" si="0"/>
        <v>17.27</v>
      </c>
      <c r="O33" s="3">
        <f t="shared" si="1"/>
        <v>0.40632499307820036</v>
      </c>
    </row>
    <row r="34" spans="1:15" x14ac:dyDescent="0.3">
      <c r="A34">
        <v>31</v>
      </c>
      <c r="B34">
        <v>17</v>
      </c>
      <c r="E34">
        <v>31</v>
      </c>
      <c r="F34">
        <v>17.59</v>
      </c>
      <c r="I34">
        <v>31</v>
      </c>
      <c r="J34">
        <v>17.78</v>
      </c>
      <c r="M34">
        <v>31</v>
      </c>
      <c r="N34" s="2">
        <f t="shared" si="0"/>
        <v>17.456666666666667</v>
      </c>
      <c r="O34" s="3">
        <f t="shared" si="1"/>
        <v>0.40673496694202932</v>
      </c>
    </row>
    <row r="35" spans="1:15" x14ac:dyDescent="0.3">
      <c r="A35">
        <v>32</v>
      </c>
      <c r="B35">
        <v>17.16</v>
      </c>
      <c r="E35">
        <v>32</v>
      </c>
      <c r="F35">
        <v>17.79</v>
      </c>
      <c r="I35">
        <v>32</v>
      </c>
      <c r="J35">
        <v>17.940000000000001</v>
      </c>
      <c r="M35">
        <v>32</v>
      </c>
      <c r="N35" s="2">
        <f t="shared" ref="N35:N52" si="2">AVERAGE(B35,F35,J35)</f>
        <v>17.63</v>
      </c>
      <c r="O35" s="3">
        <f t="shared" ref="O35:O52" si="3">_xlfn.STDEV.S(B35,F35,J35)</f>
        <v>0.41388404173149773</v>
      </c>
    </row>
    <row r="36" spans="1:15" x14ac:dyDescent="0.3">
      <c r="A36">
        <v>33</v>
      </c>
      <c r="B36">
        <v>17.309999999999999</v>
      </c>
      <c r="E36">
        <v>33</v>
      </c>
      <c r="F36">
        <v>17.989999999999998</v>
      </c>
      <c r="I36">
        <v>33</v>
      </c>
      <c r="J36">
        <v>18.100000000000001</v>
      </c>
      <c r="M36">
        <v>33</v>
      </c>
      <c r="N36" s="2">
        <f t="shared" si="2"/>
        <v>17.8</v>
      </c>
      <c r="O36" s="3">
        <f t="shared" si="3"/>
        <v>0.42790185790669427</v>
      </c>
    </row>
    <row r="37" spans="1:15" x14ac:dyDescent="0.3">
      <c r="A37">
        <v>34</v>
      </c>
      <c r="B37">
        <v>17.45</v>
      </c>
      <c r="E37">
        <v>34</v>
      </c>
      <c r="F37">
        <v>18.14</v>
      </c>
      <c r="I37">
        <v>34</v>
      </c>
      <c r="J37">
        <v>18.22</v>
      </c>
      <c r="M37">
        <v>34</v>
      </c>
      <c r="N37" s="2">
        <f t="shared" si="2"/>
        <v>17.936666666666667</v>
      </c>
      <c r="O37" s="3">
        <f t="shared" si="3"/>
        <v>0.42335957923889411</v>
      </c>
    </row>
    <row r="38" spans="1:15" x14ac:dyDescent="0.3">
      <c r="A38">
        <v>35</v>
      </c>
      <c r="B38">
        <v>17.61</v>
      </c>
      <c r="E38">
        <v>35</v>
      </c>
      <c r="F38">
        <v>18.309999999999999</v>
      </c>
      <c r="I38">
        <v>35</v>
      </c>
      <c r="J38">
        <v>18.350000000000001</v>
      </c>
      <c r="M38">
        <v>35</v>
      </c>
      <c r="N38" s="2">
        <f t="shared" si="2"/>
        <v>18.09</v>
      </c>
      <c r="O38" s="3">
        <f t="shared" si="3"/>
        <v>0.41617304093369667</v>
      </c>
    </row>
    <row r="39" spans="1:15" x14ac:dyDescent="0.3">
      <c r="A39">
        <v>36</v>
      </c>
      <c r="B39">
        <v>17.739999999999998</v>
      </c>
      <c r="E39">
        <v>36</v>
      </c>
      <c r="F39">
        <v>18.45</v>
      </c>
      <c r="I39">
        <v>36</v>
      </c>
      <c r="J39">
        <v>18.48</v>
      </c>
      <c r="M39">
        <v>36</v>
      </c>
      <c r="N39" s="2">
        <f t="shared" si="2"/>
        <v>18.223333333333333</v>
      </c>
      <c r="O39" s="3">
        <f t="shared" si="3"/>
        <v>0.41884762543595017</v>
      </c>
    </row>
    <row r="40" spans="1:15" x14ac:dyDescent="0.3">
      <c r="A40">
        <v>37</v>
      </c>
      <c r="B40">
        <v>17.86</v>
      </c>
      <c r="E40">
        <v>37</v>
      </c>
      <c r="F40">
        <v>18.579999999999998</v>
      </c>
      <c r="I40">
        <v>37</v>
      </c>
      <c r="J40">
        <v>18.59</v>
      </c>
      <c r="M40">
        <v>37</v>
      </c>
      <c r="N40" s="2">
        <f t="shared" si="2"/>
        <v>18.343333333333334</v>
      </c>
      <c r="O40" s="3">
        <f t="shared" si="3"/>
        <v>0.41860880704224696</v>
      </c>
    </row>
    <row r="41" spans="1:15" x14ac:dyDescent="0.3">
      <c r="A41">
        <v>38</v>
      </c>
      <c r="B41">
        <v>17.91</v>
      </c>
      <c r="E41">
        <v>38</v>
      </c>
      <c r="F41">
        <v>18.690000000000001</v>
      </c>
      <c r="I41">
        <v>38</v>
      </c>
      <c r="J41">
        <v>18.71</v>
      </c>
      <c r="M41">
        <v>38</v>
      </c>
      <c r="N41" s="2">
        <f t="shared" si="2"/>
        <v>18.436666666666667</v>
      </c>
      <c r="O41" s="3">
        <f t="shared" si="3"/>
        <v>0.45621632295801717</v>
      </c>
    </row>
    <row r="42" spans="1:15" x14ac:dyDescent="0.3">
      <c r="A42">
        <v>39</v>
      </c>
      <c r="B42">
        <v>17.91</v>
      </c>
      <c r="E42">
        <v>39</v>
      </c>
      <c r="F42">
        <v>18.829999999999998</v>
      </c>
      <c r="I42">
        <v>39</v>
      </c>
      <c r="J42">
        <v>18.82</v>
      </c>
      <c r="M42">
        <v>39</v>
      </c>
      <c r="N42" s="2">
        <f t="shared" si="2"/>
        <v>18.52</v>
      </c>
      <c r="O42" s="3">
        <f t="shared" si="3"/>
        <v>0.52829915767489111</v>
      </c>
    </row>
    <row r="43" spans="1:15" x14ac:dyDescent="0.3">
      <c r="A43">
        <v>40</v>
      </c>
      <c r="B43">
        <v>17.91</v>
      </c>
      <c r="E43">
        <v>40</v>
      </c>
      <c r="F43">
        <v>18.93</v>
      </c>
      <c r="I43">
        <v>40</v>
      </c>
      <c r="J43">
        <v>18.89</v>
      </c>
      <c r="M43">
        <v>40</v>
      </c>
      <c r="N43" s="2">
        <f t="shared" si="2"/>
        <v>18.576666666666668</v>
      </c>
      <c r="O43" s="3">
        <f t="shared" si="3"/>
        <v>0.57769657549039821</v>
      </c>
    </row>
    <row r="44" spans="1:15" x14ac:dyDescent="0.3">
      <c r="A44">
        <v>41</v>
      </c>
      <c r="B44">
        <v>17.940000000000001</v>
      </c>
      <c r="E44">
        <v>41</v>
      </c>
      <c r="F44">
        <v>19</v>
      </c>
      <c r="I44">
        <v>41</v>
      </c>
      <c r="J44">
        <v>18.96</v>
      </c>
      <c r="M44">
        <v>41</v>
      </c>
      <c r="N44" s="2">
        <f t="shared" si="2"/>
        <v>18.633333333333333</v>
      </c>
      <c r="O44" s="3">
        <f t="shared" si="3"/>
        <v>0.60077727431497663</v>
      </c>
    </row>
    <row r="45" spans="1:15" x14ac:dyDescent="0.3">
      <c r="A45">
        <v>42</v>
      </c>
      <c r="B45">
        <v>18.05</v>
      </c>
      <c r="E45">
        <v>42</v>
      </c>
      <c r="F45">
        <v>19.11</v>
      </c>
      <c r="I45">
        <v>42</v>
      </c>
      <c r="J45">
        <v>19.04</v>
      </c>
      <c r="M45">
        <v>42</v>
      </c>
      <c r="N45" s="2">
        <f t="shared" si="2"/>
        <v>18.733333333333331</v>
      </c>
      <c r="O45" s="3">
        <f t="shared" si="3"/>
        <v>0.59281812837777859</v>
      </c>
    </row>
    <row r="46" spans="1:15" x14ac:dyDescent="0.3">
      <c r="A46">
        <v>43</v>
      </c>
      <c r="B46">
        <v>18.11</v>
      </c>
      <c r="E46">
        <v>43</v>
      </c>
      <c r="F46">
        <v>19.18</v>
      </c>
      <c r="I46">
        <v>43</v>
      </c>
      <c r="J46">
        <v>19.079999999999998</v>
      </c>
      <c r="M46">
        <v>43</v>
      </c>
      <c r="N46" s="2">
        <f t="shared" si="2"/>
        <v>18.79</v>
      </c>
      <c r="O46" s="3">
        <f t="shared" si="3"/>
        <v>0.59101607423148805</v>
      </c>
    </row>
    <row r="47" spans="1:15" x14ac:dyDescent="0.3">
      <c r="A47">
        <v>44</v>
      </c>
      <c r="B47">
        <v>18.170000000000002</v>
      </c>
      <c r="E47">
        <v>44</v>
      </c>
      <c r="F47">
        <v>19.23</v>
      </c>
      <c r="I47">
        <v>44</v>
      </c>
      <c r="J47">
        <v>19.09</v>
      </c>
      <c r="M47">
        <v>44</v>
      </c>
      <c r="N47" s="2">
        <f t="shared" si="2"/>
        <v>18.830000000000002</v>
      </c>
      <c r="O47" s="3">
        <f t="shared" si="3"/>
        <v>0.57584720195551786</v>
      </c>
    </row>
    <row r="48" spans="1:15" x14ac:dyDescent="0.3">
      <c r="A48">
        <v>45</v>
      </c>
      <c r="B48">
        <v>18.25</v>
      </c>
      <c r="E48">
        <v>45</v>
      </c>
      <c r="F48">
        <v>19.34</v>
      </c>
      <c r="I48">
        <v>45</v>
      </c>
      <c r="J48">
        <v>19.100000000000001</v>
      </c>
      <c r="M48">
        <v>45</v>
      </c>
      <c r="N48" s="2">
        <f t="shared" si="2"/>
        <v>18.896666666666668</v>
      </c>
      <c r="O48" s="3">
        <f t="shared" si="3"/>
        <v>0.57274194305405424</v>
      </c>
    </row>
    <row r="49" spans="1:15" x14ac:dyDescent="0.3">
      <c r="A49">
        <v>46</v>
      </c>
      <c r="B49">
        <v>18.309999999999999</v>
      </c>
      <c r="E49">
        <v>46</v>
      </c>
      <c r="F49">
        <v>19.38</v>
      </c>
      <c r="I49">
        <v>46</v>
      </c>
      <c r="J49">
        <v>19.149999999999999</v>
      </c>
      <c r="M49">
        <v>46</v>
      </c>
      <c r="N49" s="2">
        <f t="shared" si="2"/>
        <v>18.946666666666665</v>
      </c>
      <c r="O49" s="3">
        <f t="shared" si="3"/>
        <v>0.56323470537009124</v>
      </c>
    </row>
    <row r="50" spans="1:15" x14ac:dyDescent="0.3">
      <c r="A50">
        <v>47</v>
      </c>
      <c r="B50">
        <v>18.43</v>
      </c>
      <c r="E50">
        <v>47</v>
      </c>
      <c r="F50">
        <v>19.41</v>
      </c>
      <c r="I50">
        <v>47</v>
      </c>
      <c r="J50">
        <v>19.149999999999999</v>
      </c>
      <c r="M50">
        <v>47</v>
      </c>
      <c r="N50" s="2">
        <f t="shared" si="2"/>
        <v>18.996666666666666</v>
      </c>
      <c r="O50" s="3">
        <f t="shared" si="3"/>
        <v>0.50767443635989129</v>
      </c>
    </row>
    <row r="51" spans="1:15" x14ac:dyDescent="0.3">
      <c r="A51">
        <v>48</v>
      </c>
      <c r="B51">
        <v>18.489999999999998</v>
      </c>
      <c r="E51">
        <v>48</v>
      </c>
      <c r="F51">
        <v>19.440000000000001</v>
      </c>
      <c r="I51">
        <v>48</v>
      </c>
      <c r="J51">
        <v>19.149999999999999</v>
      </c>
      <c r="M51">
        <v>48</v>
      </c>
      <c r="N51" s="2">
        <f t="shared" si="2"/>
        <v>19.026666666666667</v>
      </c>
      <c r="O51" s="3">
        <f t="shared" si="3"/>
        <v>0.48686069191641929</v>
      </c>
    </row>
    <row r="52" spans="1:15" x14ac:dyDescent="0.3">
      <c r="A52">
        <v>49</v>
      </c>
      <c r="B52">
        <v>18.57</v>
      </c>
      <c r="E52">
        <v>49</v>
      </c>
      <c r="F52">
        <v>19.440000000000001</v>
      </c>
      <c r="I52">
        <v>49</v>
      </c>
      <c r="J52">
        <v>19.149999999999999</v>
      </c>
      <c r="M52">
        <v>49</v>
      </c>
      <c r="N52" s="2">
        <f t="shared" si="2"/>
        <v>19.053333333333335</v>
      </c>
      <c r="O52" s="3">
        <f t="shared" si="3"/>
        <v>0.44298231717906478</v>
      </c>
    </row>
    <row r="53" spans="1:15" x14ac:dyDescent="0.3">
      <c r="A53" s="4">
        <v>50</v>
      </c>
      <c r="B53" s="4">
        <v>18.62</v>
      </c>
      <c r="E53" s="4">
        <v>50</v>
      </c>
      <c r="F53" s="4">
        <v>19.440000000000001</v>
      </c>
    </row>
    <row r="54" spans="1:15" x14ac:dyDescent="0.3">
      <c r="A54" s="4">
        <v>51</v>
      </c>
      <c r="B54" s="4">
        <v>18.71</v>
      </c>
      <c r="E54" s="4">
        <v>51</v>
      </c>
      <c r="F54" s="4">
        <v>19.440000000000001</v>
      </c>
    </row>
    <row r="55" spans="1:15" x14ac:dyDescent="0.3">
      <c r="A55" s="4">
        <v>52</v>
      </c>
      <c r="B55" s="4">
        <v>18.760000000000002</v>
      </c>
      <c r="E55" s="4">
        <v>52</v>
      </c>
      <c r="F55" s="4">
        <v>19.45</v>
      </c>
    </row>
    <row r="56" spans="1:15" x14ac:dyDescent="0.3">
      <c r="A56" s="4">
        <v>53</v>
      </c>
      <c r="B56" s="4">
        <v>18.82</v>
      </c>
      <c r="E56" s="4">
        <v>53</v>
      </c>
      <c r="F56" s="4">
        <v>19.48</v>
      </c>
    </row>
    <row r="57" spans="1:15" x14ac:dyDescent="0.3">
      <c r="A57" s="4">
        <v>54</v>
      </c>
      <c r="B57" s="4">
        <v>18.86</v>
      </c>
      <c r="E57" s="4"/>
      <c r="F57" s="4"/>
    </row>
    <row r="58" spans="1:15" x14ac:dyDescent="0.3">
      <c r="A58" s="4">
        <v>55</v>
      </c>
      <c r="B58" s="4">
        <v>18.91</v>
      </c>
    </row>
    <row r="59" spans="1:15" x14ac:dyDescent="0.3">
      <c r="A59" s="4">
        <v>56</v>
      </c>
      <c r="B59" s="4">
        <v>19</v>
      </c>
    </row>
    <row r="60" spans="1:15" x14ac:dyDescent="0.3">
      <c r="A60" s="4">
        <v>57</v>
      </c>
      <c r="B60" s="4">
        <v>19.04</v>
      </c>
    </row>
    <row r="61" spans="1:15" x14ac:dyDescent="0.3">
      <c r="A61" s="4">
        <v>58</v>
      </c>
      <c r="B61" s="4">
        <v>19.079999999999998</v>
      </c>
    </row>
    <row r="62" spans="1:15" x14ac:dyDescent="0.3">
      <c r="A62" s="4">
        <v>59</v>
      </c>
      <c r="B62" s="4">
        <v>19.12</v>
      </c>
    </row>
    <row r="63" spans="1:15" x14ac:dyDescent="0.3">
      <c r="A63" s="4">
        <v>60</v>
      </c>
      <c r="B63" s="4">
        <v>19.14</v>
      </c>
    </row>
    <row r="64" spans="1:15" x14ac:dyDescent="0.3">
      <c r="A64" s="4">
        <v>61</v>
      </c>
      <c r="B64" s="4">
        <v>19.16</v>
      </c>
    </row>
    <row r="65" spans="1:2" x14ac:dyDescent="0.3">
      <c r="A65" s="4">
        <v>62</v>
      </c>
      <c r="B65" s="4">
        <v>19.170000000000002</v>
      </c>
    </row>
    <row r="66" spans="1:2" x14ac:dyDescent="0.3">
      <c r="A66" s="4">
        <v>63</v>
      </c>
      <c r="B66" s="4">
        <v>19.18</v>
      </c>
    </row>
    <row r="67" spans="1:2" x14ac:dyDescent="0.3">
      <c r="A67" s="4">
        <v>64</v>
      </c>
      <c r="B67" s="4">
        <v>19.239999999999998</v>
      </c>
    </row>
    <row r="68" spans="1:2" x14ac:dyDescent="0.3">
      <c r="A68" s="4">
        <v>65</v>
      </c>
      <c r="B68" s="4">
        <v>19.260000000000002</v>
      </c>
    </row>
    <row r="69" spans="1:2" x14ac:dyDescent="0.3">
      <c r="A69" s="4">
        <v>66</v>
      </c>
      <c r="B69" s="4">
        <v>19.29</v>
      </c>
    </row>
    <row r="70" spans="1:2" x14ac:dyDescent="0.3">
      <c r="A70" s="4">
        <v>67</v>
      </c>
      <c r="B70" s="4">
        <v>19.32</v>
      </c>
    </row>
    <row r="71" spans="1:2" x14ac:dyDescent="0.3">
      <c r="A71" s="4">
        <v>68</v>
      </c>
      <c r="B71" s="4">
        <v>19.34</v>
      </c>
    </row>
    <row r="72" spans="1:2" x14ac:dyDescent="0.3">
      <c r="A72" s="4">
        <v>69</v>
      </c>
      <c r="B72" s="4">
        <v>19.37</v>
      </c>
    </row>
    <row r="73" spans="1:2" x14ac:dyDescent="0.3">
      <c r="A73" s="4">
        <v>70</v>
      </c>
      <c r="B73" s="4">
        <v>19.38</v>
      </c>
    </row>
    <row r="74" spans="1:2" x14ac:dyDescent="0.3">
      <c r="A74" s="4">
        <v>71</v>
      </c>
      <c r="B74" s="4">
        <v>19.420000000000002</v>
      </c>
    </row>
    <row r="75" spans="1:2" x14ac:dyDescent="0.3">
      <c r="A75" s="4">
        <v>72</v>
      </c>
      <c r="B75" s="4">
        <v>19.420000000000002</v>
      </c>
    </row>
    <row r="76" spans="1:2" x14ac:dyDescent="0.3">
      <c r="A76" s="4">
        <v>73</v>
      </c>
      <c r="B76" s="4">
        <v>19.420000000000002</v>
      </c>
    </row>
    <row r="77" spans="1:2" x14ac:dyDescent="0.3">
      <c r="A77" s="4">
        <v>74</v>
      </c>
      <c r="B77" s="4">
        <v>19.420000000000002</v>
      </c>
    </row>
    <row r="78" spans="1:2" x14ac:dyDescent="0.3">
      <c r="A78" s="4">
        <v>75</v>
      </c>
      <c r="B78" s="4">
        <v>19.420000000000002</v>
      </c>
    </row>
    <row r="79" spans="1:2" x14ac:dyDescent="0.3">
      <c r="A79" s="4">
        <v>76</v>
      </c>
      <c r="B79" s="4">
        <v>19.420000000000002</v>
      </c>
    </row>
    <row r="80" spans="1:2" x14ac:dyDescent="0.3">
      <c r="A80" s="4">
        <v>77</v>
      </c>
      <c r="B80" s="4">
        <v>19.420000000000002</v>
      </c>
    </row>
    <row r="81" spans="1:2" x14ac:dyDescent="0.3">
      <c r="A81" s="4">
        <v>78</v>
      </c>
      <c r="B81" s="4">
        <v>19.420000000000002</v>
      </c>
    </row>
    <row r="82" spans="1:2" x14ac:dyDescent="0.3">
      <c r="A82" s="4">
        <v>79</v>
      </c>
      <c r="B82" s="4">
        <v>19.420000000000002</v>
      </c>
    </row>
    <row r="83" spans="1:2" x14ac:dyDescent="0.3">
      <c r="A83" s="4">
        <v>80</v>
      </c>
      <c r="B83" s="4">
        <v>19.420000000000002</v>
      </c>
    </row>
    <row r="84" spans="1:2" x14ac:dyDescent="0.3">
      <c r="A84" s="4">
        <v>81</v>
      </c>
      <c r="B84" s="4">
        <v>19.420000000000002</v>
      </c>
    </row>
    <row r="85" spans="1:2" x14ac:dyDescent="0.3">
      <c r="A85" s="4">
        <v>82</v>
      </c>
      <c r="B85" s="4">
        <v>19.43</v>
      </c>
    </row>
    <row r="86" spans="1:2" x14ac:dyDescent="0.3">
      <c r="A86" s="4">
        <v>83</v>
      </c>
      <c r="B86" s="4">
        <v>19.46</v>
      </c>
    </row>
    <row r="87" spans="1:2" x14ac:dyDescent="0.3">
      <c r="A87" s="4">
        <v>84</v>
      </c>
      <c r="B87" s="4">
        <v>19.46</v>
      </c>
    </row>
    <row r="88" spans="1:2" x14ac:dyDescent="0.3">
      <c r="A88" s="4">
        <v>85</v>
      </c>
      <c r="B88" s="4">
        <v>19.46</v>
      </c>
    </row>
    <row r="89" spans="1:2" x14ac:dyDescent="0.3">
      <c r="A89" s="4">
        <v>86</v>
      </c>
      <c r="B89" s="4">
        <v>19.46</v>
      </c>
    </row>
    <row r="90" spans="1:2" x14ac:dyDescent="0.3">
      <c r="A90" s="4">
        <v>87</v>
      </c>
      <c r="B90" s="4">
        <v>19.46</v>
      </c>
    </row>
    <row r="91" spans="1:2" x14ac:dyDescent="0.3">
      <c r="A91" s="4">
        <v>88</v>
      </c>
      <c r="B91" s="4">
        <v>19.46</v>
      </c>
    </row>
    <row r="92" spans="1:2" x14ac:dyDescent="0.3">
      <c r="A92" s="4">
        <v>89</v>
      </c>
      <c r="B92" s="4">
        <v>19.46</v>
      </c>
    </row>
    <row r="93" spans="1:2" x14ac:dyDescent="0.3">
      <c r="A93" s="4">
        <v>90</v>
      </c>
      <c r="B93" s="4">
        <v>19.46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R1" sqref="R1:T9"/>
    </sheetView>
  </sheetViews>
  <sheetFormatPr defaultRowHeight="14.4" x14ac:dyDescent="0.3"/>
  <cols>
    <col min="3" max="3" width="11.21875" bestFit="1" customWidth="1"/>
    <col min="7" max="7" width="11.21875" bestFit="1" customWidth="1"/>
    <col min="11" max="11" width="11.21875" bestFit="1" customWidth="1"/>
    <col min="14" max="14" width="14.21875" bestFit="1" customWidth="1"/>
    <col min="16" max="16" width="11.21875" bestFit="1" customWidth="1"/>
    <col min="17" max="17" width="14.77734375" bestFit="1" customWidth="1"/>
    <col min="19" max="19" width="9.5546875" bestFit="1" customWidth="1"/>
    <col min="20" max="20" width="11.21875" bestFit="1" customWidth="1"/>
  </cols>
  <sheetData>
    <row r="1" spans="1:19" x14ac:dyDescent="0.3">
      <c r="A1" t="s">
        <v>0</v>
      </c>
      <c r="E1" t="s">
        <v>1</v>
      </c>
      <c r="I1" t="s">
        <v>2</v>
      </c>
      <c r="M1" s="1" t="s">
        <v>6</v>
      </c>
    </row>
    <row r="2" spans="1:19" x14ac:dyDescent="0.3">
      <c r="A2" t="s">
        <v>3</v>
      </c>
      <c r="B2" t="s">
        <v>4</v>
      </c>
      <c r="C2" t="s">
        <v>5</v>
      </c>
      <c r="E2" t="s">
        <v>3</v>
      </c>
      <c r="F2" t="s">
        <v>4</v>
      </c>
      <c r="G2" t="s">
        <v>5</v>
      </c>
      <c r="I2" t="s">
        <v>3</v>
      </c>
      <c r="J2" t="s">
        <v>4</v>
      </c>
      <c r="K2" t="s">
        <v>5</v>
      </c>
      <c r="M2" t="s">
        <v>3</v>
      </c>
      <c r="N2" t="s">
        <v>8</v>
      </c>
      <c r="O2" t="s">
        <v>7</v>
      </c>
      <c r="P2" t="s">
        <v>5</v>
      </c>
    </row>
    <row r="3" spans="1:19" x14ac:dyDescent="0.3">
      <c r="A3">
        <v>0</v>
      </c>
      <c r="B3">
        <v>0</v>
      </c>
      <c r="C3">
        <v>60</v>
      </c>
      <c r="E3">
        <v>0</v>
      </c>
      <c r="F3">
        <v>0</v>
      </c>
      <c r="G3">
        <v>60</v>
      </c>
      <c r="I3">
        <v>0</v>
      </c>
      <c r="J3">
        <v>0</v>
      </c>
      <c r="K3">
        <v>60</v>
      </c>
      <c r="M3">
        <v>0</v>
      </c>
      <c r="N3" s="2">
        <f t="shared" ref="N3:N25" si="0">AVERAGE(B3,F3,J3)</f>
        <v>0</v>
      </c>
      <c r="O3" s="3">
        <f t="shared" ref="O3:O25" si="1">_xlfn.STDEV.S(B3,F3,J3)</f>
        <v>0</v>
      </c>
      <c r="Q3" s="2"/>
    </row>
    <row r="4" spans="1:19" x14ac:dyDescent="0.3">
      <c r="A4">
        <v>0.5</v>
      </c>
      <c r="B4">
        <v>0</v>
      </c>
      <c r="E4">
        <v>0.5</v>
      </c>
      <c r="F4">
        <v>0</v>
      </c>
      <c r="I4">
        <v>0.5</v>
      </c>
      <c r="J4">
        <v>0</v>
      </c>
      <c r="M4">
        <v>0.5</v>
      </c>
      <c r="N4" s="2">
        <f t="shared" si="0"/>
        <v>0</v>
      </c>
      <c r="O4" s="3">
        <f t="shared" si="1"/>
        <v>0</v>
      </c>
      <c r="Q4" s="2"/>
    </row>
    <row r="5" spans="1:19" x14ac:dyDescent="0.3">
      <c r="A5">
        <v>1</v>
      </c>
      <c r="B5">
        <v>0</v>
      </c>
      <c r="E5">
        <v>1</v>
      </c>
      <c r="F5">
        <v>0</v>
      </c>
      <c r="I5">
        <v>1</v>
      </c>
      <c r="J5">
        <v>0</v>
      </c>
      <c r="M5">
        <v>1</v>
      </c>
      <c r="N5" s="2">
        <f t="shared" si="0"/>
        <v>0</v>
      </c>
      <c r="O5" s="3">
        <f t="shared" si="1"/>
        <v>0</v>
      </c>
      <c r="Q5" s="2"/>
    </row>
    <row r="6" spans="1:19" x14ac:dyDescent="0.3">
      <c r="A6">
        <v>1.5</v>
      </c>
      <c r="B6">
        <v>0.5</v>
      </c>
      <c r="E6">
        <v>1.5</v>
      </c>
      <c r="F6">
        <v>1.77</v>
      </c>
      <c r="I6">
        <v>1.5</v>
      </c>
      <c r="J6">
        <v>0.76</v>
      </c>
      <c r="M6">
        <v>1.5</v>
      </c>
      <c r="N6" s="2">
        <f t="shared" si="0"/>
        <v>1.01</v>
      </c>
      <c r="O6" s="3">
        <f t="shared" si="1"/>
        <v>0.67089492470878032</v>
      </c>
      <c r="Q6" s="2"/>
    </row>
    <row r="7" spans="1:19" x14ac:dyDescent="0.3">
      <c r="A7">
        <v>2</v>
      </c>
      <c r="B7">
        <v>4.09</v>
      </c>
      <c r="E7">
        <v>2</v>
      </c>
      <c r="F7">
        <v>6.95</v>
      </c>
      <c r="I7">
        <v>2</v>
      </c>
      <c r="J7">
        <v>5.01</v>
      </c>
      <c r="M7">
        <v>2</v>
      </c>
      <c r="N7" s="2">
        <f t="shared" si="0"/>
        <v>5.3499999999999988</v>
      </c>
      <c r="O7" s="3">
        <f t="shared" si="1"/>
        <v>1.4600000000000044</v>
      </c>
      <c r="Q7" s="2"/>
    </row>
    <row r="8" spans="1:19" x14ac:dyDescent="0.3">
      <c r="A8">
        <v>2.5</v>
      </c>
      <c r="B8">
        <v>10.76</v>
      </c>
      <c r="E8">
        <v>2.5</v>
      </c>
      <c r="F8">
        <v>13.97</v>
      </c>
      <c r="I8">
        <v>2.5</v>
      </c>
      <c r="J8">
        <v>11.83</v>
      </c>
      <c r="M8">
        <v>2.5</v>
      </c>
      <c r="N8" s="2">
        <f t="shared" si="0"/>
        <v>12.186666666666667</v>
      </c>
      <c r="O8" s="3">
        <f t="shared" si="1"/>
        <v>1.6344519978675849</v>
      </c>
      <c r="Q8" s="2"/>
    </row>
    <row r="9" spans="1:19" x14ac:dyDescent="0.3">
      <c r="A9">
        <v>3</v>
      </c>
      <c r="B9">
        <v>17.75</v>
      </c>
      <c r="E9">
        <v>3</v>
      </c>
      <c r="F9">
        <v>20.309999999999999</v>
      </c>
      <c r="I9">
        <v>3</v>
      </c>
      <c r="J9">
        <v>18.11</v>
      </c>
      <c r="M9">
        <v>3</v>
      </c>
      <c r="N9" s="2">
        <f t="shared" si="0"/>
        <v>18.723333333333333</v>
      </c>
      <c r="O9" s="3">
        <f t="shared" si="1"/>
        <v>1.3858330827820973</v>
      </c>
      <c r="Q9" s="2"/>
    </row>
    <row r="10" spans="1:19" x14ac:dyDescent="0.3">
      <c r="A10">
        <v>3.5</v>
      </c>
      <c r="B10">
        <v>23.19</v>
      </c>
      <c r="E10">
        <v>3.5</v>
      </c>
      <c r="F10">
        <v>26.02</v>
      </c>
      <c r="I10">
        <v>3.5</v>
      </c>
      <c r="J10">
        <v>24.08</v>
      </c>
      <c r="M10">
        <v>3.5</v>
      </c>
      <c r="N10" s="2">
        <f t="shared" si="0"/>
        <v>24.429999999999996</v>
      </c>
      <c r="O10" s="3">
        <f t="shared" si="1"/>
        <v>1.4471005493745064</v>
      </c>
      <c r="Q10" s="2"/>
      <c r="R10" s="2"/>
      <c r="S10" s="3"/>
    </row>
    <row r="11" spans="1:19" x14ac:dyDescent="0.3">
      <c r="A11">
        <v>4</v>
      </c>
      <c r="B11">
        <v>28.95</v>
      </c>
      <c r="E11">
        <v>4</v>
      </c>
      <c r="F11">
        <v>31.46</v>
      </c>
      <c r="I11">
        <v>4</v>
      </c>
      <c r="J11">
        <v>29.73</v>
      </c>
      <c r="M11">
        <v>4</v>
      </c>
      <c r="N11" s="2">
        <f t="shared" si="0"/>
        <v>30.046666666666667</v>
      </c>
      <c r="O11" s="3">
        <f t="shared" si="1"/>
        <v>1.2846140795325791</v>
      </c>
      <c r="Q11" s="2"/>
      <c r="R11" s="2"/>
      <c r="S11" s="3"/>
    </row>
    <row r="12" spans="1:19" x14ac:dyDescent="0.3">
      <c r="A12">
        <v>4.5</v>
      </c>
      <c r="B12">
        <v>34.340000000000003</v>
      </c>
      <c r="E12">
        <v>4.5</v>
      </c>
      <c r="F12">
        <v>36.799999999999997</v>
      </c>
      <c r="I12">
        <v>4.5</v>
      </c>
      <c r="J12">
        <v>35.01</v>
      </c>
      <c r="M12">
        <v>4.5</v>
      </c>
      <c r="N12" s="2">
        <f t="shared" si="0"/>
        <v>35.383333333333333</v>
      </c>
      <c r="O12" s="3">
        <f t="shared" si="1"/>
        <v>1.2717835245564892</v>
      </c>
      <c r="Q12" s="2"/>
      <c r="R12" s="2"/>
      <c r="S12" s="3"/>
    </row>
    <row r="13" spans="1:19" x14ac:dyDescent="0.3">
      <c r="A13">
        <v>5</v>
      </c>
      <c r="B13">
        <v>38.39</v>
      </c>
      <c r="E13">
        <v>5</v>
      </c>
      <c r="F13">
        <v>41.76</v>
      </c>
      <c r="I13">
        <v>5</v>
      </c>
      <c r="J13">
        <v>39.950000000000003</v>
      </c>
      <c r="M13">
        <v>5</v>
      </c>
      <c r="N13" s="2">
        <f t="shared" si="0"/>
        <v>40.033333333333339</v>
      </c>
      <c r="O13" s="3">
        <f t="shared" si="1"/>
        <v>1.6865447913806879</v>
      </c>
      <c r="Q13" s="2"/>
      <c r="R13" s="2"/>
      <c r="S13" s="3"/>
    </row>
    <row r="14" spans="1:19" x14ac:dyDescent="0.3">
      <c r="A14">
        <v>5.5</v>
      </c>
      <c r="B14">
        <v>44.11</v>
      </c>
      <c r="E14">
        <v>5.5</v>
      </c>
      <c r="F14">
        <v>46.38</v>
      </c>
      <c r="I14">
        <v>5.5</v>
      </c>
      <c r="J14">
        <v>44.54</v>
      </c>
      <c r="M14">
        <v>5.5</v>
      </c>
      <c r="N14" s="2">
        <f t="shared" si="0"/>
        <v>45.01</v>
      </c>
      <c r="O14" s="3">
        <f t="shared" si="1"/>
        <v>1.2057777573002433</v>
      </c>
      <c r="Q14" s="2"/>
      <c r="R14" s="2"/>
      <c r="S14" s="3"/>
    </row>
    <row r="15" spans="1:19" x14ac:dyDescent="0.3">
      <c r="A15">
        <v>6</v>
      </c>
      <c r="B15">
        <v>48.47</v>
      </c>
      <c r="E15">
        <v>6</v>
      </c>
      <c r="F15">
        <v>50.66</v>
      </c>
      <c r="I15">
        <v>6</v>
      </c>
      <c r="J15">
        <v>48.09</v>
      </c>
      <c r="M15">
        <v>6</v>
      </c>
      <c r="N15" s="2">
        <f t="shared" si="0"/>
        <v>49.073333333333331</v>
      </c>
      <c r="O15" s="3">
        <f t="shared" si="1"/>
        <v>1.3871673775479747</v>
      </c>
      <c r="Q15" s="2"/>
      <c r="R15" s="2"/>
      <c r="S15" s="3"/>
    </row>
    <row r="16" spans="1:19" x14ac:dyDescent="0.3">
      <c r="A16">
        <v>6.5</v>
      </c>
      <c r="B16">
        <v>52.49</v>
      </c>
      <c r="E16">
        <v>6.5</v>
      </c>
      <c r="F16">
        <v>54.6</v>
      </c>
      <c r="I16">
        <v>6.5</v>
      </c>
      <c r="J16">
        <v>52.72</v>
      </c>
      <c r="M16">
        <v>6.5</v>
      </c>
      <c r="N16" s="2">
        <f t="shared" si="0"/>
        <v>53.27</v>
      </c>
      <c r="O16" s="3">
        <f t="shared" si="1"/>
        <v>1.1575404960518665</v>
      </c>
      <c r="Q16" s="2"/>
      <c r="R16" s="2"/>
      <c r="S16" s="3"/>
    </row>
    <row r="17" spans="1:19" x14ac:dyDescent="0.3">
      <c r="A17">
        <v>7</v>
      </c>
      <c r="B17">
        <v>56.19</v>
      </c>
      <c r="E17">
        <v>7</v>
      </c>
      <c r="F17">
        <v>58.19</v>
      </c>
      <c r="I17">
        <v>7</v>
      </c>
      <c r="J17">
        <v>56.9</v>
      </c>
      <c r="M17">
        <v>7</v>
      </c>
      <c r="N17" s="2">
        <f t="shared" si="0"/>
        <v>57.093333333333334</v>
      </c>
      <c r="O17" s="3">
        <f t="shared" si="1"/>
        <v>1.0139197864394072</v>
      </c>
      <c r="Q17" s="2"/>
      <c r="R17" s="2"/>
      <c r="S17" s="3"/>
    </row>
    <row r="18" spans="1:19" x14ac:dyDescent="0.3">
      <c r="A18">
        <v>7.5</v>
      </c>
      <c r="B18">
        <v>59.42</v>
      </c>
      <c r="E18">
        <v>7.5</v>
      </c>
      <c r="F18">
        <v>60.83</v>
      </c>
      <c r="I18">
        <v>7.5</v>
      </c>
      <c r="J18">
        <v>59.39</v>
      </c>
      <c r="M18">
        <v>7.5</v>
      </c>
      <c r="N18" s="2">
        <f t="shared" si="0"/>
        <v>59.879999999999995</v>
      </c>
      <c r="O18" s="3">
        <f t="shared" si="1"/>
        <v>0.82286086308682671</v>
      </c>
      <c r="Q18" s="2"/>
      <c r="R18" s="2"/>
      <c r="S18" s="3"/>
    </row>
    <row r="19" spans="1:19" x14ac:dyDescent="0.3">
      <c r="A19">
        <v>8</v>
      </c>
      <c r="B19">
        <v>61.41</v>
      </c>
      <c r="E19">
        <v>8</v>
      </c>
      <c r="F19">
        <v>61.88</v>
      </c>
      <c r="I19">
        <v>8</v>
      </c>
      <c r="J19">
        <v>61.24</v>
      </c>
      <c r="M19">
        <v>8</v>
      </c>
      <c r="N19" s="2">
        <f t="shared" si="0"/>
        <v>61.51</v>
      </c>
      <c r="O19" s="3">
        <f t="shared" si="1"/>
        <v>0.33151168908501666</v>
      </c>
      <c r="Q19" s="2"/>
      <c r="R19" s="2"/>
      <c r="S19" s="3"/>
    </row>
    <row r="20" spans="1:19" x14ac:dyDescent="0.3">
      <c r="A20">
        <v>8.5</v>
      </c>
      <c r="B20">
        <v>61.99</v>
      </c>
      <c r="E20">
        <v>8.5</v>
      </c>
      <c r="F20">
        <v>62.07</v>
      </c>
      <c r="I20">
        <v>8.5</v>
      </c>
      <c r="J20">
        <v>61.75</v>
      </c>
      <c r="M20">
        <v>8.5</v>
      </c>
      <c r="N20" s="2">
        <f t="shared" si="0"/>
        <v>61.936666666666667</v>
      </c>
      <c r="O20" s="3">
        <f t="shared" si="1"/>
        <v>0.16653327995729106</v>
      </c>
      <c r="Q20" s="2"/>
      <c r="R20" s="2"/>
      <c r="S20" s="3"/>
    </row>
    <row r="21" spans="1:19" x14ac:dyDescent="0.3">
      <c r="A21">
        <v>9</v>
      </c>
      <c r="B21">
        <v>62.03</v>
      </c>
      <c r="E21">
        <v>9</v>
      </c>
      <c r="F21">
        <v>62.17</v>
      </c>
      <c r="I21">
        <v>9</v>
      </c>
      <c r="J21">
        <v>61.79</v>
      </c>
      <c r="M21">
        <v>9</v>
      </c>
      <c r="N21" s="2">
        <f t="shared" si="0"/>
        <v>61.99666666666667</v>
      </c>
      <c r="O21" s="3">
        <f t="shared" si="1"/>
        <v>0.19218047073866232</v>
      </c>
      <c r="Q21" s="2"/>
      <c r="R21" s="2"/>
      <c r="S21" s="3"/>
    </row>
    <row r="22" spans="1:19" x14ac:dyDescent="0.3">
      <c r="A22">
        <v>9.5</v>
      </c>
      <c r="B22">
        <v>62.13</v>
      </c>
      <c r="E22">
        <v>9.5</v>
      </c>
      <c r="F22">
        <v>62.17</v>
      </c>
      <c r="I22">
        <v>9.5</v>
      </c>
      <c r="J22">
        <v>61.87</v>
      </c>
      <c r="M22">
        <v>9.5</v>
      </c>
      <c r="N22" s="2">
        <f t="shared" si="0"/>
        <v>62.056666666666672</v>
      </c>
      <c r="O22" s="3">
        <f t="shared" si="1"/>
        <v>0.16289055630494417</v>
      </c>
      <c r="Q22" s="2"/>
      <c r="R22" s="2"/>
      <c r="S22" s="3"/>
    </row>
    <row r="23" spans="1:19" x14ac:dyDescent="0.3">
      <c r="A23">
        <v>10</v>
      </c>
      <c r="B23">
        <v>62.14</v>
      </c>
      <c r="E23">
        <v>10</v>
      </c>
      <c r="F23">
        <v>62.17</v>
      </c>
      <c r="I23">
        <v>10</v>
      </c>
      <c r="J23">
        <v>61.87</v>
      </c>
      <c r="M23">
        <v>10</v>
      </c>
      <c r="N23" s="2">
        <f t="shared" si="0"/>
        <v>62.06</v>
      </c>
      <c r="O23" s="3">
        <f t="shared" si="1"/>
        <v>0.16522711641858523</v>
      </c>
      <c r="Q23" s="2"/>
      <c r="R23" s="2"/>
      <c r="S23" s="3"/>
    </row>
    <row r="24" spans="1:19" x14ac:dyDescent="0.3">
      <c r="A24">
        <v>10.5</v>
      </c>
      <c r="B24">
        <v>62.16</v>
      </c>
      <c r="E24">
        <v>10.5</v>
      </c>
      <c r="F24">
        <v>62.18</v>
      </c>
      <c r="I24">
        <v>10.5</v>
      </c>
      <c r="J24">
        <v>61.89</v>
      </c>
      <c r="M24">
        <v>10.5</v>
      </c>
      <c r="N24" s="2">
        <f t="shared" si="0"/>
        <v>62.076666666666675</v>
      </c>
      <c r="O24" s="3">
        <f t="shared" si="1"/>
        <v>0.1619670748434166</v>
      </c>
      <c r="Q24" s="2"/>
      <c r="R24" s="2"/>
      <c r="S24" s="3"/>
    </row>
    <row r="25" spans="1:19" x14ac:dyDescent="0.3">
      <c r="A25">
        <v>11</v>
      </c>
      <c r="B25">
        <v>62.16</v>
      </c>
      <c r="E25">
        <v>11</v>
      </c>
      <c r="F25">
        <v>62.19</v>
      </c>
      <c r="I25">
        <v>11</v>
      </c>
      <c r="J25">
        <v>61.9</v>
      </c>
      <c r="M25">
        <v>11</v>
      </c>
      <c r="N25" s="2">
        <f t="shared" si="0"/>
        <v>62.083333333333336</v>
      </c>
      <c r="O25" s="3">
        <f t="shared" si="1"/>
        <v>0.15947831618540839</v>
      </c>
      <c r="Q25" s="2"/>
      <c r="R25" s="2"/>
      <c r="S25" s="3"/>
    </row>
    <row r="26" spans="1:19" x14ac:dyDescent="0.3">
      <c r="A26" s="4">
        <v>11.5</v>
      </c>
      <c r="B26" s="4">
        <v>62.16</v>
      </c>
      <c r="E26" s="4">
        <v>11.5</v>
      </c>
      <c r="F26" s="4">
        <v>62.2</v>
      </c>
    </row>
    <row r="27" spans="1:19" x14ac:dyDescent="0.3">
      <c r="A27" s="4">
        <v>12</v>
      </c>
      <c r="B27" s="4">
        <v>62.16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 mL</vt:lpstr>
      <vt:lpstr>20 mL</vt:lpstr>
      <vt:lpstr>60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2026-04-10T10:33:32Z</dcterms:modified>
</cp:coreProperties>
</file>