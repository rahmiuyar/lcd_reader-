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iddsi1_iddsi1-60ml-3_weights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'Sheet1'!$B$2:$B$110</f>
            </numRef>
          </xVal>
          <yVal>
            <numRef>
              <f>'Sheet1'!$D$2:$D$110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iddsi1_iddsi1-60ml-3_weights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'Sheet1'!I1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'Sheet1'!$K$2:$K$110</f>
            </numRef>
          </xVal>
          <yVal>
            <numRef>
              <f>'Sheet1'!$I$2:$I$110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iddsi1_iddsi1-60ml-3_weights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'Hacim'!$A$2:$A$110</f>
            </numRef>
          </xVal>
          <yVal>
            <numRef>
              <f>'Hacim'!$B$2:$B$110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trend_ref_g</t>
        </is>
      </c>
      <c r="G1" s="1" t="inlineStr">
        <is>
          <t>reset_drop_g</t>
        </is>
      </c>
      <c r="H1" s="1" t="inlineStr">
        <is>
          <t>excluded</t>
        </is>
      </c>
      <c r="I1" s="1" t="inlineStr">
        <is>
          <t>weight_kept_g</t>
        </is>
      </c>
      <c r="J1" s="1" t="inlineStr">
        <is>
          <t>is_started</t>
        </is>
      </c>
      <c r="K1" s="1" t="inlineStr">
        <is>
          <t>time_corrected_s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MEDIAN(D2:D22)</f>
        <v/>
      </c>
      <c r="F2">
        <f>E2</f>
        <v/>
      </c>
      <c r="G2">
        <f>F2-E2</f>
        <v/>
      </c>
      <c r="H2">
        <f>IF(OR(NOT(ISNUMBER(D2)),ABS(D2-E2)&gt;$O$3,AND($O$11=1,B2&lt;$O$12)),1,0)</f>
        <v/>
      </c>
      <c r="I2">
        <f>IF(H2=1,NA(),D2)</f>
        <v/>
      </c>
      <c r="J2">
        <f>IF(AND(ISNUMBER(D2),D2&gt;=$O$4,OR($O$11=0,B2&gt;=$O$12)),1,0)</f>
        <v/>
      </c>
      <c r="K2">
        <f>B2-$O$14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MEDIAN(D2:D23)</f>
        <v/>
      </c>
      <c r="F3">
        <f>E3</f>
        <v/>
      </c>
      <c r="G3">
        <f>F3-E3</f>
        <v/>
      </c>
      <c r="H3">
        <f>IF(OR(NOT(ISNUMBER(D3)),ABS(D3-E3)&gt;$O$3,AND($O$11=1,B3&lt;$O$12)),1,0)</f>
        <v/>
      </c>
      <c r="I3">
        <f>IF(H3=1,NA(),D3)</f>
        <v/>
      </c>
      <c r="J3">
        <f>IF(AND(ISNUMBER(D3),D3&gt;=$O$4,OR($O$11=0,B3&gt;=$O$12)),1,0)</f>
        <v/>
      </c>
      <c r="K3">
        <f>B3-$O$14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MEDIAN(D2:D24)</f>
        <v/>
      </c>
      <c r="F4">
        <f>E4</f>
        <v/>
      </c>
      <c r="G4">
        <f>F4-E4</f>
        <v/>
      </c>
      <c r="H4">
        <f>IF(OR(NOT(ISNUMBER(D4)),ABS(D4-E4)&gt;$O$3,AND($O$11=1,B4&lt;$O$12)),1,0)</f>
        <v/>
      </c>
      <c r="I4">
        <f>IF(H4=1,NA(),D4)</f>
        <v/>
      </c>
      <c r="J4">
        <f>IF(AND(ISNUMBER(D4),D4&gt;=$O$4,OR($O$11=0,B4&gt;=$O$12)),1,0)</f>
        <v/>
      </c>
      <c r="K4">
        <f>B4-$O$14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MEDIAN(D2:D25)</f>
        <v/>
      </c>
      <c r="F5">
        <f>E5</f>
        <v/>
      </c>
      <c r="G5">
        <f>F5-E5</f>
        <v/>
      </c>
      <c r="H5">
        <f>IF(OR(NOT(ISNUMBER(D5)),ABS(D5-E5)&gt;$O$3,AND($O$11=1,B5&lt;$O$12)),1,0)</f>
        <v/>
      </c>
      <c r="I5">
        <f>IF(H5=1,NA(),D5)</f>
        <v/>
      </c>
      <c r="J5">
        <f>IF(AND(ISNUMBER(D5),D5&gt;=$O$4,OR($O$11=0,B5&gt;=$O$12)),1,0)</f>
        <v/>
      </c>
      <c r="K5">
        <f>B5-$O$14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MEDIAN(D2:D26)</f>
        <v/>
      </c>
      <c r="F6">
        <f>E6</f>
        <v/>
      </c>
      <c r="G6">
        <f>F6-E6</f>
        <v/>
      </c>
      <c r="H6">
        <f>IF(OR(NOT(ISNUMBER(D6)),ABS(D6-E6)&gt;$O$3,AND($O$11=1,B6&lt;$O$12)),1,0)</f>
        <v/>
      </c>
      <c r="I6">
        <f>IF(H6=1,NA(),D6)</f>
        <v/>
      </c>
      <c r="J6">
        <f>IF(AND(ISNUMBER(D6),D6&gt;=$O$4,OR($O$11=0,B6&gt;=$O$12)),1,0)</f>
        <v/>
      </c>
      <c r="K6">
        <f>B6-$O$14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MEDIAN(D2:D27)</f>
        <v/>
      </c>
      <c r="F7">
        <f>E7</f>
        <v/>
      </c>
      <c r="G7">
        <f>F7-E7</f>
        <v/>
      </c>
      <c r="H7">
        <f>IF(OR(NOT(ISNUMBER(D7)),ABS(D7-E7)&gt;$O$3,AND($O$11=1,B7&lt;$O$12)),1,0)</f>
        <v/>
      </c>
      <c r="I7">
        <f>IF(H7=1,NA(),D7)</f>
        <v/>
      </c>
      <c r="J7">
        <f>IF(AND(ISNUMBER(D7),D7&gt;=$O$4,OR($O$11=0,B7&gt;=$O$12)),1,0)</f>
        <v/>
      </c>
      <c r="K7">
        <f>B7-$O$14</f>
        <v/>
      </c>
      <c r="N7" t="inlineStr">
        <is>
          <t>Reset bakis penceresi (satir)</t>
        </is>
      </c>
      <c r="O7" t="n">
        <v>20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MEDIAN(D2:D28)</f>
        <v/>
      </c>
      <c r="F8">
        <f>E8</f>
        <v/>
      </c>
      <c r="G8">
        <f>F8-E8</f>
        <v/>
      </c>
      <c r="H8">
        <f>IF(OR(NOT(ISNUMBER(D8)),ABS(D8-E8)&gt;$O$3,AND($O$11=1,B8&lt;$O$12)),1,0)</f>
        <v/>
      </c>
      <c r="I8">
        <f>IF(H8=1,NA(),D8)</f>
        <v/>
      </c>
      <c r="J8">
        <f>IF(AND(ISNUMBER(D8),D8&gt;=$O$4,OR($O$11=0,B8&gt;=$O$12)),1,0)</f>
        <v/>
      </c>
      <c r="K8">
        <f>B8-$O$14</f>
        <v/>
      </c>
      <c r="N8" t="inlineStr">
        <is>
          <t>Reset esigi (g)</t>
        </is>
      </c>
      <c r="O8" t="n">
        <v>5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MEDIAN(D2:D29)</f>
        <v/>
      </c>
      <c r="F9">
        <f>E9</f>
        <v/>
      </c>
      <c r="G9">
        <f>F9-E9</f>
        <v/>
      </c>
      <c r="H9">
        <f>IF(OR(NOT(ISNUMBER(D9)),ABS(D9-E9)&gt;$O$3,AND($O$11=1,B9&lt;$O$12)),1,0)</f>
        <v/>
      </c>
      <c r="I9">
        <f>IF(H9=1,NA(),D9)</f>
        <v/>
      </c>
      <c r="J9">
        <f>IF(AND(ISNUMBER(D9),D9&gt;=$O$4,OR($O$11=0,B9&gt;=$O$12)),1,0)</f>
        <v/>
      </c>
      <c r="K9">
        <f>B9-$O$14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MEDIAN(D2:D30)</f>
        <v/>
      </c>
      <c r="F10">
        <f>E10</f>
        <v/>
      </c>
      <c r="G10">
        <f>F10-E10</f>
        <v/>
      </c>
      <c r="H10">
        <f>IF(OR(NOT(ISNUMBER(D10)),ABS(D10-E10)&gt;$O$3,AND($O$11=1,B10&lt;$O$12)),1,0)</f>
        <v/>
      </c>
      <c r="I10">
        <f>IF(H10=1,NA(),D10)</f>
        <v/>
      </c>
      <c r="J10">
        <f>IF(AND(ISNUMBER(D10),D10&gt;=$O$4,OR($O$11=0,B10&gt;=$O$12)),1,0)</f>
        <v/>
      </c>
      <c r="K10">
        <f>B10-$O$14</f>
        <v/>
      </c>
      <c r="N10" t="inlineStr">
        <is>
          <t>En buyuk dusus (g)</t>
        </is>
      </c>
      <c r="O10">
        <f>MAX(G2:G110)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MEDIAN(D2:D31)</f>
        <v/>
      </c>
      <c r="F11">
        <f>E11</f>
        <v/>
      </c>
      <c r="G11">
        <f>F11-E11</f>
        <v/>
      </c>
      <c r="H11">
        <f>IF(OR(NOT(ISNUMBER(D11)),ABS(D11-E11)&gt;$O$3,AND($O$11=1,B11&lt;$O$12)),1,0)</f>
        <v/>
      </c>
      <c r="I11">
        <f>IF(H11=1,NA(),D11)</f>
        <v/>
      </c>
      <c r="J11">
        <f>IF(AND(ISNUMBER(D11),D11&gt;=$O$4,OR($O$11=0,B11&gt;=$O$12)),1,0)</f>
        <v/>
      </c>
      <c r="K11">
        <f>B11-$O$14</f>
        <v/>
      </c>
      <c r="N11" t="inlineStr">
        <is>
          <t>Reset tespit edildi mi (1/0)</t>
        </is>
      </c>
      <c r="O11">
        <f>IF(O10&gt;$O$8,1,0)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MEDIAN(D2:D32)</f>
        <v/>
      </c>
      <c r="F12">
        <f>E12</f>
        <v/>
      </c>
      <c r="G12">
        <f>F12-E12</f>
        <v/>
      </c>
      <c r="H12">
        <f>IF(OR(NOT(ISNUMBER(D12)),ABS(D12-E12)&gt;$O$3,AND($O$11=1,B12&lt;$O$12)),1,0)</f>
        <v/>
      </c>
      <c r="I12">
        <f>IF(H12=1,NA(),D12)</f>
        <v/>
      </c>
      <c r="J12">
        <f>IF(AND(ISNUMBER(D12),D12&gt;=$O$4,OR($O$11=0,B12&gt;=$O$12)),1,0)</f>
        <v/>
      </c>
      <c r="K12">
        <f>B12-$O$14</f>
        <v/>
      </c>
      <c r="N12" t="inlineStr">
        <is>
          <t>Reset zamani (s)</t>
        </is>
      </c>
      <c r="O12">
        <f>IF(O11=1,INDEX(B2:B110,MATCH(O10,G2:G110,0)),-1000000)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MEDIAN(D2:D33)</f>
        <v/>
      </c>
      <c r="F13">
        <f>E13</f>
        <v/>
      </c>
      <c r="G13">
        <f>F13-E13</f>
        <v/>
      </c>
      <c r="H13">
        <f>IF(OR(NOT(ISNUMBER(D13)),ABS(D13-E13)&gt;$O$3,AND($O$11=1,B13&lt;$O$12)),1,0)</f>
        <v/>
      </c>
      <c r="I13">
        <f>IF(H13=1,NA(),D13)</f>
        <v/>
      </c>
      <c r="J13">
        <f>IF(AND(ISNUMBER(D13),D13&gt;=$O$4,OR($O$11=0,B13&gt;=$O$12)),1,0)</f>
        <v/>
      </c>
      <c r="K13">
        <f>B13-$O$14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MEDIAN(D2:D34)</f>
        <v/>
      </c>
      <c r="F14">
        <f>E14</f>
        <v/>
      </c>
      <c r="G14">
        <f>F14-E14</f>
        <v/>
      </c>
      <c r="H14">
        <f>IF(OR(NOT(ISNUMBER(D14)),ABS(D14-E14)&gt;$O$3,AND($O$11=1,B14&lt;$O$12)),1,0)</f>
        <v/>
      </c>
      <c r="I14">
        <f>IF(H14=1,NA(),D14)</f>
        <v/>
      </c>
      <c r="J14">
        <f>IF(AND(ISNUMBER(D14),D14&gt;=$O$4,OR($O$11=0,B14&gt;=$O$12)),1,0)</f>
        <v/>
      </c>
      <c r="K14">
        <f>B14-$O$14</f>
        <v/>
      </c>
      <c r="N14" t="inlineStr">
        <is>
          <t>Baslangic zamani (s)</t>
        </is>
      </c>
      <c r="O14">
        <f>INDEX(B2:B110,MATCH(1,J2:J110,0))</f>
        <v/>
      </c>
    </row>
    <row r="15">
      <c r="A15" t="n">
        <v>39</v>
      </c>
      <c r="B15" t="n">
        <v>1.3</v>
      </c>
      <c r="C15" t="inlineStr">
        <is>
          <t>080</t>
        </is>
      </c>
      <c r="D15" t="n">
        <v>0.8</v>
      </c>
      <c r="E15">
        <f>MEDIAN(D2:D35)</f>
        <v/>
      </c>
      <c r="F15">
        <f>E15</f>
        <v/>
      </c>
      <c r="G15">
        <f>F15-E15</f>
        <v/>
      </c>
      <c r="H15">
        <f>IF(OR(NOT(ISNUMBER(D15)),ABS(D15-E15)&gt;$O$3,AND($O$11=1,B15&lt;$O$12)),1,0)</f>
        <v/>
      </c>
      <c r="I15">
        <f>IF(H15=1,NA(),D15)</f>
        <v/>
      </c>
      <c r="J15">
        <f>IF(AND(ISNUMBER(D15),D15&gt;=$O$4,OR($O$11=0,B15&gt;=$O$12)),1,0)</f>
        <v/>
      </c>
      <c r="K15">
        <f>B15-$O$14</f>
        <v/>
      </c>
    </row>
    <row r="16">
      <c r="A16" t="n">
        <v>42</v>
      </c>
      <c r="B16" t="n">
        <v>1.4</v>
      </c>
      <c r="C16" t="inlineStr">
        <is>
          <t>028</t>
        </is>
      </c>
      <c r="D16" t="n">
        <v>0.28</v>
      </c>
      <c r="E16">
        <f>MEDIAN(D2:D36)</f>
        <v/>
      </c>
      <c r="F16">
        <f>E16</f>
        <v/>
      </c>
      <c r="G16">
        <f>F16-E16</f>
        <v/>
      </c>
      <c r="H16">
        <f>IF(OR(NOT(ISNUMBER(D16)),ABS(D16-E16)&gt;$O$3,AND($O$11=1,B16&lt;$O$12)),1,0)</f>
        <v/>
      </c>
      <c r="I16">
        <f>IF(H16=1,NA(),D16)</f>
        <v/>
      </c>
      <c r="J16">
        <f>IF(AND(ISNUMBER(D16),D16&gt;=$O$4,OR($O$11=0,B16&gt;=$O$12)),1,0)</f>
        <v/>
      </c>
      <c r="K16">
        <f>B16-$O$14</f>
        <v/>
      </c>
    </row>
    <row r="17">
      <c r="A17" t="n">
        <v>45</v>
      </c>
      <c r="B17" t="n">
        <v>1.5</v>
      </c>
      <c r="C17" t="inlineStr">
        <is>
          <t>038</t>
        </is>
      </c>
      <c r="D17" t="n">
        <v>0.38</v>
      </c>
      <c r="E17">
        <f>MEDIAN(D2:D37)</f>
        <v/>
      </c>
      <c r="F17">
        <f>E17</f>
        <v/>
      </c>
      <c r="G17">
        <f>F17-E17</f>
        <v/>
      </c>
      <c r="H17">
        <f>IF(OR(NOT(ISNUMBER(D17)),ABS(D17-E17)&gt;$O$3,AND($O$11=1,B17&lt;$O$12)),1,0)</f>
        <v/>
      </c>
      <c r="I17">
        <f>IF(H17=1,NA(),D17)</f>
        <v/>
      </c>
      <c r="J17">
        <f>IF(AND(ISNUMBER(D17),D17&gt;=$O$4,OR($O$11=0,B17&gt;=$O$12)),1,0)</f>
        <v/>
      </c>
      <c r="K17">
        <f>B17-$O$14</f>
        <v/>
      </c>
    </row>
    <row r="18">
      <c r="A18" t="n">
        <v>48</v>
      </c>
      <c r="B18" t="n">
        <v>1.6</v>
      </c>
      <c r="C18" t="inlineStr">
        <is>
          <t>237</t>
        </is>
      </c>
      <c r="D18" t="n">
        <v>2.37</v>
      </c>
      <c r="E18">
        <f>MEDIAN(D2:D38)</f>
        <v/>
      </c>
      <c r="F18">
        <f>E18</f>
        <v/>
      </c>
      <c r="G18">
        <f>F18-E18</f>
        <v/>
      </c>
      <c r="H18">
        <f>IF(OR(NOT(ISNUMBER(D18)),ABS(D18-E18)&gt;$O$3,AND($O$11=1,B18&lt;$O$12)),1,0)</f>
        <v/>
      </c>
      <c r="I18">
        <f>IF(H18=1,NA(),D18)</f>
        <v/>
      </c>
      <c r="J18">
        <f>IF(AND(ISNUMBER(D18),D18&gt;=$O$4,OR($O$11=0,B18&gt;=$O$12)),1,0)</f>
        <v/>
      </c>
      <c r="K18">
        <f>B18-$O$14</f>
        <v/>
      </c>
    </row>
    <row r="19">
      <c r="A19" t="n">
        <v>51</v>
      </c>
      <c r="B19" t="n">
        <v>1.7</v>
      </c>
      <c r="C19" t="inlineStr">
        <is>
          <t>298</t>
        </is>
      </c>
      <c r="D19" t="n">
        <v>2.98</v>
      </c>
      <c r="E19">
        <f>MEDIAN(D2:D39)</f>
        <v/>
      </c>
      <c r="F19">
        <f>E19</f>
        <v/>
      </c>
      <c r="G19">
        <f>F19-E19</f>
        <v/>
      </c>
      <c r="H19">
        <f>IF(OR(NOT(ISNUMBER(D19)),ABS(D19-E19)&gt;$O$3,AND($O$11=1,B19&lt;$O$12)),1,0)</f>
        <v/>
      </c>
      <c r="I19">
        <f>IF(H19=1,NA(),D19)</f>
        <v/>
      </c>
      <c r="J19">
        <f>IF(AND(ISNUMBER(D19),D19&gt;=$O$4,OR($O$11=0,B19&gt;=$O$12)),1,0)</f>
        <v/>
      </c>
      <c r="K19">
        <f>B19-$O$14</f>
        <v/>
      </c>
    </row>
    <row r="20">
      <c r="A20" t="n">
        <v>54</v>
      </c>
      <c r="B20" t="n">
        <v>1.8</v>
      </c>
      <c r="C20" t="inlineStr">
        <is>
          <t>298</t>
        </is>
      </c>
      <c r="D20" t="n">
        <v>2.98</v>
      </c>
      <c r="E20">
        <f>MEDIAN(D2:D40)</f>
        <v/>
      </c>
      <c r="F20">
        <f>E20</f>
        <v/>
      </c>
      <c r="G20">
        <f>F20-E20</f>
        <v/>
      </c>
      <c r="H20">
        <f>IF(OR(NOT(ISNUMBER(D20)),ABS(D20-E20)&gt;$O$3,AND($O$11=1,B20&lt;$O$12)),1,0)</f>
        <v/>
      </c>
      <c r="I20">
        <f>IF(H20=1,NA(),D20)</f>
        <v/>
      </c>
      <c r="J20">
        <f>IF(AND(ISNUMBER(D20),D20&gt;=$O$4,OR($O$11=0,B20&gt;=$O$12)),1,0)</f>
        <v/>
      </c>
      <c r="K20">
        <f>B20-$O$14</f>
        <v/>
      </c>
    </row>
    <row r="21">
      <c r="A21" t="n">
        <v>57</v>
      </c>
      <c r="B21" t="n">
        <v>1.9</v>
      </c>
      <c r="C21" t="inlineStr">
        <is>
          <t>982</t>
        </is>
      </c>
      <c r="D21" t="n">
        <v>9.82</v>
      </c>
      <c r="E21">
        <f>MEDIAN(D2:D41)</f>
        <v/>
      </c>
      <c r="F21">
        <f>E21</f>
        <v/>
      </c>
      <c r="G21">
        <f>F21-E21</f>
        <v/>
      </c>
      <c r="H21">
        <f>IF(OR(NOT(ISNUMBER(D21)),ABS(D21-E21)&gt;$O$3,AND($O$11=1,B21&lt;$O$12)),1,0)</f>
        <v/>
      </c>
      <c r="I21">
        <f>IF(H21=1,NA(),D21)</f>
        <v/>
      </c>
      <c r="J21">
        <f>IF(AND(ISNUMBER(D21),D21&gt;=$O$4,OR($O$11=0,B21&gt;=$O$12)),1,0)</f>
        <v/>
      </c>
      <c r="K21">
        <f>B21-$O$14</f>
        <v/>
      </c>
    </row>
    <row r="22">
      <c r="A22" t="n">
        <v>60</v>
      </c>
      <c r="B22" t="n">
        <v>2</v>
      </c>
      <c r="C22" t="inlineStr">
        <is>
          <t>682</t>
        </is>
      </c>
      <c r="D22" t="n">
        <v>6.82</v>
      </c>
      <c r="E22">
        <f>MEDIAN(D2:D42)</f>
        <v/>
      </c>
      <c r="F22">
        <f>E2</f>
        <v/>
      </c>
      <c r="G22">
        <f>F22-E22</f>
        <v/>
      </c>
      <c r="H22">
        <f>IF(OR(NOT(ISNUMBER(D22)),ABS(D22-E22)&gt;$O$3,AND($O$11=1,B22&lt;$O$12)),1,0)</f>
        <v/>
      </c>
      <c r="I22">
        <f>IF(H22=1,NA(),D22)</f>
        <v/>
      </c>
      <c r="J22">
        <f>IF(AND(ISNUMBER(D22),D22&gt;=$O$4,OR($O$11=0,B22&gt;=$O$12)),1,0)</f>
        <v/>
      </c>
      <c r="K22">
        <f>B22-$O$14</f>
        <v/>
      </c>
    </row>
    <row r="23">
      <c r="A23" t="n">
        <v>63</v>
      </c>
      <c r="B23" t="n">
        <v>2.1</v>
      </c>
      <c r="C23" t="inlineStr">
        <is>
          <t>688</t>
        </is>
      </c>
      <c r="D23" t="n">
        <v>6.88</v>
      </c>
      <c r="E23">
        <f>MEDIAN(D3:D43)</f>
        <v/>
      </c>
      <c r="F23">
        <f>E3</f>
        <v/>
      </c>
      <c r="G23">
        <f>F23-E23</f>
        <v/>
      </c>
      <c r="H23">
        <f>IF(OR(NOT(ISNUMBER(D23)),ABS(D23-E23)&gt;$O$3,AND($O$11=1,B23&lt;$O$12)),1,0)</f>
        <v/>
      </c>
      <c r="I23">
        <f>IF(H23=1,NA(),D23)</f>
        <v/>
      </c>
      <c r="J23">
        <f>IF(AND(ISNUMBER(D23),D23&gt;=$O$4,OR($O$11=0,B23&gt;=$O$12)),1,0)</f>
        <v/>
      </c>
      <c r="K23">
        <f>B23-$O$14</f>
        <v/>
      </c>
    </row>
    <row r="24">
      <c r="A24" t="n">
        <v>66</v>
      </c>
      <c r="B24" t="n">
        <v>2.2</v>
      </c>
      <c r="C24" t="inlineStr">
        <is>
          <t>894</t>
        </is>
      </c>
      <c r="D24" t="n">
        <v>8.94</v>
      </c>
      <c r="E24">
        <f>MEDIAN(D4:D44)</f>
        <v/>
      </c>
      <c r="F24">
        <f>E4</f>
        <v/>
      </c>
      <c r="G24">
        <f>F24-E24</f>
        <v/>
      </c>
      <c r="H24">
        <f>IF(OR(NOT(ISNUMBER(D24)),ABS(D24-E24)&gt;$O$3,AND($O$11=1,B24&lt;$O$12)),1,0)</f>
        <v/>
      </c>
      <c r="I24">
        <f>IF(H24=1,NA(),D24)</f>
        <v/>
      </c>
      <c r="J24">
        <f>IF(AND(ISNUMBER(D24),D24&gt;=$O$4,OR($O$11=0,B24&gt;=$O$12)),1,0)</f>
        <v/>
      </c>
      <c r="K24">
        <f>B24-$O$14</f>
        <v/>
      </c>
    </row>
    <row r="25">
      <c r="A25" t="n">
        <v>69</v>
      </c>
      <c r="B25" t="n">
        <v>2.3</v>
      </c>
      <c r="C25" t="inlineStr">
        <is>
          <t>1897</t>
        </is>
      </c>
      <c r="D25" t="n">
        <v>18.97</v>
      </c>
      <c r="E25">
        <f>MEDIAN(D5:D45)</f>
        <v/>
      </c>
      <c r="F25">
        <f>E5</f>
        <v/>
      </c>
      <c r="G25">
        <f>F25-E25</f>
        <v/>
      </c>
      <c r="H25">
        <f>IF(OR(NOT(ISNUMBER(D25)),ABS(D25-E25)&gt;$O$3,AND($O$11=1,B25&lt;$O$12)),1,0)</f>
        <v/>
      </c>
      <c r="I25">
        <f>IF(H25=1,NA(),D25)</f>
        <v/>
      </c>
      <c r="J25">
        <f>IF(AND(ISNUMBER(D25),D25&gt;=$O$4,OR($O$11=0,B25&gt;=$O$12)),1,0)</f>
        <v/>
      </c>
      <c r="K25">
        <f>B25-$O$14</f>
        <v/>
      </c>
    </row>
    <row r="26">
      <c r="A26" t="n">
        <v>72</v>
      </c>
      <c r="B26" t="n">
        <v>2.4</v>
      </c>
      <c r="C26" t="inlineStr">
        <is>
          <t>1083</t>
        </is>
      </c>
      <c r="D26" t="n">
        <v>10.83</v>
      </c>
      <c r="E26">
        <f>MEDIAN(D6:D46)</f>
        <v/>
      </c>
      <c r="F26">
        <f>E6</f>
        <v/>
      </c>
      <c r="G26">
        <f>F26-E26</f>
        <v/>
      </c>
      <c r="H26">
        <f>IF(OR(NOT(ISNUMBER(D26)),ABS(D26-E26)&gt;$O$3,AND($O$11=1,B26&lt;$O$12)),1,0)</f>
        <v/>
      </c>
      <c r="I26">
        <f>IF(H26=1,NA(),D26)</f>
        <v/>
      </c>
      <c r="J26">
        <f>IF(AND(ISNUMBER(D26),D26&gt;=$O$4,OR($O$11=0,B26&gt;=$O$12)),1,0)</f>
        <v/>
      </c>
      <c r="K26">
        <f>B26-$O$14</f>
        <v/>
      </c>
    </row>
    <row r="27">
      <c r="A27" t="n">
        <v>75</v>
      </c>
      <c r="B27" t="n">
        <v>2.5</v>
      </c>
      <c r="C27" t="inlineStr">
        <is>
          <t>1383</t>
        </is>
      </c>
      <c r="D27" t="n">
        <v>13.83</v>
      </c>
      <c r="E27">
        <f>MEDIAN(D7:D47)</f>
        <v/>
      </c>
      <c r="F27">
        <f>E7</f>
        <v/>
      </c>
      <c r="G27">
        <f>F27-E27</f>
        <v/>
      </c>
      <c r="H27">
        <f>IF(OR(NOT(ISNUMBER(D27)),ABS(D27-E27)&gt;$O$3,AND($O$11=1,B27&lt;$O$12)),1,0)</f>
        <v/>
      </c>
      <c r="I27">
        <f>IF(H27=1,NA(),D27)</f>
        <v/>
      </c>
      <c r="J27">
        <f>IF(AND(ISNUMBER(D27),D27&gt;=$O$4,OR($O$11=0,B27&gt;=$O$12)),1,0)</f>
        <v/>
      </c>
      <c r="K27">
        <f>B27-$O$14</f>
        <v/>
      </c>
    </row>
    <row r="28">
      <c r="A28" t="n">
        <v>78</v>
      </c>
      <c r="B28" t="n">
        <v>2.6</v>
      </c>
      <c r="C28" t="inlineStr">
        <is>
          <t>1938</t>
        </is>
      </c>
      <c r="D28" t="n">
        <v>19.38</v>
      </c>
      <c r="E28">
        <f>MEDIAN(D8:D48)</f>
        <v/>
      </c>
      <c r="F28">
        <f>E8</f>
        <v/>
      </c>
      <c r="G28">
        <f>F28-E28</f>
        <v/>
      </c>
      <c r="H28">
        <f>IF(OR(NOT(ISNUMBER(D28)),ABS(D28-E28)&gt;$O$3,AND($O$11=1,B28&lt;$O$12)),1,0)</f>
        <v/>
      </c>
      <c r="I28">
        <f>IF(H28=1,NA(),D28)</f>
        <v/>
      </c>
      <c r="J28">
        <f>IF(AND(ISNUMBER(D28),D28&gt;=$O$4,OR($O$11=0,B28&gt;=$O$12)),1,0)</f>
        <v/>
      </c>
      <c r="K28">
        <f>B28-$O$14</f>
        <v/>
      </c>
    </row>
    <row r="29">
      <c r="A29" t="n">
        <v>81</v>
      </c>
      <c r="B29" t="n">
        <v>2.7</v>
      </c>
      <c r="C29" t="inlineStr">
        <is>
          <t>1588</t>
        </is>
      </c>
      <c r="D29" t="n">
        <v>15.88</v>
      </c>
      <c r="E29">
        <f>MEDIAN(D9:D49)</f>
        <v/>
      </c>
      <c r="F29">
        <f>E9</f>
        <v/>
      </c>
      <c r="G29">
        <f>F29-E29</f>
        <v/>
      </c>
      <c r="H29">
        <f>IF(OR(NOT(ISNUMBER(D29)),ABS(D29-E29)&gt;$O$3,AND($O$11=1,B29&lt;$O$12)),1,0)</f>
        <v/>
      </c>
      <c r="I29">
        <f>IF(H29=1,NA(),D29)</f>
        <v/>
      </c>
      <c r="J29">
        <f>IF(AND(ISNUMBER(D29),D29&gt;=$O$4,OR($O$11=0,B29&gt;=$O$12)),1,0)</f>
        <v/>
      </c>
      <c r="K29">
        <f>B29-$O$14</f>
        <v/>
      </c>
    </row>
    <row r="30">
      <c r="A30" t="n">
        <v>84</v>
      </c>
      <c r="B30" t="n">
        <v>2.8</v>
      </c>
      <c r="C30" t="inlineStr">
        <is>
          <t>1688</t>
        </is>
      </c>
      <c r="D30" t="n">
        <v>16.88</v>
      </c>
      <c r="E30">
        <f>MEDIAN(D10:D50)</f>
        <v/>
      </c>
      <c r="F30">
        <f>E10</f>
        <v/>
      </c>
      <c r="G30">
        <f>F30-E30</f>
        <v/>
      </c>
      <c r="H30">
        <f>IF(OR(NOT(ISNUMBER(D30)),ABS(D30-E30)&gt;$O$3,AND($O$11=1,B30&lt;$O$12)),1,0)</f>
        <v/>
      </c>
      <c r="I30">
        <f>IF(H30=1,NA(),D30)</f>
        <v/>
      </c>
      <c r="J30">
        <f>IF(AND(ISNUMBER(D30),D30&gt;=$O$4,OR($O$11=0,B30&gt;=$O$12)),1,0)</f>
        <v/>
      </c>
      <c r="K30">
        <f>B30-$O$14</f>
        <v/>
      </c>
    </row>
    <row r="31">
      <c r="A31" t="n">
        <v>87</v>
      </c>
      <c r="B31" t="n">
        <v>2.9</v>
      </c>
      <c r="C31" t="inlineStr">
        <is>
          <t>1888</t>
        </is>
      </c>
      <c r="D31" t="n">
        <v>18.88</v>
      </c>
      <c r="E31">
        <f>MEDIAN(D11:D51)</f>
        <v/>
      </c>
      <c r="F31">
        <f>E11</f>
        <v/>
      </c>
      <c r="G31">
        <f>F31-E31</f>
        <v/>
      </c>
      <c r="H31">
        <f>IF(OR(NOT(ISNUMBER(D31)),ABS(D31-E31)&gt;$O$3,AND($O$11=1,B31&lt;$O$12)),1,0)</f>
        <v/>
      </c>
      <c r="I31">
        <f>IF(H31=1,NA(),D31)</f>
        <v/>
      </c>
      <c r="J31">
        <f>IF(AND(ISNUMBER(D31),D31&gt;=$O$4,OR($O$11=0,B31&gt;=$O$12)),1,0)</f>
        <v/>
      </c>
      <c r="K31">
        <f>B31-$O$14</f>
        <v/>
      </c>
    </row>
    <row r="32">
      <c r="A32" t="n">
        <v>90</v>
      </c>
      <c r="B32" t="n">
        <v>3</v>
      </c>
      <c r="C32" t="inlineStr">
        <is>
          <t>1833</t>
        </is>
      </c>
      <c r="D32" t="n">
        <v>18.33</v>
      </c>
      <c r="E32">
        <f>MEDIAN(D12:D52)</f>
        <v/>
      </c>
      <c r="F32">
        <f>E12</f>
        <v/>
      </c>
      <c r="G32">
        <f>F32-E32</f>
        <v/>
      </c>
      <c r="H32">
        <f>IF(OR(NOT(ISNUMBER(D32)),ABS(D32-E32)&gt;$O$3,AND($O$11=1,B32&lt;$O$12)),1,0)</f>
        <v/>
      </c>
      <c r="I32">
        <f>IF(H32=1,NA(),D32)</f>
        <v/>
      </c>
      <c r="J32">
        <f>IF(AND(ISNUMBER(D32),D32&gt;=$O$4,OR($O$11=0,B32&gt;=$O$12)),1,0)</f>
        <v/>
      </c>
      <c r="K32">
        <f>B32-$O$14</f>
        <v/>
      </c>
    </row>
    <row r="33">
      <c r="A33" t="n">
        <v>93</v>
      </c>
      <c r="B33" t="n">
        <v>3.1</v>
      </c>
      <c r="C33" t="inlineStr">
        <is>
          <t>2893</t>
        </is>
      </c>
      <c r="D33" t="n">
        <v>28.93</v>
      </c>
      <c r="E33">
        <f>MEDIAN(D13:D53)</f>
        <v/>
      </c>
      <c r="F33">
        <f>E13</f>
        <v/>
      </c>
      <c r="G33">
        <f>F33-E33</f>
        <v/>
      </c>
      <c r="H33">
        <f>IF(OR(NOT(ISNUMBER(D33)),ABS(D33-E33)&gt;$O$3,AND($O$11=1,B33&lt;$O$12)),1,0)</f>
        <v/>
      </c>
      <c r="I33">
        <f>IF(H33=1,NA(),D33)</f>
        <v/>
      </c>
      <c r="J33">
        <f>IF(AND(ISNUMBER(D33),D33&gt;=$O$4,OR($O$11=0,B33&gt;=$O$12)),1,0)</f>
        <v/>
      </c>
      <c r="K33">
        <f>B33-$O$14</f>
        <v/>
      </c>
    </row>
    <row r="34">
      <c r="A34" t="n">
        <v>96</v>
      </c>
      <c r="B34" t="n">
        <v>3.2</v>
      </c>
      <c r="C34" t="inlineStr">
        <is>
          <t>2092</t>
        </is>
      </c>
      <c r="D34" t="n">
        <v>20.92</v>
      </c>
      <c r="E34">
        <f>MEDIAN(D14:D54)</f>
        <v/>
      </c>
      <c r="F34">
        <f>E14</f>
        <v/>
      </c>
      <c r="G34">
        <f>F34-E34</f>
        <v/>
      </c>
      <c r="H34">
        <f>IF(OR(NOT(ISNUMBER(D34)),ABS(D34-E34)&gt;$O$3,AND($O$11=1,B34&lt;$O$12)),1,0)</f>
        <v/>
      </c>
      <c r="I34">
        <f>IF(H34=1,NA(),D34)</f>
        <v/>
      </c>
      <c r="J34">
        <f>IF(AND(ISNUMBER(D34),D34&gt;=$O$4,OR($O$11=0,B34&gt;=$O$12)),1,0)</f>
        <v/>
      </c>
      <c r="K34">
        <f>B34-$O$14</f>
        <v/>
      </c>
    </row>
    <row r="35">
      <c r="A35" t="n">
        <v>99</v>
      </c>
      <c r="B35" t="n">
        <v>3.3</v>
      </c>
      <c r="C35" t="inlineStr">
        <is>
          <t>2298</t>
        </is>
      </c>
      <c r="D35" t="n">
        <v>22.98</v>
      </c>
      <c r="E35">
        <f>MEDIAN(D15:D55)</f>
        <v/>
      </c>
      <c r="F35">
        <f>E15</f>
        <v/>
      </c>
      <c r="G35">
        <f>F35-E35</f>
        <v/>
      </c>
      <c r="H35">
        <f>IF(OR(NOT(ISNUMBER(D35)),ABS(D35-E35)&gt;$O$3,AND($O$11=1,B35&lt;$O$12)),1,0)</f>
        <v/>
      </c>
      <c r="I35">
        <f>IF(H35=1,NA(),D35)</f>
        <v/>
      </c>
      <c r="J35">
        <f>IF(AND(ISNUMBER(D35),D35&gt;=$O$4,OR($O$11=0,B35&gt;=$O$12)),1,0)</f>
        <v/>
      </c>
      <c r="K35">
        <f>B35-$O$14</f>
        <v/>
      </c>
    </row>
    <row r="36">
      <c r="A36" t="n">
        <v>102</v>
      </c>
      <c r="B36" t="n">
        <v>3.4</v>
      </c>
      <c r="C36" t="inlineStr">
        <is>
          <t>2888</t>
        </is>
      </c>
      <c r="D36" t="n">
        <v>28.88</v>
      </c>
      <c r="E36">
        <f>MEDIAN(D16:D56)</f>
        <v/>
      </c>
      <c r="F36">
        <f>E16</f>
        <v/>
      </c>
      <c r="G36">
        <f>F36-E36</f>
        <v/>
      </c>
      <c r="H36">
        <f>IF(OR(NOT(ISNUMBER(D36)),ABS(D36-E36)&gt;$O$3,AND($O$11=1,B36&lt;$O$12)),1,0)</f>
        <v/>
      </c>
      <c r="I36">
        <f>IF(H36=1,NA(),D36)</f>
        <v/>
      </c>
      <c r="J36">
        <f>IF(AND(ISNUMBER(D36),D36&gt;=$O$4,OR($O$11=0,B36&gt;=$O$12)),1,0)</f>
        <v/>
      </c>
      <c r="K36">
        <f>B36-$O$14</f>
        <v/>
      </c>
    </row>
    <row r="37">
      <c r="A37" t="n">
        <v>105</v>
      </c>
      <c r="B37" t="n">
        <v>3.5</v>
      </c>
      <c r="C37" t="inlineStr">
        <is>
          <t>2988</t>
        </is>
      </c>
      <c r="D37" t="n">
        <v>29.88</v>
      </c>
      <c r="E37">
        <f>MEDIAN(D17:D57)</f>
        <v/>
      </c>
      <c r="F37">
        <f>E17</f>
        <v/>
      </c>
      <c r="G37">
        <f>F37-E37</f>
        <v/>
      </c>
      <c r="H37">
        <f>IF(OR(NOT(ISNUMBER(D37)),ABS(D37-E37)&gt;$O$3,AND($O$11=1,B37&lt;$O$12)),1,0)</f>
        <v/>
      </c>
      <c r="I37">
        <f>IF(H37=1,NA(),D37)</f>
        <v/>
      </c>
      <c r="J37">
        <f>IF(AND(ISNUMBER(D37),D37&gt;=$O$4,OR($O$11=0,B37&gt;=$O$12)),1,0)</f>
        <v/>
      </c>
      <c r="K37">
        <f>B37-$O$14</f>
        <v/>
      </c>
    </row>
    <row r="38">
      <c r="A38" t="n">
        <v>108</v>
      </c>
      <c r="B38" t="n">
        <v>3.6</v>
      </c>
      <c r="C38" t="inlineStr">
        <is>
          <t>2628</t>
        </is>
      </c>
      <c r="D38" t="n">
        <v>26.28</v>
      </c>
      <c r="E38">
        <f>MEDIAN(D18:D58)</f>
        <v/>
      </c>
      <c r="F38">
        <f>E18</f>
        <v/>
      </c>
      <c r="G38">
        <f>F38-E38</f>
        <v/>
      </c>
      <c r="H38">
        <f>IF(OR(NOT(ISNUMBER(D38)),ABS(D38-E38)&gt;$O$3,AND($O$11=1,B38&lt;$O$12)),1,0)</f>
        <v/>
      </c>
      <c r="I38">
        <f>IF(H38=1,NA(),D38)</f>
        <v/>
      </c>
      <c r="J38">
        <f>IF(AND(ISNUMBER(D38),D38&gt;=$O$4,OR($O$11=0,B38&gt;=$O$12)),1,0)</f>
        <v/>
      </c>
      <c r="K38">
        <f>B38-$O$14</f>
        <v/>
      </c>
    </row>
    <row r="39">
      <c r="A39" t="n">
        <v>111</v>
      </c>
      <c r="B39" t="n">
        <v>3.7</v>
      </c>
      <c r="C39" t="inlineStr">
        <is>
          <t>2698</t>
        </is>
      </c>
      <c r="D39" t="n">
        <v>26.98</v>
      </c>
      <c r="E39">
        <f>MEDIAN(D19:D59)</f>
        <v/>
      </c>
      <c r="F39">
        <f>E19</f>
        <v/>
      </c>
      <c r="G39">
        <f>F39-E39</f>
        <v/>
      </c>
      <c r="H39">
        <f>IF(OR(NOT(ISNUMBER(D39)),ABS(D39-E39)&gt;$O$3,AND($O$11=1,B39&lt;$O$12)),1,0)</f>
        <v/>
      </c>
      <c r="I39">
        <f>IF(H39=1,NA(),D39)</f>
        <v/>
      </c>
      <c r="J39">
        <f>IF(AND(ISNUMBER(D39),D39&gt;=$O$4,OR($O$11=0,B39&gt;=$O$12)),1,0)</f>
        <v/>
      </c>
      <c r="K39">
        <f>B39-$O$14</f>
        <v/>
      </c>
    </row>
    <row r="40">
      <c r="A40" t="n">
        <v>114</v>
      </c>
      <c r="B40" t="n">
        <v>3.8</v>
      </c>
      <c r="C40" t="inlineStr">
        <is>
          <t>2863</t>
        </is>
      </c>
      <c r="D40" t="n">
        <v>28.63</v>
      </c>
      <c r="E40">
        <f>MEDIAN(D20:D60)</f>
        <v/>
      </c>
      <c r="F40">
        <f>E20</f>
        <v/>
      </c>
      <c r="G40">
        <f>F40-E40</f>
        <v/>
      </c>
      <c r="H40">
        <f>IF(OR(NOT(ISNUMBER(D40)),ABS(D40-E40)&gt;$O$3,AND($O$11=1,B40&lt;$O$12)),1,0)</f>
        <v/>
      </c>
      <c r="I40">
        <f>IF(H40=1,NA(),D40)</f>
        <v/>
      </c>
      <c r="J40">
        <f>IF(AND(ISNUMBER(D40),D40&gt;=$O$4,OR($O$11=0,B40&gt;=$O$12)),1,0)</f>
        <v/>
      </c>
      <c r="K40">
        <f>B40-$O$14</f>
        <v/>
      </c>
    </row>
    <row r="41">
      <c r="A41" t="n">
        <v>117</v>
      </c>
      <c r="B41" t="n">
        <v>3.9</v>
      </c>
      <c r="C41" t="inlineStr">
        <is>
          <t>2883</t>
        </is>
      </c>
      <c r="D41" t="n">
        <v>28.83</v>
      </c>
      <c r="E41">
        <f>MEDIAN(D21:D61)</f>
        <v/>
      </c>
      <c r="F41">
        <f>E21</f>
        <v/>
      </c>
      <c r="G41">
        <f>F41-E41</f>
        <v/>
      </c>
      <c r="H41">
        <f>IF(OR(NOT(ISNUMBER(D41)),ABS(D41-E41)&gt;$O$3,AND($O$11=1,B41&lt;$O$12)),1,0)</f>
        <v/>
      </c>
      <c r="I41">
        <f>IF(H41=1,NA(),D41)</f>
        <v/>
      </c>
      <c r="J41">
        <f>IF(AND(ISNUMBER(D41),D41&gt;=$O$4,OR($O$11=0,B41&gt;=$O$12)),1,0)</f>
        <v/>
      </c>
      <c r="K41">
        <f>B41-$O$14</f>
        <v/>
      </c>
    </row>
    <row r="42">
      <c r="A42" t="n">
        <v>120</v>
      </c>
      <c r="B42" t="n">
        <v>4</v>
      </c>
      <c r="C42" t="inlineStr">
        <is>
          <t>2883</t>
        </is>
      </c>
      <c r="D42" t="n">
        <v>28.83</v>
      </c>
      <c r="E42">
        <f>MEDIAN(D22:D62)</f>
        <v/>
      </c>
      <c r="F42">
        <f>E22</f>
        <v/>
      </c>
      <c r="G42">
        <f>F42-E42</f>
        <v/>
      </c>
      <c r="H42">
        <f>IF(OR(NOT(ISNUMBER(D42)),ABS(D42-E42)&gt;$O$3,AND($O$11=1,B42&lt;$O$12)),1,0)</f>
        <v/>
      </c>
      <c r="I42">
        <f>IF(H42=1,NA(),D42)</f>
        <v/>
      </c>
      <c r="J42">
        <f>IF(AND(ISNUMBER(D42),D42&gt;=$O$4,OR($O$11=0,B42&gt;=$O$12)),1,0)</f>
        <v/>
      </c>
      <c r="K42">
        <f>B42-$O$14</f>
        <v/>
      </c>
    </row>
    <row r="43">
      <c r="A43" t="n">
        <v>123</v>
      </c>
      <c r="B43" t="n">
        <v>4.1</v>
      </c>
      <c r="C43" t="inlineStr">
        <is>
          <t>3088</t>
        </is>
      </c>
      <c r="D43" t="n">
        <v>30.88</v>
      </c>
      <c r="E43">
        <f>MEDIAN(D23:D63)</f>
        <v/>
      </c>
      <c r="F43">
        <f>E23</f>
        <v/>
      </c>
      <c r="G43">
        <f>F43-E43</f>
        <v/>
      </c>
      <c r="H43">
        <f>IF(OR(NOT(ISNUMBER(D43)),ABS(D43-E43)&gt;$O$3,AND($O$11=1,B43&lt;$O$12)),1,0)</f>
        <v/>
      </c>
      <c r="I43">
        <f>IF(H43=1,NA(),D43)</f>
        <v/>
      </c>
      <c r="J43">
        <f>IF(AND(ISNUMBER(D43),D43&gt;=$O$4,OR($O$11=0,B43&gt;=$O$12)),1,0)</f>
        <v/>
      </c>
      <c r="K43">
        <f>B43-$O$14</f>
        <v/>
      </c>
    </row>
    <row r="44">
      <c r="A44" t="n">
        <v>126</v>
      </c>
      <c r="B44" t="n">
        <v>4.2</v>
      </c>
      <c r="C44" t="inlineStr">
        <is>
          <t>3286</t>
        </is>
      </c>
      <c r="D44" t="n">
        <v>32.86</v>
      </c>
      <c r="E44">
        <f>MEDIAN(D24:D64)</f>
        <v/>
      </c>
      <c r="F44">
        <f>E24</f>
        <v/>
      </c>
      <c r="G44">
        <f>F44-E44</f>
        <v/>
      </c>
      <c r="H44">
        <f>IF(OR(NOT(ISNUMBER(D44)),ABS(D44-E44)&gt;$O$3,AND($O$11=1,B44&lt;$O$12)),1,0)</f>
        <v/>
      </c>
      <c r="I44">
        <f>IF(H44=1,NA(),D44)</f>
        <v/>
      </c>
      <c r="J44">
        <f>IF(AND(ISNUMBER(D44),D44&gt;=$O$4,OR($O$11=0,B44&gt;=$O$12)),1,0)</f>
        <v/>
      </c>
      <c r="K44">
        <f>B44-$O$14</f>
        <v/>
      </c>
    </row>
    <row r="45">
      <c r="A45" t="n">
        <v>129</v>
      </c>
      <c r="B45" t="n">
        <v>4.3</v>
      </c>
      <c r="C45" t="inlineStr">
        <is>
          <t>3296</t>
        </is>
      </c>
      <c r="D45" t="n">
        <v>32.96</v>
      </c>
      <c r="E45">
        <f>MEDIAN(D25:D65)</f>
        <v/>
      </c>
      <c r="F45">
        <f>E25</f>
        <v/>
      </c>
      <c r="G45">
        <f>F45-E45</f>
        <v/>
      </c>
      <c r="H45">
        <f>IF(OR(NOT(ISNUMBER(D45)),ABS(D45-E45)&gt;$O$3,AND($O$11=1,B45&lt;$O$12)),1,0)</f>
        <v/>
      </c>
      <c r="I45">
        <f>IF(H45=1,NA(),D45)</f>
        <v/>
      </c>
      <c r="J45">
        <f>IF(AND(ISNUMBER(D45),D45&gt;=$O$4,OR($O$11=0,B45&gt;=$O$12)),1,0)</f>
        <v/>
      </c>
      <c r="K45">
        <f>B45-$O$14</f>
        <v/>
      </c>
    </row>
    <row r="46">
      <c r="A46" t="n">
        <v>132</v>
      </c>
      <c r="B46" t="n">
        <v>4.4</v>
      </c>
      <c r="C46" t="inlineStr">
        <is>
          <t>3586</t>
        </is>
      </c>
      <c r="D46" t="n">
        <v>35.86</v>
      </c>
      <c r="E46">
        <f>MEDIAN(D26:D66)</f>
        <v/>
      </c>
      <c r="F46">
        <f>E26</f>
        <v/>
      </c>
      <c r="G46">
        <f>F46-E46</f>
        <v/>
      </c>
      <c r="H46">
        <f>IF(OR(NOT(ISNUMBER(D46)),ABS(D46-E46)&gt;$O$3,AND($O$11=1,B46&lt;$O$12)),1,0)</f>
        <v/>
      </c>
      <c r="I46">
        <f>IF(H46=1,NA(),D46)</f>
        <v/>
      </c>
      <c r="J46">
        <f>IF(AND(ISNUMBER(D46),D46&gt;=$O$4,OR($O$11=0,B46&gt;=$O$12)),1,0)</f>
        <v/>
      </c>
      <c r="K46">
        <f>B46-$O$14</f>
        <v/>
      </c>
    </row>
    <row r="47">
      <c r="A47" t="n">
        <v>135</v>
      </c>
      <c r="B47" t="n">
        <v>4.5</v>
      </c>
      <c r="C47" t="inlineStr">
        <is>
          <t>3603</t>
        </is>
      </c>
      <c r="D47" t="n">
        <v>36.03</v>
      </c>
      <c r="E47">
        <f>MEDIAN(D27:D67)</f>
        <v/>
      </c>
      <c r="F47">
        <f>E27</f>
        <v/>
      </c>
      <c r="G47">
        <f>F47-E47</f>
        <v/>
      </c>
      <c r="H47">
        <f>IF(OR(NOT(ISNUMBER(D47)),ABS(D47-E47)&gt;$O$3,AND($O$11=1,B47&lt;$O$12)),1,0)</f>
        <v/>
      </c>
      <c r="I47">
        <f>IF(H47=1,NA(),D47)</f>
        <v/>
      </c>
      <c r="J47">
        <f>IF(AND(ISNUMBER(D47),D47&gt;=$O$4,OR($O$11=0,B47&gt;=$O$12)),1,0)</f>
        <v/>
      </c>
      <c r="K47">
        <f>B47-$O$14</f>
        <v/>
      </c>
    </row>
    <row r="48">
      <c r="A48" t="n">
        <v>138</v>
      </c>
      <c r="B48" t="n">
        <v>4.6</v>
      </c>
      <c r="C48" t="inlineStr">
        <is>
          <t>3803</t>
        </is>
      </c>
      <c r="D48" t="n">
        <v>38.03</v>
      </c>
      <c r="E48">
        <f>MEDIAN(D28:D68)</f>
        <v/>
      </c>
      <c r="F48">
        <f>E28</f>
        <v/>
      </c>
      <c r="G48">
        <f>F48-E48</f>
        <v/>
      </c>
      <c r="H48">
        <f>IF(OR(NOT(ISNUMBER(D48)),ABS(D48-E48)&gt;$O$3,AND($O$11=1,B48&lt;$O$12)),1,0)</f>
        <v/>
      </c>
      <c r="I48">
        <f>IF(H48=1,NA(),D48)</f>
        <v/>
      </c>
      <c r="J48">
        <f>IF(AND(ISNUMBER(D48),D48&gt;=$O$4,OR($O$11=0,B48&gt;=$O$12)),1,0)</f>
        <v/>
      </c>
      <c r="K48">
        <f>B48-$O$14</f>
        <v/>
      </c>
    </row>
    <row r="49">
      <c r="A49" t="n">
        <v>141</v>
      </c>
      <c r="B49" t="n">
        <v>4.7</v>
      </c>
      <c r="C49" t="inlineStr">
        <is>
          <t>3606</t>
        </is>
      </c>
      <c r="D49" t="n">
        <v>36.06</v>
      </c>
      <c r="E49">
        <f>MEDIAN(D29:D69)</f>
        <v/>
      </c>
      <c r="F49">
        <f>E29</f>
        <v/>
      </c>
      <c r="G49">
        <f>F49-E49</f>
        <v/>
      </c>
      <c r="H49">
        <f>IF(OR(NOT(ISNUMBER(D49)),ABS(D49-E49)&gt;$O$3,AND($O$11=1,B49&lt;$O$12)),1,0)</f>
        <v/>
      </c>
      <c r="I49">
        <f>IF(H49=1,NA(),D49)</f>
        <v/>
      </c>
      <c r="J49">
        <f>IF(AND(ISNUMBER(D49),D49&gt;=$O$4,OR($O$11=0,B49&gt;=$O$12)),1,0)</f>
        <v/>
      </c>
      <c r="K49">
        <f>B49-$O$14</f>
        <v/>
      </c>
    </row>
    <row r="50">
      <c r="A50" t="n">
        <v>144</v>
      </c>
      <c r="B50" t="n">
        <v>4.8</v>
      </c>
      <c r="C50" t="inlineStr">
        <is>
          <t>3608</t>
        </is>
      </c>
      <c r="D50" t="n">
        <v>36.08</v>
      </c>
      <c r="E50">
        <f>MEDIAN(D30:D70)</f>
        <v/>
      </c>
      <c r="F50">
        <f>E30</f>
        <v/>
      </c>
      <c r="G50">
        <f>F50-E50</f>
        <v/>
      </c>
      <c r="H50">
        <f>IF(OR(NOT(ISNUMBER(D50)),ABS(D50-E50)&gt;$O$3,AND($O$11=1,B50&lt;$O$12)),1,0)</f>
        <v/>
      </c>
      <c r="I50">
        <f>IF(H50=1,NA(),D50)</f>
        <v/>
      </c>
      <c r="J50">
        <f>IF(AND(ISNUMBER(D50),D50&gt;=$O$4,OR($O$11=0,B50&gt;=$O$12)),1,0)</f>
        <v/>
      </c>
      <c r="K50">
        <f>B50-$O$14</f>
        <v/>
      </c>
    </row>
    <row r="51">
      <c r="A51" t="n">
        <v>147</v>
      </c>
      <c r="B51" t="n">
        <v>4.9</v>
      </c>
      <c r="C51" t="inlineStr">
        <is>
          <t>3595</t>
        </is>
      </c>
      <c r="D51" t="n">
        <v>35.95</v>
      </c>
      <c r="E51">
        <f>MEDIAN(D31:D71)</f>
        <v/>
      </c>
      <c r="F51">
        <f>E31</f>
        <v/>
      </c>
      <c r="G51">
        <f>F51-E51</f>
        <v/>
      </c>
      <c r="H51">
        <f>IF(OR(NOT(ISNUMBER(D51)),ABS(D51-E51)&gt;$O$3,AND($O$11=1,B51&lt;$O$12)),1,0)</f>
        <v/>
      </c>
      <c r="I51">
        <f>IF(H51=1,NA(),D51)</f>
        <v/>
      </c>
      <c r="J51">
        <f>IF(AND(ISNUMBER(D51),D51&gt;=$O$4,OR($O$11=0,B51&gt;=$O$12)),1,0)</f>
        <v/>
      </c>
      <c r="K51">
        <f>B51-$O$14</f>
        <v/>
      </c>
    </row>
    <row r="52">
      <c r="A52" t="n">
        <v>150</v>
      </c>
      <c r="B52" t="n">
        <v>5</v>
      </c>
      <c r="C52" t="inlineStr">
        <is>
          <t>9698</t>
        </is>
      </c>
      <c r="D52" t="n">
        <v>96.98</v>
      </c>
      <c r="E52">
        <f>MEDIAN(D32:D72)</f>
        <v/>
      </c>
      <c r="F52">
        <f>E32</f>
        <v/>
      </c>
      <c r="G52">
        <f>F52-E52</f>
        <v/>
      </c>
      <c r="H52">
        <f>IF(OR(NOT(ISNUMBER(D52)),ABS(D52-E52)&gt;$O$3,AND($O$11=1,B52&lt;$O$12)),1,0)</f>
        <v/>
      </c>
      <c r="I52">
        <f>IF(H52=1,NA(),D52)</f>
        <v/>
      </c>
      <c r="J52">
        <f>IF(AND(ISNUMBER(D52),D52&gt;=$O$4,OR($O$11=0,B52&gt;=$O$12)),1,0)</f>
        <v/>
      </c>
      <c r="K52">
        <f>B52-$O$14</f>
        <v/>
      </c>
    </row>
    <row r="53">
      <c r="A53" t="n">
        <v>153</v>
      </c>
      <c r="B53" t="n">
        <v>5.1</v>
      </c>
      <c r="C53" t="inlineStr">
        <is>
          <t>4085</t>
        </is>
      </c>
      <c r="D53" t="n">
        <v>40.85</v>
      </c>
      <c r="E53">
        <f>MEDIAN(D33:D73)</f>
        <v/>
      </c>
      <c r="F53">
        <f>E33</f>
        <v/>
      </c>
      <c r="G53">
        <f>F53-E53</f>
        <v/>
      </c>
      <c r="H53">
        <f>IF(OR(NOT(ISNUMBER(D53)),ABS(D53-E53)&gt;$O$3,AND($O$11=1,B53&lt;$O$12)),1,0)</f>
        <v/>
      </c>
      <c r="I53">
        <f>IF(H53=1,NA(),D53)</f>
        <v/>
      </c>
      <c r="J53">
        <f>IF(AND(ISNUMBER(D53),D53&gt;=$O$4,OR($O$11=0,B53&gt;=$O$12)),1,0)</f>
        <v/>
      </c>
      <c r="K53">
        <f>B53-$O$14</f>
        <v/>
      </c>
    </row>
    <row r="54">
      <c r="A54" t="n">
        <v>156</v>
      </c>
      <c r="B54" t="n">
        <v>5.2</v>
      </c>
      <c r="C54" t="inlineStr">
        <is>
          <t>4285</t>
        </is>
      </c>
      <c r="D54" t="n">
        <v>42.85</v>
      </c>
      <c r="E54">
        <f>MEDIAN(D34:D74)</f>
        <v/>
      </c>
      <c r="F54">
        <f>E34</f>
        <v/>
      </c>
      <c r="G54">
        <f>F54-E54</f>
        <v/>
      </c>
      <c r="H54">
        <f>IF(OR(NOT(ISNUMBER(D54)),ABS(D54-E54)&gt;$O$3,AND($O$11=1,B54&lt;$O$12)),1,0)</f>
        <v/>
      </c>
      <c r="I54">
        <f>IF(H54=1,NA(),D54)</f>
        <v/>
      </c>
      <c r="J54">
        <f>IF(AND(ISNUMBER(D54),D54&gt;=$O$4,OR($O$11=0,B54&gt;=$O$12)),1,0)</f>
        <v/>
      </c>
      <c r="K54">
        <f>B54-$O$14</f>
        <v/>
      </c>
    </row>
    <row r="55">
      <c r="A55" t="n">
        <v>159</v>
      </c>
      <c r="B55" t="n">
        <v>5.3</v>
      </c>
      <c r="C55" t="inlineStr">
        <is>
          <t>4285</t>
        </is>
      </c>
      <c r="D55" t="n">
        <v>42.85</v>
      </c>
      <c r="E55">
        <f>MEDIAN(D35:D75)</f>
        <v/>
      </c>
      <c r="F55">
        <f>E35</f>
        <v/>
      </c>
      <c r="G55">
        <f>F55-E55</f>
        <v/>
      </c>
      <c r="H55">
        <f>IF(OR(NOT(ISNUMBER(D55)),ABS(D55-E55)&gt;$O$3,AND($O$11=1,B55&lt;$O$12)),1,0)</f>
        <v/>
      </c>
      <c r="I55">
        <f>IF(H55=1,NA(),D55)</f>
        <v/>
      </c>
      <c r="J55">
        <f>IF(AND(ISNUMBER(D55),D55&gt;=$O$4,OR($O$11=0,B55&gt;=$O$12)),1,0)</f>
        <v/>
      </c>
      <c r="K55">
        <f>B55-$O$14</f>
        <v/>
      </c>
    </row>
    <row r="56">
      <c r="A56" t="n">
        <v>162</v>
      </c>
      <c r="B56" t="n">
        <v>5.4</v>
      </c>
      <c r="C56" t="inlineStr">
        <is>
          <t>4969</t>
        </is>
      </c>
      <c r="D56" t="n">
        <v>49.69</v>
      </c>
      <c r="E56">
        <f>MEDIAN(D36:D76)</f>
        <v/>
      </c>
      <c r="F56">
        <f>E36</f>
        <v/>
      </c>
      <c r="G56">
        <f>F56-E56</f>
        <v/>
      </c>
      <c r="H56">
        <f>IF(OR(NOT(ISNUMBER(D56)),ABS(D56-E56)&gt;$O$3,AND($O$11=1,B56&lt;$O$12)),1,0)</f>
        <v/>
      </c>
      <c r="I56">
        <f>IF(H56=1,NA(),D56)</f>
        <v/>
      </c>
      <c r="J56">
        <f>IF(AND(ISNUMBER(D56),D56&gt;=$O$4,OR($O$11=0,B56&gt;=$O$12)),1,0)</f>
        <v/>
      </c>
      <c r="K56">
        <f>B56-$O$14</f>
        <v/>
      </c>
    </row>
    <row r="57">
      <c r="A57" t="n">
        <v>165</v>
      </c>
      <c r="B57" t="n">
        <v>5.5</v>
      </c>
      <c r="C57" t="inlineStr">
        <is>
          <t>4598</t>
        </is>
      </c>
      <c r="D57" t="n">
        <v>45.98</v>
      </c>
      <c r="E57">
        <f>MEDIAN(D37:D77)</f>
        <v/>
      </c>
      <c r="F57">
        <f>E37</f>
        <v/>
      </c>
      <c r="G57">
        <f>F57-E57</f>
        <v/>
      </c>
      <c r="H57">
        <f>IF(OR(NOT(ISNUMBER(D57)),ABS(D57-E57)&gt;$O$3,AND($O$11=1,B57&lt;$O$12)),1,0)</f>
        <v/>
      </c>
      <c r="I57">
        <f>IF(H57=1,NA(),D57)</f>
        <v/>
      </c>
      <c r="J57">
        <f>IF(AND(ISNUMBER(D57),D57&gt;=$O$4,OR($O$11=0,B57&gt;=$O$12)),1,0)</f>
        <v/>
      </c>
      <c r="K57">
        <f>B57-$O$14</f>
        <v/>
      </c>
    </row>
    <row r="58">
      <c r="A58" t="n">
        <v>168</v>
      </c>
      <c r="B58" t="n">
        <v>5.6</v>
      </c>
      <c r="C58" t="inlineStr">
        <is>
          <t>4688</t>
        </is>
      </c>
      <c r="D58" t="n">
        <v>46.88</v>
      </c>
      <c r="E58">
        <f>MEDIAN(D38:D78)</f>
        <v/>
      </c>
      <c r="F58">
        <f>E38</f>
        <v/>
      </c>
      <c r="G58">
        <f>F58-E58</f>
        <v/>
      </c>
      <c r="H58">
        <f>IF(OR(NOT(ISNUMBER(D58)),ABS(D58-E58)&gt;$O$3,AND($O$11=1,B58&lt;$O$12)),1,0)</f>
        <v/>
      </c>
      <c r="I58">
        <f>IF(H58=1,NA(),D58)</f>
        <v/>
      </c>
      <c r="J58">
        <f>IF(AND(ISNUMBER(D58),D58&gt;=$O$4,OR($O$11=0,B58&gt;=$O$12)),1,0)</f>
        <v/>
      </c>
      <c r="K58">
        <f>B58-$O$14</f>
        <v/>
      </c>
    </row>
    <row r="59">
      <c r="A59" t="n">
        <v>171</v>
      </c>
      <c r="B59" t="n">
        <v>5.7</v>
      </c>
      <c r="C59" t="inlineStr">
        <is>
          <t>48?8</t>
        </is>
      </c>
      <c r="E59">
        <f>MEDIAN(D39:D79)</f>
        <v/>
      </c>
      <c r="F59">
        <f>E39</f>
        <v/>
      </c>
      <c r="G59">
        <f>F59-E59</f>
        <v/>
      </c>
      <c r="H59">
        <f>IF(OR(NOT(ISNUMBER(D59)),ABS(D59-E59)&gt;$O$3,AND($O$11=1,B59&lt;$O$12)),1,0)</f>
        <v/>
      </c>
      <c r="I59">
        <f>IF(H59=1,NA(),D59)</f>
        <v/>
      </c>
      <c r="J59">
        <f>IF(AND(ISNUMBER(D59),D59&gt;=$O$4,OR($O$11=0,B59&gt;=$O$12)),1,0)</f>
        <v/>
      </c>
      <c r="K59">
        <f>B59-$O$14</f>
        <v/>
      </c>
    </row>
    <row r="60">
      <c r="A60" t="n">
        <v>174</v>
      </c>
      <c r="B60" t="n">
        <v>5.8</v>
      </c>
      <c r="C60" t="inlineStr">
        <is>
          <t>4793</t>
        </is>
      </c>
      <c r="D60" t="n">
        <v>47.93</v>
      </c>
      <c r="E60">
        <f>MEDIAN(D40:D80)</f>
        <v/>
      </c>
      <c r="F60">
        <f>E40</f>
        <v/>
      </c>
      <c r="G60">
        <f>F60-E60</f>
        <v/>
      </c>
      <c r="H60">
        <f>IF(OR(NOT(ISNUMBER(D60)),ABS(D60-E60)&gt;$O$3,AND($O$11=1,B60&lt;$O$12)),1,0)</f>
        <v/>
      </c>
      <c r="I60">
        <f>IF(H60=1,NA(),D60)</f>
        <v/>
      </c>
      <c r="J60">
        <f>IF(AND(ISNUMBER(D60),D60&gt;=$O$4,OR($O$11=0,B60&gt;=$O$12)),1,0)</f>
        <v/>
      </c>
      <c r="K60">
        <f>B60-$O$14</f>
        <v/>
      </c>
    </row>
    <row r="61">
      <c r="A61" t="n">
        <v>177</v>
      </c>
      <c r="B61" t="n">
        <v>5.9</v>
      </c>
      <c r="C61" t="inlineStr">
        <is>
          <t>4899</t>
        </is>
      </c>
      <c r="D61" t="n">
        <v>48.99</v>
      </c>
      <c r="E61">
        <f>MEDIAN(D41:D81)</f>
        <v/>
      </c>
      <c r="F61">
        <f>E41</f>
        <v/>
      </c>
      <c r="G61">
        <f>F61-E61</f>
        <v/>
      </c>
      <c r="H61">
        <f>IF(OR(NOT(ISNUMBER(D61)),ABS(D61-E61)&gt;$O$3,AND($O$11=1,B61&lt;$O$12)),1,0)</f>
        <v/>
      </c>
      <c r="I61">
        <f>IF(H61=1,NA(),D61)</f>
        <v/>
      </c>
      <c r="J61">
        <f>IF(AND(ISNUMBER(D61),D61&gt;=$O$4,OR($O$11=0,B61&gt;=$O$12)),1,0)</f>
        <v/>
      </c>
      <c r="K61">
        <f>B61-$O$14</f>
        <v/>
      </c>
    </row>
    <row r="62">
      <c r="A62" t="n">
        <v>180</v>
      </c>
      <c r="B62" t="n">
        <v>6</v>
      </c>
      <c r="C62" t="inlineStr">
        <is>
          <t>4886</t>
        </is>
      </c>
      <c r="D62" t="n">
        <v>48.86</v>
      </c>
      <c r="E62">
        <f>MEDIAN(D42:D82)</f>
        <v/>
      </c>
      <c r="F62">
        <f>E42</f>
        <v/>
      </c>
      <c r="G62">
        <f>F62-E62</f>
        <v/>
      </c>
      <c r="H62">
        <f>IF(OR(NOT(ISNUMBER(D62)),ABS(D62-E62)&gt;$O$3,AND($O$11=1,B62&lt;$O$12)),1,0)</f>
        <v/>
      </c>
      <c r="I62">
        <f>IF(H62=1,NA(),D62)</f>
        <v/>
      </c>
      <c r="J62">
        <f>IF(AND(ISNUMBER(D62),D62&gt;=$O$4,OR($O$11=0,B62&gt;=$O$12)),1,0)</f>
        <v/>
      </c>
      <c r="K62">
        <f>B62-$O$14</f>
        <v/>
      </c>
    </row>
    <row r="63">
      <c r="A63" t="n">
        <v>183</v>
      </c>
      <c r="B63" t="n">
        <v>6.1</v>
      </c>
      <c r="C63" t="inlineStr">
        <is>
          <t>9840</t>
        </is>
      </c>
      <c r="D63" t="n">
        <v>98.40000000000001</v>
      </c>
      <c r="E63">
        <f>MEDIAN(D43:D83)</f>
        <v/>
      </c>
      <c r="F63">
        <f>E43</f>
        <v/>
      </c>
      <c r="G63">
        <f>F63-E63</f>
        <v/>
      </c>
      <c r="H63">
        <f>IF(OR(NOT(ISNUMBER(D63)),ABS(D63-E63)&gt;$O$3,AND($O$11=1,B63&lt;$O$12)),1,0)</f>
        <v/>
      </c>
      <c r="I63">
        <f>IF(H63=1,NA(),D63)</f>
        <v/>
      </c>
      <c r="J63">
        <f>IF(AND(ISNUMBER(D63),D63&gt;=$O$4,OR($O$11=0,B63&gt;=$O$12)),1,0)</f>
        <v/>
      </c>
      <c r="K63">
        <f>B63-$O$14</f>
        <v/>
      </c>
    </row>
    <row r="64">
      <c r="A64" t="n">
        <v>186</v>
      </c>
      <c r="B64" t="n">
        <v>6.2</v>
      </c>
      <c r="C64" t="inlineStr">
        <is>
          <t>5045</t>
        </is>
      </c>
      <c r="D64" t="n">
        <v>50.45</v>
      </c>
      <c r="E64">
        <f>MEDIAN(D44:D84)</f>
        <v/>
      </c>
      <c r="F64">
        <f>E44</f>
        <v/>
      </c>
      <c r="G64">
        <f>F64-E64</f>
        <v/>
      </c>
      <c r="H64">
        <f>IF(OR(NOT(ISNUMBER(D64)),ABS(D64-E64)&gt;$O$3,AND($O$11=1,B64&lt;$O$12)),1,0)</f>
        <v/>
      </c>
      <c r="I64">
        <f>IF(H64=1,NA(),D64)</f>
        <v/>
      </c>
      <c r="J64">
        <f>IF(AND(ISNUMBER(D64),D64&gt;=$O$4,OR($O$11=0,B64&gt;=$O$12)),1,0)</f>
        <v/>
      </c>
      <c r="K64">
        <f>B64-$O$14</f>
        <v/>
      </c>
    </row>
    <row r="65">
      <c r="A65" t="n">
        <v>189</v>
      </c>
      <c r="B65" t="n">
        <v>6.3</v>
      </c>
      <c r="C65" t="inlineStr">
        <is>
          <t>5196</t>
        </is>
      </c>
      <c r="D65" t="n">
        <v>51.96</v>
      </c>
      <c r="E65">
        <f>MEDIAN(D45:D85)</f>
        <v/>
      </c>
      <c r="F65">
        <f>E45</f>
        <v/>
      </c>
      <c r="G65">
        <f>F65-E65</f>
        <v/>
      </c>
      <c r="H65">
        <f>IF(OR(NOT(ISNUMBER(D65)),ABS(D65-E65)&gt;$O$3,AND($O$11=1,B65&lt;$O$12)),1,0)</f>
        <v/>
      </c>
      <c r="I65">
        <f>IF(H65=1,NA(),D65)</f>
        <v/>
      </c>
      <c r="J65">
        <f>IF(AND(ISNUMBER(D65),D65&gt;=$O$4,OR($O$11=0,B65&gt;=$O$12)),1,0)</f>
        <v/>
      </c>
      <c r="K65">
        <f>B65-$O$14</f>
        <v/>
      </c>
    </row>
    <row r="66">
      <c r="A66" t="n">
        <v>192</v>
      </c>
      <c r="B66" t="n">
        <v>6.4</v>
      </c>
      <c r="C66" t="inlineStr">
        <is>
          <t>5272</t>
        </is>
      </c>
      <c r="D66" t="n">
        <v>52.72</v>
      </c>
      <c r="E66">
        <f>MEDIAN(D46:D86)</f>
        <v/>
      </c>
      <c r="F66">
        <f>E46</f>
        <v/>
      </c>
      <c r="G66">
        <f>F66-E66</f>
        <v/>
      </c>
      <c r="H66">
        <f>IF(OR(NOT(ISNUMBER(D66)),ABS(D66-E66)&gt;$O$3,AND($O$11=1,B66&lt;$O$12)),1,0)</f>
        <v/>
      </c>
      <c r="I66">
        <f>IF(H66=1,NA(),D66)</f>
        <v/>
      </c>
      <c r="J66">
        <f>IF(AND(ISNUMBER(D66),D66&gt;=$O$4,OR($O$11=0,B66&gt;=$O$12)),1,0)</f>
        <v/>
      </c>
      <c r="K66">
        <f>B66-$O$14</f>
        <v/>
      </c>
    </row>
    <row r="67">
      <c r="A67" t="n">
        <v>195</v>
      </c>
      <c r="B67" t="n">
        <v>6.5</v>
      </c>
      <c r="C67" t="inlineStr">
        <is>
          <t>5246</t>
        </is>
      </c>
      <c r="D67" t="n">
        <v>52.46</v>
      </c>
      <c r="E67">
        <f>MEDIAN(D47:D87)</f>
        <v/>
      </c>
      <c r="F67">
        <f>E47</f>
        <v/>
      </c>
      <c r="G67">
        <f>F67-E67</f>
        <v/>
      </c>
      <c r="H67">
        <f>IF(OR(NOT(ISNUMBER(D67)),ABS(D67-E67)&gt;$O$3,AND($O$11=1,B67&lt;$O$12)),1,0)</f>
        <v/>
      </c>
      <c r="I67">
        <f>IF(H67=1,NA(),D67)</f>
        <v/>
      </c>
      <c r="J67">
        <f>IF(AND(ISNUMBER(D67),D67&gt;=$O$4,OR($O$11=0,B67&gt;=$O$12)),1,0)</f>
        <v/>
      </c>
      <c r="K67">
        <f>B67-$O$14</f>
        <v/>
      </c>
    </row>
    <row r="68">
      <c r="A68" t="n">
        <v>198</v>
      </c>
      <c r="B68" t="n">
        <v>6.6</v>
      </c>
      <c r="C68" t="inlineStr">
        <is>
          <t>5419</t>
        </is>
      </c>
      <c r="D68" t="n">
        <v>54.19</v>
      </c>
      <c r="E68">
        <f>MEDIAN(D48:D88)</f>
        <v/>
      </c>
      <c r="F68">
        <f>E48</f>
        <v/>
      </c>
      <c r="G68">
        <f>F68-E68</f>
        <v/>
      </c>
      <c r="H68">
        <f>IF(OR(NOT(ISNUMBER(D68)),ABS(D68-E68)&gt;$O$3,AND($O$11=1,B68&lt;$O$12)),1,0)</f>
        <v/>
      </c>
      <c r="I68">
        <f>IF(H68=1,NA(),D68)</f>
        <v/>
      </c>
      <c r="J68">
        <f>IF(AND(ISNUMBER(D68),D68&gt;=$O$4,OR($O$11=0,B68&gt;=$O$12)),1,0)</f>
        <v/>
      </c>
      <c r="K68">
        <f>B68-$O$14</f>
        <v/>
      </c>
    </row>
    <row r="69">
      <c r="A69" t="n">
        <v>201</v>
      </c>
      <c r="B69" t="n">
        <v>6.7</v>
      </c>
      <c r="C69" t="inlineStr">
        <is>
          <t>5494</t>
        </is>
      </c>
      <c r="D69" t="n">
        <v>54.94</v>
      </c>
      <c r="E69">
        <f>MEDIAN(D49:D89)</f>
        <v/>
      </c>
      <c r="F69">
        <f>E49</f>
        <v/>
      </c>
      <c r="G69">
        <f>F69-E69</f>
        <v/>
      </c>
      <c r="H69">
        <f>IF(OR(NOT(ISNUMBER(D69)),ABS(D69-E69)&gt;$O$3,AND($O$11=1,B69&lt;$O$12)),1,0)</f>
        <v/>
      </c>
      <c r="I69">
        <f>IF(H69=1,NA(),D69)</f>
        <v/>
      </c>
      <c r="J69">
        <f>IF(AND(ISNUMBER(D69),D69&gt;=$O$4,OR($O$11=0,B69&gt;=$O$12)),1,0)</f>
        <v/>
      </c>
      <c r="K69">
        <f>B69-$O$14</f>
        <v/>
      </c>
    </row>
    <row r="70">
      <c r="A70" t="n">
        <v>204</v>
      </c>
      <c r="B70" t="n">
        <v>6.8</v>
      </c>
      <c r="C70" t="inlineStr">
        <is>
          <t>5565</t>
        </is>
      </c>
      <c r="D70" t="n">
        <v>55.65</v>
      </c>
      <c r="E70">
        <f>MEDIAN(D50:D90)</f>
        <v/>
      </c>
      <c r="F70">
        <f>E50</f>
        <v/>
      </c>
      <c r="G70">
        <f>F70-E70</f>
        <v/>
      </c>
      <c r="H70">
        <f>IF(OR(NOT(ISNUMBER(D70)),ABS(D70-E70)&gt;$O$3,AND($O$11=1,B70&lt;$O$12)),1,0)</f>
        <v/>
      </c>
      <c r="I70">
        <f>IF(H70=1,NA(),D70)</f>
        <v/>
      </c>
      <c r="J70">
        <f>IF(AND(ISNUMBER(D70),D70&gt;=$O$4,OR($O$11=0,B70&gt;=$O$12)),1,0)</f>
        <v/>
      </c>
      <c r="K70">
        <f>B70-$O$14</f>
        <v/>
      </c>
    </row>
    <row r="71">
      <c r="A71" t="n">
        <v>207</v>
      </c>
      <c r="B71" t="n">
        <v>6.9</v>
      </c>
      <c r="C71" t="inlineStr">
        <is>
          <t>5630</t>
        </is>
      </c>
      <c r="D71" t="n">
        <v>56.3</v>
      </c>
      <c r="E71">
        <f>MEDIAN(D51:D91)</f>
        <v/>
      </c>
      <c r="F71">
        <f>E51</f>
        <v/>
      </c>
      <c r="G71">
        <f>F71-E71</f>
        <v/>
      </c>
      <c r="H71">
        <f>IF(OR(NOT(ISNUMBER(D71)),ABS(D71-E71)&gt;$O$3,AND($O$11=1,B71&lt;$O$12)),1,0)</f>
        <v/>
      </c>
      <c r="I71">
        <f>IF(H71=1,NA(),D71)</f>
        <v/>
      </c>
      <c r="J71">
        <f>IF(AND(ISNUMBER(D71),D71&gt;=$O$4,OR($O$11=0,B71&gt;=$O$12)),1,0)</f>
        <v/>
      </c>
      <c r="K71">
        <f>B71-$O$14</f>
        <v/>
      </c>
    </row>
    <row r="72">
      <c r="A72" t="n">
        <v>210</v>
      </c>
      <c r="B72" t="n">
        <v>7</v>
      </c>
      <c r="C72" t="inlineStr">
        <is>
          <t>5698</t>
        </is>
      </c>
      <c r="D72" t="n">
        <v>56.98</v>
      </c>
      <c r="E72">
        <f>MEDIAN(D52:D92)</f>
        <v/>
      </c>
      <c r="F72">
        <f>E52</f>
        <v/>
      </c>
      <c r="G72">
        <f>F72-E72</f>
        <v/>
      </c>
      <c r="H72">
        <f>IF(OR(NOT(ISNUMBER(D72)),ABS(D72-E72)&gt;$O$3,AND($O$11=1,B72&lt;$O$12)),1,0)</f>
        <v/>
      </c>
      <c r="I72">
        <f>IF(H72=1,NA(),D72)</f>
        <v/>
      </c>
      <c r="J72">
        <f>IF(AND(ISNUMBER(D72),D72&gt;=$O$4,OR($O$11=0,B72&gt;=$O$12)),1,0)</f>
        <v/>
      </c>
      <c r="K72">
        <f>B72-$O$14</f>
        <v/>
      </c>
    </row>
    <row r="73">
      <c r="A73" t="n">
        <v>213</v>
      </c>
      <c r="B73" t="n">
        <v>7.1</v>
      </c>
      <c r="C73" t="inlineStr">
        <is>
          <t>5864</t>
        </is>
      </c>
      <c r="D73" t="n">
        <v>58.64</v>
      </c>
      <c r="E73">
        <f>MEDIAN(D53:D93)</f>
        <v/>
      </c>
      <c r="F73">
        <f>E53</f>
        <v/>
      </c>
      <c r="G73">
        <f>F73-E73</f>
        <v/>
      </c>
      <c r="H73">
        <f>IF(OR(NOT(ISNUMBER(D73)),ABS(D73-E73)&gt;$O$3,AND($O$11=1,B73&lt;$O$12)),1,0)</f>
        <v/>
      </c>
      <c r="I73">
        <f>IF(H73=1,NA(),D73)</f>
        <v/>
      </c>
      <c r="J73">
        <f>IF(AND(ISNUMBER(D73),D73&gt;=$O$4,OR($O$11=0,B73&gt;=$O$12)),1,0)</f>
        <v/>
      </c>
      <c r="K73">
        <f>B73-$O$14</f>
        <v/>
      </c>
    </row>
    <row r="74">
      <c r="A74" t="n">
        <v>216</v>
      </c>
      <c r="B74" t="n">
        <v>7.2</v>
      </c>
      <c r="C74" t="inlineStr">
        <is>
          <t>5827</t>
        </is>
      </c>
      <c r="D74" t="n">
        <v>58.27</v>
      </c>
      <c r="E74">
        <f>MEDIAN(D54:D94)</f>
        <v/>
      </c>
      <c r="F74">
        <f>E54</f>
        <v/>
      </c>
      <c r="G74">
        <f>F74-E74</f>
        <v/>
      </c>
      <c r="H74">
        <f>IF(OR(NOT(ISNUMBER(D74)),ABS(D74-E74)&gt;$O$3,AND($O$11=1,B74&lt;$O$12)),1,0)</f>
        <v/>
      </c>
      <c r="I74">
        <f>IF(H74=1,NA(),D74)</f>
        <v/>
      </c>
      <c r="J74">
        <f>IF(AND(ISNUMBER(D74),D74&gt;=$O$4,OR($O$11=0,B74&gt;=$O$12)),1,0)</f>
        <v/>
      </c>
      <c r="K74">
        <f>B74-$O$14</f>
        <v/>
      </c>
    </row>
    <row r="75">
      <c r="A75" t="n">
        <v>219</v>
      </c>
      <c r="B75" t="n">
        <v>7.3</v>
      </c>
      <c r="C75" t="inlineStr">
        <is>
          <t>5886</t>
        </is>
      </c>
      <c r="D75" t="n">
        <v>58.86</v>
      </c>
      <c r="E75">
        <f>MEDIAN(D55:D95)</f>
        <v/>
      </c>
      <c r="F75">
        <f>E55</f>
        <v/>
      </c>
      <c r="G75">
        <f>F75-E75</f>
        <v/>
      </c>
      <c r="H75">
        <f>IF(OR(NOT(ISNUMBER(D75)),ABS(D75-E75)&gt;$O$3,AND($O$11=1,B75&lt;$O$12)),1,0)</f>
        <v/>
      </c>
      <c r="I75">
        <f>IF(H75=1,NA(),D75)</f>
        <v/>
      </c>
      <c r="J75">
        <f>IF(AND(ISNUMBER(D75),D75&gt;=$O$4,OR($O$11=0,B75&gt;=$O$12)),1,0)</f>
        <v/>
      </c>
      <c r="K75">
        <f>B75-$O$14</f>
        <v/>
      </c>
    </row>
    <row r="76">
      <c r="A76" t="n">
        <v>222</v>
      </c>
      <c r="B76" t="n">
        <v>7.4</v>
      </c>
      <c r="C76" t="inlineStr">
        <is>
          <t>5869</t>
        </is>
      </c>
      <c r="D76" t="n">
        <v>58.69</v>
      </c>
      <c r="E76">
        <f>MEDIAN(D56:D96)</f>
        <v/>
      </c>
      <c r="F76">
        <f>E56</f>
        <v/>
      </c>
      <c r="G76">
        <f>F76-E76</f>
        <v/>
      </c>
      <c r="H76">
        <f>IF(OR(NOT(ISNUMBER(D76)),ABS(D76-E76)&gt;$O$3,AND($O$11=1,B76&lt;$O$12)),1,0)</f>
        <v/>
      </c>
      <c r="I76">
        <f>IF(H76=1,NA(),D76)</f>
        <v/>
      </c>
      <c r="J76">
        <f>IF(AND(ISNUMBER(D76),D76&gt;=$O$4,OR($O$11=0,B76&gt;=$O$12)),1,0)</f>
        <v/>
      </c>
      <c r="K76">
        <f>B76-$O$14</f>
        <v/>
      </c>
    </row>
    <row r="77">
      <c r="A77" t="n">
        <v>225</v>
      </c>
      <c r="B77" t="n">
        <v>7.5</v>
      </c>
      <c r="C77" t="inlineStr">
        <is>
          <t>5983</t>
        </is>
      </c>
      <c r="D77" t="n">
        <v>59.83</v>
      </c>
      <c r="E77">
        <f>MEDIAN(D57:D97)</f>
        <v/>
      </c>
      <c r="F77">
        <f>E57</f>
        <v/>
      </c>
      <c r="G77">
        <f>F77-E77</f>
        <v/>
      </c>
      <c r="H77">
        <f>IF(OR(NOT(ISNUMBER(D77)),ABS(D77-E77)&gt;$O$3,AND($O$11=1,B77&lt;$O$12)),1,0)</f>
        <v/>
      </c>
      <c r="I77">
        <f>IF(H77=1,NA(),D77)</f>
        <v/>
      </c>
      <c r="J77">
        <f>IF(AND(ISNUMBER(D77),D77&gt;=$O$4,OR($O$11=0,B77&gt;=$O$12)),1,0)</f>
        <v/>
      </c>
      <c r="K77">
        <f>B77-$O$14</f>
        <v/>
      </c>
    </row>
    <row r="78">
      <c r="A78" t="n">
        <v>228</v>
      </c>
      <c r="B78" t="n">
        <v>7.6</v>
      </c>
      <c r="C78" t="inlineStr">
        <is>
          <t>6029</t>
        </is>
      </c>
      <c r="D78" t="n">
        <v>60.29</v>
      </c>
      <c r="E78">
        <f>MEDIAN(D58:D98)</f>
        <v/>
      </c>
      <c r="F78">
        <f>E58</f>
        <v/>
      </c>
      <c r="G78">
        <f>F78-E78</f>
        <v/>
      </c>
      <c r="H78">
        <f>IF(OR(NOT(ISNUMBER(D78)),ABS(D78-E78)&gt;$O$3,AND($O$11=1,B78&lt;$O$12)),1,0)</f>
        <v/>
      </c>
      <c r="I78">
        <f>IF(H78=1,NA(),D78)</f>
        <v/>
      </c>
      <c r="J78">
        <f>IF(AND(ISNUMBER(D78),D78&gt;=$O$4,OR($O$11=0,B78&gt;=$O$12)),1,0)</f>
        <v/>
      </c>
      <c r="K78">
        <f>B78-$O$14</f>
        <v/>
      </c>
    </row>
    <row r="79">
      <c r="A79" t="n">
        <v>231</v>
      </c>
      <c r="B79" t="n">
        <v>7.7</v>
      </c>
      <c r="C79" t="inlineStr">
        <is>
          <t>6066</t>
        </is>
      </c>
      <c r="D79" t="n">
        <v>60.66</v>
      </c>
      <c r="E79">
        <f>MEDIAN(D59:D99)</f>
        <v/>
      </c>
      <c r="F79">
        <f>E59</f>
        <v/>
      </c>
      <c r="G79">
        <f>F79-E79</f>
        <v/>
      </c>
      <c r="H79">
        <f>IF(OR(NOT(ISNUMBER(D79)),ABS(D79-E79)&gt;$O$3,AND($O$11=1,B79&lt;$O$12)),1,0)</f>
        <v/>
      </c>
      <c r="I79">
        <f>IF(H79=1,NA(),D79)</f>
        <v/>
      </c>
      <c r="J79">
        <f>IF(AND(ISNUMBER(D79),D79&gt;=$O$4,OR($O$11=0,B79&gt;=$O$12)),1,0)</f>
        <v/>
      </c>
      <c r="K79">
        <f>B79-$O$14</f>
        <v/>
      </c>
    </row>
    <row r="80">
      <c r="A80" t="n">
        <v>234</v>
      </c>
      <c r="B80" t="n">
        <v>7.8</v>
      </c>
      <c r="C80" t="inlineStr">
        <is>
          <t>6096</t>
        </is>
      </c>
      <c r="D80" t="n">
        <v>60.96</v>
      </c>
      <c r="E80">
        <f>MEDIAN(D60:D100)</f>
        <v/>
      </c>
      <c r="F80">
        <f>E60</f>
        <v/>
      </c>
      <c r="G80">
        <f>F80-E80</f>
        <v/>
      </c>
      <c r="H80">
        <f>IF(OR(NOT(ISNUMBER(D80)),ABS(D80-E80)&gt;$O$3,AND($O$11=1,B80&lt;$O$12)),1,0)</f>
        <v/>
      </c>
      <c r="I80">
        <f>IF(H80=1,NA(),D80)</f>
        <v/>
      </c>
      <c r="J80">
        <f>IF(AND(ISNUMBER(D80),D80&gt;=$O$4,OR($O$11=0,B80&gt;=$O$12)),1,0)</f>
        <v/>
      </c>
      <c r="K80">
        <f>B80-$O$14</f>
        <v/>
      </c>
    </row>
    <row r="81">
      <c r="A81" t="n">
        <v>237</v>
      </c>
      <c r="B81" t="n">
        <v>7.9</v>
      </c>
      <c r="C81" t="inlineStr">
        <is>
          <t>6?124</t>
        </is>
      </c>
      <c r="E81">
        <f>MEDIAN(D61:D101)</f>
        <v/>
      </c>
      <c r="F81">
        <f>E61</f>
        <v/>
      </c>
      <c r="G81">
        <f>F81-E81</f>
        <v/>
      </c>
      <c r="H81">
        <f>IF(OR(NOT(ISNUMBER(D81)),ABS(D81-E81)&gt;$O$3,AND($O$11=1,B81&lt;$O$12)),1,0)</f>
        <v/>
      </c>
      <c r="I81">
        <f>IF(H81=1,NA(),D81)</f>
        <v/>
      </c>
      <c r="J81">
        <f>IF(AND(ISNUMBER(D81),D81&gt;=$O$4,OR($O$11=0,B81&gt;=$O$12)),1,0)</f>
        <v/>
      </c>
      <c r="K81">
        <f>B81-$O$14</f>
        <v/>
      </c>
    </row>
    <row r="82">
      <c r="A82" t="n">
        <v>240</v>
      </c>
      <c r="B82" t="n">
        <v>8</v>
      </c>
      <c r="C82" t="inlineStr">
        <is>
          <t>6144</t>
        </is>
      </c>
      <c r="D82" t="n">
        <v>61.44</v>
      </c>
      <c r="E82">
        <f>MEDIAN(D62:D102)</f>
        <v/>
      </c>
      <c r="F82">
        <f>E62</f>
        <v/>
      </c>
      <c r="G82">
        <f>F82-E82</f>
        <v/>
      </c>
      <c r="H82">
        <f>IF(OR(NOT(ISNUMBER(D82)),ABS(D82-E82)&gt;$O$3,AND($O$11=1,B82&lt;$O$12)),1,0)</f>
        <v/>
      </c>
      <c r="I82">
        <f>IF(H82=1,NA(),D82)</f>
        <v/>
      </c>
      <c r="J82">
        <f>IF(AND(ISNUMBER(D82),D82&gt;=$O$4,OR($O$11=0,B82&gt;=$O$12)),1,0)</f>
        <v/>
      </c>
      <c r="K82">
        <f>B82-$O$14</f>
        <v/>
      </c>
    </row>
    <row r="83">
      <c r="A83" t="n">
        <v>243</v>
      </c>
      <c r="B83" t="n">
        <v>8.1</v>
      </c>
      <c r="C83" t="inlineStr">
        <is>
          <t>6159</t>
        </is>
      </c>
      <c r="D83" t="n">
        <v>61.59</v>
      </c>
      <c r="E83">
        <f>MEDIAN(D63:D103)</f>
        <v/>
      </c>
      <c r="F83">
        <f>E63</f>
        <v/>
      </c>
      <c r="G83">
        <f>F83-E83</f>
        <v/>
      </c>
      <c r="H83">
        <f>IF(OR(NOT(ISNUMBER(D83)),ABS(D83-E83)&gt;$O$3,AND($O$11=1,B83&lt;$O$12)),1,0)</f>
        <v/>
      </c>
      <c r="I83">
        <f>IF(H83=1,NA(),D83)</f>
        <v/>
      </c>
      <c r="J83">
        <f>IF(AND(ISNUMBER(D83),D83&gt;=$O$4,OR($O$11=0,B83&gt;=$O$12)),1,0)</f>
        <v/>
      </c>
      <c r="K83">
        <f>B83-$O$14</f>
        <v/>
      </c>
    </row>
    <row r="84">
      <c r="A84" t="n">
        <v>246</v>
      </c>
      <c r="B84" t="n">
        <v>8.199999999999999</v>
      </c>
      <c r="C84" t="inlineStr">
        <is>
          <t>6160</t>
        </is>
      </c>
      <c r="D84" t="n">
        <v>61.6</v>
      </c>
      <c r="E84">
        <f>MEDIAN(D64:D104)</f>
        <v/>
      </c>
      <c r="F84">
        <f>E64</f>
        <v/>
      </c>
      <c r="G84">
        <f>F84-E84</f>
        <v/>
      </c>
      <c r="H84">
        <f>IF(OR(NOT(ISNUMBER(D84)),ABS(D84-E84)&gt;$O$3,AND($O$11=1,B84&lt;$O$12)),1,0)</f>
        <v/>
      </c>
      <c r="I84">
        <f>IF(H84=1,NA(),D84)</f>
        <v/>
      </c>
      <c r="J84">
        <f>IF(AND(ISNUMBER(D84),D84&gt;=$O$4,OR($O$11=0,B84&gt;=$O$12)),1,0)</f>
        <v/>
      </c>
      <c r="K84">
        <f>B84-$O$14</f>
        <v/>
      </c>
    </row>
    <row r="85">
      <c r="A85" t="n">
        <v>249</v>
      </c>
      <c r="B85" t="n">
        <v>8.300000000000001</v>
      </c>
      <c r="C85" t="inlineStr">
        <is>
          <t>6105</t>
        </is>
      </c>
      <c r="D85" t="n">
        <v>61.05</v>
      </c>
      <c r="E85">
        <f>MEDIAN(D65:D105)</f>
        <v/>
      </c>
      <c r="F85">
        <f>E65</f>
        <v/>
      </c>
      <c r="G85">
        <f>F85-E85</f>
        <v/>
      </c>
      <c r="H85">
        <f>IF(OR(NOT(ISNUMBER(D85)),ABS(D85-E85)&gt;$O$3,AND($O$11=1,B85&lt;$O$12)),1,0)</f>
        <v/>
      </c>
      <c r="I85">
        <f>IF(H85=1,NA(),D85)</f>
        <v/>
      </c>
      <c r="J85">
        <f>IF(AND(ISNUMBER(D85),D85&gt;=$O$4,OR($O$11=0,B85&gt;=$O$12)),1,0)</f>
        <v/>
      </c>
      <c r="K85">
        <f>B85-$O$14</f>
        <v/>
      </c>
    </row>
    <row r="86">
      <c r="A86" t="n">
        <v>252</v>
      </c>
      <c r="B86" t="n">
        <v>8.4</v>
      </c>
      <c r="C86" t="inlineStr">
        <is>
          <t>6174</t>
        </is>
      </c>
      <c r="D86" t="n">
        <v>61.74</v>
      </c>
      <c r="E86">
        <f>MEDIAN(D66:D106)</f>
        <v/>
      </c>
      <c r="F86">
        <f>E66</f>
        <v/>
      </c>
      <c r="G86">
        <f>F86-E86</f>
        <v/>
      </c>
      <c r="H86">
        <f>IF(OR(NOT(ISNUMBER(D86)),ABS(D86-E86)&gt;$O$3,AND($O$11=1,B86&lt;$O$12)),1,0)</f>
        <v/>
      </c>
      <c r="I86">
        <f>IF(H86=1,NA(),D86)</f>
        <v/>
      </c>
      <c r="J86">
        <f>IF(AND(ISNUMBER(D86),D86&gt;=$O$4,OR($O$11=0,B86&gt;=$O$12)),1,0)</f>
        <v/>
      </c>
      <c r="K86">
        <f>B86-$O$14</f>
        <v/>
      </c>
    </row>
    <row r="87">
      <c r="A87" t="n">
        <v>255</v>
      </c>
      <c r="B87" t="n">
        <v>8.5</v>
      </c>
      <c r="C87" t="inlineStr">
        <is>
          <t>6175</t>
        </is>
      </c>
      <c r="D87" t="n">
        <v>61.75</v>
      </c>
      <c r="E87">
        <f>MEDIAN(D67:D107)</f>
        <v/>
      </c>
      <c r="F87">
        <f>E67</f>
        <v/>
      </c>
      <c r="G87">
        <f>F87-E87</f>
        <v/>
      </c>
      <c r="H87">
        <f>IF(OR(NOT(ISNUMBER(D87)),ABS(D87-E87)&gt;$O$3,AND($O$11=1,B87&lt;$O$12)),1,0)</f>
        <v/>
      </c>
      <c r="I87">
        <f>IF(H87=1,NA(),D87)</f>
        <v/>
      </c>
      <c r="J87">
        <f>IF(AND(ISNUMBER(D87),D87&gt;=$O$4,OR($O$11=0,B87&gt;=$O$12)),1,0)</f>
        <v/>
      </c>
      <c r="K87">
        <f>B87-$O$14</f>
        <v/>
      </c>
    </row>
    <row r="88">
      <c r="A88" t="n">
        <v>258</v>
      </c>
      <c r="B88" t="n">
        <v>8.6</v>
      </c>
      <c r="C88" t="inlineStr">
        <is>
          <t>6176</t>
        </is>
      </c>
      <c r="D88" t="n">
        <v>61.76</v>
      </c>
      <c r="E88">
        <f>MEDIAN(D68:D108)</f>
        <v/>
      </c>
      <c r="F88">
        <f>E68</f>
        <v/>
      </c>
      <c r="G88">
        <f>F88-E88</f>
        <v/>
      </c>
      <c r="H88">
        <f>IF(OR(NOT(ISNUMBER(D88)),ABS(D88-E88)&gt;$O$3,AND($O$11=1,B88&lt;$O$12)),1,0)</f>
        <v/>
      </c>
      <c r="I88">
        <f>IF(H88=1,NA(),D88)</f>
        <v/>
      </c>
      <c r="J88">
        <f>IF(AND(ISNUMBER(D88),D88&gt;=$O$4,OR($O$11=0,B88&gt;=$O$12)),1,0)</f>
        <v/>
      </c>
      <c r="K88">
        <f>B88-$O$14</f>
        <v/>
      </c>
    </row>
    <row r="89">
      <c r="A89" t="n">
        <v>261</v>
      </c>
      <c r="B89" t="n">
        <v>8.699999999999999</v>
      </c>
      <c r="C89" t="inlineStr">
        <is>
          <t>6177</t>
        </is>
      </c>
      <c r="D89" t="n">
        <v>61.77</v>
      </c>
      <c r="E89">
        <f>MEDIAN(D69:D109)</f>
        <v/>
      </c>
      <c r="F89">
        <f>E69</f>
        <v/>
      </c>
      <c r="G89">
        <f>F89-E89</f>
        <v/>
      </c>
      <c r="H89">
        <f>IF(OR(NOT(ISNUMBER(D89)),ABS(D89-E89)&gt;$O$3,AND($O$11=1,B89&lt;$O$12)),1,0)</f>
        <v/>
      </c>
      <c r="I89">
        <f>IF(H89=1,NA(),D89)</f>
        <v/>
      </c>
      <c r="J89">
        <f>IF(AND(ISNUMBER(D89),D89&gt;=$O$4,OR($O$11=0,B89&gt;=$O$12)),1,0)</f>
        <v/>
      </c>
      <c r="K89">
        <f>B89-$O$14</f>
        <v/>
      </c>
    </row>
    <row r="90">
      <c r="A90" t="n">
        <v>264</v>
      </c>
      <c r="B90" t="n">
        <v>8.800000000000001</v>
      </c>
      <c r="C90" t="inlineStr">
        <is>
          <t>6178</t>
        </is>
      </c>
      <c r="D90" t="n">
        <v>61.78</v>
      </c>
      <c r="E90">
        <f>MEDIAN(D70:D110)</f>
        <v/>
      </c>
      <c r="F90">
        <f>E70</f>
        <v/>
      </c>
      <c r="G90">
        <f>F90-E90</f>
        <v/>
      </c>
      <c r="H90">
        <f>IF(OR(NOT(ISNUMBER(D90)),ABS(D90-E90)&gt;$O$3,AND($O$11=1,B90&lt;$O$12)),1,0)</f>
        <v/>
      </c>
      <c r="I90">
        <f>IF(H90=1,NA(),D90)</f>
        <v/>
      </c>
      <c r="J90">
        <f>IF(AND(ISNUMBER(D90),D90&gt;=$O$4,OR($O$11=0,B90&gt;=$O$12)),1,0)</f>
        <v/>
      </c>
      <c r="K90">
        <f>B90-$O$14</f>
        <v/>
      </c>
    </row>
    <row r="91">
      <c r="A91" t="n">
        <v>267</v>
      </c>
      <c r="B91" t="n">
        <v>8.9</v>
      </c>
      <c r="C91" t="inlineStr">
        <is>
          <t>6179</t>
        </is>
      </c>
      <c r="D91" t="n">
        <v>61.79</v>
      </c>
      <c r="E91">
        <f>MEDIAN(D71:D110)</f>
        <v/>
      </c>
      <c r="F91">
        <f>E71</f>
        <v/>
      </c>
      <c r="G91">
        <f>F91-E91</f>
        <v/>
      </c>
      <c r="H91">
        <f>IF(OR(NOT(ISNUMBER(D91)),ABS(D91-E91)&gt;$O$3,AND($O$11=1,B91&lt;$O$12)),1,0)</f>
        <v/>
      </c>
      <c r="I91">
        <f>IF(H91=1,NA(),D91)</f>
        <v/>
      </c>
      <c r="J91">
        <f>IF(AND(ISNUMBER(D91),D91&gt;=$O$4,OR($O$11=0,B91&gt;=$O$12)),1,0)</f>
        <v/>
      </c>
      <c r="K91">
        <f>B91-$O$14</f>
        <v/>
      </c>
    </row>
    <row r="92">
      <c r="A92" t="n">
        <v>270</v>
      </c>
      <c r="B92" t="n">
        <v>9</v>
      </c>
      <c r="C92" t="inlineStr">
        <is>
          <t>6180</t>
        </is>
      </c>
      <c r="D92" t="n">
        <v>61.8</v>
      </c>
      <c r="E92">
        <f>MEDIAN(D72:D110)</f>
        <v/>
      </c>
      <c r="F92">
        <f>E72</f>
        <v/>
      </c>
      <c r="G92">
        <f>F92-E92</f>
        <v/>
      </c>
      <c r="H92">
        <f>IF(OR(NOT(ISNUMBER(D92)),ABS(D92-E92)&gt;$O$3,AND($O$11=1,B92&lt;$O$12)),1,0)</f>
        <v/>
      </c>
      <c r="I92">
        <f>IF(H92=1,NA(),D92)</f>
        <v/>
      </c>
      <c r="J92">
        <f>IF(AND(ISNUMBER(D92),D92&gt;=$O$4,OR($O$11=0,B92&gt;=$O$12)),1,0)</f>
        <v/>
      </c>
      <c r="K92">
        <f>B92-$O$14</f>
        <v/>
      </c>
    </row>
    <row r="93">
      <c r="A93" t="n">
        <v>273</v>
      </c>
      <c r="B93" t="n">
        <v>9.1</v>
      </c>
      <c r="C93" t="inlineStr">
        <is>
          <t>618?</t>
        </is>
      </c>
      <c r="E93">
        <f>MEDIAN(D73:D110)</f>
        <v/>
      </c>
      <c r="F93">
        <f>E73</f>
        <v/>
      </c>
      <c r="G93">
        <f>F93-E93</f>
        <v/>
      </c>
      <c r="H93">
        <f>IF(OR(NOT(ISNUMBER(D93)),ABS(D93-E93)&gt;$O$3,AND($O$11=1,B93&lt;$O$12)),1,0)</f>
        <v/>
      </c>
      <c r="I93">
        <f>IF(H93=1,NA(),D93)</f>
        <v/>
      </c>
      <c r="J93">
        <f>IF(AND(ISNUMBER(D93),D93&gt;=$O$4,OR($O$11=0,B93&gt;=$O$12)),1,0)</f>
        <v/>
      </c>
      <c r="K93">
        <f>B93-$O$14</f>
        <v/>
      </c>
    </row>
    <row r="94">
      <c r="A94" t="n">
        <v>276</v>
      </c>
      <c r="B94" t="n">
        <v>9.199999999999999</v>
      </c>
      <c r="C94" t="inlineStr">
        <is>
          <t>6182</t>
        </is>
      </c>
      <c r="D94" t="n">
        <v>61.82</v>
      </c>
      <c r="E94">
        <f>MEDIAN(D74:D110)</f>
        <v/>
      </c>
      <c r="F94">
        <f>E74</f>
        <v/>
      </c>
      <c r="G94">
        <f>F94-E94</f>
        <v/>
      </c>
      <c r="H94">
        <f>IF(OR(NOT(ISNUMBER(D94)),ABS(D94-E94)&gt;$O$3,AND($O$11=1,B94&lt;$O$12)),1,0)</f>
        <v/>
      </c>
      <c r="I94">
        <f>IF(H94=1,NA(),D94)</f>
        <v/>
      </c>
      <c r="J94">
        <f>IF(AND(ISNUMBER(D94),D94&gt;=$O$4,OR($O$11=0,B94&gt;=$O$12)),1,0)</f>
        <v/>
      </c>
      <c r="K94">
        <f>B94-$O$14</f>
        <v/>
      </c>
    </row>
    <row r="95">
      <c r="A95" t="n">
        <v>279</v>
      </c>
      <c r="B95" t="n">
        <v>9.300000000000001</v>
      </c>
      <c r="C95" t="inlineStr">
        <is>
          <t>6187</t>
        </is>
      </c>
      <c r="D95" t="n">
        <v>61.87</v>
      </c>
      <c r="E95">
        <f>MEDIAN(D75:D110)</f>
        <v/>
      </c>
      <c r="F95">
        <f>E75</f>
        <v/>
      </c>
      <c r="G95">
        <f>F95-E95</f>
        <v/>
      </c>
      <c r="H95">
        <f>IF(OR(NOT(ISNUMBER(D95)),ABS(D95-E95)&gt;$O$3,AND($O$11=1,B95&lt;$O$12)),1,0)</f>
        <v/>
      </c>
      <c r="I95">
        <f>IF(H95=1,NA(),D95)</f>
        <v/>
      </c>
      <c r="J95">
        <f>IF(AND(ISNUMBER(D95),D95&gt;=$O$4,OR($O$11=0,B95&gt;=$O$12)),1,0)</f>
        <v/>
      </c>
      <c r="K95">
        <f>B95-$O$14</f>
        <v/>
      </c>
    </row>
    <row r="96">
      <c r="A96" t="n">
        <v>282</v>
      </c>
      <c r="B96" t="n">
        <v>9.4</v>
      </c>
      <c r="C96" t="inlineStr">
        <is>
          <t>6187</t>
        </is>
      </c>
      <c r="D96" t="n">
        <v>61.87</v>
      </c>
      <c r="E96">
        <f>MEDIAN(D76:D110)</f>
        <v/>
      </c>
      <c r="F96">
        <f>E76</f>
        <v/>
      </c>
      <c r="G96">
        <f>F96-E96</f>
        <v/>
      </c>
      <c r="H96">
        <f>IF(OR(NOT(ISNUMBER(D96)),ABS(D96-E96)&gt;$O$3,AND($O$11=1,B96&lt;$O$12)),1,0)</f>
        <v/>
      </c>
      <c r="I96">
        <f>IF(H96=1,NA(),D96)</f>
        <v/>
      </c>
      <c r="J96">
        <f>IF(AND(ISNUMBER(D96),D96&gt;=$O$4,OR($O$11=0,B96&gt;=$O$12)),1,0)</f>
        <v/>
      </c>
      <c r="K96">
        <f>B96-$O$14</f>
        <v/>
      </c>
    </row>
    <row r="97">
      <c r="A97" t="n">
        <v>285</v>
      </c>
      <c r="B97" t="n">
        <v>9.5</v>
      </c>
      <c r="C97" t="inlineStr">
        <is>
          <t>6187</t>
        </is>
      </c>
      <c r="D97" t="n">
        <v>61.87</v>
      </c>
      <c r="E97">
        <f>MEDIAN(D77:D110)</f>
        <v/>
      </c>
      <c r="F97">
        <f>E77</f>
        <v/>
      </c>
      <c r="G97">
        <f>F97-E97</f>
        <v/>
      </c>
      <c r="H97">
        <f>IF(OR(NOT(ISNUMBER(D97)),ABS(D97-E97)&gt;$O$3,AND($O$11=1,B97&lt;$O$12)),1,0)</f>
        <v/>
      </c>
      <c r="I97">
        <f>IF(H97=1,NA(),D97)</f>
        <v/>
      </c>
      <c r="J97">
        <f>IF(AND(ISNUMBER(D97),D97&gt;=$O$4,OR($O$11=0,B97&gt;=$O$12)),1,0)</f>
        <v/>
      </c>
      <c r="K97">
        <f>B97-$O$14</f>
        <v/>
      </c>
    </row>
    <row r="98">
      <c r="A98" t="n">
        <v>288</v>
      </c>
      <c r="B98" t="n">
        <v>9.6</v>
      </c>
      <c r="C98" t="inlineStr">
        <is>
          <t>6187</t>
        </is>
      </c>
      <c r="D98" t="n">
        <v>61.87</v>
      </c>
      <c r="E98">
        <f>MEDIAN(D78:D110)</f>
        <v/>
      </c>
      <c r="F98">
        <f>E78</f>
        <v/>
      </c>
      <c r="G98">
        <f>F98-E98</f>
        <v/>
      </c>
      <c r="H98">
        <f>IF(OR(NOT(ISNUMBER(D98)),ABS(D98-E98)&gt;$O$3,AND($O$11=1,B98&lt;$O$12)),1,0)</f>
        <v/>
      </c>
      <c r="I98">
        <f>IF(H98=1,NA(),D98)</f>
        <v/>
      </c>
      <c r="J98">
        <f>IF(AND(ISNUMBER(D98),D98&gt;=$O$4,OR($O$11=0,B98&gt;=$O$12)),1,0)</f>
        <v/>
      </c>
      <c r="K98">
        <f>B98-$O$14</f>
        <v/>
      </c>
    </row>
    <row r="99">
      <c r="A99" t="n">
        <v>291</v>
      </c>
      <c r="B99" t="n">
        <v>9.699999999999999</v>
      </c>
      <c r="C99" t="inlineStr">
        <is>
          <t>6187</t>
        </is>
      </c>
      <c r="D99" t="n">
        <v>61.87</v>
      </c>
      <c r="E99">
        <f>MEDIAN(D79:D110)</f>
        <v/>
      </c>
      <c r="F99">
        <f>E79</f>
        <v/>
      </c>
      <c r="G99">
        <f>F99-E99</f>
        <v/>
      </c>
      <c r="H99">
        <f>IF(OR(NOT(ISNUMBER(D99)),ABS(D99-E99)&gt;$O$3,AND($O$11=1,B99&lt;$O$12)),1,0)</f>
        <v/>
      </c>
      <c r="I99">
        <f>IF(H99=1,NA(),D99)</f>
        <v/>
      </c>
      <c r="J99">
        <f>IF(AND(ISNUMBER(D99),D99&gt;=$O$4,OR($O$11=0,B99&gt;=$O$12)),1,0)</f>
        <v/>
      </c>
      <c r="K99">
        <f>B99-$O$14</f>
        <v/>
      </c>
    </row>
    <row r="100">
      <c r="A100" t="n">
        <v>294</v>
      </c>
      <c r="B100" t="n">
        <v>9.800000000000001</v>
      </c>
      <c r="C100" t="inlineStr">
        <is>
          <t>6187</t>
        </is>
      </c>
      <c r="D100" t="n">
        <v>61.87</v>
      </c>
      <c r="E100">
        <f>MEDIAN(D80:D110)</f>
        <v/>
      </c>
      <c r="F100">
        <f>E80</f>
        <v/>
      </c>
      <c r="G100">
        <f>F100-E100</f>
        <v/>
      </c>
      <c r="H100">
        <f>IF(OR(NOT(ISNUMBER(D100)),ABS(D100-E100)&gt;$O$3,AND($O$11=1,B100&lt;$O$12)),1,0)</f>
        <v/>
      </c>
      <c r="I100">
        <f>IF(H100=1,NA(),D100)</f>
        <v/>
      </c>
      <c r="J100">
        <f>IF(AND(ISNUMBER(D100),D100&gt;=$O$4,OR($O$11=0,B100&gt;=$O$12)),1,0)</f>
        <v/>
      </c>
      <c r="K100">
        <f>B100-$O$14</f>
        <v/>
      </c>
    </row>
    <row r="101">
      <c r="A101" t="n">
        <v>297</v>
      </c>
      <c r="B101" t="n">
        <v>9.9</v>
      </c>
      <c r="C101" t="inlineStr">
        <is>
          <t>6187</t>
        </is>
      </c>
      <c r="D101" t="n">
        <v>61.87</v>
      </c>
      <c r="E101">
        <f>MEDIAN(D81:D110)</f>
        <v/>
      </c>
      <c r="F101">
        <f>E81</f>
        <v/>
      </c>
      <c r="G101">
        <f>F101-E101</f>
        <v/>
      </c>
      <c r="H101">
        <f>IF(OR(NOT(ISNUMBER(D101)),ABS(D101-E101)&gt;$O$3,AND($O$11=1,B101&lt;$O$12)),1,0)</f>
        <v/>
      </c>
      <c r="I101">
        <f>IF(H101=1,NA(),D101)</f>
        <v/>
      </c>
      <c r="J101">
        <f>IF(AND(ISNUMBER(D101),D101&gt;=$O$4,OR($O$11=0,B101&gt;=$O$12)),1,0)</f>
        <v/>
      </c>
      <c r="K101">
        <f>B101-$O$14</f>
        <v/>
      </c>
    </row>
    <row r="102">
      <c r="A102" t="n">
        <v>300</v>
      </c>
      <c r="B102" t="n">
        <v>10</v>
      </c>
      <c r="C102" t="inlineStr">
        <is>
          <t>6186</t>
        </is>
      </c>
      <c r="D102" t="n">
        <v>61.86</v>
      </c>
      <c r="E102">
        <f>MEDIAN(D82:D110)</f>
        <v/>
      </c>
      <c r="F102">
        <f>E82</f>
        <v/>
      </c>
      <c r="G102">
        <f>F102-E102</f>
        <v/>
      </c>
      <c r="H102">
        <f>IF(OR(NOT(ISNUMBER(D102)),ABS(D102-E102)&gt;$O$3,AND($O$11=1,B102&lt;$O$12)),1,0)</f>
        <v/>
      </c>
      <c r="I102">
        <f>IF(H102=1,NA(),D102)</f>
        <v/>
      </c>
      <c r="J102">
        <f>IF(AND(ISNUMBER(D102),D102&gt;=$O$4,OR($O$11=0,B102&gt;=$O$12)),1,0)</f>
        <v/>
      </c>
      <c r="K102">
        <f>B102-$O$14</f>
        <v/>
      </c>
    </row>
    <row r="103">
      <c r="A103" t="n">
        <v>303</v>
      </c>
      <c r="B103" t="n">
        <v>10.1</v>
      </c>
      <c r="C103" t="inlineStr">
        <is>
          <t>6186</t>
        </is>
      </c>
      <c r="D103" t="n">
        <v>61.86</v>
      </c>
      <c r="E103">
        <f>MEDIAN(D83:D110)</f>
        <v/>
      </c>
      <c r="F103">
        <f>E83</f>
        <v/>
      </c>
      <c r="G103">
        <f>F103-E103</f>
        <v/>
      </c>
      <c r="H103">
        <f>IF(OR(NOT(ISNUMBER(D103)),ABS(D103-E103)&gt;$O$3,AND($O$11=1,B103&lt;$O$12)),1,0)</f>
        <v/>
      </c>
      <c r="I103">
        <f>IF(H103=1,NA(),D103)</f>
        <v/>
      </c>
      <c r="J103">
        <f>IF(AND(ISNUMBER(D103),D103&gt;=$O$4,OR($O$11=0,B103&gt;=$O$12)),1,0)</f>
        <v/>
      </c>
      <c r="K103">
        <f>B103-$O$14</f>
        <v/>
      </c>
    </row>
    <row r="104">
      <c r="A104" t="n">
        <v>306</v>
      </c>
      <c r="B104" t="n">
        <v>10.2</v>
      </c>
      <c r="C104" t="inlineStr">
        <is>
          <t>6185</t>
        </is>
      </c>
      <c r="D104" t="n">
        <v>61.85</v>
      </c>
      <c r="E104">
        <f>MEDIAN(D84:D110)</f>
        <v/>
      </c>
      <c r="F104">
        <f>E84</f>
        <v/>
      </c>
      <c r="G104">
        <f>F104-E104</f>
        <v/>
      </c>
      <c r="H104">
        <f>IF(OR(NOT(ISNUMBER(D104)),ABS(D104-E104)&gt;$O$3,AND($O$11=1,B104&lt;$O$12)),1,0)</f>
        <v/>
      </c>
      <c r="I104">
        <f>IF(H104=1,NA(),D104)</f>
        <v/>
      </c>
      <c r="J104">
        <f>IF(AND(ISNUMBER(D104),D104&gt;=$O$4,OR($O$11=0,B104&gt;=$O$12)),1,0)</f>
        <v/>
      </c>
      <c r="K104">
        <f>B104-$O$14</f>
        <v/>
      </c>
    </row>
    <row r="105">
      <c r="A105" t="n">
        <v>309</v>
      </c>
      <c r="B105" t="n">
        <v>10.3</v>
      </c>
      <c r="C105" t="inlineStr">
        <is>
          <t>6189</t>
        </is>
      </c>
      <c r="D105" t="n">
        <v>61.89</v>
      </c>
      <c r="E105">
        <f>MEDIAN(D85:D110)</f>
        <v/>
      </c>
      <c r="F105">
        <f>E85</f>
        <v/>
      </c>
      <c r="G105">
        <f>F105-E105</f>
        <v/>
      </c>
      <c r="H105">
        <f>IF(OR(NOT(ISNUMBER(D105)),ABS(D105-E105)&gt;$O$3,AND($O$11=1,B105&lt;$O$12)),1,0)</f>
        <v/>
      </c>
      <c r="I105">
        <f>IF(H105=1,NA(),D105)</f>
        <v/>
      </c>
      <c r="J105">
        <f>IF(AND(ISNUMBER(D105),D105&gt;=$O$4,OR($O$11=0,B105&gt;=$O$12)),1,0)</f>
        <v/>
      </c>
      <c r="K105">
        <f>B105-$O$14</f>
        <v/>
      </c>
    </row>
    <row r="106">
      <c r="A106" t="n">
        <v>312</v>
      </c>
      <c r="B106" t="n">
        <v>10.4</v>
      </c>
      <c r="C106" t="inlineStr">
        <is>
          <t>6189</t>
        </is>
      </c>
      <c r="D106" t="n">
        <v>61.89</v>
      </c>
      <c r="E106">
        <f>MEDIAN(D86:D110)</f>
        <v/>
      </c>
      <c r="F106">
        <f>E86</f>
        <v/>
      </c>
      <c r="G106">
        <f>F106-E106</f>
        <v/>
      </c>
      <c r="H106">
        <f>IF(OR(NOT(ISNUMBER(D106)),ABS(D106-E106)&gt;$O$3,AND($O$11=1,B106&lt;$O$12)),1,0)</f>
        <v/>
      </c>
      <c r="I106">
        <f>IF(H106=1,NA(),D106)</f>
        <v/>
      </c>
      <c r="J106">
        <f>IF(AND(ISNUMBER(D106),D106&gt;=$O$4,OR($O$11=0,B106&gt;=$O$12)),1,0)</f>
        <v/>
      </c>
      <c r="K106">
        <f>B106-$O$14</f>
        <v/>
      </c>
    </row>
    <row r="107">
      <c r="A107" t="n">
        <v>315</v>
      </c>
      <c r="B107" t="n">
        <v>10.5</v>
      </c>
      <c r="C107" t="inlineStr">
        <is>
          <t>6190</t>
        </is>
      </c>
      <c r="D107" t="n">
        <v>61.9</v>
      </c>
      <c r="E107">
        <f>MEDIAN(D87:D110)</f>
        <v/>
      </c>
      <c r="F107">
        <f>E87</f>
        <v/>
      </c>
      <c r="G107">
        <f>F107-E107</f>
        <v/>
      </c>
      <c r="H107">
        <f>IF(OR(NOT(ISNUMBER(D107)),ABS(D107-E107)&gt;$O$3,AND($O$11=1,B107&lt;$O$12)),1,0)</f>
        <v/>
      </c>
      <c r="I107">
        <f>IF(H107=1,NA(),D107)</f>
        <v/>
      </c>
      <c r="J107">
        <f>IF(AND(ISNUMBER(D107),D107&gt;=$O$4,OR($O$11=0,B107&gt;=$O$12)),1,0)</f>
        <v/>
      </c>
      <c r="K107">
        <f>B107-$O$14</f>
        <v/>
      </c>
    </row>
    <row r="108">
      <c r="A108" t="n">
        <v>318</v>
      </c>
      <c r="B108" t="n">
        <v>10.6</v>
      </c>
      <c r="C108" t="inlineStr">
        <is>
          <t>6190</t>
        </is>
      </c>
      <c r="D108" t="n">
        <v>61.9</v>
      </c>
      <c r="E108">
        <f>MEDIAN(D88:D110)</f>
        <v/>
      </c>
      <c r="F108">
        <f>E88</f>
        <v/>
      </c>
      <c r="G108">
        <f>F108-E108</f>
        <v/>
      </c>
      <c r="H108">
        <f>IF(OR(NOT(ISNUMBER(D108)),ABS(D108-E108)&gt;$O$3,AND($O$11=1,B108&lt;$O$12)),1,0)</f>
        <v/>
      </c>
      <c r="I108">
        <f>IF(H108=1,NA(),D108)</f>
        <v/>
      </c>
      <c r="J108">
        <f>IF(AND(ISNUMBER(D108),D108&gt;=$O$4,OR($O$11=0,B108&gt;=$O$12)),1,0)</f>
        <v/>
      </c>
      <c r="K108">
        <f>B108-$O$14</f>
        <v/>
      </c>
    </row>
    <row r="109">
      <c r="A109" t="n">
        <v>321</v>
      </c>
      <c r="B109" t="n">
        <v>10.7</v>
      </c>
      <c r="C109" t="inlineStr">
        <is>
          <t>6190</t>
        </is>
      </c>
      <c r="D109" t="n">
        <v>61.9</v>
      </c>
      <c r="E109">
        <f>MEDIAN(D89:D110)</f>
        <v/>
      </c>
      <c r="F109">
        <f>E89</f>
        <v/>
      </c>
      <c r="G109">
        <f>F109-E109</f>
        <v/>
      </c>
      <c r="H109">
        <f>IF(OR(NOT(ISNUMBER(D109)),ABS(D109-E109)&gt;$O$3,AND($O$11=1,B109&lt;$O$12)),1,0)</f>
        <v/>
      </c>
      <c r="I109">
        <f>IF(H109=1,NA(),D109)</f>
        <v/>
      </c>
      <c r="J109">
        <f>IF(AND(ISNUMBER(D109),D109&gt;=$O$4,OR($O$11=0,B109&gt;=$O$12)),1,0)</f>
        <v/>
      </c>
      <c r="K109">
        <f>B109-$O$14</f>
        <v/>
      </c>
    </row>
    <row r="110">
      <c r="A110" t="n">
        <v>324</v>
      </c>
      <c r="B110" t="n">
        <v>10.8</v>
      </c>
      <c r="C110" t="inlineStr">
        <is>
          <t>6190</t>
        </is>
      </c>
      <c r="D110" t="n">
        <v>61.9</v>
      </c>
      <c r="E110">
        <f>MEDIAN(D90:D110)</f>
        <v/>
      </c>
      <c r="F110">
        <f>E90</f>
        <v/>
      </c>
      <c r="G110">
        <f>F110-E110</f>
        <v/>
      </c>
      <c r="H110">
        <f>IF(OR(NOT(ISNUMBER(D110)),ABS(D110-E110)&gt;$O$3,AND($O$11=1,B110&lt;$O$12)),1,0)</f>
        <v/>
      </c>
      <c r="I110">
        <f>IF(H110=1,NA(),D110)</f>
        <v/>
      </c>
      <c r="J110">
        <f>IF(AND(ISNUMBER(D110),D110&gt;=$O$4,OR($O$11=0,B110&gt;=$O$12)),1,0)</f>
        <v/>
      </c>
      <c r="K110">
        <f>B110-$O$14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Sheet1!K2</f>
        <v/>
      </c>
      <c r="B2">
        <f>IF(ISNA(Sheet1!I2),NA(),Sheet1!$O$5-(Sheet1!I2/Sheet1!$O$6))</f>
        <v/>
      </c>
    </row>
    <row r="3">
      <c r="A3">
        <f>Sheet1!K3</f>
        <v/>
      </c>
      <c r="B3">
        <f>IF(ISNA(Sheet1!I3),NA(),Sheet1!$O$5-(Sheet1!I3/Sheet1!$O$6))</f>
        <v/>
      </c>
    </row>
    <row r="4">
      <c r="A4">
        <f>Sheet1!K4</f>
        <v/>
      </c>
      <c r="B4">
        <f>IF(ISNA(Sheet1!I4),NA(),Sheet1!$O$5-(Sheet1!I4/Sheet1!$O$6))</f>
        <v/>
      </c>
    </row>
    <row r="5">
      <c r="A5">
        <f>Sheet1!K5</f>
        <v/>
      </c>
      <c r="B5">
        <f>IF(ISNA(Sheet1!I5),NA(),Sheet1!$O$5-(Sheet1!I5/Sheet1!$O$6))</f>
        <v/>
      </c>
    </row>
    <row r="6">
      <c r="A6">
        <f>Sheet1!K6</f>
        <v/>
      </c>
      <c r="B6">
        <f>IF(ISNA(Sheet1!I6),NA(),Sheet1!$O$5-(Sheet1!I6/Sheet1!$O$6))</f>
        <v/>
      </c>
    </row>
    <row r="7">
      <c r="A7">
        <f>Sheet1!K7</f>
        <v/>
      </c>
      <c r="B7">
        <f>IF(ISNA(Sheet1!I7),NA(),Sheet1!$O$5-(Sheet1!I7/Sheet1!$O$6))</f>
        <v/>
      </c>
    </row>
    <row r="8">
      <c r="A8">
        <f>Sheet1!K8</f>
        <v/>
      </c>
      <c r="B8">
        <f>IF(ISNA(Sheet1!I8),NA(),Sheet1!$O$5-(Sheet1!I8/Sheet1!$O$6))</f>
        <v/>
      </c>
    </row>
    <row r="9">
      <c r="A9">
        <f>Sheet1!K9</f>
        <v/>
      </c>
      <c r="B9">
        <f>IF(ISNA(Sheet1!I9),NA(),Sheet1!$O$5-(Sheet1!I9/Sheet1!$O$6))</f>
        <v/>
      </c>
    </row>
    <row r="10">
      <c r="A10">
        <f>Sheet1!K10</f>
        <v/>
      </c>
      <c r="B10">
        <f>IF(ISNA(Sheet1!I10),NA(),Sheet1!$O$5-(Sheet1!I10/Sheet1!$O$6))</f>
        <v/>
      </c>
    </row>
    <row r="11">
      <c r="A11">
        <f>Sheet1!K11</f>
        <v/>
      </c>
      <c r="B11">
        <f>IF(ISNA(Sheet1!I11),NA(),Sheet1!$O$5-(Sheet1!I11/Sheet1!$O$6))</f>
        <v/>
      </c>
    </row>
    <row r="12">
      <c r="A12">
        <f>Sheet1!K12</f>
        <v/>
      </c>
      <c r="B12">
        <f>IF(ISNA(Sheet1!I12),NA(),Sheet1!$O$5-(Sheet1!I12/Sheet1!$O$6))</f>
        <v/>
      </c>
    </row>
    <row r="13">
      <c r="A13">
        <f>Sheet1!K13</f>
        <v/>
      </c>
      <c r="B13">
        <f>IF(ISNA(Sheet1!I13),NA(),Sheet1!$O$5-(Sheet1!I13/Sheet1!$O$6))</f>
        <v/>
      </c>
    </row>
    <row r="14">
      <c r="A14">
        <f>Sheet1!K14</f>
        <v/>
      </c>
      <c r="B14">
        <f>IF(ISNA(Sheet1!I14),NA(),Sheet1!$O$5-(Sheet1!I14/Sheet1!$O$6))</f>
        <v/>
      </c>
    </row>
    <row r="15">
      <c r="A15">
        <f>Sheet1!K15</f>
        <v/>
      </c>
      <c r="B15">
        <f>IF(ISNA(Sheet1!I15),NA(),Sheet1!$O$5-(Sheet1!I15/Sheet1!$O$6))</f>
        <v/>
      </c>
    </row>
    <row r="16">
      <c r="A16">
        <f>Sheet1!K16</f>
        <v/>
      </c>
      <c r="B16">
        <f>IF(ISNA(Sheet1!I16),NA(),Sheet1!$O$5-(Sheet1!I16/Sheet1!$O$6))</f>
        <v/>
      </c>
    </row>
    <row r="17">
      <c r="A17">
        <f>Sheet1!K17</f>
        <v/>
      </c>
      <c r="B17">
        <f>IF(ISNA(Sheet1!I17),NA(),Sheet1!$O$5-(Sheet1!I17/Sheet1!$O$6))</f>
        <v/>
      </c>
    </row>
    <row r="18">
      <c r="A18">
        <f>Sheet1!K18</f>
        <v/>
      </c>
      <c r="B18">
        <f>IF(ISNA(Sheet1!I18),NA(),Sheet1!$O$5-(Sheet1!I18/Sheet1!$O$6))</f>
        <v/>
      </c>
    </row>
    <row r="19">
      <c r="A19">
        <f>Sheet1!K19</f>
        <v/>
      </c>
      <c r="B19">
        <f>IF(ISNA(Sheet1!I19),NA(),Sheet1!$O$5-(Sheet1!I19/Sheet1!$O$6))</f>
        <v/>
      </c>
    </row>
    <row r="20">
      <c r="A20">
        <f>Sheet1!K20</f>
        <v/>
      </c>
      <c r="B20">
        <f>IF(ISNA(Sheet1!I20),NA(),Sheet1!$O$5-(Sheet1!I20/Sheet1!$O$6))</f>
        <v/>
      </c>
    </row>
    <row r="21">
      <c r="A21">
        <f>Sheet1!K21</f>
        <v/>
      </c>
      <c r="B21">
        <f>IF(ISNA(Sheet1!I21),NA(),Sheet1!$O$5-(Sheet1!I21/Sheet1!$O$6))</f>
        <v/>
      </c>
    </row>
    <row r="22">
      <c r="A22">
        <f>Sheet1!K22</f>
        <v/>
      </c>
      <c r="B22">
        <f>IF(ISNA(Sheet1!I22),NA(),Sheet1!$O$5-(Sheet1!I22/Sheet1!$O$6))</f>
        <v/>
      </c>
    </row>
    <row r="23">
      <c r="A23">
        <f>Sheet1!K23</f>
        <v/>
      </c>
      <c r="B23">
        <f>IF(ISNA(Sheet1!I23),NA(),Sheet1!$O$5-(Sheet1!I23/Sheet1!$O$6))</f>
        <v/>
      </c>
    </row>
    <row r="24">
      <c r="A24">
        <f>Sheet1!K24</f>
        <v/>
      </c>
      <c r="B24">
        <f>IF(ISNA(Sheet1!I24),NA(),Sheet1!$O$5-(Sheet1!I24/Sheet1!$O$6))</f>
        <v/>
      </c>
    </row>
    <row r="25">
      <c r="A25">
        <f>Sheet1!K25</f>
        <v/>
      </c>
      <c r="B25">
        <f>IF(ISNA(Sheet1!I25),NA(),Sheet1!$O$5-(Sheet1!I25/Sheet1!$O$6))</f>
        <v/>
      </c>
    </row>
    <row r="26">
      <c r="A26">
        <f>Sheet1!K26</f>
        <v/>
      </c>
      <c r="B26">
        <f>IF(ISNA(Sheet1!I26),NA(),Sheet1!$O$5-(Sheet1!I26/Sheet1!$O$6))</f>
        <v/>
      </c>
    </row>
    <row r="27">
      <c r="A27">
        <f>Sheet1!K27</f>
        <v/>
      </c>
      <c r="B27">
        <f>IF(ISNA(Sheet1!I27),NA(),Sheet1!$O$5-(Sheet1!I27/Sheet1!$O$6))</f>
        <v/>
      </c>
    </row>
    <row r="28">
      <c r="A28">
        <f>Sheet1!K28</f>
        <v/>
      </c>
      <c r="B28">
        <f>IF(ISNA(Sheet1!I28),NA(),Sheet1!$O$5-(Sheet1!I28/Sheet1!$O$6))</f>
        <v/>
      </c>
    </row>
    <row r="29">
      <c r="A29">
        <f>Sheet1!K29</f>
        <v/>
      </c>
      <c r="B29">
        <f>IF(ISNA(Sheet1!I29),NA(),Sheet1!$O$5-(Sheet1!I29/Sheet1!$O$6))</f>
        <v/>
      </c>
    </row>
    <row r="30">
      <c r="A30">
        <f>Sheet1!K30</f>
        <v/>
      </c>
      <c r="B30">
        <f>IF(ISNA(Sheet1!I30),NA(),Sheet1!$O$5-(Sheet1!I30/Sheet1!$O$6))</f>
        <v/>
      </c>
    </row>
    <row r="31">
      <c r="A31">
        <f>Sheet1!K31</f>
        <v/>
      </c>
      <c r="B31">
        <f>IF(ISNA(Sheet1!I31),NA(),Sheet1!$O$5-(Sheet1!I31/Sheet1!$O$6))</f>
        <v/>
      </c>
    </row>
    <row r="32">
      <c r="A32">
        <f>Sheet1!K32</f>
        <v/>
      </c>
      <c r="B32">
        <f>IF(ISNA(Sheet1!I32),NA(),Sheet1!$O$5-(Sheet1!I32/Sheet1!$O$6))</f>
        <v/>
      </c>
    </row>
    <row r="33">
      <c r="A33">
        <f>Sheet1!K33</f>
        <v/>
      </c>
      <c r="B33">
        <f>IF(ISNA(Sheet1!I33),NA(),Sheet1!$O$5-(Sheet1!I33/Sheet1!$O$6))</f>
        <v/>
      </c>
    </row>
    <row r="34">
      <c r="A34">
        <f>Sheet1!K34</f>
        <v/>
      </c>
      <c r="B34">
        <f>IF(ISNA(Sheet1!I34),NA(),Sheet1!$O$5-(Sheet1!I34/Sheet1!$O$6))</f>
        <v/>
      </c>
    </row>
    <row r="35">
      <c r="A35">
        <f>Sheet1!K35</f>
        <v/>
      </c>
      <c r="B35">
        <f>IF(ISNA(Sheet1!I35),NA(),Sheet1!$O$5-(Sheet1!I35/Sheet1!$O$6))</f>
        <v/>
      </c>
    </row>
    <row r="36">
      <c r="A36">
        <f>Sheet1!K36</f>
        <v/>
      </c>
      <c r="B36">
        <f>IF(ISNA(Sheet1!I36),NA(),Sheet1!$O$5-(Sheet1!I36/Sheet1!$O$6))</f>
        <v/>
      </c>
    </row>
    <row r="37">
      <c r="A37">
        <f>Sheet1!K37</f>
        <v/>
      </c>
      <c r="B37">
        <f>IF(ISNA(Sheet1!I37),NA(),Sheet1!$O$5-(Sheet1!I37/Sheet1!$O$6))</f>
        <v/>
      </c>
    </row>
    <row r="38">
      <c r="A38">
        <f>Sheet1!K38</f>
        <v/>
      </c>
      <c r="B38">
        <f>IF(ISNA(Sheet1!I38),NA(),Sheet1!$O$5-(Sheet1!I38/Sheet1!$O$6))</f>
        <v/>
      </c>
    </row>
    <row r="39">
      <c r="A39">
        <f>Sheet1!K39</f>
        <v/>
      </c>
      <c r="B39">
        <f>IF(ISNA(Sheet1!I39),NA(),Sheet1!$O$5-(Sheet1!I39/Sheet1!$O$6))</f>
        <v/>
      </c>
    </row>
    <row r="40">
      <c r="A40">
        <f>Sheet1!K40</f>
        <v/>
      </c>
      <c r="B40">
        <f>IF(ISNA(Sheet1!I40),NA(),Sheet1!$O$5-(Sheet1!I40/Sheet1!$O$6))</f>
        <v/>
      </c>
    </row>
    <row r="41">
      <c r="A41">
        <f>Sheet1!K41</f>
        <v/>
      </c>
      <c r="B41">
        <f>IF(ISNA(Sheet1!I41),NA(),Sheet1!$O$5-(Sheet1!I41/Sheet1!$O$6))</f>
        <v/>
      </c>
    </row>
    <row r="42">
      <c r="A42">
        <f>Sheet1!K42</f>
        <v/>
      </c>
      <c r="B42">
        <f>IF(ISNA(Sheet1!I42),NA(),Sheet1!$O$5-(Sheet1!I42/Sheet1!$O$6))</f>
        <v/>
      </c>
    </row>
    <row r="43">
      <c r="A43">
        <f>Sheet1!K43</f>
        <v/>
      </c>
      <c r="B43">
        <f>IF(ISNA(Sheet1!I43),NA(),Sheet1!$O$5-(Sheet1!I43/Sheet1!$O$6))</f>
        <v/>
      </c>
    </row>
    <row r="44">
      <c r="A44">
        <f>Sheet1!K44</f>
        <v/>
      </c>
      <c r="B44">
        <f>IF(ISNA(Sheet1!I44),NA(),Sheet1!$O$5-(Sheet1!I44/Sheet1!$O$6))</f>
        <v/>
      </c>
    </row>
    <row r="45">
      <c r="A45">
        <f>Sheet1!K45</f>
        <v/>
      </c>
      <c r="B45">
        <f>IF(ISNA(Sheet1!I45),NA(),Sheet1!$O$5-(Sheet1!I45/Sheet1!$O$6))</f>
        <v/>
      </c>
    </row>
    <row r="46">
      <c r="A46">
        <f>Sheet1!K46</f>
        <v/>
      </c>
      <c r="B46">
        <f>IF(ISNA(Sheet1!I46),NA(),Sheet1!$O$5-(Sheet1!I46/Sheet1!$O$6))</f>
        <v/>
      </c>
    </row>
    <row r="47">
      <c r="A47">
        <f>Sheet1!K47</f>
        <v/>
      </c>
      <c r="B47">
        <f>IF(ISNA(Sheet1!I47),NA(),Sheet1!$O$5-(Sheet1!I47/Sheet1!$O$6))</f>
        <v/>
      </c>
    </row>
    <row r="48">
      <c r="A48">
        <f>Sheet1!K48</f>
        <v/>
      </c>
      <c r="B48">
        <f>IF(ISNA(Sheet1!I48),NA(),Sheet1!$O$5-(Sheet1!I48/Sheet1!$O$6))</f>
        <v/>
      </c>
    </row>
    <row r="49">
      <c r="A49">
        <f>Sheet1!K49</f>
        <v/>
      </c>
      <c r="B49">
        <f>IF(ISNA(Sheet1!I49),NA(),Sheet1!$O$5-(Sheet1!I49/Sheet1!$O$6))</f>
        <v/>
      </c>
    </row>
    <row r="50">
      <c r="A50">
        <f>Sheet1!K50</f>
        <v/>
      </c>
      <c r="B50">
        <f>IF(ISNA(Sheet1!I50),NA(),Sheet1!$O$5-(Sheet1!I50/Sheet1!$O$6))</f>
        <v/>
      </c>
    </row>
    <row r="51">
      <c r="A51">
        <f>Sheet1!K51</f>
        <v/>
      </c>
      <c r="B51">
        <f>IF(ISNA(Sheet1!I51),NA(),Sheet1!$O$5-(Sheet1!I51/Sheet1!$O$6))</f>
        <v/>
      </c>
    </row>
    <row r="52">
      <c r="A52">
        <f>Sheet1!K52</f>
        <v/>
      </c>
      <c r="B52">
        <f>IF(ISNA(Sheet1!I52),NA(),Sheet1!$O$5-(Sheet1!I52/Sheet1!$O$6))</f>
        <v/>
      </c>
    </row>
    <row r="53">
      <c r="A53">
        <f>Sheet1!K53</f>
        <v/>
      </c>
      <c r="B53">
        <f>IF(ISNA(Sheet1!I53),NA(),Sheet1!$O$5-(Sheet1!I53/Sheet1!$O$6))</f>
        <v/>
      </c>
    </row>
    <row r="54">
      <c r="A54">
        <f>Sheet1!K54</f>
        <v/>
      </c>
      <c r="B54">
        <f>IF(ISNA(Sheet1!I54),NA(),Sheet1!$O$5-(Sheet1!I54/Sheet1!$O$6))</f>
        <v/>
      </c>
    </row>
    <row r="55">
      <c r="A55">
        <f>Sheet1!K55</f>
        <v/>
      </c>
      <c r="B55">
        <f>IF(ISNA(Sheet1!I55),NA(),Sheet1!$O$5-(Sheet1!I55/Sheet1!$O$6))</f>
        <v/>
      </c>
    </row>
    <row r="56">
      <c r="A56">
        <f>Sheet1!K56</f>
        <v/>
      </c>
      <c r="B56">
        <f>IF(ISNA(Sheet1!I56),NA(),Sheet1!$O$5-(Sheet1!I56/Sheet1!$O$6))</f>
        <v/>
      </c>
    </row>
    <row r="57">
      <c r="A57">
        <f>Sheet1!K57</f>
        <v/>
      </c>
      <c r="B57">
        <f>IF(ISNA(Sheet1!I57),NA(),Sheet1!$O$5-(Sheet1!I57/Sheet1!$O$6))</f>
        <v/>
      </c>
    </row>
    <row r="58">
      <c r="A58">
        <f>Sheet1!K58</f>
        <v/>
      </c>
      <c r="B58">
        <f>IF(ISNA(Sheet1!I58),NA(),Sheet1!$O$5-(Sheet1!I58/Sheet1!$O$6))</f>
        <v/>
      </c>
    </row>
    <row r="59">
      <c r="A59">
        <f>Sheet1!K59</f>
        <v/>
      </c>
      <c r="B59">
        <f>IF(ISNA(Sheet1!I59),NA(),Sheet1!$O$5-(Sheet1!I59/Sheet1!$O$6))</f>
        <v/>
      </c>
    </row>
    <row r="60">
      <c r="A60">
        <f>Sheet1!K60</f>
        <v/>
      </c>
      <c r="B60">
        <f>IF(ISNA(Sheet1!I60),NA(),Sheet1!$O$5-(Sheet1!I60/Sheet1!$O$6))</f>
        <v/>
      </c>
    </row>
    <row r="61">
      <c r="A61">
        <f>Sheet1!K61</f>
        <v/>
      </c>
      <c r="B61">
        <f>IF(ISNA(Sheet1!I61),NA(),Sheet1!$O$5-(Sheet1!I61/Sheet1!$O$6))</f>
        <v/>
      </c>
    </row>
    <row r="62">
      <c r="A62">
        <f>Sheet1!K62</f>
        <v/>
      </c>
      <c r="B62">
        <f>IF(ISNA(Sheet1!I62),NA(),Sheet1!$O$5-(Sheet1!I62/Sheet1!$O$6))</f>
        <v/>
      </c>
    </row>
    <row r="63">
      <c r="A63">
        <f>Sheet1!K63</f>
        <v/>
      </c>
      <c r="B63">
        <f>IF(ISNA(Sheet1!I63),NA(),Sheet1!$O$5-(Sheet1!I63/Sheet1!$O$6))</f>
        <v/>
      </c>
    </row>
    <row r="64">
      <c r="A64">
        <f>Sheet1!K64</f>
        <v/>
      </c>
      <c r="B64">
        <f>IF(ISNA(Sheet1!I64),NA(),Sheet1!$O$5-(Sheet1!I64/Sheet1!$O$6))</f>
        <v/>
      </c>
    </row>
    <row r="65">
      <c r="A65">
        <f>Sheet1!K65</f>
        <v/>
      </c>
      <c r="B65">
        <f>IF(ISNA(Sheet1!I65),NA(),Sheet1!$O$5-(Sheet1!I65/Sheet1!$O$6))</f>
        <v/>
      </c>
    </row>
    <row r="66">
      <c r="A66">
        <f>Sheet1!K66</f>
        <v/>
      </c>
      <c r="B66">
        <f>IF(ISNA(Sheet1!I66),NA(),Sheet1!$O$5-(Sheet1!I66/Sheet1!$O$6))</f>
        <v/>
      </c>
    </row>
    <row r="67">
      <c r="A67">
        <f>Sheet1!K67</f>
        <v/>
      </c>
      <c r="B67">
        <f>IF(ISNA(Sheet1!I67),NA(),Sheet1!$O$5-(Sheet1!I67/Sheet1!$O$6))</f>
        <v/>
      </c>
    </row>
    <row r="68">
      <c r="A68">
        <f>Sheet1!K68</f>
        <v/>
      </c>
      <c r="B68">
        <f>IF(ISNA(Sheet1!I68),NA(),Sheet1!$O$5-(Sheet1!I68/Sheet1!$O$6))</f>
        <v/>
      </c>
    </row>
    <row r="69">
      <c r="A69">
        <f>Sheet1!K69</f>
        <v/>
      </c>
      <c r="B69">
        <f>IF(ISNA(Sheet1!I69),NA(),Sheet1!$O$5-(Sheet1!I69/Sheet1!$O$6))</f>
        <v/>
      </c>
    </row>
    <row r="70">
      <c r="A70">
        <f>Sheet1!K70</f>
        <v/>
      </c>
      <c r="B70">
        <f>IF(ISNA(Sheet1!I70),NA(),Sheet1!$O$5-(Sheet1!I70/Sheet1!$O$6))</f>
        <v/>
      </c>
    </row>
    <row r="71">
      <c r="A71">
        <f>Sheet1!K71</f>
        <v/>
      </c>
      <c r="B71">
        <f>IF(ISNA(Sheet1!I71),NA(),Sheet1!$O$5-(Sheet1!I71/Sheet1!$O$6))</f>
        <v/>
      </c>
    </row>
    <row r="72">
      <c r="A72">
        <f>Sheet1!K72</f>
        <v/>
      </c>
      <c r="B72">
        <f>IF(ISNA(Sheet1!I72),NA(),Sheet1!$O$5-(Sheet1!I72/Sheet1!$O$6))</f>
        <v/>
      </c>
    </row>
    <row r="73">
      <c r="A73">
        <f>Sheet1!K73</f>
        <v/>
      </c>
      <c r="B73">
        <f>IF(ISNA(Sheet1!I73),NA(),Sheet1!$O$5-(Sheet1!I73/Sheet1!$O$6))</f>
        <v/>
      </c>
    </row>
    <row r="74">
      <c r="A74">
        <f>Sheet1!K74</f>
        <v/>
      </c>
      <c r="B74">
        <f>IF(ISNA(Sheet1!I74),NA(),Sheet1!$O$5-(Sheet1!I74/Sheet1!$O$6))</f>
        <v/>
      </c>
    </row>
    <row r="75">
      <c r="A75">
        <f>Sheet1!K75</f>
        <v/>
      </c>
      <c r="B75">
        <f>IF(ISNA(Sheet1!I75),NA(),Sheet1!$O$5-(Sheet1!I75/Sheet1!$O$6))</f>
        <v/>
      </c>
    </row>
    <row r="76">
      <c r="A76">
        <f>Sheet1!K76</f>
        <v/>
      </c>
      <c r="B76">
        <f>IF(ISNA(Sheet1!I76),NA(),Sheet1!$O$5-(Sheet1!I76/Sheet1!$O$6))</f>
        <v/>
      </c>
    </row>
    <row r="77">
      <c r="A77">
        <f>Sheet1!K77</f>
        <v/>
      </c>
      <c r="B77">
        <f>IF(ISNA(Sheet1!I77),NA(),Sheet1!$O$5-(Sheet1!I77/Sheet1!$O$6))</f>
        <v/>
      </c>
    </row>
    <row r="78">
      <c r="A78">
        <f>Sheet1!K78</f>
        <v/>
      </c>
      <c r="B78">
        <f>IF(ISNA(Sheet1!I78),NA(),Sheet1!$O$5-(Sheet1!I78/Sheet1!$O$6))</f>
        <v/>
      </c>
    </row>
    <row r="79">
      <c r="A79">
        <f>Sheet1!K79</f>
        <v/>
      </c>
      <c r="B79">
        <f>IF(ISNA(Sheet1!I79),NA(),Sheet1!$O$5-(Sheet1!I79/Sheet1!$O$6))</f>
        <v/>
      </c>
    </row>
    <row r="80">
      <c r="A80">
        <f>Sheet1!K80</f>
        <v/>
      </c>
      <c r="B80">
        <f>IF(ISNA(Sheet1!I80),NA(),Sheet1!$O$5-(Sheet1!I80/Sheet1!$O$6))</f>
        <v/>
      </c>
    </row>
    <row r="81">
      <c r="A81">
        <f>Sheet1!K81</f>
        <v/>
      </c>
      <c r="B81">
        <f>IF(ISNA(Sheet1!I81),NA(),Sheet1!$O$5-(Sheet1!I81/Sheet1!$O$6))</f>
        <v/>
      </c>
    </row>
    <row r="82">
      <c r="A82">
        <f>Sheet1!K82</f>
        <v/>
      </c>
      <c r="B82">
        <f>IF(ISNA(Sheet1!I82),NA(),Sheet1!$O$5-(Sheet1!I82/Sheet1!$O$6))</f>
        <v/>
      </c>
    </row>
    <row r="83">
      <c r="A83">
        <f>Sheet1!K83</f>
        <v/>
      </c>
      <c r="B83">
        <f>IF(ISNA(Sheet1!I83),NA(),Sheet1!$O$5-(Sheet1!I83/Sheet1!$O$6))</f>
        <v/>
      </c>
    </row>
    <row r="84">
      <c r="A84">
        <f>Sheet1!K84</f>
        <v/>
      </c>
      <c r="B84">
        <f>IF(ISNA(Sheet1!I84),NA(),Sheet1!$O$5-(Sheet1!I84/Sheet1!$O$6))</f>
        <v/>
      </c>
    </row>
    <row r="85">
      <c r="A85">
        <f>Sheet1!K85</f>
        <v/>
      </c>
      <c r="B85">
        <f>IF(ISNA(Sheet1!I85),NA(),Sheet1!$O$5-(Sheet1!I85/Sheet1!$O$6))</f>
        <v/>
      </c>
    </row>
    <row r="86">
      <c r="A86">
        <f>Sheet1!K86</f>
        <v/>
      </c>
      <c r="B86">
        <f>IF(ISNA(Sheet1!I86),NA(),Sheet1!$O$5-(Sheet1!I86/Sheet1!$O$6))</f>
        <v/>
      </c>
    </row>
    <row r="87">
      <c r="A87">
        <f>Sheet1!K87</f>
        <v/>
      </c>
      <c r="B87">
        <f>IF(ISNA(Sheet1!I87),NA(),Sheet1!$O$5-(Sheet1!I87/Sheet1!$O$6))</f>
        <v/>
      </c>
    </row>
    <row r="88">
      <c r="A88">
        <f>Sheet1!K88</f>
        <v/>
      </c>
      <c r="B88">
        <f>IF(ISNA(Sheet1!I88),NA(),Sheet1!$O$5-(Sheet1!I88/Sheet1!$O$6))</f>
        <v/>
      </c>
    </row>
    <row r="89">
      <c r="A89">
        <f>Sheet1!K89</f>
        <v/>
      </c>
      <c r="B89">
        <f>IF(ISNA(Sheet1!I89),NA(),Sheet1!$O$5-(Sheet1!I89/Sheet1!$O$6))</f>
        <v/>
      </c>
    </row>
    <row r="90">
      <c r="A90">
        <f>Sheet1!K90</f>
        <v/>
      </c>
      <c r="B90">
        <f>IF(ISNA(Sheet1!I90),NA(),Sheet1!$O$5-(Sheet1!I90/Sheet1!$O$6))</f>
        <v/>
      </c>
    </row>
    <row r="91">
      <c r="A91">
        <f>Sheet1!K91</f>
        <v/>
      </c>
      <c r="B91">
        <f>IF(ISNA(Sheet1!I91),NA(),Sheet1!$O$5-(Sheet1!I91/Sheet1!$O$6))</f>
        <v/>
      </c>
    </row>
    <row r="92">
      <c r="A92">
        <f>Sheet1!K92</f>
        <v/>
      </c>
      <c r="B92">
        <f>IF(ISNA(Sheet1!I92),NA(),Sheet1!$O$5-(Sheet1!I92/Sheet1!$O$6))</f>
        <v/>
      </c>
    </row>
    <row r="93">
      <c r="A93">
        <f>Sheet1!K93</f>
        <v/>
      </c>
      <c r="B93">
        <f>IF(ISNA(Sheet1!I93),NA(),Sheet1!$O$5-(Sheet1!I93/Sheet1!$O$6))</f>
        <v/>
      </c>
    </row>
    <row r="94">
      <c r="A94">
        <f>Sheet1!K94</f>
        <v/>
      </c>
      <c r="B94">
        <f>IF(ISNA(Sheet1!I94),NA(),Sheet1!$O$5-(Sheet1!I94/Sheet1!$O$6))</f>
        <v/>
      </c>
    </row>
    <row r="95">
      <c r="A95">
        <f>Sheet1!K95</f>
        <v/>
      </c>
      <c r="B95">
        <f>IF(ISNA(Sheet1!I95),NA(),Sheet1!$O$5-(Sheet1!I95/Sheet1!$O$6))</f>
        <v/>
      </c>
    </row>
    <row r="96">
      <c r="A96">
        <f>Sheet1!K96</f>
        <v/>
      </c>
      <c r="B96">
        <f>IF(ISNA(Sheet1!I96),NA(),Sheet1!$O$5-(Sheet1!I96/Sheet1!$O$6))</f>
        <v/>
      </c>
    </row>
    <row r="97">
      <c r="A97">
        <f>Sheet1!K97</f>
        <v/>
      </c>
      <c r="B97">
        <f>IF(ISNA(Sheet1!I97),NA(),Sheet1!$O$5-(Sheet1!I97/Sheet1!$O$6))</f>
        <v/>
      </c>
    </row>
    <row r="98">
      <c r="A98">
        <f>Sheet1!K98</f>
        <v/>
      </c>
      <c r="B98">
        <f>IF(ISNA(Sheet1!I98),NA(),Sheet1!$O$5-(Sheet1!I98/Sheet1!$O$6))</f>
        <v/>
      </c>
    </row>
    <row r="99">
      <c r="A99">
        <f>Sheet1!K99</f>
        <v/>
      </c>
      <c r="B99">
        <f>IF(ISNA(Sheet1!I99),NA(),Sheet1!$O$5-(Sheet1!I99/Sheet1!$O$6))</f>
        <v/>
      </c>
    </row>
    <row r="100">
      <c r="A100">
        <f>Sheet1!K100</f>
        <v/>
      </c>
      <c r="B100">
        <f>IF(ISNA(Sheet1!I100),NA(),Sheet1!$O$5-(Sheet1!I100/Sheet1!$O$6))</f>
        <v/>
      </c>
    </row>
    <row r="101">
      <c r="A101">
        <f>Sheet1!K101</f>
        <v/>
      </c>
      <c r="B101">
        <f>IF(ISNA(Sheet1!I101),NA(),Sheet1!$O$5-(Sheet1!I101/Sheet1!$O$6))</f>
        <v/>
      </c>
    </row>
    <row r="102">
      <c r="A102">
        <f>Sheet1!K102</f>
        <v/>
      </c>
      <c r="B102">
        <f>IF(ISNA(Sheet1!I102),NA(),Sheet1!$O$5-(Sheet1!I102/Sheet1!$O$6))</f>
        <v/>
      </c>
    </row>
    <row r="103">
      <c r="A103">
        <f>Sheet1!K103</f>
        <v/>
      </c>
      <c r="B103">
        <f>IF(ISNA(Sheet1!I103),NA(),Sheet1!$O$5-(Sheet1!I103/Sheet1!$O$6))</f>
        <v/>
      </c>
    </row>
    <row r="104">
      <c r="A104">
        <f>Sheet1!K104</f>
        <v/>
      </c>
      <c r="B104">
        <f>IF(ISNA(Sheet1!I104),NA(),Sheet1!$O$5-(Sheet1!I104/Sheet1!$O$6))</f>
        <v/>
      </c>
    </row>
    <row r="105">
      <c r="A105">
        <f>Sheet1!K105</f>
        <v/>
      </c>
      <c r="B105">
        <f>IF(ISNA(Sheet1!I105),NA(),Sheet1!$O$5-(Sheet1!I105/Sheet1!$O$6))</f>
        <v/>
      </c>
    </row>
    <row r="106">
      <c r="A106">
        <f>Sheet1!K106</f>
        <v/>
      </c>
      <c r="B106">
        <f>IF(ISNA(Sheet1!I106),NA(),Sheet1!$O$5-(Sheet1!I106/Sheet1!$O$6))</f>
        <v/>
      </c>
    </row>
    <row r="107">
      <c r="A107">
        <f>Sheet1!K107</f>
        <v/>
      </c>
      <c r="B107">
        <f>IF(ISNA(Sheet1!I107),NA(),Sheet1!$O$5-(Sheet1!I107/Sheet1!$O$6))</f>
        <v/>
      </c>
    </row>
    <row r="108">
      <c r="A108">
        <f>Sheet1!K108</f>
        <v/>
      </c>
      <c r="B108">
        <f>IF(ISNA(Sheet1!I108),NA(),Sheet1!$O$5-(Sheet1!I108/Sheet1!$O$6))</f>
        <v/>
      </c>
    </row>
    <row r="109">
      <c r="A109">
        <f>Sheet1!K109</f>
        <v/>
      </c>
      <c r="B109">
        <f>IF(ISNA(Sheet1!I109),NA(),Sheet1!$O$5-(Sheet1!I109/Sheet1!$O$6))</f>
        <v/>
      </c>
    </row>
    <row r="110">
      <c r="A110">
        <f>Sheet1!K110</f>
        <v/>
      </c>
      <c r="B110">
        <f>IF(ISNA(Sheet1!I110),NA(),Sheet1!$O$5-(Sheet1!I110/Sheet1!$O$6))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2026-08-06T16:14:37Z</dcterms:created>
  <dcterms:modified xsi:type="dcterms:W3CDTF">2026-08-10T08:00:43Z</dcterms:modified>
</cp:coreProperties>
</file>