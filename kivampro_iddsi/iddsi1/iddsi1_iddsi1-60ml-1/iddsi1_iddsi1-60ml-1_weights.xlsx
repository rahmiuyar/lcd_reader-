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Haci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iddsi1_iddsi1-60ml-1_weights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'Sheet1'!$B$2:$B$123</f>
            </numRef>
          </xVal>
          <yVal>
            <numRef>
              <f>'Sheet1'!$D$2:$D$123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iddsi1_iddsi1-60ml-1_weights - kept weight vs corrected time</a:t>
            </a:r>
          </a:p>
        </rich>
      </tx>
    </title>
    <plotArea>
      <scatterChart>
        <ser>
          <idx val="0"/>
          <order val="0"/>
          <tx>
            <strRef>
              <f>'Sheet1'!G1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'Sheet1'!$I$2:$I$123</f>
            </numRef>
          </xVal>
          <yVal>
            <numRef>
              <f>'Sheet1'!$G$2:$G$123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iddsi1_iddsi1-60ml-1_weights - remaining syringe volume vs time</a:t>
            </a:r>
          </a:p>
        </rich>
      </tx>
    </title>
    <plotArea>
      <scatterChart>
        <ser>
          <idx val="0"/>
          <order val="0"/>
          <tx>
            <strRef>
              <f>'Hacim'!B1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xVal>
            <numRef>
              <f>'Hacim'!$A$2:$A$123</f>
            </numRef>
          </xVal>
          <yVal>
            <numRef>
              <f>'Hacim'!$B$2:$B$123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16</col>
      <colOff>0</colOff>
      <row>1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s="1" t="inlineStr">
        <is>
          <t>local_median_g</t>
        </is>
      </c>
      <c r="F1" s="1" t="inlineStr">
        <is>
          <t>excluded</t>
        </is>
      </c>
      <c r="G1" s="1" t="inlineStr">
        <is>
          <t>weight_kept_g</t>
        </is>
      </c>
      <c r="H1" s="1" t="inlineStr">
        <is>
          <t>is_started</t>
        </is>
      </c>
      <c r="I1" s="1" t="inlineStr">
        <is>
          <t>time_corrected_s</t>
        </is>
      </c>
      <c r="J1" s="1" t="n"/>
      <c r="K1" s="1" t="n"/>
      <c r="N1" s="1" t="inlineStr">
        <is>
          <t>Parametreler</t>
        </is>
      </c>
    </row>
    <row r="2">
      <c r="A2" t="n">
        <v>0</v>
      </c>
      <c r="B2" t="n">
        <v>0</v>
      </c>
      <c r="E2">
        <f>IFERROR(MEDIAN(D2:D22),D2)</f>
        <v/>
      </c>
      <c r="F2">
        <f>IF(OR(NOT(ISNUMBER(D2)),ABS(D2-E2)&gt;$O$3),1,0)</f>
        <v/>
      </c>
      <c r="G2">
        <f>IF(F2=1,NA(),D2)</f>
        <v/>
      </c>
      <c r="H2">
        <f>IF(AND(ISNUMBER(D2),D2&gt;=$O$4),1,0)</f>
        <v/>
      </c>
      <c r="I2">
        <f>B2-$O$8</f>
        <v/>
      </c>
      <c r="N2" t="inlineStr">
        <is>
          <t>Medyan penceresi (satir, her yonde)</t>
        </is>
      </c>
      <c r="O2" t="n">
        <v>20</v>
      </c>
    </row>
    <row r="3">
      <c r="A3" t="n">
        <v>3</v>
      </c>
      <c r="B3" t="n">
        <v>0.1</v>
      </c>
      <c r="C3" t="inlineStr">
        <is>
          <t>11</t>
        </is>
      </c>
      <c r="D3" t="n">
        <v>0.11</v>
      </c>
      <c r="E3">
        <f>IFERROR(MEDIAN(D2:D23),D3)</f>
        <v/>
      </c>
      <c r="F3">
        <f>IF(OR(NOT(ISNUMBER(D3)),ABS(D3-E3)&gt;$O$3),1,0)</f>
        <v/>
      </c>
      <c r="G3">
        <f>IF(F3=1,NA(),D3)</f>
        <v/>
      </c>
      <c r="H3">
        <f>IF(AND(ISNUMBER(D3),D3&gt;=$O$4),1,0)</f>
        <v/>
      </c>
      <c r="I3">
        <f>B3-$O$8</f>
        <v/>
      </c>
      <c r="N3" t="inlineStr">
        <is>
          <t>Disleme toleransi (g)</t>
        </is>
      </c>
      <c r="O3" t="n">
        <v>0.15</v>
      </c>
    </row>
    <row r="4">
      <c r="A4" t="n">
        <v>6</v>
      </c>
      <c r="B4" t="n">
        <v>0.2</v>
      </c>
      <c r="C4" t="inlineStr">
        <is>
          <t>15</t>
        </is>
      </c>
      <c r="D4" t="n">
        <v>0.15</v>
      </c>
      <c r="E4">
        <f>IFERROR(MEDIAN(D2:D24),D4)</f>
        <v/>
      </c>
      <c r="F4">
        <f>IF(OR(NOT(ISNUMBER(D4)),ABS(D4-E4)&gt;$O$3),1,0)</f>
        <v/>
      </c>
      <c r="G4">
        <f>IF(F4=1,NA(),D4)</f>
        <v/>
      </c>
      <c r="H4">
        <f>IF(AND(ISNUMBER(D4),D4&gt;=$O$4),1,0)</f>
        <v/>
      </c>
      <c r="I4">
        <f>B4-$O$8</f>
        <v/>
      </c>
      <c r="N4" t="inlineStr">
        <is>
          <t>Baslangic esigi (g)</t>
        </is>
      </c>
      <c r="O4" t="n">
        <v>0.05</v>
      </c>
    </row>
    <row r="5">
      <c r="A5" t="n">
        <v>9</v>
      </c>
      <c r="B5" t="n">
        <v>0.3</v>
      </c>
      <c r="E5">
        <f>IFERROR(MEDIAN(D2:D25),D5)</f>
        <v/>
      </c>
      <c r="F5">
        <f>IF(OR(NOT(ISNUMBER(D5)),ABS(D5-E5)&gt;$O$3),1,0)</f>
        <v/>
      </c>
      <c r="G5">
        <f>IF(F5=1,NA(),D5)</f>
        <v/>
      </c>
      <c r="H5">
        <f>IF(AND(ISNUMBER(D5),D5&gt;=$O$4),1,0)</f>
        <v/>
      </c>
      <c r="I5">
        <f>B5-$O$8</f>
        <v/>
      </c>
      <c r="N5" t="inlineStr">
        <is>
          <t>Siringa hacmi (mL)</t>
        </is>
      </c>
      <c r="O5" t="n">
        <v>60</v>
      </c>
    </row>
    <row r="6">
      <c r="A6" t="n">
        <v>12</v>
      </c>
      <c r="B6" t="n">
        <v>0.4</v>
      </c>
      <c r="C6" t="inlineStr">
        <is>
          <t>11</t>
        </is>
      </c>
      <c r="D6" t="n">
        <v>0.11</v>
      </c>
      <c r="E6">
        <f>IFERROR(MEDIAN(D2:D26),D6)</f>
        <v/>
      </c>
      <c r="F6">
        <f>IF(OR(NOT(ISNUMBER(D6)),ABS(D6-E6)&gt;$O$3),1,0)</f>
        <v/>
      </c>
      <c r="G6">
        <f>IF(F6=1,NA(),D6)</f>
        <v/>
      </c>
      <c r="H6">
        <f>IF(AND(ISNUMBER(D6),D6&gt;=$O$4),1,0)</f>
        <v/>
      </c>
      <c r="I6">
        <f>B6-$O$8</f>
        <v/>
      </c>
      <c r="N6" t="inlineStr">
        <is>
          <t>Yogunluk (g/mL)</t>
        </is>
      </c>
      <c r="O6" t="n">
        <v>1</v>
      </c>
    </row>
    <row r="7">
      <c r="A7" t="n">
        <v>15</v>
      </c>
      <c r="B7" t="n">
        <v>0.5</v>
      </c>
      <c r="C7" t="inlineStr">
        <is>
          <t>10</t>
        </is>
      </c>
      <c r="D7" t="n">
        <v>0.1</v>
      </c>
      <c r="E7">
        <f>IFERROR(MEDIAN(D2:D27),D7)</f>
        <v/>
      </c>
      <c r="F7">
        <f>IF(OR(NOT(ISNUMBER(D7)),ABS(D7-E7)&gt;$O$3),1,0)</f>
        <v/>
      </c>
      <c r="G7">
        <f>IF(F7=1,NA(),D7)</f>
        <v/>
      </c>
      <c r="H7">
        <f>IF(AND(ISNUMBER(D7),D7&gt;=$O$4),1,0)</f>
        <v/>
      </c>
      <c r="I7">
        <f>B7-$O$8</f>
        <v/>
      </c>
    </row>
    <row r="8">
      <c r="A8" t="n">
        <v>18</v>
      </c>
      <c r="B8" t="n">
        <v>0.6</v>
      </c>
      <c r="C8" t="inlineStr">
        <is>
          <t>0</t>
        </is>
      </c>
      <c r="D8" t="n">
        <v>0</v>
      </c>
      <c r="E8">
        <f>IFERROR(MEDIAN(D2:D28),D8)</f>
        <v/>
      </c>
      <c r="F8">
        <f>IF(OR(NOT(ISNUMBER(D8)),ABS(D8-E8)&gt;$O$3),1,0)</f>
        <v/>
      </c>
      <c r="G8">
        <f>IF(F8=1,NA(),D8)</f>
        <v/>
      </c>
      <c r="H8">
        <f>IF(AND(ISNUMBER(D8),D8&gt;=$O$4),1,0)</f>
        <v/>
      </c>
      <c r="I8">
        <f>B8-$O$8</f>
        <v/>
      </c>
      <c r="N8" t="inlineStr">
        <is>
          <t>Baslangic zamani (s)</t>
        </is>
      </c>
      <c r="O8">
        <f>IFERROR(INDEX(B2:B123,MATCH(1,H2:H123,0)),0)</f>
        <v/>
      </c>
    </row>
    <row r="9">
      <c r="A9" t="n">
        <v>21</v>
      </c>
      <c r="B9" t="n">
        <v>0.7</v>
      </c>
      <c r="E9">
        <f>IFERROR(MEDIAN(D2:D29),D9)</f>
        <v/>
      </c>
      <c r="F9">
        <f>IF(OR(NOT(ISNUMBER(D9)),ABS(D9-E9)&gt;$O$3),1,0)</f>
        <v/>
      </c>
      <c r="G9">
        <f>IF(F9=1,NA(),D9)</f>
        <v/>
      </c>
      <c r="H9">
        <f>IF(AND(ISNUMBER(D9),D9&gt;=$O$4),1,0)</f>
        <v/>
      </c>
      <c r="I9">
        <f>B9-$O$8</f>
        <v/>
      </c>
    </row>
    <row r="10">
      <c r="A10" t="n">
        <v>24</v>
      </c>
      <c r="B10" t="n">
        <v>0.8</v>
      </c>
      <c r="C10" t="inlineStr">
        <is>
          <t>8</t>
        </is>
      </c>
      <c r="D10" t="n">
        <v>0.08</v>
      </c>
      <c r="E10">
        <f>IFERROR(MEDIAN(D2:D30),D10)</f>
        <v/>
      </c>
      <c r="F10">
        <f>IF(OR(NOT(ISNUMBER(D10)),ABS(D10-E10)&gt;$O$3),1,0)</f>
        <v/>
      </c>
      <c r="G10">
        <f>IF(F10=1,NA(),D10)</f>
        <v/>
      </c>
      <c r="H10">
        <f>IF(AND(ISNUMBER(D10),D10&gt;=$O$4),1,0)</f>
        <v/>
      </c>
      <c r="I10">
        <f>B10-$O$8</f>
        <v/>
      </c>
    </row>
    <row r="11">
      <c r="A11" t="n">
        <v>27</v>
      </c>
      <c r="B11" t="n">
        <v>0.9</v>
      </c>
      <c r="C11" t="inlineStr">
        <is>
          <t>18</t>
        </is>
      </c>
      <c r="D11" t="n">
        <v>0.18</v>
      </c>
      <c r="E11">
        <f>IFERROR(MEDIAN(D2:D31),D11)</f>
        <v/>
      </c>
      <c r="F11">
        <f>IF(OR(NOT(ISNUMBER(D11)),ABS(D11-E11)&gt;$O$3),1,0)</f>
        <v/>
      </c>
      <c r="G11">
        <f>IF(F11=1,NA(),D11)</f>
        <v/>
      </c>
      <c r="H11">
        <f>IF(AND(ISNUMBER(D11),D11&gt;=$O$4),1,0)</f>
        <v/>
      </c>
      <c r="I11">
        <f>B11-$O$8</f>
        <v/>
      </c>
    </row>
    <row r="12">
      <c r="A12" t="n">
        <v>30</v>
      </c>
      <c r="B12" t="n">
        <v>1</v>
      </c>
      <c r="C12" t="inlineStr">
        <is>
          <t>0</t>
        </is>
      </c>
      <c r="D12" t="n">
        <v>0</v>
      </c>
      <c r="E12">
        <f>IFERROR(MEDIAN(D2:D32),D12)</f>
        <v/>
      </c>
      <c r="F12">
        <f>IF(OR(NOT(ISNUMBER(D12)),ABS(D12-E12)&gt;$O$3),1,0)</f>
        <v/>
      </c>
      <c r="G12">
        <f>IF(F12=1,NA(),D12)</f>
        <v/>
      </c>
      <c r="H12">
        <f>IF(AND(ISNUMBER(D12),D12&gt;=$O$4),1,0)</f>
        <v/>
      </c>
      <c r="I12">
        <f>B12-$O$8</f>
        <v/>
      </c>
    </row>
    <row r="13">
      <c r="A13" t="n">
        <v>33</v>
      </c>
      <c r="B13" t="n">
        <v>1.1</v>
      </c>
      <c r="C13" t="inlineStr">
        <is>
          <t>01</t>
        </is>
      </c>
      <c r="D13" t="n">
        <v>0.01</v>
      </c>
      <c r="E13">
        <f>IFERROR(MEDIAN(D2:D33),D13)</f>
        <v/>
      </c>
      <c r="F13">
        <f>IF(OR(NOT(ISNUMBER(D13)),ABS(D13-E13)&gt;$O$3),1,0)</f>
        <v/>
      </c>
      <c r="G13">
        <f>IF(F13=1,NA(),D13)</f>
        <v/>
      </c>
      <c r="H13">
        <f>IF(AND(ISNUMBER(D13),D13&gt;=$O$4),1,0)</f>
        <v/>
      </c>
      <c r="I13">
        <f>B13-$O$8</f>
        <v/>
      </c>
    </row>
    <row r="14">
      <c r="A14" t="n">
        <v>36</v>
      </c>
      <c r="B14" t="n">
        <v>1.2</v>
      </c>
      <c r="C14" t="inlineStr">
        <is>
          <t>05</t>
        </is>
      </c>
      <c r="D14" t="n">
        <v>0.05</v>
      </c>
      <c r="E14">
        <f>IFERROR(MEDIAN(D2:D34),D14)</f>
        <v/>
      </c>
      <c r="F14">
        <f>IF(OR(NOT(ISNUMBER(D14)),ABS(D14-E14)&gt;$O$3),1,0)</f>
        <v/>
      </c>
      <c r="G14">
        <f>IF(F14=1,NA(),D14)</f>
        <v/>
      </c>
      <c r="H14">
        <f>IF(AND(ISNUMBER(D14),D14&gt;=$O$4),1,0)</f>
        <v/>
      </c>
      <c r="I14">
        <f>B14-$O$8</f>
        <v/>
      </c>
    </row>
    <row r="15">
      <c r="A15" t="n">
        <v>39</v>
      </c>
      <c r="B15" t="n">
        <v>1.3</v>
      </c>
      <c r="C15" t="inlineStr">
        <is>
          <t>55</t>
        </is>
      </c>
      <c r="D15" t="n">
        <v>0.55</v>
      </c>
      <c r="E15">
        <f>IFERROR(MEDIAN(D2:D35),D15)</f>
        <v/>
      </c>
      <c r="F15">
        <f>IF(OR(NOT(ISNUMBER(D15)),ABS(D15-E15)&gt;$O$3),1,0)</f>
        <v/>
      </c>
      <c r="G15">
        <f>IF(F15=1,NA(),D15)</f>
        <v/>
      </c>
      <c r="H15">
        <f>IF(AND(ISNUMBER(D15),D15&gt;=$O$4),1,0)</f>
        <v/>
      </c>
      <c r="I15">
        <f>B15-$O$8</f>
        <v/>
      </c>
    </row>
    <row r="16">
      <c r="A16" t="n">
        <v>42</v>
      </c>
      <c r="B16" t="n">
        <v>1.4</v>
      </c>
      <c r="E16">
        <f>IFERROR(MEDIAN(D2:D36),D16)</f>
        <v/>
      </c>
      <c r="F16">
        <f>IF(OR(NOT(ISNUMBER(D16)),ABS(D16-E16)&gt;$O$3),1,0)</f>
        <v/>
      </c>
      <c r="G16">
        <f>IF(F16=1,NA(),D16)</f>
        <v/>
      </c>
      <c r="H16">
        <f>IF(AND(ISNUMBER(D16),D16&gt;=$O$4),1,0)</f>
        <v/>
      </c>
      <c r="I16">
        <f>B16-$O$8</f>
        <v/>
      </c>
    </row>
    <row r="17">
      <c r="A17" t="n">
        <v>45</v>
      </c>
      <c r="B17" t="n">
        <v>1.5</v>
      </c>
      <c r="E17">
        <f>IFERROR(MEDIAN(D2:D37),D17)</f>
        <v/>
      </c>
      <c r="F17">
        <f>IF(OR(NOT(ISNUMBER(D17)),ABS(D17-E17)&gt;$O$3),1,0)</f>
        <v/>
      </c>
      <c r="G17">
        <f>IF(F17=1,NA(),D17)</f>
        <v/>
      </c>
      <c r="H17">
        <f>IF(AND(ISNUMBER(D17),D17&gt;=$O$4),1,0)</f>
        <v/>
      </c>
      <c r="I17">
        <f>B17-$O$8</f>
        <v/>
      </c>
    </row>
    <row r="18">
      <c r="A18" t="n">
        <v>48</v>
      </c>
      <c r="B18" t="n">
        <v>1.6</v>
      </c>
      <c r="E18">
        <f>IFERROR(MEDIAN(D2:D38),D18)</f>
        <v/>
      </c>
      <c r="F18">
        <f>IF(OR(NOT(ISNUMBER(D18)),ABS(D18-E18)&gt;$O$3),1,0)</f>
        <v/>
      </c>
      <c r="G18">
        <f>IF(F18=1,NA(),D18)</f>
        <v/>
      </c>
      <c r="H18">
        <f>IF(AND(ISNUMBER(D18),D18&gt;=$O$4),1,0)</f>
        <v/>
      </c>
      <c r="I18">
        <f>B18-$O$8</f>
        <v/>
      </c>
    </row>
    <row r="19">
      <c r="A19" t="n">
        <v>51</v>
      </c>
      <c r="B19" t="n">
        <v>1.7</v>
      </c>
      <c r="E19">
        <f>IFERROR(MEDIAN(D2:D39),D19)</f>
        <v/>
      </c>
      <c r="F19">
        <f>IF(OR(NOT(ISNUMBER(D19)),ABS(D19-E19)&gt;$O$3),1,0)</f>
        <v/>
      </c>
      <c r="G19">
        <f>IF(F19=1,NA(),D19)</f>
        <v/>
      </c>
      <c r="H19">
        <f>IF(AND(ISNUMBER(D19),D19&gt;=$O$4),1,0)</f>
        <v/>
      </c>
      <c r="I19">
        <f>B19-$O$8</f>
        <v/>
      </c>
    </row>
    <row r="20">
      <c r="A20" t="n">
        <v>54</v>
      </c>
      <c r="B20" t="n">
        <v>1.8</v>
      </c>
      <c r="E20">
        <f>IFERROR(MEDIAN(D2:D40),D20)</f>
        <v/>
      </c>
      <c r="F20">
        <f>IF(OR(NOT(ISNUMBER(D20)),ABS(D20-E20)&gt;$O$3),1,0)</f>
        <v/>
      </c>
      <c r="G20">
        <f>IF(F20=1,NA(),D20)</f>
        <v/>
      </c>
      <c r="H20">
        <f>IF(AND(ISNUMBER(D20),D20&gt;=$O$4),1,0)</f>
        <v/>
      </c>
      <c r="I20">
        <f>B20-$O$8</f>
        <v/>
      </c>
    </row>
    <row r="21">
      <c r="A21" t="n">
        <v>57</v>
      </c>
      <c r="B21" t="n">
        <v>1.9</v>
      </c>
      <c r="E21">
        <f>IFERROR(MEDIAN(D2:D41),D21)</f>
        <v/>
      </c>
      <c r="F21">
        <f>IF(OR(NOT(ISNUMBER(D21)),ABS(D21-E21)&gt;$O$3),1,0)</f>
        <v/>
      </c>
      <c r="G21">
        <f>IF(F21=1,NA(),D21)</f>
        <v/>
      </c>
      <c r="H21">
        <f>IF(AND(ISNUMBER(D21),D21&gt;=$O$4),1,0)</f>
        <v/>
      </c>
      <c r="I21">
        <f>B21-$O$8</f>
        <v/>
      </c>
    </row>
    <row r="22">
      <c r="A22" t="n">
        <v>60</v>
      </c>
      <c r="B22" t="n">
        <v>2</v>
      </c>
      <c r="E22">
        <f>IFERROR(MEDIAN(D2:D42),D22)</f>
        <v/>
      </c>
      <c r="F22">
        <f>IF(OR(NOT(ISNUMBER(D22)),ABS(D22-E22)&gt;$O$3),1,0)</f>
        <v/>
      </c>
      <c r="G22">
        <f>IF(F22=1,NA(),D22)</f>
        <v/>
      </c>
      <c r="H22">
        <f>IF(AND(ISNUMBER(D22),D22&gt;=$O$4),1,0)</f>
        <v/>
      </c>
      <c r="I22">
        <f>B22-$O$8</f>
        <v/>
      </c>
    </row>
    <row r="23">
      <c r="A23" t="n">
        <v>63</v>
      </c>
      <c r="B23" t="n">
        <v>2.1</v>
      </c>
      <c r="E23">
        <f>IFERROR(MEDIAN(D3:D43),D23)</f>
        <v/>
      </c>
      <c r="F23">
        <f>IF(OR(NOT(ISNUMBER(D23)),ABS(D23-E23)&gt;$O$3),1,0)</f>
        <v/>
      </c>
      <c r="G23">
        <f>IF(F23=1,NA(),D23)</f>
        <v/>
      </c>
      <c r="H23">
        <f>IF(AND(ISNUMBER(D23),D23&gt;=$O$4),1,0)</f>
        <v/>
      </c>
      <c r="I23">
        <f>B23-$O$8</f>
        <v/>
      </c>
    </row>
    <row r="24">
      <c r="A24" t="n">
        <v>66</v>
      </c>
      <c r="B24" t="n">
        <v>2.2</v>
      </c>
      <c r="E24">
        <f>IFERROR(MEDIAN(D4:D44),D24)</f>
        <v/>
      </c>
      <c r="F24">
        <f>IF(OR(NOT(ISNUMBER(D24)),ABS(D24-E24)&gt;$O$3),1,0)</f>
        <v/>
      </c>
      <c r="G24">
        <f>IF(F24=1,NA(),D24)</f>
        <v/>
      </c>
      <c r="H24">
        <f>IF(AND(ISNUMBER(D24),D24&gt;=$O$4),1,0)</f>
        <v/>
      </c>
      <c r="I24">
        <f>B24-$O$8</f>
        <v/>
      </c>
    </row>
    <row r="25">
      <c r="A25" t="n">
        <v>69</v>
      </c>
      <c r="B25" t="n">
        <v>2.3</v>
      </c>
      <c r="E25">
        <f>IFERROR(MEDIAN(D5:D45),D25)</f>
        <v/>
      </c>
      <c r="F25">
        <f>IF(OR(NOT(ISNUMBER(D25)),ABS(D25-E25)&gt;$O$3),1,0)</f>
        <v/>
      </c>
      <c r="G25">
        <f>IF(F25=1,NA(),D25)</f>
        <v/>
      </c>
      <c r="H25">
        <f>IF(AND(ISNUMBER(D25),D25&gt;=$O$4),1,0)</f>
        <v/>
      </c>
      <c r="I25">
        <f>B25-$O$8</f>
        <v/>
      </c>
    </row>
    <row r="26">
      <c r="A26" t="n">
        <v>72</v>
      </c>
      <c r="B26" t="n">
        <v>2.4</v>
      </c>
      <c r="E26">
        <f>IFERROR(MEDIAN(D6:D46),D26)</f>
        <v/>
      </c>
      <c r="F26">
        <f>IF(OR(NOT(ISNUMBER(D26)),ABS(D26-E26)&gt;$O$3),1,0)</f>
        <v/>
      </c>
      <c r="G26">
        <f>IF(F26=1,NA(),D26)</f>
        <v/>
      </c>
      <c r="H26">
        <f>IF(AND(ISNUMBER(D26),D26&gt;=$O$4),1,0)</f>
        <v/>
      </c>
      <c r="I26">
        <f>B26-$O$8</f>
        <v/>
      </c>
    </row>
    <row r="27">
      <c r="A27" t="n">
        <v>75</v>
      </c>
      <c r="B27" t="n">
        <v>2.5</v>
      </c>
      <c r="E27">
        <f>IFERROR(MEDIAN(D7:D47),D27)</f>
        <v/>
      </c>
      <c r="F27">
        <f>IF(OR(NOT(ISNUMBER(D27)),ABS(D27-E27)&gt;$O$3),1,0)</f>
        <v/>
      </c>
      <c r="G27">
        <f>IF(F27=1,NA(),D27)</f>
        <v/>
      </c>
      <c r="H27">
        <f>IF(AND(ISNUMBER(D27),D27&gt;=$O$4),1,0)</f>
        <v/>
      </c>
      <c r="I27">
        <f>B27-$O$8</f>
        <v/>
      </c>
    </row>
    <row r="28">
      <c r="A28" t="n">
        <v>78</v>
      </c>
      <c r="B28" t="n">
        <v>2.6</v>
      </c>
      <c r="E28">
        <f>IFERROR(MEDIAN(D8:D48),D28)</f>
        <v/>
      </c>
      <c r="F28">
        <f>IF(OR(NOT(ISNUMBER(D28)),ABS(D28-E28)&gt;$O$3),1,0)</f>
        <v/>
      </c>
      <c r="G28">
        <f>IF(F28=1,NA(),D28)</f>
        <v/>
      </c>
      <c r="H28">
        <f>IF(AND(ISNUMBER(D28),D28&gt;=$O$4),1,0)</f>
        <v/>
      </c>
      <c r="I28">
        <f>B28-$O$8</f>
        <v/>
      </c>
    </row>
    <row r="29">
      <c r="A29" t="n">
        <v>81</v>
      </c>
      <c r="B29" t="n">
        <v>2.7</v>
      </c>
      <c r="E29">
        <f>IFERROR(MEDIAN(D9:D49),D29)</f>
        <v/>
      </c>
      <c r="F29">
        <f>IF(OR(NOT(ISNUMBER(D29)),ABS(D29-E29)&gt;$O$3),1,0)</f>
        <v/>
      </c>
      <c r="G29">
        <f>IF(F29=1,NA(),D29)</f>
        <v/>
      </c>
      <c r="H29">
        <f>IF(AND(ISNUMBER(D29),D29&gt;=$O$4),1,0)</f>
        <v/>
      </c>
      <c r="I29">
        <f>B29-$O$8</f>
        <v/>
      </c>
    </row>
    <row r="30">
      <c r="A30" t="n">
        <v>84</v>
      </c>
      <c r="B30" t="n">
        <v>2.8</v>
      </c>
      <c r="E30">
        <f>IFERROR(MEDIAN(D10:D50),D30)</f>
        <v/>
      </c>
      <c r="F30">
        <f>IF(OR(NOT(ISNUMBER(D30)),ABS(D30-E30)&gt;$O$3),1,0)</f>
        <v/>
      </c>
      <c r="G30">
        <f>IF(F30=1,NA(),D30)</f>
        <v/>
      </c>
      <c r="H30">
        <f>IF(AND(ISNUMBER(D30),D30&gt;=$O$4),1,0)</f>
        <v/>
      </c>
      <c r="I30">
        <f>B30-$O$8</f>
        <v/>
      </c>
    </row>
    <row r="31">
      <c r="A31" t="n">
        <v>87</v>
      </c>
      <c r="B31" t="n">
        <v>2.9</v>
      </c>
      <c r="E31">
        <f>IFERROR(MEDIAN(D11:D51),D31)</f>
        <v/>
      </c>
      <c r="F31">
        <f>IF(OR(NOT(ISNUMBER(D31)),ABS(D31-E31)&gt;$O$3),1,0)</f>
        <v/>
      </c>
      <c r="G31">
        <f>IF(F31=1,NA(),D31)</f>
        <v/>
      </c>
      <c r="H31">
        <f>IF(AND(ISNUMBER(D31),D31&gt;=$O$4),1,0)</f>
        <v/>
      </c>
      <c r="I31">
        <f>B31-$O$8</f>
        <v/>
      </c>
    </row>
    <row r="32">
      <c r="A32" t="n">
        <v>90</v>
      </c>
      <c r="B32" t="n">
        <v>3</v>
      </c>
      <c r="E32">
        <f>IFERROR(MEDIAN(D12:D52),D32)</f>
        <v/>
      </c>
      <c r="F32">
        <f>IF(OR(NOT(ISNUMBER(D32)),ABS(D32-E32)&gt;$O$3),1,0)</f>
        <v/>
      </c>
      <c r="G32">
        <f>IF(F32=1,NA(),D32)</f>
        <v/>
      </c>
      <c r="H32">
        <f>IF(AND(ISNUMBER(D32),D32&gt;=$O$4),1,0)</f>
        <v/>
      </c>
      <c r="I32">
        <f>B32-$O$8</f>
        <v/>
      </c>
    </row>
    <row r="33">
      <c r="A33" t="n">
        <v>93</v>
      </c>
      <c r="B33" t="n">
        <v>3.1</v>
      </c>
      <c r="E33">
        <f>IFERROR(MEDIAN(D13:D53),D33)</f>
        <v/>
      </c>
      <c r="F33">
        <f>IF(OR(NOT(ISNUMBER(D33)),ABS(D33-E33)&gt;$O$3),1,0)</f>
        <v/>
      </c>
      <c r="G33">
        <f>IF(F33=1,NA(),D33)</f>
        <v/>
      </c>
      <c r="H33">
        <f>IF(AND(ISNUMBER(D33),D33&gt;=$O$4),1,0)</f>
        <v/>
      </c>
      <c r="I33">
        <f>B33-$O$8</f>
        <v/>
      </c>
    </row>
    <row r="34">
      <c r="A34" t="n">
        <v>96</v>
      </c>
      <c r="B34" t="n">
        <v>3.2</v>
      </c>
      <c r="E34">
        <f>IFERROR(MEDIAN(D14:D54),D34)</f>
        <v/>
      </c>
      <c r="F34">
        <f>IF(OR(NOT(ISNUMBER(D34)),ABS(D34-E34)&gt;$O$3),1,0)</f>
        <v/>
      </c>
      <c r="G34">
        <f>IF(F34=1,NA(),D34)</f>
        <v/>
      </c>
      <c r="H34">
        <f>IF(AND(ISNUMBER(D34),D34&gt;=$O$4),1,0)</f>
        <v/>
      </c>
      <c r="I34">
        <f>B34-$O$8</f>
        <v/>
      </c>
    </row>
    <row r="35">
      <c r="A35" t="n">
        <v>99</v>
      </c>
      <c r="B35" t="n">
        <v>3.3</v>
      </c>
      <c r="E35">
        <f>IFERROR(MEDIAN(D15:D55),D35)</f>
        <v/>
      </c>
      <c r="F35">
        <f>IF(OR(NOT(ISNUMBER(D35)),ABS(D35-E35)&gt;$O$3),1,0)</f>
        <v/>
      </c>
      <c r="G35">
        <f>IF(F35=1,NA(),D35)</f>
        <v/>
      </c>
      <c r="H35">
        <f>IF(AND(ISNUMBER(D35),D35&gt;=$O$4),1,0)</f>
        <v/>
      </c>
      <c r="I35">
        <f>B35-$O$8</f>
        <v/>
      </c>
    </row>
    <row r="36">
      <c r="A36" t="n">
        <v>102</v>
      </c>
      <c r="B36" t="n">
        <v>3.4</v>
      </c>
      <c r="E36">
        <f>IFERROR(MEDIAN(D16:D56),D36)</f>
        <v/>
      </c>
      <c r="F36">
        <f>IF(OR(NOT(ISNUMBER(D36)),ABS(D36-E36)&gt;$O$3),1,0)</f>
        <v/>
      </c>
      <c r="G36">
        <f>IF(F36=1,NA(),D36)</f>
        <v/>
      </c>
      <c r="H36">
        <f>IF(AND(ISNUMBER(D36),D36&gt;=$O$4),1,0)</f>
        <v/>
      </c>
      <c r="I36">
        <f>B36-$O$8</f>
        <v/>
      </c>
    </row>
    <row r="37">
      <c r="A37" t="n">
        <v>105</v>
      </c>
      <c r="B37" t="n">
        <v>3.5</v>
      </c>
      <c r="E37">
        <f>IFERROR(MEDIAN(D17:D57),D37)</f>
        <v/>
      </c>
      <c r="F37">
        <f>IF(OR(NOT(ISNUMBER(D37)),ABS(D37-E37)&gt;$O$3),1,0)</f>
        <v/>
      </c>
      <c r="G37">
        <f>IF(F37=1,NA(),D37)</f>
        <v/>
      </c>
      <c r="H37">
        <f>IF(AND(ISNUMBER(D37),D37&gt;=$O$4),1,0)</f>
        <v/>
      </c>
      <c r="I37">
        <f>B37-$O$8</f>
        <v/>
      </c>
    </row>
    <row r="38">
      <c r="A38" t="n">
        <v>108</v>
      </c>
      <c r="B38" t="n">
        <v>3.6</v>
      </c>
      <c r="E38">
        <f>IFERROR(MEDIAN(D18:D58),D38)</f>
        <v/>
      </c>
      <c r="F38">
        <f>IF(OR(NOT(ISNUMBER(D38)),ABS(D38-E38)&gt;$O$3),1,0)</f>
        <v/>
      </c>
      <c r="G38">
        <f>IF(F38=1,NA(),D38)</f>
        <v/>
      </c>
      <c r="H38">
        <f>IF(AND(ISNUMBER(D38),D38&gt;=$O$4),1,0)</f>
        <v/>
      </c>
      <c r="I38">
        <f>B38-$O$8</f>
        <v/>
      </c>
    </row>
    <row r="39">
      <c r="A39" t="n">
        <v>111</v>
      </c>
      <c r="B39" t="n">
        <v>3.7</v>
      </c>
      <c r="E39">
        <f>IFERROR(MEDIAN(D19:D59),D39)</f>
        <v/>
      </c>
      <c r="F39">
        <f>IF(OR(NOT(ISNUMBER(D39)),ABS(D39-E39)&gt;$O$3),1,0)</f>
        <v/>
      </c>
      <c r="G39">
        <f>IF(F39=1,NA(),D39)</f>
        <v/>
      </c>
      <c r="H39">
        <f>IF(AND(ISNUMBER(D39),D39&gt;=$O$4),1,0)</f>
        <v/>
      </c>
      <c r="I39">
        <f>B39-$O$8</f>
        <v/>
      </c>
    </row>
    <row r="40">
      <c r="A40" t="n">
        <v>114</v>
      </c>
      <c r="B40" t="n">
        <v>3.8</v>
      </c>
      <c r="E40">
        <f>IFERROR(MEDIAN(D20:D60),D40)</f>
        <v/>
      </c>
      <c r="F40">
        <f>IF(OR(NOT(ISNUMBER(D40)),ABS(D40-E40)&gt;$O$3),1,0)</f>
        <v/>
      </c>
      <c r="G40">
        <f>IF(F40=1,NA(),D40)</f>
        <v/>
      </c>
      <c r="H40">
        <f>IF(AND(ISNUMBER(D40),D40&gt;=$O$4),1,0)</f>
        <v/>
      </c>
      <c r="I40">
        <f>B40-$O$8</f>
        <v/>
      </c>
    </row>
    <row r="41">
      <c r="A41" t="n">
        <v>117</v>
      </c>
      <c r="B41" t="n">
        <v>3.9</v>
      </c>
      <c r="E41">
        <f>IFERROR(MEDIAN(D21:D61),D41)</f>
        <v/>
      </c>
      <c r="F41">
        <f>IF(OR(NOT(ISNUMBER(D41)),ABS(D41-E41)&gt;$O$3),1,0)</f>
        <v/>
      </c>
      <c r="G41">
        <f>IF(F41=1,NA(),D41)</f>
        <v/>
      </c>
      <c r="H41">
        <f>IF(AND(ISNUMBER(D41),D41&gt;=$O$4),1,0)</f>
        <v/>
      </c>
      <c r="I41">
        <f>B41-$O$8</f>
        <v/>
      </c>
    </row>
    <row r="42">
      <c r="A42" t="n">
        <v>120</v>
      </c>
      <c r="B42" t="n">
        <v>4</v>
      </c>
      <c r="E42">
        <f>IFERROR(MEDIAN(D22:D62),D42)</f>
        <v/>
      </c>
      <c r="F42">
        <f>IF(OR(NOT(ISNUMBER(D42)),ABS(D42-E42)&gt;$O$3),1,0)</f>
        <v/>
      </c>
      <c r="G42">
        <f>IF(F42=1,NA(),D42)</f>
        <v/>
      </c>
      <c r="H42">
        <f>IF(AND(ISNUMBER(D42),D42&gt;=$O$4),1,0)</f>
        <v/>
      </c>
      <c r="I42">
        <f>B42-$O$8</f>
        <v/>
      </c>
    </row>
    <row r="43">
      <c r="A43" t="n">
        <v>123</v>
      </c>
      <c r="B43" t="n">
        <v>4.1</v>
      </c>
      <c r="E43">
        <f>IFERROR(MEDIAN(D23:D63),D43)</f>
        <v/>
      </c>
      <c r="F43">
        <f>IF(OR(NOT(ISNUMBER(D43)),ABS(D43-E43)&gt;$O$3),1,0)</f>
        <v/>
      </c>
      <c r="G43">
        <f>IF(F43=1,NA(),D43)</f>
        <v/>
      </c>
      <c r="H43">
        <f>IF(AND(ISNUMBER(D43),D43&gt;=$O$4),1,0)</f>
        <v/>
      </c>
      <c r="I43">
        <f>B43-$O$8</f>
        <v/>
      </c>
    </row>
    <row r="44">
      <c r="A44" t="n">
        <v>126</v>
      </c>
      <c r="B44" t="n">
        <v>4.2</v>
      </c>
      <c r="E44">
        <f>IFERROR(MEDIAN(D24:D64),D44)</f>
        <v/>
      </c>
      <c r="F44">
        <f>IF(OR(NOT(ISNUMBER(D44)),ABS(D44-E44)&gt;$O$3),1,0)</f>
        <v/>
      </c>
      <c r="G44">
        <f>IF(F44=1,NA(),D44)</f>
        <v/>
      </c>
      <c r="H44">
        <f>IF(AND(ISNUMBER(D44),D44&gt;=$O$4),1,0)</f>
        <v/>
      </c>
      <c r="I44">
        <f>B44-$O$8</f>
        <v/>
      </c>
    </row>
    <row r="45">
      <c r="A45" t="n">
        <v>129</v>
      </c>
      <c r="B45" t="n">
        <v>4.3</v>
      </c>
      <c r="E45">
        <f>IFERROR(MEDIAN(D25:D65),D45)</f>
        <v/>
      </c>
      <c r="F45">
        <f>IF(OR(NOT(ISNUMBER(D45)),ABS(D45-E45)&gt;$O$3),1,0)</f>
        <v/>
      </c>
      <c r="G45">
        <f>IF(F45=1,NA(),D45)</f>
        <v/>
      </c>
      <c r="H45">
        <f>IF(AND(ISNUMBER(D45),D45&gt;=$O$4),1,0)</f>
        <v/>
      </c>
      <c r="I45">
        <f>B45-$O$8</f>
        <v/>
      </c>
    </row>
    <row r="46">
      <c r="A46" t="n">
        <v>132</v>
      </c>
      <c r="B46" t="n">
        <v>4.4</v>
      </c>
      <c r="E46">
        <f>IFERROR(MEDIAN(D26:D66),D46)</f>
        <v/>
      </c>
      <c r="F46">
        <f>IF(OR(NOT(ISNUMBER(D46)),ABS(D46-E46)&gt;$O$3),1,0)</f>
        <v/>
      </c>
      <c r="G46">
        <f>IF(F46=1,NA(),D46)</f>
        <v/>
      </c>
      <c r="H46">
        <f>IF(AND(ISNUMBER(D46),D46&gt;=$O$4),1,0)</f>
        <v/>
      </c>
      <c r="I46">
        <f>B46-$O$8</f>
        <v/>
      </c>
    </row>
    <row r="47">
      <c r="A47" t="n">
        <v>135</v>
      </c>
      <c r="B47" t="n">
        <v>4.5</v>
      </c>
      <c r="E47">
        <f>IFERROR(MEDIAN(D27:D67),D47)</f>
        <v/>
      </c>
      <c r="F47">
        <f>IF(OR(NOT(ISNUMBER(D47)),ABS(D47-E47)&gt;$O$3),1,0)</f>
        <v/>
      </c>
      <c r="G47">
        <f>IF(F47=1,NA(),D47)</f>
        <v/>
      </c>
      <c r="H47">
        <f>IF(AND(ISNUMBER(D47),D47&gt;=$O$4),1,0)</f>
        <v/>
      </c>
      <c r="I47">
        <f>B47-$O$8</f>
        <v/>
      </c>
    </row>
    <row r="48">
      <c r="A48" t="n">
        <v>138</v>
      </c>
      <c r="B48" t="n">
        <v>4.6</v>
      </c>
      <c r="E48">
        <f>IFERROR(MEDIAN(D28:D68),D48)</f>
        <v/>
      </c>
      <c r="F48">
        <f>IF(OR(NOT(ISNUMBER(D48)),ABS(D48-E48)&gt;$O$3),1,0)</f>
        <v/>
      </c>
      <c r="G48">
        <f>IF(F48=1,NA(),D48)</f>
        <v/>
      </c>
      <c r="H48">
        <f>IF(AND(ISNUMBER(D48),D48&gt;=$O$4),1,0)</f>
        <v/>
      </c>
      <c r="I48">
        <f>B48-$O$8</f>
        <v/>
      </c>
    </row>
    <row r="49">
      <c r="A49" t="n">
        <v>141</v>
      </c>
      <c r="B49" t="n">
        <v>4.7</v>
      </c>
      <c r="C49" t="inlineStr">
        <is>
          <t>5</t>
        </is>
      </c>
      <c r="D49" t="n">
        <v>0.05</v>
      </c>
      <c r="E49">
        <f>IFERROR(MEDIAN(D29:D69),D49)</f>
        <v/>
      </c>
      <c r="F49">
        <f>IF(OR(NOT(ISNUMBER(D49)),ABS(D49-E49)&gt;$O$3),1,0)</f>
        <v/>
      </c>
      <c r="G49">
        <f>IF(F49=1,NA(),D49)</f>
        <v/>
      </c>
      <c r="H49">
        <f>IF(AND(ISNUMBER(D49),D49&gt;=$O$4),1,0)</f>
        <v/>
      </c>
      <c r="I49">
        <f>B49-$O$8</f>
        <v/>
      </c>
    </row>
    <row r="50">
      <c r="A50" t="n">
        <v>144</v>
      </c>
      <c r="B50" t="n">
        <v>4.8</v>
      </c>
      <c r="E50">
        <f>IFERROR(MEDIAN(D30:D70),D50)</f>
        <v/>
      </c>
      <c r="F50">
        <f>IF(OR(NOT(ISNUMBER(D50)),ABS(D50-E50)&gt;$O$3),1,0)</f>
        <v/>
      </c>
      <c r="G50">
        <f>IF(F50=1,NA(),D50)</f>
        <v/>
      </c>
      <c r="H50">
        <f>IF(AND(ISNUMBER(D50),D50&gt;=$O$4),1,0)</f>
        <v/>
      </c>
      <c r="I50">
        <f>B50-$O$8</f>
        <v/>
      </c>
    </row>
    <row r="51">
      <c r="A51" t="n">
        <v>147</v>
      </c>
      <c r="B51" t="n">
        <v>4.9</v>
      </c>
      <c r="E51">
        <f>IFERROR(MEDIAN(D31:D71),D51)</f>
        <v/>
      </c>
      <c r="F51">
        <f>IF(OR(NOT(ISNUMBER(D51)),ABS(D51-E51)&gt;$O$3),1,0)</f>
        <v/>
      </c>
      <c r="G51">
        <f>IF(F51=1,NA(),D51)</f>
        <v/>
      </c>
      <c r="H51">
        <f>IF(AND(ISNUMBER(D51),D51&gt;=$O$4),1,0)</f>
        <v/>
      </c>
      <c r="I51">
        <f>B51-$O$8</f>
        <v/>
      </c>
    </row>
    <row r="52">
      <c r="A52" t="n">
        <v>150</v>
      </c>
      <c r="B52" t="n">
        <v>5</v>
      </c>
      <c r="E52">
        <f>IFERROR(MEDIAN(D32:D72),D52)</f>
        <v/>
      </c>
      <c r="F52">
        <f>IF(OR(NOT(ISNUMBER(D52)),ABS(D52-E52)&gt;$O$3),1,0)</f>
        <v/>
      </c>
      <c r="G52">
        <f>IF(F52=1,NA(),D52)</f>
        <v/>
      </c>
      <c r="H52">
        <f>IF(AND(ISNUMBER(D52),D52&gt;=$O$4),1,0)</f>
        <v/>
      </c>
      <c r="I52">
        <f>B52-$O$8</f>
        <v/>
      </c>
    </row>
    <row r="53">
      <c r="A53" t="n">
        <v>153</v>
      </c>
      <c r="B53" t="n">
        <v>5.1</v>
      </c>
      <c r="E53">
        <f>IFERROR(MEDIAN(D33:D73),D53)</f>
        <v/>
      </c>
      <c r="F53">
        <f>IF(OR(NOT(ISNUMBER(D53)),ABS(D53-E53)&gt;$O$3),1,0)</f>
        <v/>
      </c>
      <c r="G53">
        <f>IF(F53=1,NA(),D53)</f>
        <v/>
      </c>
      <c r="H53">
        <f>IF(AND(ISNUMBER(D53),D53&gt;=$O$4),1,0)</f>
        <v/>
      </c>
      <c r="I53">
        <f>B53-$O$8</f>
        <v/>
      </c>
    </row>
    <row r="54">
      <c r="A54" t="n">
        <v>156</v>
      </c>
      <c r="B54" t="n">
        <v>5.2</v>
      </c>
      <c r="E54">
        <f>IFERROR(MEDIAN(D34:D74),D54)</f>
        <v/>
      </c>
      <c r="F54">
        <f>IF(OR(NOT(ISNUMBER(D54)),ABS(D54-E54)&gt;$O$3),1,0)</f>
        <v/>
      </c>
      <c r="G54">
        <f>IF(F54=1,NA(),D54)</f>
        <v/>
      </c>
      <c r="H54">
        <f>IF(AND(ISNUMBER(D54),D54&gt;=$O$4),1,0)</f>
        <v/>
      </c>
      <c r="I54">
        <f>B54-$O$8</f>
        <v/>
      </c>
    </row>
    <row r="55">
      <c r="A55" t="n">
        <v>159</v>
      </c>
      <c r="B55" t="n">
        <v>5.3</v>
      </c>
      <c r="E55">
        <f>IFERROR(MEDIAN(D35:D75),D55)</f>
        <v/>
      </c>
      <c r="F55">
        <f>IF(OR(NOT(ISNUMBER(D55)),ABS(D55-E55)&gt;$O$3),1,0)</f>
        <v/>
      </c>
      <c r="G55">
        <f>IF(F55=1,NA(),D55)</f>
        <v/>
      </c>
      <c r="H55">
        <f>IF(AND(ISNUMBER(D55),D55&gt;=$O$4),1,0)</f>
        <v/>
      </c>
      <c r="I55">
        <f>B55-$O$8</f>
        <v/>
      </c>
    </row>
    <row r="56">
      <c r="A56" t="n">
        <v>162</v>
      </c>
      <c r="B56" t="n">
        <v>5.4</v>
      </c>
      <c r="C56" t="inlineStr">
        <is>
          <t>54</t>
        </is>
      </c>
      <c r="D56" t="n">
        <v>0.54</v>
      </c>
      <c r="E56">
        <f>IFERROR(MEDIAN(D36:D76),D56)</f>
        <v/>
      </c>
      <c r="F56">
        <f>IF(OR(NOT(ISNUMBER(D56)),ABS(D56-E56)&gt;$O$3),1,0)</f>
        <v/>
      </c>
      <c r="G56">
        <f>IF(F56=1,NA(),D56)</f>
        <v/>
      </c>
      <c r="H56">
        <f>IF(AND(ISNUMBER(D56),D56&gt;=$O$4),1,0)</f>
        <v/>
      </c>
      <c r="I56">
        <f>B56-$O$8</f>
        <v/>
      </c>
    </row>
    <row r="57">
      <c r="A57" t="n">
        <v>165</v>
      </c>
      <c r="B57" t="n">
        <v>5.5</v>
      </c>
      <c r="C57" t="inlineStr">
        <is>
          <t>5</t>
        </is>
      </c>
      <c r="D57" t="n">
        <v>0.05</v>
      </c>
      <c r="E57">
        <f>IFERROR(MEDIAN(D37:D77),D57)</f>
        <v/>
      </c>
      <c r="F57">
        <f>IF(OR(NOT(ISNUMBER(D57)),ABS(D57-E57)&gt;$O$3),1,0)</f>
        <v/>
      </c>
      <c r="G57">
        <f>IF(F57=1,NA(),D57)</f>
        <v/>
      </c>
      <c r="H57">
        <f>IF(AND(ISNUMBER(D57),D57&gt;=$O$4),1,0)</f>
        <v/>
      </c>
      <c r="I57">
        <f>B57-$O$8</f>
        <v/>
      </c>
    </row>
    <row r="58">
      <c r="A58" t="n">
        <v>168</v>
      </c>
      <c r="B58" t="n">
        <v>5.6</v>
      </c>
      <c r="E58">
        <f>IFERROR(MEDIAN(D38:D78),D58)</f>
        <v/>
      </c>
      <c r="F58">
        <f>IF(OR(NOT(ISNUMBER(D58)),ABS(D58-E58)&gt;$O$3),1,0)</f>
        <v/>
      </c>
      <c r="G58">
        <f>IF(F58=1,NA(),D58)</f>
        <v/>
      </c>
      <c r="H58">
        <f>IF(AND(ISNUMBER(D58),D58&gt;=$O$4),1,0)</f>
        <v/>
      </c>
      <c r="I58">
        <f>B58-$O$8</f>
        <v/>
      </c>
    </row>
    <row r="59">
      <c r="A59" t="n">
        <v>171</v>
      </c>
      <c r="B59" t="n">
        <v>5.7</v>
      </c>
      <c r="C59" t="inlineStr">
        <is>
          <t>7?</t>
        </is>
      </c>
      <c r="E59">
        <f>IFERROR(MEDIAN(D39:D79),D59)</f>
        <v/>
      </c>
      <c r="F59">
        <f>IF(OR(NOT(ISNUMBER(D59)),ABS(D59-E59)&gt;$O$3),1,0)</f>
        <v/>
      </c>
      <c r="G59">
        <f>IF(F59=1,NA(),D59)</f>
        <v/>
      </c>
      <c r="H59">
        <f>IF(AND(ISNUMBER(D59),D59&gt;=$O$4),1,0)</f>
        <v/>
      </c>
      <c r="I59">
        <f>B59-$O$8</f>
        <v/>
      </c>
    </row>
    <row r="60">
      <c r="A60" t="n">
        <v>174</v>
      </c>
      <c r="B60" t="n">
        <v>5.8</v>
      </c>
      <c r="E60">
        <f>IFERROR(MEDIAN(D40:D80),D60)</f>
        <v/>
      </c>
      <c r="F60">
        <f>IF(OR(NOT(ISNUMBER(D60)),ABS(D60-E60)&gt;$O$3),1,0)</f>
        <v/>
      </c>
      <c r="G60">
        <f>IF(F60=1,NA(),D60)</f>
        <v/>
      </c>
      <c r="H60">
        <f>IF(AND(ISNUMBER(D60),D60&gt;=$O$4),1,0)</f>
        <v/>
      </c>
      <c r="I60">
        <f>B60-$O$8</f>
        <v/>
      </c>
    </row>
    <row r="61">
      <c r="A61" t="n">
        <v>177</v>
      </c>
      <c r="B61" t="n">
        <v>5.9</v>
      </c>
      <c r="E61">
        <f>IFERROR(MEDIAN(D41:D81),D61)</f>
        <v/>
      </c>
      <c r="F61">
        <f>IF(OR(NOT(ISNUMBER(D61)),ABS(D61-E61)&gt;$O$3),1,0)</f>
        <v/>
      </c>
      <c r="G61">
        <f>IF(F61=1,NA(),D61)</f>
        <v/>
      </c>
      <c r="H61">
        <f>IF(AND(ISNUMBER(D61),D61&gt;=$O$4),1,0)</f>
        <v/>
      </c>
      <c r="I61">
        <f>B61-$O$8</f>
        <v/>
      </c>
    </row>
    <row r="62">
      <c r="A62" t="n">
        <v>180</v>
      </c>
      <c r="B62" t="n">
        <v>6</v>
      </c>
      <c r="E62">
        <f>IFERROR(MEDIAN(D42:D82),D62)</f>
        <v/>
      </c>
      <c r="F62">
        <f>IF(OR(NOT(ISNUMBER(D62)),ABS(D62-E62)&gt;$O$3),1,0)</f>
        <v/>
      </c>
      <c r="G62">
        <f>IF(F62=1,NA(),D62)</f>
        <v/>
      </c>
      <c r="H62">
        <f>IF(AND(ISNUMBER(D62),D62&gt;=$O$4),1,0)</f>
        <v/>
      </c>
      <c r="I62">
        <f>B62-$O$8</f>
        <v/>
      </c>
    </row>
    <row r="63">
      <c r="A63" t="n">
        <v>183</v>
      </c>
      <c r="B63" t="n">
        <v>6.1</v>
      </c>
      <c r="E63">
        <f>IFERROR(MEDIAN(D43:D83),D63)</f>
        <v/>
      </c>
      <c r="F63">
        <f>IF(OR(NOT(ISNUMBER(D63)),ABS(D63-E63)&gt;$O$3),1,0)</f>
        <v/>
      </c>
      <c r="G63">
        <f>IF(F63=1,NA(),D63)</f>
        <v/>
      </c>
      <c r="H63">
        <f>IF(AND(ISNUMBER(D63),D63&gt;=$O$4),1,0)</f>
        <v/>
      </c>
      <c r="I63">
        <f>B63-$O$8</f>
        <v/>
      </c>
    </row>
    <row r="64">
      <c r="A64" t="n">
        <v>186</v>
      </c>
      <c r="B64" t="n">
        <v>6.2</v>
      </c>
      <c r="E64">
        <f>IFERROR(MEDIAN(D44:D84),D64)</f>
        <v/>
      </c>
      <c r="F64">
        <f>IF(OR(NOT(ISNUMBER(D64)),ABS(D64-E64)&gt;$O$3),1,0)</f>
        <v/>
      </c>
      <c r="G64">
        <f>IF(F64=1,NA(),D64)</f>
        <v/>
      </c>
      <c r="H64">
        <f>IF(AND(ISNUMBER(D64),D64&gt;=$O$4),1,0)</f>
        <v/>
      </c>
      <c r="I64">
        <f>B64-$O$8</f>
        <v/>
      </c>
    </row>
    <row r="65">
      <c r="A65" t="n">
        <v>189</v>
      </c>
      <c r="B65" t="n">
        <v>6.3</v>
      </c>
      <c r="E65">
        <f>IFERROR(MEDIAN(D45:D85),D65)</f>
        <v/>
      </c>
      <c r="F65">
        <f>IF(OR(NOT(ISNUMBER(D65)),ABS(D65-E65)&gt;$O$3),1,0)</f>
        <v/>
      </c>
      <c r="G65">
        <f>IF(F65=1,NA(),D65)</f>
        <v/>
      </c>
      <c r="H65">
        <f>IF(AND(ISNUMBER(D65),D65&gt;=$O$4),1,0)</f>
        <v/>
      </c>
      <c r="I65">
        <f>B65-$O$8</f>
        <v/>
      </c>
    </row>
    <row r="66">
      <c r="A66" t="n">
        <v>192</v>
      </c>
      <c r="B66" t="n">
        <v>6.4</v>
      </c>
      <c r="E66">
        <f>IFERROR(MEDIAN(D46:D86),D66)</f>
        <v/>
      </c>
      <c r="F66">
        <f>IF(OR(NOT(ISNUMBER(D66)),ABS(D66-E66)&gt;$O$3),1,0)</f>
        <v/>
      </c>
      <c r="G66">
        <f>IF(F66=1,NA(),D66)</f>
        <v/>
      </c>
      <c r="H66">
        <f>IF(AND(ISNUMBER(D66),D66&gt;=$O$4),1,0)</f>
        <v/>
      </c>
      <c r="I66">
        <f>B66-$O$8</f>
        <v/>
      </c>
    </row>
    <row r="67">
      <c r="A67" t="n">
        <v>195</v>
      </c>
      <c r="B67" t="n">
        <v>6.5</v>
      </c>
      <c r="E67">
        <f>IFERROR(MEDIAN(D47:D87),D67)</f>
        <v/>
      </c>
      <c r="F67">
        <f>IF(OR(NOT(ISNUMBER(D67)),ABS(D67-E67)&gt;$O$3),1,0)</f>
        <v/>
      </c>
      <c r="G67">
        <f>IF(F67=1,NA(),D67)</f>
        <v/>
      </c>
      <c r="H67">
        <f>IF(AND(ISNUMBER(D67),D67&gt;=$O$4),1,0)</f>
        <v/>
      </c>
      <c r="I67">
        <f>B67-$O$8</f>
        <v/>
      </c>
    </row>
    <row r="68">
      <c r="A68" t="n">
        <v>198</v>
      </c>
      <c r="B68" t="n">
        <v>6.6</v>
      </c>
      <c r="C68" t="inlineStr">
        <is>
          <t>51</t>
        </is>
      </c>
      <c r="D68" t="n">
        <v>0.51</v>
      </c>
      <c r="E68">
        <f>IFERROR(MEDIAN(D48:D88),D68)</f>
        <v/>
      </c>
      <c r="F68">
        <f>IF(OR(NOT(ISNUMBER(D68)),ABS(D68-E68)&gt;$O$3),1,0)</f>
        <v/>
      </c>
      <c r="G68">
        <f>IF(F68=1,NA(),D68)</f>
        <v/>
      </c>
      <c r="H68">
        <f>IF(AND(ISNUMBER(D68),D68&gt;=$O$4),1,0)</f>
        <v/>
      </c>
      <c r="I68">
        <f>B68-$O$8</f>
        <v/>
      </c>
    </row>
    <row r="69">
      <c r="A69" t="n">
        <v>201</v>
      </c>
      <c r="B69" t="n">
        <v>6.7</v>
      </c>
      <c r="E69">
        <f>IFERROR(MEDIAN(D49:D89),D69)</f>
        <v/>
      </c>
      <c r="F69">
        <f>IF(OR(NOT(ISNUMBER(D69)),ABS(D69-E69)&gt;$O$3),1,0)</f>
        <v/>
      </c>
      <c r="G69">
        <f>IF(F69=1,NA(),D69)</f>
        <v/>
      </c>
      <c r="H69">
        <f>IF(AND(ISNUMBER(D69),D69&gt;=$O$4),1,0)</f>
        <v/>
      </c>
      <c r="I69">
        <f>B69-$O$8</f>
        <v/>
      </c>
    </row>
    <row r="70">
      <c r="A70" t="n">
        <v>204</v>
      </c>
      <c r="B70" t="n">
        <v>6.8</v>
      </c>
      <c r="E70">
        <f>IFERROR(MEDIAN(D50:D90),D70)</f>
        <v/>
      </c>
      <c r="F70">
        <f>IF(OR(NOT(ISNUMBER(D70)),ABS(D70-E70)&gt;$O$3),1,0)</f>
        <v/>
      </c>
      <c r="G70">
        <f>IF(F70=1,NA(),D70)</f>
        <v/>
      </c>
      <c r="H70">
        <f>IF(AND(ISNUMBER(D70),D70&gt;=$O$4),1,0)</f>
        <v/>
      </c>
      <c r="I70">
        <f>B70-$O$8</f>
        <v/>
      </c>
    </row>
    <row r="71">
      <c r="A71" t="n">
        <v>207</v>
      </c>
      <c r="B71" t="n">
        <v>6.9</v>
      </c>
      <c r="E71">
        <f>IFERROR(MEDIAN(D51:D91),D71)</f>
        <v/>
      </c>
      <c r="F71">
        <f>IF(OR(NOT(ISNUMBER(D71)),ABS(D71-E71)&gt;$O$3),1,0)</f>
        <v/>
      </c>
      <c r="G71">
        <f>IF(F71=1,NA(),D71)</f>
        <v/>
      </c>
      <c r="H71">
        <f>IF(AND(ISNUMBER(D71),D71&gt;=$O$4),1,0)</f>
        <v/>
      </c>
      <c r="I71">
        <f>B71-$O$8</f>
        <v/>
      </c>
    </row>
    <row r="72">
      <c r="A72" t="n">
        <v>210</v>
      </c>
      <c r="B72" t="n">
        <v>7</v>
      </c>
      <c r="E72">
        <f>IFERROR(MEDIAN(D52:D92),D72)</f>
        <v/>
      </c>
      <c r="F72">
        <f>IF(OR(NOT(ISNUMBER(D72)),ABS(D72-E72)&gt;$O$3),1,0)</f>
        <v/>
      </c>
      <c r="G72">
        <f>IF(F72=1,NA(),D72)</f>
        <v/>
      </c>
      <c r="H72">
        <f>IF(AND(ISNUMBER(D72),D72&gt;=$O$4),1,0)</f>
        <v/>
      </c>
      <c r="I72">
        <f>B72-$O$8</f>
        <v/>
      </c>
    </row>
    <row r="73">
      <c r="A73" t="n">
        <v>213</v>
      </c>
      <c r="B73" t="n">
        <v>7.1</v>
      </c>
      <c r="E73">
        <f>IFERROR(MEDIAN(D53:D93),D73)</f>
        <v/>
      </c>
      <c r="F73">
        <f>IF(OR(NOT(ISNUMBER(D73)),ABS(D73-E73)&gt;$O$3),1,0)</f>
        <v/>
      </c>
      <c r="G73">
        <f>IF(F73=1,NA(),D73)</f>
        <v/>
      </c>
      <c r="H73">
        <f>IF(AND(ISNUMBER(D73),D73&gt;=$O$4),1,0)</f>
        <v/>
      </c>
      <c r="I73">
        <f>B73-$O$8</f>
        <v/>
      </c>
    </row>
    <row r="74">
      <c r="A74" t="n">
        <v>216</v>
      </c>
      <c r="B74" t="n">
        <v>7.2</v>
      </c>
      <c r="E74">
        <f>IFERROR(MEDIAN(D54:D94),D74)</f>
        <v/>
      </c>
      <c r="F74">
        <f>IF(OR(NOT(ISNUMBER(D74)),ABS(D74-E74)&gt;$O$3),1,0)</f>
        <v/>
      </c>
      <c r="G74">
        <f>IF(F74=1,NA(),D74)</f>
        <v/>
      </c>
      <c r="H74">
        <f>IF(AND(ISNUMBER(D74),D74&gt;=$O$4),1,0)</f>
        <v/>
      </c>
      <c r="I74">
        <f>B74-$O$8</f>
        <v/>
      </c>
    </row>
    <row r="75">
      <c r="A75" t="n">
        <v>219</v>
      </c>
      <c r="B75" t="n">
        <v>7.3</v>
      </c>
      <c r="E75">
        <f>IFERROR(MEDIAN(D55:D95),D75)</f>
        <v/>
      </c>
      <c r="F75">
        <f>IF(OR(NOT(ISNUMBER(D75)),ABS(D75-E75)&gt;$O$3),1,0)</f>
        <v/>
      </c>
      <c r="G75">
        <f>IF(F75=1,NA(),D75)</f>
        <v/>
      </c>
      <c r="H75">
        <f>IF(AND(ISNUMBER(D75),D75&gt;=$O$4),1,0)</f>
        <v/>
      </c>
      <c r="I75">
        <f>B75-$O$8</f>
        <v/>
      </c>
    </row>
    <row r="76">
      <c r="A76" t="n">
        <v>222</v>
      </c>
      <c r="B76" t="n">
        <v>7.4</v>
      </c>
      <c r="E76">
        <f>IFERROR(MEDIAN(D56:D96),D76)</f>
        <v/>
      </c>
      <c r="F76">
        <f>IF(OR(NOT(ISNUMBER(D76)),ABS(D76-E76)&gt;$O$3),1,0)</f>
        <v/>
      </c>
      <c r="G76">
        <f>IF(F76=1,NA(),D76)</f>
        <v/>
      </c>
      <c r="H76">
        <f>IF(AND(ISNUMBER(D76),D76&gt;=$O$4),1,0)</f>
        <v/>
      </c>
      <c r="I76">
        <f>B76-$O$8</f>
        <v/>
      </c>
    </row>
    <row r="77">
      <c r="A77" t="n">
        <v>225</v>
      </c>
      <c r="B77" t="n">
        <v>7.5</v>
      </c>
      <c r="E77">
        <f>IFERROR(MEDIAN(D57:D97),D77)</f>
        <v/>
      </c>
      <c r="F77">
        <f>IF(OR(NOT(ISNUMBER(D77)),ABS(D77-E77)&gt;$O$3),1,0)</f>
        <v/>
      </c>
      <c r="G77">
        <f>IF(F77=1,NA(),D77)</f>
        <v/>
      </c>
      <c r="H77">
        <f>IF(AND(ISNUMBER(D77),D77&gt;=$O$4),1,0)</f>
        <v/>
      </c>
      <c r="I77">
        <f>B77-$O$8</f>
        <v/>
      </c>
    </row>
    <row r="78">
      <c r="A78" t="n">
        <v>228</v>
      </c>
      <c r="B78" t="n">
        <v>7.6</v>
      </c>
      <c r="E78">
        <f>IFERROR(MEDIAN(D58:D98),D78)</f>
        <v/>
      </c>
      <c r="F78">
        <f>IF(OR(NOT(ISNUMBER(D78)),ABS(D78-E78)&gt;$O$3),1,0)</f>
        <v/>
      </c>
      <c r="G78">
        <f>IF(F78=1,NA(),D78)</f>
        <v/>
      </c>
      <c r="H78">
        <f>IF(AND(ISNUMBER(D78),D78&gt;=$O$4),1,0)</f>
        <v/>
      </c>
      <c r="I78">
        <f>B78-$O$8</f>
        <v/>
      </c>
    </row>
    <row r="79">
      <c r="A79" t="n">
        <v>231</v>
      </c>
      <c r="B79" t="n">
        <v>7.7</v>
      </c>
      <c r="E79">
        <f>IFERROR(MEDIAN(D59:D99),D79)</f>
        <v/>
      </c>
      <c r="F79">
        <f>IF(OR(NOT(ISNUMBER(D79)),ABS(D79-E79)&gt;$O$3),1,0)</f>
        <v/>
      </c>
      <c r="G79">
        <f>IF(F79=1,NA(),D79)</f>
        <v/>
      </c>
      <c r="H79">
        <f>IF(AND(ISNUMBER(D79),D79&gt;=$O$4),1,0)</f>
        <v/>
      </c>
      <c r="I79">
        <f>B79-$O$8</f>
        <v/>
      </c>
    </row>
    <row r="80">
      <c r="A80" t="n">
        <v>234</v>
      </c>
      <c r="B80" t="n">
        <v>7.8</v>
      </c>
      <c r="C80" t="inlineStr">
        <is>
          <t>?</t>
        </is>
      </c>
      <c r="E80">
        <f>IFERROR(MEDIAN(D60:D100),D80)</f>
        <v/>
      </c>
      <c r="F80">
        <f>IF(OR(NOT(ISNUMBER(D80)),ABS(D80-E80)&gt;$O$3),1,0)</f>
        <v/>
      </c>
      <c r="G80">
        <f>IF(F80=1,NA(),D80)</f>
        <v/>
      </c>
      <c r="H80">
        <f>IF(AND(ISNUMBER(D80),D80&gt;=$O$4),1,0)</f>
        <v/>
      </c>
      <c r="I80">
        <f>B80-$O$8</f>
        <v/>
      </c>
    </row>
    <row r="81">
      <c r="A81" t="n">
        <v>237</v>
      </c>
      <c r="B81" t="n">
        <v>7.9</v>
      </c>
      <c r="E81">
        <f>IFERROR(MEDIAN(D61:D101),D81)</f>
        <v/>
      </c>
      <c r="F81">
        <f>IF(OR(NOT(ISNUMBER(D81)),ABS(D81-E81)&gt;$O$3),1,0)</f>
        <v/>
      </c>
      <c r="G81">
        <f>IF(F81=1,NA(),D81)</f>
        <v/>
      </c>
      <c r="H81">
        <f>IF(AND(ISNUMBER(D81),D81&gt;=$O$4),1,0)</f>
        <v/>
      </c>
      <c r="I81">
        <f>B81-$O$8</f>
        <v/>
      </c>
    </row>
    <row r="82">
      <c r="A82" t="n">
        <v>240</v>
      </c>
      <c r="B82" t="n">
        <v>8</v>
      </c>
      <c r="E82">
        <f>IFERROR(MEDIAN(D62:D102),D82)</f>
        <v/>
      </c>
      <c r="F82">
        <f>IF(OR(NOT(ISNUMBER(D82)),ABS(D82-E82)&gt;$O$3),1,0)</f>
        <v/>
      </c>
      <c r="G82">
        <f>IF(F82=1,NA(),D82)</f>
        <v/>
      </c>
      <c r="H82">
        <f>IF(AND(ISNUMBER(D82),D82&gt;=$O$4),1,0)</f>
        <v/>
      </c>
      <c r="I82">
        <f>B82-$O$8</f>
        <v/>
      </c>
    </row>
    <row r="83">
      <c r="A83" t="n">
        <v>243</v>
      </c>
      <c r="B83" t="n">
        <v>8.1</v>
      </c>
      <c r="E83">
        <f>IFERROR(MEDIAN(D63:D103),D83)</f>
        <v/>
      </c>
      <c r="F83">
        <f>IF(OR(NOT(ISNUMBER(D83)),ABS(D83-E83)&gt;$O$3),1,0)</f>
        <v/>
      </c>
      <c r="G83">
        <f>IF(F83=1,NA(),D83)</f>
        <v/>
      </c>
      <c r="H83">
        <f>IF(AND(ISNUMBER(D83),D83&gt;=$O$4),1,0)</f>
        <v/>
      </c>
      <c r="I83">
        <f>B83-$O$8</f>
        <v/>
      </c>
    </row>
    <row r="84">
      <c r="A84" t="n">
        <v>246</v>
      </c>
      <c r="B84" t="n">
        <v>8.199999999999999</v>
      </c>
      <c r="E84">
        <f>IFERROR(MEDIAN(D64:D104),D84)</f>
        <v/>
      </c>
      <c r="F84">
        <f>IF(OR(NOT(ISNUMBER(D84)),ABS(D84-E84)&gt;$O$3),1,0)</f>
        <v/>
      </c>
      <c r="G84">
        <f>IF(F84=1,NA(),D84)</f>
        <v/>
      </c>
      <c r="H84">
        <f>IF(AND(ISNUMBER(D84),D84&gt;=$O$4),1,0)</f>
        <v/>
      </c>
      <c r="I84">
        <f>B84-$O$8</f>
        <v/>
      </c>
    </row>
    <row r="85">
      <c r="A85" t="n">
        <v>249</v>
      </c>
      <c r="B85" t="n">
        <v>8.300000000000001</v>
      </c>
      <c r="E85">
        <f>IFERROR(MEDIAN(D65:D105),D85)</f>
        <v/>
      </c>
      <c r="F85">
        <f>IF(OR(NOT(ISNUMBER(D85)),ABS(D85-E85)&gt;$O$3),1,0)</f>
        <v/>
      </c>
      <c r="G85">
        <f>IF(F85=1,NA(),D85)</f>
        <v/>
      </c>
      <c r="H85">
        <f>IF(AND(ISNUMBER(D85),D85&gt;=$O$4),1,0)</f>
        <v/>
      </c>
      <c r="I85">
        <f>B85-$O$8</f>
        <v/>
      </c>
    </row>
    <row r="86">
      <c r="A86" t="n">
        <v>252</v>
      </c>
      <c r="B86" t="n">
        <v>8.4</v>
      </c>
      <c r="E86">
        <f>IFERROR(MEDIAN(D66:D106),D86)</f>
        <v/>
      </c>
      <c r="F86">
        <f>IF(OR(NOT(ISNUMBER(D86)),ABS(D86-E86)&gt;$O$3),1,0)</f>
        <v/>
      </c>
      <c r="G86">
        <f>IF(F86=1,NA(),D86)</f>
        <v/>
      </c>
      <c r="H86">
        <f>IF(AND(ISNUMBER(D86),D86&gt;=$O$4),1,0)</f>
        <v/>
      </c>
      <c r="I86">
        <f>B86-$O$8</f>
        <v/>
      </c>
    </row>
    <row r="87">
      <c r="A87" t="n">
        <v>255</v>
      </c>
      <c r="B87" t="n">
        <v>8.5</v>
      </c>
      <c r="E87">
        <f>IFERROR(MEDIAN(D67:D107),D87)</f>
        <v/>
      </c>
      <c r="F87">
        <f>IF(OR(NOT(ISNUMBER(D87)),ABS(D87-E87)&gt;$O$3),1,0)</f>
        <v/>
      </c>
      <c r="G87">
        <f>IF(F87=1,NA(),D87)</f>
        <v/>
      </c>
      <c r="H87">
        <f>IF(AND(ISNUMBER(D87),D87&gt;=$O$4),1,0)</f>
        <v/>
      </c>
      <c r="I87">
        <f>B87-$O$8</f>
        <v/>
      </c>
    </row>
    <row r="88">
      <c r="A88" t="n">
        <v>258</v>
      </c>
      <c r="B88" t="n">
        <v>8.6</v>
      </c>
      <c r="E88">
        <f>IFERROR(MEDIAN(D68:D108),D88)</f>
        <v/>
      </c>
      <c r="F88">
        <f>IF(OR(NOT(ISNUMBER(D88)),ABS(D88-E88)&gt;$O$3),1,0)</f>
        <v/>
      </c>
      <c r="G88">
        <f>IF(F88=1,NA(),D88)</f>
        <v/>
      </c>
      <c r="H88">
        <f>IF(AND(ISNUMBER(D88),D88&gt;=$O$4),1,0)</f>
        <v/>
      </c>
      <c r="I88">
        <f>B88-$O$8</f>
        <v/>
      </c>
    </row>
    <row r="89">
      <c r="A89" t="n">
        <v>261</v>
      </c>
      <c r="B89" t="n">
        <v>8.699999999999999</v>
      </c>
      <c r="E89">
        <f>IFERROR(MEDIAN(D69:D109),D89)</f>
        <v/>
      </c>
      <c r="F89">
        <f>IF(OR(NOT(ISNUMBER(D89)),ABS(D89-E89)&gt;$O$3),1,0)</f>
        <v/>
      </c>
      <c r="G89">
        <f>IF(F89=1,NA(),D89)</f>
        <v/>
      </c>
      <c r="H89">
        <f>IF(AND(ISNUMBER(D89),D89&gt;=$O$4),1,0)</f>
        <v/>
      </c>
      <c r="I89">
        <f>B89-$O$8</f>
        <v/>
      </c>
    </row>
    <row r="90">
      <c r="A90" t="n">
        <v>264</v>
      </c>
      <c r="B90" t="n">
        <v>8.800000000000001</v>
      </c>
      <c r="E90">
        <f>IFERROR(MEDIAN(D70:D110),D90)</f>
        <v/>
      </c>
      <c r="F90">
        <f>IF(OR(NOT(ISNUMBER(D90)),ABS(D90-E90)&gt;$O$3),1,0)</f>
        <v/>
      </c>
      <c r="G90">
        <f>IF(F90=1,NA(),D90)</f>
        <v/>
      </c>
      <c r="H90">
        <f>IF(AND(ISNUMBER(D90),D90&gt;=$O$4),1,0)</f>
        <v/>
      </c>
      <c r="I90">
        <f>B90-$O$8</f>
        <v/>
      </c>
    </row>
    <row r="91">
      <c r="A91" t="n">
        <v>267</v>
      </c>
      <c r="B91" t="n">
        <v>8.9</v>
      </c>
      <c r="E91">
        <f>IFERROR(MEDIAN(D71:D111),D91)</f>
        <v/>
      </c>
      <c r="F91">
        <f>IF(OR(NOT(ISNUMBER(D91)),ABS(D91-E91)&gt;$O$3),1,0)</f>
        <v/>
      </c>
      <c r="G91">
        <f>IF(F91=1,NA(),D91)</f>
        <v/>
      </c>
      <c r="H91">
        <f>IF(AND(ISNUMBER(D91),D91&gt;=$O$4),1,0)</f>
        <v/>
      </c>
      <c r="I91">
        <f>B91-$O$8</f>
        <v/>
      </c>
    </row>
    <row r="92">
      <c r="A92" t="n">
        <v>270</v>
      </c>
      <c r="B92" t="n">
        <v>9</v>
      </c>
      <c r="E92">
        <f>IFERROR(MEDIAN(D72:D112),D92)</f>
        <v/>
      </c>
      <c r="F92">
        <f>IF(OR(NOT(ISNUMBER(D92)),ABS(D92-E92)&gt;$O$3),1,0)</f>
        <v/>
      </c>
      <c r="G92">
        <f>IF(F92=1,NA(),D92)</f>
        <v/>
      </c>
      <c r="H92">
        <f>IF(AND(ISNUMBER(D92),D92&gt;=$O$4),1,0)</f>
        <v/>
      </c>
      <c r="I92">
        <f>B92-$O$8</f>
        <v/>
      </c>
    </row>
    <row r="93">
      <c r="A93" t="n">
        <v>273</v>
      </c>
      <c r="B93" t="n">
        <v>9.1</v>
      </c>
      <c r="E93">
        <f>IFERROR(MEDIAN(D73:D113),D93)</f>
        <v/>
      </c>
      <c r="F93">
        <f>IF(OR(NOT(ISNUMBER(D93)),ABS(D93-E93)&gt;$O$3),1,0)</f>
        <v/>
      </c>
      <c r="G93">
        <f>IF(F93=1,NA(),D93)</f>
        <v/>
      </c>
      <c r="H93">
        <f>IF(AND(ISNUMBER(D93),D93&gt;=$O$4),1,0)</f>
        <v/>
      </c>
      <c r="I93">
        <f>B93-$O$8</f>
        <v/>
      </c>
    </row>
    <row r="94">
      <c r="A94" t="n">
        <v>276</v>
      </c>
      <c r="B94" t="n">
        <v>9.199999999999999</v>
      </c>
      <c r="E94">
        <f>IFERROR(MEDIAN(D74:D114),D94)</f>
        <v/>
      </c>
      <c r="F94">
        <f>IF(OR(NOT(ISNUMBER(D94)),ABS(D94-E94)&gt;$O$3),1,0)</f>
        <v/>
      </c>
      <c r="G94">
        <f>IF(F94=1,NA(),D94)</f>
        <v/>
      </c>
      <c r="H94">
        <f>IF(AND(ISNUMBER(D94),D94&gt;=$O$4),1,0)</f>
        <v/>
      </c>
      <c r="I94">
        <f>B94-$O$8</f>
        <v/>
      </c>
    </row>
    <row r="95">
      <c r="A95" t="n">
        <v>279</v>
      </c>
      <c r="B95" t="n">
        <v>9.300000000000001</v>
      </c>
      <c r="E95">
        <f>IFERROR(MEDIAN(D75:D115),D95)</f>
        <v/>
      </c>
      <c r="F95">
        <f>IF(OR(NOT(ISNUMBER(D95)),ABS(D95-E95)&gt;$O$3),1,0)</f>
        <v/>
      </c>
      <c r="G95">
        <f>IF(F95=1,NA(),D95)</f>
        <v/>
      </c>
      <c r="H95">
        <f>IF(AND(ISNUMBER(D95),D95&gt;=$O$4),1,0)</f>
        <v/>
      </c>
      <c r="I95">
        <f>B95-$O$8</f>
        <v/>
      </c>
    </row>
    <row r="96">
      <c r="A96" t="n">
        <v>282</v>
      </c>
      <c r="B96" t="n">
        <v>9.4</v>
      </c>
      <c r="E96">
        <f>IFERROR(MEDIAN(D76:D116),D96)</f>
        <v/>
      </c>
      <c r="F96">
        <f>IF(OR(NOT(ISNUMBER(D96)),ABS(D96-E96)&gt;$O$3),1,0)</f>
        <v/>
      </c>
      <c r="G96">
        <f>IF(F96=1,NA(),D96)</f>
        <v/>
      </c>
      <c r="H96">
        <f>IF(AND(ISNUMBER(D96),D96&gt;=$O$4),1,0)</f>
        <v/>
      </c>
      <c r="I96">
        <f>B96-$O$8</f>
        <v/>
      </c>
    </row>
    <row r="97">
      <c r="A97" t="n">
        <v>285</v>
      </c>
      <c r="B97" t="n">
        <v>9.5</v>
      </c>
      <c r="E97">
        <f>IFERROR(MEDIAN(D77:D117),D97)</f>
        <v/>
      </c>
      <c r="F97">
        <f>IF(OR(NOT(ISNUMBER(D97)),ABS(D97-E97)&gt;$O$3),1,0)</f>
        <v/>
      </c>
      <c r="G97">
        <f>IF(F97=1,NA(),D97)</f>
        <v/>
      </c>
      <c r="H97">
        <f>IF(AND(ISNUMBER(D97),D97&gt;=$O$4),1,0)</f>
        <v/>
      </c>
      <c r="I97">
        <f>B97-$O$8</f>
        <v/>
      </c>
    </row>
    <row r="98">
      <c r="A98" t="n">
        <v>288</v>
      </c>
      <c r="B98" t="n">
        <v>9.6</v>
      </c>
      <c r="E98">
        <f>IFERROR(MEDIAN(D78:D118),D98)</f>
        <v/>
      </c>
      <c r="F98">
        <f>IF(OR(NOT(ISNUMBER(D98)),ABS(D98-E98)&gt;$O$3),1,0)</f>
        <v/>
      </c>
      <c r="G98">
        <f>IF(F98=1,NA(),D98)</f>
        <v/>
      </c>
      <c r="H98">
        <f>IF(AND(ISNUMBER(D98),D98&gt;=$O$4),1,0)</f>
        <v/>
      </c>
      <c r="I98">
        <f>B98-$O$8</f>
        <v/>
      </c>
    </row>
    <row r="99">
      <c r="A99" t="n">
        <v>291</v>
      </c>
      <c r="B99" t="n">
        <v>9.699999999999999</v>
      </c>
      <c r="E99">
        <f>IFERROR(MEDIAN(D79:D119),D99)</f>
        <v/>
      </c>
      <c r="F99">
        <f>IF(OR(NOT(ISNUMBER(D99)),ABS(D99-E99)&gt;$O$3),1,0)</f>
        <v/>
      </c>
      <c r="G99">
        <f>IF(F99=1,NA(),D99)</f>
        <v/>
      </c>
      <c r="H99">
        <f>IF(AND(ISNUMBER(D99),D99&gt;=$O$4),1,0)</f>
        <v/>
      </c>
      <c r="I99">
        <f>B99-$O$8</f>
        <v/>
      </c>
    </row>
    <row r="100">
      <c r="A100" t="n">
        <v>294</v>
      </c>
      <c r="B100" t="n">
        <v>9.800000000000001</v>
      </c>
      <c r="E100">
        <f>IFERROR(MEDIAN(D80:D120),D100)</f>
        <v/>
      </c>
      <c r="F100">
        <f>IF(OR(NOT(ISNUMBER(D100)),ABS(D100-E100)&gt;$O$3),1,0)</f>
        <v/>
      </c>
      <c r="G100">
        <f>IF(F100=1,NA(),D100)</f>
        <v/>
      </c>
      <c r="H100">
        <f>IF(AND(ISNUMBER(D100),D100&gt;=$O$4),1,0)</f>
        <v/>
      </c>
      <c r="I100">
        <f>B100-$O$8</f>
        <v/>
      </c>
    </row>
    <row r="101">
      <c r="A101" t="n">
        <v>297</v>
      </c>
      <c r="B101" t="n">
        <v>9.9</v>
      </c>
      <c r="E101">
        <f>IFERROR(MEDIAN(D81:D121),D101)</f>
        <v/>
      </c>
      <c r="F101">
        <f>IF(OR(NOT(ISNUMBER(D101)),ABS(D101-E101)&gt;$O$3),1,0)</f>
        <v/>
      </c>
      <c r="G101">
        <f>IF(F101=1,NA(),D101)</f>
        <v/>
      </c>
      <c r="H101">
        <f>IF(AND(ISNUMBER(D101),D101&gt;=$O$4),1,0)</f>
        <v/>
      </c>
      <c r="I101">
        <f>B101-$O$8</f>
        <v/>
      </c>
    </row>
    <row r="102">
      <c r="A102" t="n">
        <v>300</v>
      </c>
      <c r="B102" t="n">
        <v>10</v>
      </c>
      <c r="E102">
        <f>IFERROR(MEDIAN(D82:D122),D102)</f>
        <v/>
      </c>
      <c r="F102">
        <f>IF(OR(NOT(ISNUMBER(D102)),ABS(D102-E102)&gt;$O$3),1,0)</f>
        <v/>
      </c>
      <c r="G102">
        <f>IF(F102=1,NA(),D102)</f>
        <v/>
      </c>
      <c r="H102">
        <f>IF(AND(ISNUMBER(D102),D102&gt;=$O$4),1,0)</f>
        <v/>
      </c>
      <c r="I102">
        <f>B102-$O$8</f>
        <v/>
      </c>
    </row>
    <row r="103">
      <c r="A103" t="n">
        <v>303</v>
      </c>
      <c r="B103" t="n">
        <v>10.1</v>
      </c>
      <c r="E103">
        <f>IFERROR(MEDIAN(D83:D123),D103)</f>
        <v/>
      </c>
      <c r="F103">
        <f>IF(OR(NOT(ISNUMBER(D103)),ABS(D103-E103)&gt;$O$3),1,0)</f>
        <v/>
      </c>
      <c r="G103">
        <f>IF(F103=1,NA(),D103)</f>
        <v/>
      </c>
      <c r="H103">
        <f>IF(AND(ISNUMBER(D103),D103&gt;=$O$4),1,0)</f>
        <v/>
      </c>
      <c r="I103">
        <f>B103-$O$8</f>
        <v/>
      </c>
    </row>
    <row r="104">
      <c r="A104" t="n">
        <v>306</v>
      </c>
      <c r="B104" t="n">
        <v>10.2</v>
      </c>
      <c r="E104">
        <f>IFERROR(MEDIAN(D84:D123),D104)</f>
        <v/>
      </c>
      <c r="F104">
        <f>IF(OR(NOT(ISNUMBER(D104)),ABS(D104-E104)&gt;$O$3),1,0)</f>
        <v/>
      </c>
      <c r="G104">
        <f>IF(F104=1,NA(),D104)</f>
        <v/>
      </c>
      <c r="H104">
        <f>IF(AND(ISNUMBER(D104),D104&gt;=$O$4),1,0)</f>
        <v/>
      </c>
      <c r="I104">
        <f>B104-$O$8</f>
        <v/>
      </c>
    </row>
    <row r="105">
      <c r="A105" t="n">
        <v>309</v>
      </c>
      <c r="B105" t="n">
        <v>10.3</v>
      </c>
      <c r="E105">
        <f>IFERROR(MEDIAN(D85:D123),D105)</f>
        <v/>
      </c>
      <c r="F105">
        <f>IF(OR(NOT(ISNUMBER(D105)),ABS(D105-E105)&gt;$O$3),1,0)</f>
        <v/>
      </c>
      <c r="G105">
        <f>IF(F105=1,NA(),D105)</f>
        <v/>
      </c>
      <c r="H105">
        <f>IF(AND(ISNUMBER(D105),D105&gt;=$O$4),1,0)</f>
        <v/>
      </c>
      <c r="I105">
        <f>B105-$O$8</f>
        <v/>
      </c>
    </row>
    <row r="106">
      <c r="A106" t="n">
        <v>312</v>
      </c>
      <c r="B106" t="n">
        <v>10.4</v>
      </c>
      <c r="E106">
        <f>IFERROR(MEDIAN(D86:D123),D106)</f>
        <v/>
      </c>
      <c r="F106">
        <f>IF(OR(NOT(ISNUMBER(D106)),ABS(D106-E106)&gt;$O$3),1,0)</f>
        <v/>
      </c>
      <c r="G106">
        <f>IF(F106=1,NA(),D106)</f>
        <v/>
      </c>
      <c r="H106">
        <f>IF(AND(ISNUMBER(D106),D106&gt;=$O$4),1,0)</f>
        <v/>
      </c>
      <c r="I106">
        <f>B106-$O$8</f>
        <v/>
      </c>
    </row>
    <row r="107">
      <c r="A107" t="n">
        <v>315</v>
      </c>
      <c r="B107" t="n">
        <v>10.5</v>
      </c>
      <c r="E107">
        <f>IFERROR(MEDIAN(D87:D123),D107)</f>
        <v/>
      </c>
      <c r="F107">
        <f>IF(OR(NOT(ISNUMBER(D107)),ABS(D107-E107)&gt;$O$3),1,0)</f>
        <v/>
      </c>
      <c r="G107">
        <f>IF(F107=1,NA(),D107)</f>
        <v/>
      </c>
      <c r="H107">
        <f>IF(AND(ISNUMBER(D107),D107&gt;=$O$4),1,0)</f>
        <v/>
      </c>
      <c r="I107">
        <f>B107-$O$8</f>
        <v/>
      </c>
    </row>
    <row r="108">
      <c r="A108" t="n">
        <v>318</v>
      </c>
      <c r="B108" t="n">
        <v>10.6</v>
      </c>
      <c r="E108">
        <f>IFERROR(MEDIAN(D88:D123),D108)</f>
        <v/>
      </c>
      <c r="F108">
        <f>IF(OR(NOT(ISNUMBER(D108)),ABS(D108-E108)&gt;$O$3),1,0)</f>
        <v/>
      </c>
      <c r="G108">
        <f>IF(F108=1,NA(),D108)</f>
        <v/>
      </c>
      <c r="H108">
        <f>IF(AND(ISNUMBER(D108),D108&gt;=$O$4),1,0)</f>
        <v/>
      </c>
      <c r="I108">
        <f>B108-$O$8</f>
        <v/>
      </c>
    </row>
    <row r="109">
      <c r="A109" t="n">
        <v>321</v>
      </c>
      <c r="B109" t="n">
        <v>10.7</v>
      </c>
      <c r="E109">
        <f>IFERROR(MEDIAN(D89:D123),D109)</f>
        <v/>
      </c>
      <c r="F109">
        <f>IF(OR(NOT(ISNUMBER(D109)),ABS(D109-E109)&gt;$O$3),1,0)</f>
        <v/>
      </c>
      <c r="G109">
        <f>IF(F109=1,NA(),D109)</f>
        <v/>
      </c>
      <c r="H109">
        <f>IF(AND(ISNUMBER(D109),D109&gt;=$O$4),1,0)</f>
        <v/>
      </c>
      <c r="I109">
        <f>B109-$O$8</f>
        <v/>
      </c>
    </row>
    <row r="110">
      <c r="A110" t="n">
        <v>324</v>
      </c>
      <c r="B110" t="n">
        <v>10.8</v>
      </c>
      <c r="E110">
        <f>IFERROR(MEDIAN(D90:D123),D110)</f>
        <v/>
      </c>
      <c r="F110">
        <f>IF(OR(NOT(ISNUMBER(D110)),ABS(D110-E110)&gt;$O$3),1,0)</f>
        <v/>
      </c>
      <c r="G110">
        <f>IF(F110=1,NA(),D110)</f>
        <v/>
      </c>
      <c r="H110">
        <f>IF(AND(ISNUMBER(D110),D110&gt;=$O$4),1,0)</f>
        <v/>
      </c>
      <c r="I110">
        <f>B110-$O$8</f>
        <v/>
      </c>
    </row>
    <row r="111">
      <c r="A111" t="n">
        <v>327</v>
      </c>
      <c r="B111" t="n">
        <v>10.9</v>
      </c>
      <c r="E111">
        <f>IFERROR(MEDIAN(D91:D123),D111)</f>
        <v/>
      </c>
      <c r="F111">
        <f>IF(OR(NOT(ISNUMBER(D111)),ABS(D111-E111)&gt;$O$3),1,0)</f>
        <v/>
      </c>
      <c r="G111">
        <f>IF(F111=1,NA(),D111)</f>
        <v/>
      </c>
      <c r="H111">
        <f>IF(AND(ISNUMBER(D111),D111&gt;=$O$4),1,0)</f>
        <v/>
      </c>
      <c r="I111">
        <f>B111-$O$8</f>
        <v/>
      </c>
    </row>
    <row r="112">
      <c r="A112" t="n">
        <v>330</v>
      </c>
      <c r="B112" t="n">
        <v>11</v>
      </c>
      <c r="E112">
        <f>IFERROR(MEDIAN(D92:D123),D112)</f>
        <v/>
      </c>
      <c r="F112">
        <f>IF(OR(NOT(ISNUMBER(D112)),ABS(D112-E112)&gt;$O$3),1,0)</f>
        <v/>
      </c>
      <c r="G112">
        <f>IF(F112=1,NA(),D112)</f>
        <v/>
      </c>
      <c r="H112">
        <f>IF(AND(ISNUMBER(D112),D112&gt;=$O$4),1,0)</f>
        <v/>
      </c>
      <c r="I112">
        <f>B112-$O$8</f>
        <v/>
      </c>
    </row>
    <row r="113">
      <c r="A113" t="n">
        <v>333</v>
      </c>
      <c r="B113" t="n">
        <v>11.1</v>
      </c>
      <c r="E113">
        <f>IFERROR(MEDIAN(D93:D123),D113)</f>
        <v/>
      </c>
      <c r="F113">
        <f>IF(OR(NOT(ISNUMBER(D113)),ABS(D113-E113)&gt;$O$3),1,0)</f>
        <v/>
      </c>
      <c r="G113">
        <f>IF(F113=1,NA(),D113)</f>
        <v/>
      </c>
      <c r="H113">
        <f>IF(AND(ISNUMBER(D113),D113&gt;=$O$4),1,0)</f>
        <v/>
      </c>
      <c r="I113">
        <f>B113-$O$8</f>
        <v/>
      </c>
    </row>
    <row r="114">
      <c r="A114" t="n">
        <v>336</v>
      </c>
      <c r="B114" t="n">
        <v>11.2</v>
      </c>
      <c r="E114">
        <f>IFERROR(MEDIAN(D94:D123),D114)</f>
        <v/>
      </c>
      <c r="F114">
        <f>IF(OR(NOT(ISNUMBER(D114)),ABS(D114-E114)&gt;$O$3),1,0)</f>
        <v/>
      </c>
      <c r="G114">
        <f>IF(F114=1,NA(),D114)</f>
        <v/>
      </c>
      <c r="H114">
        <f>IF(AND(ISNUMBER(D114),D114&gt;=$O$4),1,0)</f>
        <v/>
      </c>
      <c r="I114">
        <f>B114-$O$8</f>
        <v/>
      </c>
    </row>
    <row r="115">
      <c r="A115" t="n">
        <v>339</v>
      </c>
      <c r="B115" t="n">
        <v>11.3</v>
      </c>
      <c r="E115">
        <f>IFERROR(MEDIAN(D95:D123),D115)</f>
        <v/>
      </c>
      <c r="F115">
        <f>IF(OR(NOT(ISNUMBER(D115)),ABS(D115-E115)&gt;$O$3),1,0)</f>
        <v/>
      </c>
      <c r="G115">
        <f>IF(F115=1,NA(),D115)</f>
        <v/>
      </c>
      <c r="H115">
        <f>IF(AND(ISNUMBER(D115),D115&gt;=$O$4),1,0)</f>
        <v/>
      </c>
      <c r="I115">
        <f>B115-$O$8</f>
        <v/>
      </c>
    </row>
    <row r="116">
      <c r="A116" t="n">
        <v>342</v>
      </c>
      <c r="B116" t="n">
        <v>11.4</v>
      </c>
      <c r="E116">
        <f>IFERROR(MEDIAN(D96:D123),D116)</f>
        <v/>
      </c>
      <c r="F116">
        <f>IF(OR(NOT(ISNUMBER(D116)),ABS(D116-E116)&gt;$O$3),1,0)</f>
        <v/>
      </c>
      <c r="G116">
        <f>IF(F116=1,NA(),D116)</f>
        <v/>
      </c>
      <c r="H116">
        <f>IF(AND(ISNUMBER(D116),D116&gt;=$O$4),1,0)</f>
        <v/>
      </c>
      <c r="I116">
        <f>B116-$O$8</f>
        <v/>
      </c>
    </row>
    <row r="117">
      <c r="A117" t="n">
        <v>345</v>
      </c>
      <c r="B117" t="n">
        <v>11.5</v>
      </c>
      <c r="E117">
        <f>IFERROR(MEDIAN(D97:D123),D117)</f>
        <v/>
      </c>
      <c r="F117">
        <f>IF(OR(NOT(ISNUMBER(D117)),ABS(D117-E117)&gt;$O$3),1,0)</f>
        <v/>
      </c>
      <c r="G117">
        <f>IF(F117=1,NA(),D117)</f>
        <v/>
      </c>
      <c r="H117">
        <f>IF(AND(ISNUMBER(D117),D117&gt;=$O$4),1,0)</f>
        <v/>
      </c>
      <c r="I117">
        <f>B117-$O$8</f>
        <v/>
      </c>
    </row>
    <row r="118">
      <c r="A118" t="n">
        <v>348</v>
      </c>
      <c r="B118" t="n">
        <v>11.6</v>
      </c>
      <c r="E118">
        <f>IFERROR(MEDIAN(D98:D123),D118)</f>
        <v/>
      </c>
      <c r="F118">
        <f>IF(OR(NOT(ISNUMBER(D118)),ABS(D118-E118)&gt;$O$3),1,0)</f>
        <v/>
      </c>
      <c r="G118">
        <f>IF(F118=1,NA(),D118)</f>
        <v/>
      </c>
      <c r="H118">
        <f>IF(AND(ISNUMBER(D118),D118&gt;=$O$4),1,0)</f>
        <v/>
      </c>
      <c r="I118">
        <f>B118-$O$8</f>
        <v/>
      </c>
    </row>
    <row r="119">
      <c r="A119" t="n">
        <v>351</v>
      </c>
      <c r="B119" t="n">
        <v>11.7</v>
      </c>
      <c r="E119">
        <f>IFERROR(MEDIAN(D99:D123),D119)</f>
        <v/>
      </c>
      <c r="F119">
        <f>IF(OR(NOT(ISNUMBER(D119)),ABS(D119-E119)&gt;$O$3),1,0)</f>
        <v/>
      </c>
      <c r="G119">
        <f>IF(F119=1,NA(),D119)</f>
        <v/>
      </c>
      <c r="H119">
        <f>IF(AND(ISNUMBER(D119),D119&gt;=$O$4),1,0)</f>
        <v/>
      </c>
      <c r="I119">
        <f>B119-$O$8</f>
        <v/>
      </c>
    </row>
    <row r="120">
      <c r="A120" t="n">
        <v>354</v>
      </c>
      <c r="B120" t="n">
        <v>11.8</v>
      </c>
      <c r="E120">
        <f>IFERROR(MEDIAN(D100:D123),D120)</f>
        <v/>
      </c>
      <c r="F120">
        <f>IF(OR(NOT(ISNUMBER(D120)),ABS(D120-E120)&gt;$O$3),1,0)</f>
        <v/>
      </c>
      <c r="G120">
        <f>IF(F120=1,NA(),D120)</f>
        <v/>
      </c>
      <c r="H120">
        <f>IF(AND(ISNUMBER(D120),D120&gt;=$O$4),1,0)</f>
        <v/>
      </c>
      <c r="I120">
        <f>B120-$O$8</f>
        <v/>
      </c>
    </row>
    <row r="121">
      <c r="A121" t="n">
        <v>357</v>
      </c>
      <c r="B121" t="n">
        <v>11.9</v>
      </c>
      <c r="E121">
        <f>IFERROR(MEDIAN(D101:D123),D121)</f>
        <v/>
      </c>
      <c r="F121">
        <f>IF(OR(NOT(ISNUMBER(D121)),ABS(D121-E121)&gt;$O$3),1,0)</f>
        <v/>
      </c>
      <c r="G121">
        <f>IF(F121=1,NA(),D121)</f>
        <v/>
      </c>
      <c r="H121">
        <f>IF(AND(ISNUMBER(D121),D121&gt;=$O$4),1,0)</f>
        <v/>
      </c>
      <c r="I121">
        <f>B121-$O$8</f>
        <v/>
      </c>
    </row>
    <row r="122">
      <c r="A122" t="n">
        <v>360</v>
      </c>
      <c r="B122" t="n">
        <v>12</v>
      </c>
      <c r="E122">
        <f>IFERROR(MEDIAN(D102:D123),D122)</f>
        <v/>
      </c>
      <c r="F122">
        <f>IF(OR(NOT(ISNUMBER(D122)),ABS(D122-E122)&gt;$O$3),1,0)</f>
        <v/>
      </c>
      <c r="G122">
        <f>IF(F122=1,NA(),D122)</f>
        <v/>
      </c>
      <c r="H122">
        <f>IF(AND(ISNUMBER(D122),D122&gt;=$O$4),1,0)</f>
        <v/>
      </c>
      <c r="I122">
        <f>B122-$O$8</f>
        <v/>
      </c>
    </row>
    <row r="123">
      <c r="A123" t="n">
        <v>363</v>
      </c>
      <c r="B123" t="n">
        <v>12.1</v>
      </c>
      <c r="E123">
        <f>IFERROR(MEDIAN(D103:D123),D123)</f>
        <v/>
      </c>
      <c r="F123">
        <f>IF(OR(NOT(ISNUMBER(D123)),ABS(D123-E123)&gt;$O$3),1,0)</f>
        <v/>
      </c>
      <c r="G123">
        <f>IF(F123=1,NA(),D123)</f>
        <v/>
      </c>
      <c r="H123">
        <f>IF(AND(ISNUMBER(D123),D123&gt;=$O$4),1,0)</f>
        <v/>
      </c>
      <c r="I123">
        <f>B123-$O$8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time_corrected_s</t>
        </is>
      </c>
      <c r="B1" s="1" t="inlineStr">
        <is>
          <t>remaining_volume_mL</t>
        </is>
      </c>
    </row>
    <row r="2">
      <c r="A2">
        <f>Sheet1!I2</f>
        <v/>
      </c>
      <c r="B2">
        <f>IF(ISNA(Sheet1!G2),NA(),Sheet1!$O$5-(Sheet1!G2/Sheet1!$O$6))</f>
        <v/>
      </c>
    </row>
    <row r="3">
      <c r="A3">
        <f>Sheet1!I3</f>
        <v/>
      </c>
      <c r="B3">
        <f>IF(ISNA(Sheet1!G3),NA(),Sheet1!$O$5-(Sheet1!G3/Sheet1!$O$6))</f>
        <v/>
      </c>
    </row>
    <row r="4">
      <c r="A4">
        <f>Sheet1!I4</f>
        <v/>
      </c>
      <c r="B4">
        <f>IF(ISNA(Sheet1!G4),NA(),Sheet1!$O$5-(Sheet1!G4/Sheet1!$O$6))</f>
        <v/>
      </c>
    </row>
    <row r="5">
      <c r="A5">
        <f>Sheet1!I5</f>
        <v/>
      </c>
      <c r="B5">
        <f>IF(ISNA(Sheet1!G5),NA(),Sheet1!$O$5-(Sheet1!G5/Sheet1!$O$6))</f>
        <v/>
      </c>
    </row>
    <row r="6">
      <c r="A6">
        <f>Sheet1!I6</f>
        <v/>
      </c>
      <c r="B6">
        <f>IF(ISNA(Sheet1!G6),NA(),Sheet1!$O$5-(Sheet1!G6/Sheet1!$O$6))</f>
        <v/>
      </c>
    </row>
    <row r="7">
      <c r="A7">
        <f>Sheet1!I7</f>
        <v/>
      </c>
      <c r="B7">
        <f>IF(ISNA(Sheet1!G7),NA(),Sheet1!$O$5-(Sheet1!G7/Sheet1!$O$6))</f>
        <v/>
      </c>
    </row>
    <row r="8">
      <c r="A8">
        <f>Sheet1!I8</f>
        <v/>
      </c>
      <c r="B8">
        <f>IF(ISNA(Sheet1!G8),NA(),Sheet1!$O$5-(Sheet1!G8/Sheet1!$O$6))</f>
        <v/>
      </c>
    </row>
    <row r="9">
      <c r="A9">
        <f>Sheet1!I9</f>
        <v/>
      </c>
      <c r="B9">
        <f>IF(ISNA(Sheet1!G9),NA(),Sheet1!$O$5-(Sheet1!G9/Sheet1!$O$6))</f>
        <v/>
      </c>
    </row>
    <row r="10">
      <c r="A10">
        <f>Sheet1!I10</f>
        <v/>
      </c>
      <c r="B10">
        <f>IF(ISNA(Sheet1!G10),NA(),Sheet1!$O$5-(Sheet1!G10/Sheet1!$O$6))</f>
        <v/>
      </c>
    </row>
    <row r="11">
      <c r="A11">
        <f>Sheet1!I11</f>
        <v/>
      </c>
      <c r="B11">
        <f>IF(ISNA(Sheet1!G11),NA(),Sheet1!$O$5-(Sheet1!G11/Sheet1!$O$6))</f>
        <v/>
      </c>
    </row>
    <row r="12">
      <c r="A12">
        <f>Sheet1!I12</f>
        <v/>
      </c>
      <c r="B12">
        <f>IF(ISNA(Sheet1!G12),NA(),Sheet1!$O$5-(Sheet1!G12/Sheet1!$O$6))</f>
        <v/>
      </c>
    </row>
    <row r="13">
      <c r="A13">
        <f>Sheet1!I13</f>
        <v/>
      </c>
      <c r="B13">
        <f>IF(ISNA(Sheet1!G13),NA(),Sheet1!$O$5-(Sheet1!G13/Sheet1!$O$6))</f>
        <v/>
      </c>
    </row>
    <row r="14">
      <c r="A14">
        <f>Sheet1!I14</f>
        <v/>
      </c>
      <c r="B14">
        <f>IF(ISNA(Sheet1!G14),NA(),Sheet1!$O$5-(Sheet1!G14/Sheet1!$O$6))</f>
        <v/>
      </c>
    </row>
    <row r="15">
      <c r="A15">
        <f>Sheet1!I15</f>
        <v/>
      </c>
      <c r="B15">
        <f>IF(ISNA(Sheet1!G15),NA(),Sheet1!$O$5-(Sheet1!G15/Sheet1!$O$6))</f>
        <v/>
      </c>
    </row>
    <row r="16">
      <c r="A16">
        <f>Sheet1!I16</f>
        <v/>
      </c>
      <c r="B16">
        <f>IF(ISNA(Sheet1!G16),NA(),Sheet1!$O$5-(Sheet1!G16/Sheet1!$O$6))</f>
        <v/>
      </c>
    </row>
    <row r="17">
      <c r="A17">
        <f>Sheet1!I17</f>
        <v/>
      </c>
      <c r="B17">
        <f>IF(ISNA(Sheet1!G17),NA(),Sheet1!$O$5-(Sheet1!G17/Sheet1!$O$6))</f>
        <v/>
      </c>
    </row>
    <row r="18">
      <c r="A18">
        <f>Sheet1!I18</f>
        <v/>
      </c>
      <c r="B18">
        <f>IF(ISNA(Sheet1!G18),NA(),Sheet1!$O$5-(Sheet1!G18/Sheet1!$O$6))</f>
        <v/>
      </c>
    </row>
    <row r="19">
      <c r="A19">
        <f>Sheet1!I19</f>
        <v/>
      </c>
      <c r="B19">
        <f>IF(ISNA(Sheet1!G19),NA(),Sheet1!$O$5-(Sheet1!G19/Sheet1!$O$6))</f>
        <v/>
      </c>
    </row>
    <row r="20">
      <c r="A20">
        <f>Sheet1!I20</f>
        <v/>
      </c>
      <c r="B20">
        <f>IF(ISNA(Sheet1!G20),NA(),Sheet1!$O$5-(Sheet1!G20/Sheet1!$O$6))</f>
        <v/>
      </c>
    </row>
    <row r="21">
      <c r="A21">
        <f>Sheet1!I21</f>
        <v/>
      </c>
      <c r="B21">
        <f>IF(ISNA(Sheet1!G21),NA(),Sheet1!$O$5-(Sheet1!G21/Sheet1!$O$6))</f>
        <v/>
      </c>
    </row>
    <row r="22">
      <c r="A22">
        <f>Sheet1!I22</f>
        <v/>
      </c>
      <c r="B22">
        <f>IF(ISNA(Sheet1!G22),NA(),Sheet1!$O$5-(Sheet1!G22/Sheet1!$O$6))</f>
        <v/>
      </c>
    </row>
    <row r="23">
      <c r="A23">
        <f>Sheet1!I23</f>
        <v/>
      </c>
      <c r="B23">
        <f>IF(ISNA(Sheet1!G23),NA(),Sheet1!$O$5-(Sheet1!G23/Sheet1!$O$6))</f>
        <v/>
      </c>
    </row>
    <row r="24">
      <c r="A24">
        <f>Sheet1!I24</f>
        <v/>
      </c>
      <c r="B24">
        <f>IF(ISNA(Sheet1!G24),NA(),Sheet1!$O$5-(Sheet1!G24/Sheet1!$O$6))</f>
        <v/>
      </c>
    </row>
    <row r="25">
      <c r="A25">
        <f>Sheet1!I25</f>
        <v/>
      </c>
      <c r="B25">
        <f>IF(ISNA(Sheet1!G25),NA(),Sheet1!$O$5-(Sheet1!G25/Sheet1!$O$6))</f>
        <v/>
      </c>
    </row>
    <row r="26">
      <c r="A26">
        <f>Sheet1!I26</f>
        <v/>
      </c>
      <c r="B26">
        <f>IF(ISNA(Sheet1!G26),NA(),Sheet1!$O$5-(Sheet1!G26/Sheet1!$O$6))</f>
        <v/>
      </c>
    </row>
    <row r="27">
      <c r="A27">
        <f>Sheet1!I27</f>
        <v/>
      </c>
      <c r="B27">
        <f>IF(ISNA(Sheet1!G27),NA(),Sheet1!$O$5-(Sheet1!G27/Sheet1!$O$6))</f>
        <v/>
      </c>
    </row>
    <row r="28">
      <c r="A28">
        <f>Sheet1!I28</f>
        <v/>
      </c>
      <c r="B28">
        <f>IF(ISNA(Sheet1!G28),NA(),Sheet1!$O$5-(Sheet1!G28/Sheet1!$O$6))</f>
        <v/>
      </c>
    </row>
    <row r="29">
      <c r="A29">
        <f>Sheet1!I29</f>
        <v/>
      </c>
      <c r="B29">
        <f>IF(ISNA(Sheet1!G29),NA(),Sheet1!$O$5-(Sheet1!G29/Sheet1!$O$6))</f>
        <v/>
      </c>
    </row>
    <row r="30">
      <c r="A30">
        <f>Sheet1!I30</f>
        <v/>
      </c>
      <c r="B30">
        <f>IF(ISNA(Sheet1!G30),NA(),Sheet1!$O$5-(Sheet1!G30/Sheet1!$O$6))</f>
        <v/>
      </c>
    </row>
    <row r="31">
      <c r="A31">
        <f>Sheet1!I31</f>
        <v/>
      </c>
      <c r="B31">
        <f>IF(ISNA(Sheet1!G31),NA(),Sheet1!$O$5-(Sheet1!G31/Sheet1!$O$6))</f>
        <v/>
      </c>
    </row>
    <row r="32">
      <c r="A32">
        <f>Sheet1!I32</f>
        <v/>
      </c>
      <c r="B32">
        <f>IF(ISNA(Sheet1!G32),NA(),Sheet1!$O$5-(Sheet1!G32/Sheet1!$O$6))</f>
        <v/>
      </c>
    </row>
    <row r="33">
      <c r="A33">
        <f>Sheet1!I33</f>
        <v/>
      </c>
      <c r="B33">
        <f>IF(ISNA(Sheet1!G33),NA(),Sheet1!$O$5-(Sheet1!G33/Sheet1!$O$6))</f>
        <v/>
      </c>
    </row>
    <row r="34">
      <c r="A34">
        <f>Sheet1!I34</f>
        <v/>
      </c>
      <c r="B34">
        <f>IF(ISNA(Sheet1!G34),NA(),Sheet1!$O$5-(Sheet1!G34/Sheet1!$O$6))</f>
        <v/>
      </c>
    </row>
    <row r="35">
      <c r="A35">
        <f>Sheet1!I35</f>
        <v/>
      </c>
      <c r="B35">
        <f>IF(ISNA(Sheet1!G35),NA(),Sheet1!$O$5-(Sheet1!G35/Sheet1!$O$6))</f>
        <v/>
      </c>
    </row>
    <row r="36">
      <c r="A36">
        <f>Sheet1!I36</f>
        <v/>
      </c>
      <c r="B36">
        <f>IF(ISNA(Sheet1!G36),NA(),Sheet1!$O$5-(Sheet1!G36/Sheet1!$O$6))</f>
        <v/>
      </c>
    </row>
    <row r="37">
      <c r="A37">
        <f>Sheet1!I37</f>
        <v/>
      </c>
      <c r="B37">
        <f>IF(ISNA(Sheet1!G37),NA(),Sheet1!$O$5-(Sheet1!G37/Sheet1!$O$6))</f>
        <v/>
      </c>
    </row>
    <row r="38">
      <c r="A38">
        <f>Sheet1!I38</f>
        <v/>
      </c>
      <c r="B38">
        <f>IF(ISNA(Sheet1!G38),NA(),Sheet1!$O$5-(Sheet1!G38/Sheet1!$O$6))</f>
        <v/>
      </c>
    </row>
    <row r="39">
      <c r="A39">
        <f>Sheet1!I39</f>
        <v/>
      </c>
      <c r="B39">
        <f>IF(ISNA(Sheet1!G39),NA(),Sheet1!$O$5-(Sheet1!G39/Sheet1!$O$6))</f>
        <v/>
      </c>
    </row>
    <row r="40">
      <c r="A40">
        <f>Sheet1!I40</f>
        <v/>
      </c>
      <c r="B40">
        <f>IF(ISNA(Sheet1!G40),NA(),Sheet1!$O$5-(Sheet1!G40/Sheet1!$O$6))</f>
        <v/>
      </c>
    </row>
    <row r="41">
      <c r="A41">
        <f>Sheet1!I41</f>
        <v/>
      </c>
      <c r="B41">
        <f>IF(ISNA(Sheet1!G41),NA(),Sheet1!$O$5-(Sheet1!G41/Sheet1!$O$6))</f>
        <v/>
      </c>
    </row>
    <row r="42">
      <c r="A42">
        <f>Sheet1!I42</f>
        <v/>
      </c>
      <c r="B42">
        <f>IF(ISNA(Sheet1!G42),NA(),Sheet1!$O$5-(Sheet1!G42/Sheet1!$O$6))</f>
        <v/>
      </c>
    </row>
    <row r="43">
      <c r="A43">
        <f>Sheet1!I43</f>
        <v/>
      </c>
      <c r="B43">
        <f>IF(ISNA(Sheet1!G43),NA(),Sheet1!$O$5-(Sheet1!G43/Sheet1!$O$6))</f>
        <v/>
      </c>
    </row>
    <row r="44">
      <c r="A44">
        <f>Sheet1!I44</f>
        <v/>
      </c>
      <c r="B44">
        <f>IF(ISNA(Sheet1!G44),NA(),Sheet1!$O$5-(Sheet1!G44/Sheet1!$O$6))</f>
        <v/>
      </c>
    </row>
    <row r="45">
      <c r="A45">
        <f>Sheet1!I45</f>
        <v/>
      </c>
      <c r="B45">
        <f>IF(ISNA(Sheet1!G45),NA(),Sheet1!$O$5-(Sheet1!G45/Sheet1!$O$6))</f>
        <v/>
      </c>
    </row>
    <row r="46">
      <c r="A46">
        <f>Sheet1!I46</f>
        <v/>
      </c>
      <c r="B46">
        <f>IF(ISNA(Sheet1!G46),NA(),Sheet1!$O$5-(Sheet1!G46/Sheet1!$O$6))</f>
        <v/>
      </c>
    </row>
    <row r="47">
      <c r="A47">
        <f>Sheet1!I47</f>
        <v/>
      </c>
      <c r="B47">
        <f>IF(ISNA(Sheet1!G47),NA(),Sheet1!$O$5-(Sheet1!G47/Sheet1!$O$6))</f>
        <v/>
      </c>
    </row>
    <row r="48">
      <c r="A48">
        <f>Sheet1!I48</f>
        <v/>
      </c>
      <c r="B48">
        <f>IF(ISNA(Sheet1!G48),NA(),Sheet1!$O$5-(Sheet1!G48/Sheet1!$O$6))</f>
        <v/>
      </c>
    </row>
    <row r="49">
      <c r="A49">
        <f>Sheet1!I49</f>
        <v/>
      </c>
      <c r="B49">
        <f>IF(ISNA(Sheet1!G49),NA(),Sheet1!$O$5-(Sheet1!G49/Sheet1!$O$6))</f>
        <v/>
      </c>
    </row>
    <row r="50">
      <c r="A50">
        <f>Sheet1!I50</f>
        <v/>
      </c>
      <c r="B50">
        <f>IF(ISNA(Sheet1!G50),NA(),Sheet1!$O$5-(Sheet1!G50/Sheet1!$O$6))</f>
        <v/>
      </c>
    </row>
    <row r="51">
      <c r="A51">
        <f>Sheet1!I51</f>
        <v/>
      </c>
      <c r="B51">
        <f>IF(ISNA(Sheet1!G51),NA(),Sheet1!$O$5-(Sheet1!G51/Sheet1!$O$6))</f>
        <v/>
      </c>
    </row>
    <row r="52">
      <c r="A52">
        <f>Sheet1!I52</f>
        <v/>
      </c>
      <c r="B52">
        <f>IF(ISNA(Sheet1!G52),NA(),Sheet1!$O$5-(Sheet1!G52/Sheet1!$O$6))</f>
        <v/>
      </c>
    </row>
    <row r="53">
      <c r="A53">
        <f>Sheet1!I53</f>
        <v/>
      </c>
      <c r="B53">
        <f>IF(ISNA(Sheet1!G53),NA(),Sheet1!$O$5-(Sheet1!G53/Sheet1!$O$6))</f>
        <v/>
      </c>
    </row>
    <row r="54">
      <c r="A54">
        <f>Sheet1!I54</f>
        <v/>
      </c>
      <c r="B54">
        <f>IF(ISNA(Sheet1!G54),NA(),Sheet1!$O$5-(Sheet1!G54/Sheet1!$O$6))</f>
        <v/>
      </c>
    </row>
    <row r="55">
      <c r="A55">
        <f>Sheet1!I55</f>
        <v/>
      </c>
      <c r="B55">
        <f>IF(ISNA(Sheet1!G55),NA(),Sheet1!$O$5-(Sheet1!G55/Sheet1!$O$6))</f>
        <v/>
      </c>
    </row>
    <row r="56">
      <c r="A56">
        <f>Sheet1!I56</f>
        <v/>
      </c>
      <c r="B56">
        <f>IF(ISNA(Sheet1!G56),NA(),Sheet1!$O$5-(Sheet1!G56/Sheet1!$O$6))</f>
        <v/>
      </c>
    </row>
    <row r="57">
      <c r="A57">
        <f>Sheet1!I57</f>
        <v/>
      </c>
      <c r="B57">
        <f>IF(ISNA(Sheet1!G57),NA(),Sheet1!$O$5-(Sheet1!G57/Sheet1!$O$6))</f>
        <v/>
      </c>
    </row>
    <row r="58">
      <c r="A58">
        <f>Sheet1!I58</f>
        <v/>
      </c>
      <c r="B58">
        <f>IF(ISNA(Sheet1!G58),NA(),Sheet1!$O$5-(Sheet1!G58/Sheet1!$O$6))</f>
        <v/>
      </c>
    </row>
    <row r="59">
      <c r="A59">
        <f>Sheet1!I59</f>
        <v/>
      </c>
      <c r="B59">
        <f>IF(ISNA(Sheet1!G59),NA(),Sheet1!$O$5-(Sheet1!G59/Sheet1!$O$6))</f>
        <v/>
      </c>
    </row>
    <row r="60">
      <c r="A60">
        <f>Sheet1!I60</f>
        <v/>
      </c>
      <c r="B60">
        <f>IF(ISNA(Sheet1!G60),NA(),Sheet1!$O$5-(Sheet1!G60/Sheet1!$O$6))</f>
        <v/>
      </c>
    </row>
    <row r="61">
      <c r="A61">
        <f>Sheet1!I61</f>
        <v/>
      </c>
      <c r="B61">
        <f>IF(ISNA(Sheet1!G61),NA(),Sheet1!$O$5-(Sheet1!G61/Sheet1!$O$6))</f>
        <v/>
      </c>
    </row>
    <row r="62">
      <c r="A62">
        <f>Sheet1!I62</f>
        <v/>
      </c>
      <c r="B62">
        <f>IF(ISNA(Sheet1!G62),NA(),Sheet1!$O$5-(Sheet1!G62/Sheet1!$O$6))</f>
        <v/>
      </c>
    </row>
    <row r="63">
      <c r="A63">
        <f>Sheet1!I63</f>
        <v/>
      </c>
      <c r="B63">
        <f>IF(ISNA(Sheet1!G63),NA(),Sheet1!$O$5-(Sheet1!G63/Sheet1!$O$6))</f>
        <v/>
      </c>
    </row>
    <row r="64">
      <c r="A64">
        <f>Sheet1!I64</f>
        <v/>
      </c>
      <c r="B64">
        <f>IF(ISNA(Sheet1!G64),NA(),Sheet1!$O$5-(Sheet1!G64/Sheet1!$O$6))</f>
        <v/>
      </c>
    </row>
    <row r="65">
      <c r="A65">
        <f>Sheet1!I65</f>
        <v/>
      </c>
      <c r="B65">
        <f>IF(ISNA(Sheet1!G65),NA(),Sheet1!$O$5-(Sheet1!G65/Sheet1!$O$6))</f>
        <v/>
      </c>
    </row>
    <row r="66">
      <c r="A66">
        <f>Sheet1!I66</f>
        <v/>
      </c>
      <c r="B66">
        <f>IF(ISNA(Sheet1!G66),NA(),Sheet1!$O$5-(Sheet1!G66/Sheet1!$O$6))</f>
        <v/>
      </c>
    </row>
    <row r="67">
      <c r="A67">
        <f>Sheet1!I67</f>
        <v/>
      </c>
      <c r="B67">
        <f>IF(ISNA(Sheet1!G67),NA(),Sheet1!$O$5-(Sheet1!G67/Sheet1!$O$6))</f>
        <v/>
      </c>
    </row>
    <row r="68">
      <c r="A68">
        <f>Sheet1!I68</f>
        <v/>
      </c>
      <c r="B68">
        <f>IF(ISNA(Sheet1!G68),NA(),Sheet1!$O$5-(Sheet1!G68/Sheet1!$O$6))</f>
        <v/>
      </c>
    </row>
    <row r="69">
      <c r="A69">
        <f>Sheet1!I69</f>
        <v/>
      </c>
      <c r="B69">
        <f>IF(ISNA(Sheet1!G69),NA(),Sheet1!$O$5-(Sheet1!G69/Sheet1!$O$6))</f>
        <v/>
      </c>
    </row>
    <row r="70">
      <c r="A70">
        <f>Sheet1!I70</f>
        <v/>
      </c>
      <c r="B70">
        <f>IF(ISNA(Sheet1!G70),NA(),Sheet1!$O$5-(Sheet1!G70/Sheet1!$O$6))</f>
        <v/>
      </c>
    </row>
    <row r="71">
      <c r="A71">
        <f>Sheet1!I71</f>
        <v/>
      </c>
      <c r="B71">
        <f>IF(ISNA(Sheet1!G71),NA(),Sheet1!$O$5-(Sheet1!G71/Sheet1!$O$6))</f>
        <v/>
      </c>
    </row>
    <row r="72">
      <c r="A72">
        <f>Sheet1!I72</f>
        <v/>
      </c>
      <c r="B72">
        <f>IF(ISNA(Sheet1!G72),NA(),Sheet1!$O$5-(Sheet1!G72/Sheet1!$O$6))</f>
        <v/>
      </c>
    </row>
    <row r="73">
      <c r="A73">
        <f>Sheet1!I73</f>
        <v/>
      </c>
      <c r="B73">
        <f>IF(ISNA(Sheet1!G73),NA(),Sheet1!$O$5-(Sheet1!G73/Sheet1!$O$6))</f>
        <v/>
      </c>
    </row>
    <row r="74">
      <c r="A74">
        <f>Sheet1!I74</f>
        <v/>
      </c>
      <c r="B74">
        <f>IF(ISNA(Sheet1!G74),NA(),Sheet1!$O$5-(Sheet1!G74/Sheet1!$O$6))</f>
        <v/>
      </c>
    </row>
    <row r="75">
      <c r="A75">
        <f>Sheet1!I75</f>
        <v/>
      </c>
      <c r="B75">
        <f>IF(ISNA(Sheet1!G75),NA(),Sheet1!$O$5-(Sheet1!G75/Sheet1!$O$6))</f>
        <v/>
      </c>
    </row>
    <row r="76">
      <c r="A76">
        <f>Sheet1!I76</f>
        <v/>
      </c>
      <c r="B76">
        <f>IF(ISNA(Sheet1!G76),NA(),Sheet1!$O$5-(Sheet1!G76/Sheet1!$O$6))</f>
        <v/>
      </c>
    </row>
    <row r="77">
      <c r="A77">
        <f>Sheet1!I77</f>
        <v/>
      </c>
      <c r="B77">
        <f>IF(ISNA(Sheet1!G77),NA(),Sheet1!$O$5-(Sheet1!G77/Sheet1!$O$6))</f>
        <v/>
      </c>
    </row>
    <row r="78">
      <c r="A78">
        <f>Sheet1!I78</f>
        <v/>
      </c>
      <c r="B78">
        <f>IF(ISNA(Sheet1!G78),NA(),Sheet1!$O$5-(Sheet1!G78/Sheet1!$O$6))</f>
        <v/>
      </c>
    </row>
    <row r="79">
      <c r="A79">
        <f>Sheet1!I79</f>
        <v/>
      </c>
      <c r="B79">
        <f>IF(ISNA(Sheet1!G79),NA(),Sheet1!$O$5-(Sheet1!G79/Sheet1!$O$6))</f>
        <v/>
      </c>
    </row>
    <row r="80">
      <c r="A80">
        <f>Sheet1!I80</f>
        <v/>
      </c>
      <c r="B80">
        <f>IF(ISNA(Sheet1!G80),NA(),Sheet1!$O$5-(Sheet1!G80/Sheet1!$O$6))</f>
        <v/>
      </c>
    </row>
    <row r="81">
      <c r="A81">
        <f>Sheet1!I81</f>
        <v/>
      </c>
      <c r="B81">
        <f>IF(ISNA(Sheet1!G81),NA(),Sheet1!$O$5-(Sheet1!G81/Sheet1!$O$6))</f>
        <v/>
      </c>
    </row>
    <row r="82">
      <c r="A82">
        <f>Sheet1!I82</f>
        <v/>
      </c>
      <c r="B82">
        <f>IF(ISNA(Sheet1!G82),NA(),Sheet1!$O$5-(Sheet1!G82/Sheet1!$O$6))</f>
        <v/>
      </c>
    </row>
    <row r="83">
      <c r="A83">
        <f>Sheet1!I83</f>
        <v/>
      </c>
      <c r="B83">
        <f>IF(ISNA(Sheet1!G83),NA(),Sheet1!$O$5-(Sheet1!G83/Sheet1!$O$6))</f>
        <v/>
      </c>
    </row>
    <row r="84">
      <c r="A84">
        <f>Sheet1!I84</f>
        <v/>
      </c>
      <c r="B84">
        <f>IF(ISNA(Sheet1!G84),NA(),Sheet1!$O$5-(Sheet1!G84/Sheet1!$O$6))</f>
        <v/>
      </c>
    </row>
    <row r="85">
      <c r="A85">
        <f>Sheet1!I85</f>
        <v/>
      </c>
      <c r="B85">
        <f>IF(ISNA(Sheet1!G85),NA(),Sheet1!$O$5-(Sheet1!G85/Sheet1!$O$6))</f>
        <v/>
      </c>
    </row>
    <row r="86">
      <c r="A86">
        <f>Sheet1!I86</f>
        <v/>
      </c>
      <c r="B86">
        <f>IF(ISNA(Sheet1!G86),NA(),Sheet1!$O$5-(Sheet1!G86/Sheet1!$O$6))</f>
        <v/>
      </c>
    </row>
    <row r="87">
      <c r="A87">
        <f>Sheet1!I87</f>
        <v/>
      </c>
      <c r="B87">
        <f>IF(ISNA(Sheet1!G87),NA(),Sheet1!$O$5-(Sheet1!G87/Sheet1!$O$6))</f>
        <v/>
      </c>
    </row>
    <row r="88">
      <c r="A88">
        <f>Sheet1!I88</f>
        <v/>
      </c>
      <c r="B88">
        <f>IF(ISNA(Sheet1!G88),NA(),Sheet1!$O$5-(Sheet1!G88/Sheet1!$O$6))</f>
        <v/>
      </c>
    </row>
    <row r="89">
      <c r="A89">
        <f>Sheet1!I89</f>
        <v/>
      </c>
      <c r="B89">
        <f>IF(ISNA(Sheet1!G89),NA(),Sheet1!$O$5-(Sheet1!G89/Sheet1!$O$6))</f>
        <v/>
      </c>
    </row>
    <row r="90">
      <c r="A90">
        <f>Sheet1!I90</f>
        <v/>
      </c>
      <c r="B90">
        <f>IF(ISNA(Sheet1!G90),NA(),Sheet1!$O$5-(Sheet1!G90/Sheet1!$O$6))</f>
        <v/>
      </c>
    </row>
    <row r="91">
      <c r="A91">
        <f>Sheet1!I91</f>
        <v/>
      </c>
      <c r="B91">
        <f>IF(ISNA(Sheet1!G91),NA(),Sheet1!$O$5-(Sheet1!G91/Sheet1!$O$6))</f>
        <v/>
      </c>
    </row>
    <row r="92">
      <c r="A92">
        <f>Sheet1!I92</f>
        <v/>
      </c>
      <c r="B92">
        <f>IF(ISNA(Sheet1!G92),NA(),Sheet1!$O$5-(Sheet1!G92/Sheet1!$O$6))</f>
        <v/>
      </c>
    </row>
    <row r="93">
      <c r="A93">
        <f>Sheet1!I93</f>
        <v/>
      </c>
      <c r="B93">
        <f>IF(ISNA(Sheet1!G93),NA(),Sheet1!$O$5-(Sheet1!G93/Sheet1!$O$6))</f>
        <v/>
      </c>
    </row>
    <row r="94">
      <c r="A94">
        <f>Sheet1!I94</f>
        <v/>
      </c>
      <c r="B94">
        <f>IF(ISNA(Sheet1!G94),NA(),Sheet1!$O$5-(Sheet1!G94/Sheet1!$O$6))</f>
        <v/>
      </c>
    </row>
    <row r="95">
      <c r="A95">
        <f>Sheet1!I95</f>
        <v/>
      </c>
      <c r="B95">
        <f>IF(ISNA(Sheet1!G95),NA(),Sheet1!$O$5-(Sheet1!G95/Sheet1!$O$6))</f>
        <v/>
      </c>
    </row>
    <row r="96">
      <c r="A96">
        <f>Sheet1!I96</f>
        <v/>
      </c>
      <c r="B96">
        <f>IF(ISNA(Sheet1!G96),NA(),Sheet1!$O$5-(Sheet1!G96/Sheet1!$O$6))</f>
        <v/>
      </c>
    </row>
    <row r="97">
      <c r="A97">
        <f>Sheet1!I97</f>
        <v/>
      </c>
      <c r="B97">
        <f>IF(ISNA(Sheet1!G97),NA(),Sheet1!$O$5-(Sheet1!G97/Sheet1!$O$6))</f>
        <v/>
      </c>
    </row>
    <row r="98">
      <c r="A98">
        <f>Sheet1!I98</f>
        <v/>
      </c>
      <c r="B98">
        <f>IF(ISNA(Sheet1!G98),NA(),Sheet1!$O$5-(Sheet1!G98/Sheet1!$O$6))</f>
        <v/>
      </c>
    </row>
    <row r="99">
      <c r="A99">
        <f>Sheet1!I99</f>
        <v/>
      </c>
      <c r="B99">
        <f>IF(ISNA(Sheet1!G99),NA(),Sheet1!$O$5-(Sheet1!G99/Sheet1!$O$6))</f>
        <v/>
      </c>
    </row>
    <row r="100">
      <c r="A100">
        <f>Sheet1!I100</f>
        <v/>
      </c>
      <c r="B100">
        <f>IF(ISNA(Sheet1!G100),NA(),Sheet1!$O$5-(Sheet1!G100/Sheet1!$O$6))</f>
        <v/>
      </c>
    </row>
    <row r="101">
      <c r="A101">
        <f>Sheet1!I101</f>
        <v/>
      </c>
      <c r="B101">
        <f>IF(ISNA(Sheet1!G101),NA(),Sheet1!$O$5-(Sheet1!G101/Sheet1!$O$6))</f>
        <v/>
      </c>
    </row>
    <row r="102">
      <c r="A102">
        <f>Sheet1!I102</f>
        <v/>
      </c>
      <c r="B102">
        <f>IF(ISNA(Sheet1!G102),NA(),Sheet1!$O$5-(Sheet1!G102/Sheet1!$O$6))</f>
        <v/>
      </c>
    </row>
    <row r="103">
      <c r="A103">
        <f>Sheet1!I103</f>
        <v/>
      </c>
      <c r="B103">
        <f>IF(ISNA(Sheet1!G103),NA(),Sheet1!$O$5-(Sheet1!G103/Sheet1!$O$6))</f>
        <v/>
      </c>
    </row>
    <row r="104">
      <c r="A104">
        <f>Sheet1!I104</f>
        <v/>
      </c>
      <c r="B104">
        <f>IF(ISNA(Sheet1!G104),NA(),Sheet1!$O$5-(Sheet1!G104/Sheet1!$O$6))</f>
        <v/>
      </c>
    </row>
    <row r="105">
      <c r="A105">
        <f>Sheet1!I105</f>
        <v/>
      </c>
      <c r="B105">
        <f>IF(ISNA(Sheet1!G105),NA(),Sheet1!$O$5-(Sheet1!G105/Sheet1!$O$6))</f>
        <v/>
      </c>
    </row>
    <row r="106">
      <c r="A106">
        <f>Sheet1!I106</f>
        <v/>
      </c>
      <c r="B106">
        <f>IF(ISNA(Sheet1!G106),NA(),Sheet1!$O$5-(Sheet1!G106/Sheet1!$O$6))</f>
        <v/>
      </c>
    </row>
    <row r="107">
      <c r="A107">
        <f>Sheet1!I107</f>
        <v/>
      </c>
      <c r="B107">
        <f>IF(ISNA(Sheet1!G107),NA(),Sheet1!$O$5-(Sheet1!G107/Sheet1!$O$6))</f>
        <v/>
      </c>
    </row>
    <row r="108">
      <c r="A108">
        <f>Sheet1!I108</f>
        <v/>
      </c>
      <c r="B108">
        <f>IF(ISNA(Sheet1!G108),NA(),Sheet1!$O$5-(Sheet1!G108/Sheet1!$O$6))</f>
        <v/>
      </c>
    </row>
    <row r="109">
      <c r="A109">
        <f>Sheet1!I109</f>
        <v/>
      </c>
      <c r="B109">
        <f>IF(ISNA(Sheet1!G109),NA(),Sheet1!$O$5-(Sheet1!G109/Sheet1!$O$6))</f>
        <v/>
      </c>
    </row>
    <row r="110">
      <c r="A110">
        <f>Sheet1!I110</f>
        <v/>
      </c>
      <c r="B110">
        <f>IF(ISNA(Sheet1!G110),NA(),Sheet1!$O$5-(Sheet1!G110/Sheet1!$O$6))</f>
        <v/>
      </c>
    </row>
    <row r="111">
      <c r="A111">
        <f>Sheet1!I111</f>
        <v/>
      </c>
      <c r="B111">
        <f>IF(ISNA(Sheet1!G111),NA(),Sheet1!$O$5-(Sheet1!G111/Sheet1!$O$6))</f>
        <v/>
      </c>
    </row>
    <row r="112">
      <c r="A112">
        <f>Sheet1!I112</f>
        <v/>
      </c>
      <c r="B112">
        <f>IF(ISNA(Sheet1!G112),NA(),Sheet1!$O$5-(Sheet1!G112/Sheet1!$O$6))</f>
        <v/>
      </c>
    </row>
    <row r="113">
      <c r="A113">
        <f>Sheet1!I113</f>
        <v/>
      </c>
      <c r="B113">
        <f>IF(ISNA(Sheet1!G113),NA(),Sheet1!$O$5-(Sheet1!G113/Sheet1!$O$6))</f>
        <v/>
      </c>
    </row>
    <row r="114">
      <c r="A114">
        <f>Sheet1!I114</f>
        <v/>
      </c>
      <c r="B114">
        <f>IF(ISNA(Sheet1!G114),NA(),Sheet1!$O$5-(Sheet1!G114/Sheet1!$O$6))</f>
        <v/>
      </c>
    </row>
    <row r="115">
      <c r="A115">
        <f>Sheet1!I115</f>
        <v/>
      </c>
      <c r="B115">
        <f>IF(ISNA(Sheet1!G115),NA(),Sheet1!$O$5-(Sheet1!G115/Sheet1!$O$6))</f>
        <v/>
      </c>
    </row>
    <row r="116">
      <c r="A116">
        <f>Sheet1!I116</f>
        <v/>
      </c>
      <c r="B116">
        <f>IF(ISNA(Sheet1!G116),NA(),Sheet1!$O$5-(Sheet1!G116/Sheet1!$O$6))</f>
        <v/>
      </c>
    </row>
    <row r="117">
      <c r="A117">
        <f>Sheet1!I117</f>
        <v/>
      </c>
      <c r="B117">
        <f>IF(ISNA(Sheet1!G117),NA(),Sheet1!$O$5-(Sheet1!G117/Sheet1!$O$6))</f>
        <v/>
      </c>
    </row>
    <row r="118">
      <c r="A118">
        <f>Sheet1!I118</f>
        <v/>
      </c>
      <c r="B118">
        <f>IF(ISNA(Sheet1!G118),NA(),Sheet1!$O$5-(Sheet1!G118/Sheet1!$O$6))</f>
        <v/>
      </c>
    </row>
    <row r="119">
      <c r="A119">
        <f>Sheet1!I119</f>
        <v/>
      </c>
      <c r="B119">
        <f>IF(ISNA(Sheet1!G119),NA(),Sheet1!$O$5-(Sheet1!G119/Sheet1!$O$6))</f>
        <v/>
      </c>
    </row>
    <row r="120">
      <c r="A120">
        <f>Sheet1!I120</f>
        <v/>
      </c>
      <c r="B120">
        <f>IF(ISNA(Sheet1!G120),NA(),Sheet1!$O$5-(Sheet1!G120/Sheet1!$O$6))</f>
        <v/>
      </c>
    </row>
    <row r="121">
      <c r="A121">
        <f>Sheet1!I121</f>
        <v/>
      </c>
      <c r="B121">
        <f>IF(ISNA(Sheet1!G121),NA(),Sheet1!$O$5-(Sheet1!G121/Sheet1!$O$6))</f>
        <v/>
      </c>
    </row>
    <row r="122">
      <c r="A122">
        <f>Sheet1!I122</f>
        <v/>
      </c>
      <c r="B122">
        <f>IF(ISNA(Sheet1!G122),NA(),Sheet1!$O$5-(Sheet1!G122/Sheet1!$O$6))</f>
        <v/>
      </c>
    </row>
    <row r="123">
      <c r="A123">
        <f>Sheet1!I123</f>
        <v/>
      </c>
      <c r="B123">
        <f>IF(ISNA(Sheet1!G123),NA(),Sheet1!$O$5-(Sheet1!G123/Sheet1!$O$6))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2026-08-06T16:14:24Z</dcterms:created>
  <dcterms:modified xsi:type="dcterms:W3CDTF">2026-08-12T11:58:52Z</dcterms:modified>
</cp:coreProperties>
</file>