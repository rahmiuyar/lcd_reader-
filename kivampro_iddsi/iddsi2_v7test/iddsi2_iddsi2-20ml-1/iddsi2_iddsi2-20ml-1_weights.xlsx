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Hacim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iddsi2_iddsi2-20ml-1_weights - weight vs time</a:t>
            </a:r>
          </a:p>
        </rich>
      </tx>
    </title>
    <plotArea>
      <scatterChart>
        <ser>
          <idx val="0"/>
          <order val="0"/>
          <tx>
            <strRef>
              <f>'Sheet1'!D1</f>
            </strRef>
          </tx>
          <spPr>
            <a:ln>
              <a:noFill/>
              <a:prstDash val="solid"/>
            </a:ln>
          </spPr>
          <marker>
            <symbol val="circle"/>
            <size val="5"/>
            <spPr>
              <a:solidFill>
                <a:srgbClr val="1F77B4"/>
              </a:solidFill>
              <a:ln>
                <a:solidFill>
                  <a:srgbClr val="1F77B4"/>
                </a:solidFill>
                <a:prstDash val="solid"/>
              </a:ln>
            </spPr>
          </marker>
          <xVal>
            <numRef>
              <f>'Sheet1'!$B$2:$B$1310</f>
            </numRef>
          </xVal>
          <yVal>
            <numRef>
              <f>'Sheet1'!$D$2:$D$1310</f>
            </numRef>
          </yVal>
        </ser>
        <axId val="10"/>
        <axId val="20"/>
      </scatterChart>
      <valAx>
        <axId val="10"/>
        <scaling>
          <orientation val="minMax"/>
        </scaling>
        <delete val="0"/>
        <axPos val="b"/>
        <majorGridlines/>
        <title>
          <tx>
            <rich>
              <a:bodyPr/>
              <a:p>
                <a:pPr>
                  <a:defRPr/>
                </a:pPr>
                <a:r>
                  <a:t>time (s)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weight (g)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2"/>
  <chart>
    <title>
      <tx>
        <rich>
          <a:bodyPr/>
          <a:p>
            <a:pPr>
              <a:defRPr/>
            </a:pPr>
            <a:r>
              <a:t>iddsi2_iddsi2-20ml-1_weights - kept weight vs corrected time</a:t>
            </a:r>
          </a:p>
        </rich>
      </tx>
    </title>
    <plotArea>
      <scatterChart>
        <ser>
          <idx val="0"/>
          <order val="0"/>
          <tx>
            <strRef>
              <f>'Sheet1'!I1</f>
            </strRef>
          </tx>
          <spPr>
            <a:ln>
              <a:noFill/>
              <a:prstDash val="solid"/>
            </a:ln>
          </spPr>
          <marker>
            <symbol val="circle"/>
            <size val="5"/>
            <spPr>
              <a:solidFill>
                <a:srgbClr val="D62728"/>
              </a:solidFill>
              <a:ln>
                <a:solidFill>
                  <a:srgbClr val="D62728"/>
                </a:solidFill>
                <a:prstDash val="solid"/>
              </a:ln>
            </spPr>
          </marker>
          <xVal>
            <numRef>
              <f>'Sheet1'!$K$2:$K$1310</f>
            </numRef>
          </xVal>
          <yVal>
            <numRef>
              <f>'Sheet1'!$I$2:$I$1310</f>
            </numRef>
          </yVal>
        </ser>
        <axId val="10"/>
        <axId val="20"/>
      </scatterChart>
      <valAx>
        <axId val="10"/>
        <scaling>
          <orientation val="minMax"/>
        </scaling>
        <delete val="0"/>
        <axPos val="b"/>
        <majorGridlines/>
        <title>
          <tx>
            <rich>
              <a:bodyPr/>
              <a:p>
                <a:pPr>
                  <a:defRPr/>
                </a:pPr>
                <a:r>
                  <a:t>time since dispense start (s)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weight (g)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2"/>
  <chart>
    <title>
      <tx>
        <rich>
          <a:bodyPr/>
          <a:p>
            <a:pPr>
              <a:defRPr/>
            </a:pPr>
            <a:r>
              <a:t>iddsi2_iddsi2-20ml-1_weights - remaining syringe volume vs time</a:t>
            </a:r>
          </a:p>
        </rich>
      </tx>
    </title>
    <plotArea>
      <scatterChart>
        <ser>
          <idx val="0"/>
          <order val="0"/>
          <tx>
            <strRef>
              <f>'Hacim'!B1</f>
            </strRef>
          </tx>
          <spPr>
            <a:ln>
              <a:noFill/>
              <a:prstDash val="solid"/>
            </a:ln>
          </spPr>
          <marker>
            <symbol val="circle"/>
            <size val="5"/>
            <spPr>
              <a:solidFill>
                <a:srgbClr val="2CA02C"/>
              </a:solidFill>
              <a:ln>
                <a:solidFill>
                  <a:srgbClr val="2CA02C"/>
                </a:solidFill>
                <a:prstDash val="solid"/>
              </a:ln>
            </spPr>
          </marker>
          <xVal>
            <numRef>
              <f>'Hacim'!$A$2:$A$1310</f>
            </numRef>
          </xVal>
          <yVal>
            <numRef>
              <f>'Hacim'!$B$2:$B$1310</f>
            </numRef>
          </yVal>
        </ser>
        <axId val="10"/>
        <axId val="20"/>
      </scatterChart>
      <valAx>
        <axId val="10"/>
        <scaling>
          <orientation val="minMax"/>
        </scaling>
        <delete val="0"/>
        <axPos val="b"/>
        <majorGridlines/>
        <title>
          <tx>
            <rich>
              <a:bodyPr/>
              <a:p>
                <a:pPr>
                  <a:defRPr/>
                </a:pPr>
                <a:r>
                  <a:t>time since dispense start (s)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remaining volume (mL)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3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5</col>
      <colOff>0</colOff>
      <row>1</row>
      <rowOff>0</rowOff>
    </from>
    <ext cx="864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16</col>
      <colOff>0</colOff>
      <row>1</row>
      <rowOff>0</rowOff>
    </from>
    <ext cx="864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3</col>
      <colOff>0</colOff>
      <row>1</row>
      <rowOff>0</rowOff>
    </from>
    <ext cx="864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3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frame_no</t>
        </is>
      </c>
      <c r="B1" t="inlineStr">
        <is>
          <t>timestamp_sec</t>
        </is>
      </c>
      <c r="C1" t="inlineStr">
        <is>
          <t>raw_digits</t>
        </is>
      </c>
      <c r="D1" t="inlineStr">
        <is>
          <t>weight</t>
        </is>
      </c>
      <c r="E1" s="1" t="inlineStr">
        <is>
          <t>local_median_g</t>
        </is>
      </c>
      <c r="F1" s="1" t="inlineStr">
        <is>
          <t>trend_ref_g</t>
        </is>
      </c>
      <c r="G1" s="1" t="inlineStr">
        <is>
          <t>reset_drop_g</t>
        </is>
      </c>
      <c r="H1" s="1" t="inlineStr">
        <is>
          <t>excluded</t>
        </is>
      </c>
      <c r="I1" s="1" t="inlineStr">
        <is>
          <t>weight_kept_g</t>
        </is>
      </c>
      <c r="J1" s="1" t="inlineStr">
        <is>
          <t>is_started</t>
        </is>
      </c>
      <c r="K1" s="1" t="inlineStr">
        <is>
          <t>time_corrected_s</t>
        </is>
      </c>
      <c r="N1" s="1" t="inlineStr">
        <is>
          <t>Parametreler</t>
        </is>
      </c>
    </row>
    <row r="2">
      <c r="A2" t="n">
        <v>0</v>
      </c>
      <c r="B2" t="n">
        <v>0</v>
      </c>
      <c r="C2" t="inlineStr">
        <is>
          <t>040</t>
        </is>
      </c>
      <c r="D2" t="n">
        <v>0.4</v>
      </c>
      <c r="E2">
        <f>MEDIAN(D2:D22)</f>
        <v/>
      </c>
      <c r="F2">
        <f>E2</f>
        <v/>
      </c>
      <c r="G2">
        <f>F2-E2</f>
        <v/>
      </c>
      <c r="H2">
        <f>IF(OR(NOT(ISNUMBER(D2)),ABS(D2-E2)&gt;$O$3,AND($O$11=1,B2&lt;$O$12)),1,0)</f>
        <v/>
      </c>
      <c r="I2">
        <f>IF(H2=1,NA(),D2)</f>
        <v/>
      </c>
      <c r="J2">
        <f>IF(AND(ISNUMBER(D2),D2&gt;=$O$4,OR($O$11=0,B2&gt;=$O$12)),1,0)</f>
        <v/>
      </c>
      <c r="K2">
        <f>B2-$O$14</f>
        <v/>
      </c>
      <c r="N2" t="inlineStr">
        <is>
          <t>Medyan penceresi (satir, her yonde)</t>
        </is>
      </c>
      <c r="O2" t="n">
        <v>20</v>
      </c>
    </row>
    <row r="3">
      <c r="A3" t="n">
        <v>3</v>
      </c>
      <c r="B3" t="n">
        <v>0.1</v>
      </c>
      <c r="C3" t="inlineStr">
        <is>
          <t>000</t>
        </is>
      </c>
      <c r="D3" t="n">
        <v>0</v>
      </c>
      <c r="E3">
        <f>MEDIAN(D2:D23)</f>
        <v/>
      </c>
      <c r="F3">
        <f>E3</f>
        <v/>
      </c>
      <c r="G3">
        <f>F3-E3</f>
        <v/>
      </c>
      <c r="H3">
        <f>IF(OR(NOT(ISNUMBER(D3)),ABS(D3-E3)&gt;$O$3,AND($O$11=1,B3&lt;$O$12)),1,0)</f>
        <v/>
      </c>
      <c r="I3">
        <f>IF(H3=1,NA(),D3)</f>
        <v/>
      </c>
      <c r="J3">
        <f>IF(AND(ISNUMBER(D3),D3&gt;=$O$4,OR($O$11=0,B3&gt;=$O$12)),1,0)</f>
        <v/>
      </c>
      <c r="K3">
        <f>B3-$O$14</f>
        <v/>
      </c>
      <c r="N3" t="inlineStr">
        <is>
          <t>Disleme toleransi (g)</t>
        </is>
      </c>
      <c r="O3" t="n">
        <v>0.15</v>
      </c>
    </row>
    <row r="4">
      <c r="A4" t="n">
        <v>6</v>
      </c>
      <c r="B4" t="n">
        <v>0.2</v>
      </c>
      <c r="C4" t="inlineStr">
        <is>
          <t>000</t>
        </is>
      </c>
      <c r="D4" t="n">
        <v>0</v>
      </c>
      <c r="E4">
        <f>MEDIAN(D2:D24)</f>
        <v/>
      </c>
      <c r="F4">
        <f>E4</f>
        <v/>
      </c>
      <c r="G4">
        <f>F4-E4</f>
        <v/>
      </c>
      <c r="H4">
        <f>IF(OR(NOT(ISNUMBER(D4)),ABS(D4-E4)&gt;$O$3,AND($O$11=1,B4&lt;$O$12)),1,0)</f>
        <v/>
      </c>
      <c r="I4">
        <f>IF(H4=1,NA(),D4)</f>
        <v/>
      </c>
      <c r="J4">
        <f>IF(AND(ISNUMBER(D4),D4&gt;=$O$4,OR($O$11=0,B4&gt;=$O$12)),1,0)</f>
        <v/>
      </c>
      <c r="K4">
        <f>B4-$O$14</f>
        <v/>
      </c>
      <c r="N4" t="inlineStr">
        <is>
          <t>Baslangic esigi (g)</t>
        </is>
      </c>
      <c r="O4" t="n">
        <v>0.05</v>
      </c>
    </row>
    <row r="5">
      <c r="A5" t="n">
        <v>9</v>
      </c>
      <c r="B5" t="n">
        <v>0.3</v>
      </c>
      <c r="C5" t="inlineStr">
        <is>
          <t>000</t>
        </is>
      </c>
      <c r="D5" t="n">
        <v>0</v>
      </c>
      <c r="E5">
        <f>MEDIAN(D2:D25)</f>
        <v/>
      </c>
      <c r="F5">
        <f>E5</f>
        <v/>
      </c>
      <c r="G5">
        <f>F5-E5</f>
        <v/>
      </c>
      <c r="H5">
        <f>IF(OR(NOT(ISNUMBER(D5)),ABS(D5-E5)&gt;$O$3,AND($O$11=1,B5&lt;$O$12)),1,0)</f>
        <v/>
      </c>
      <c r="I5">
        <f>IF(H5=1,NA(),D5)</f>
        <v/>
      </c>
      <c r="J5">
        <f>IF(AND(ISNUMBER(D5),D5&gt;=$O$4,OR($O$11=0,B5&gt;=$O$12)),1,0)</f>
        <v/>
      </c>
      <c r="K5">
        <f>B5-$O$14</f>
        <v/>
      </c>
      <c r="N5" t="inlineStr">
        <is>
          <t>Siringa hacmi (mL)</t>
        </is>
      </c>
      <c r="O5" t="n">
        <v>20</v>
      </c>
    </row>
    <row r="6">
      <c r="A6" t="n">
        <v>12</v>
      </c>
      <c r="B6" t="n">
        <v>0.4</v>
      </c>
      <c r="C6" t="inlineStr">
        <is>
          <t>000</t>
        </is>
      </c>
      <c r="D6" t="n">
        <v>0</v>
      </c>
      <c r="E6">
        <f>MEDIAN(D2:D26)</f>
        <v/>
      </c>
      <c r="F6">
        <f>E6</f>
        <v/>
      </c>
      <c r="G6">
        <f>F6-E6</f>
        <v/>
      </c>
      <c r="H6">
        <f>IF(OR(NOT(ISNUMBER(D6)),ABS(D6-E6)&gt;$O$3,AND($O$11=1,B6&lt;$O$12)),1,0)</f>
        <v/>
      </c>
      <c r="I6">
        <f>IF(H6=1,NA(),D6)</f>
        <v/>
      </c>
      <c r="J6">
        <f>IF(AND(ISNUMBER(D6),D6&gt;=$O$4,OR($O$11=0,B6&gt;=$O$12)),1,0)</f>
        <v/>
      </c>
      <c r="K6">
        <f>B6-$O$14</f>
        <v/>
      </c>
      <c r="N6" t="inlineStr">
        <is>
          <t>Yogunluk (g/mL)</t>
        </is>
      </c>
      <c r="O6" t="n">
        <v>1</v>
      </c>
    </row>
    <row r="7">
      <c r="A7" t="n">
        <v>15</v>
      </c>
      <c r="B7" t="n">
        <v>0.5</v>
      </c>
      <c r="C7" t="inlineStr">
        <is>
          <t>000</t>
        </is>
      </c>
      <c r="D7" t="n">
        <v>0</v>
      </c>
      <c r="E7">
        <f>MEDIAN(D2:D27)</f>
        <v/>
      </c>
      <c r="F7">
        <f>E7</f>
        <v/>
      </c>
      <c r="G7">
        <f>F7-E7</f>
        <v/>
      </c>
      <c r="H7">
        <f>IF(OR(NOT(ISNUMBER(D7)),ABS(D7-E7)&gt;$O$3,AND($O$11=1,B7&lt;$O$12)),1,0)</f>
        <v/>
      </c>
      <c r="I7">
        <f>IF(H7=1,NA(),D7)</f>
        <v/>
      </c>
      <c r="J7">
        <f>IF(AND(ISNUMBER(D7),D7&gt;=$O$4,OR($O$11=0,B7&gt;=$O$12)),1,0)</f>
        <v/>
      </c>
      <c r="K7">
        <f>B7-$O$14</f>
        <v/>
      </c>
      <c r="N7" t="inlineStr">
        <is>
          <t>Reset bakis penceresi (satir)</t>
        </is>
      </c>
      <c r="O7" t="n">
        <v>20</v>
      </c>
    </row>
    <row r="8">
      <c r="A8" t="n">
        <v>18</v>
      </c>
      <c r="B8" t="n">
        <v>0.6</v>
      </c>
      <c r="C8" t="inlineStr">
        <is>
          <t>000</t>
        </is>
      </c>
      <c r="D8" t="n">
        <v>0</v>
      </c>
      <c r="E8">
        <f>MEDIAN(D2:D28)</f>
        <v/>
      </c>
      <c r="F8">
        <f>E8</f>
        <v/>
      </c>
      <c r="G8">
        <f>F8-E8</f>
        <v/>
      </c>
      <c r="H8">
        <f>IF(OR(NOT(ISNUMBER(D8)),ABS(D8-E8)&gt;$O$3,AND($O$11=1,B8&lt;$O$12)),1,0)</f>
        <v/>
      </c>
      <c r="I8">
        <f>IF(H8=1,NA(),D8)</f>
        <v/>
      </c>
      <c r="J8">
        <f>IF(AND(ISNUMBER(D8),D8&gt;=$O$4,OR($O$11=0,B8&gt;=$O$12)),1,0)</f>
        <v/>
      </c>
      <c r="K8">
        <f>B8-$O$14</f>
        <v/>
      </c>
      <c r="N8" t="inlineStr">
        <is>
          <t>Reset esigi (g)</t>
        </is>
      </c>
      <c r="O8" t="n">
        <v>5</v>
      </c>
    </row>
    <row r="9">
      <c r="A9" t="n">
        <v>21</v>
      </c>
      <c r="B9" t="n">
        <v>0.7</v>
      </c>
      <c r="C9" t="inlineStr">
        <is>
          <t>000</t>
        </is>
      </c>
      <c r="D9" t="n">
        <v>0</v>
      </c>
      <c r="E9">
        <f>MEDIAN(D2:D29)</f>
        <v/>
      </c>
      <c r="F9">
        <f>E9</f>
        <v/>
      </c>
      <c r="G9">
        <f>F9-E9</f>
        <v/>
      </c>
      <c r="H9">
        <f>IF(OR(NOT(ISNUMBER(D9)),ABS(D9-E9)&gt;$O$3,AND($O$11=1,B9&lt;$O$12)),1,0)</f>
        <v/>
      </c>
      <c r="I9">
        <f>IF(H9=1,NA(),D9)</f>
        <v/>
      </c>
      <c r="J9">
        <f>IF(AND(ISNUMBER(D9),D9&gt;=$O$4,OR($O$11=0,B9&gt;=$O$12)),1,0)</f>
        <v/>
      </c>
      <c r="K9">
        <f>B9-$O$14</f>
        <v/>
      </c>
    </row>
    <row r="10">
      <c r="A10" t="n">
        <v>24</v>
      </c>
      <c r="B10" t="n">
        <v>0.8</v>
      </c>
      <c r="C10" t="inlineStr">
        <is>
          <t>000</t>
        </is>
      </c>
      <c r="D10" t="n">
        <v>0</v>
      </c>
      <c r="E10">
        <f>MEDIAN(D2:D30)</f>
        <v/>
      </c>
      <c r="F10">
        <f>E10</f>
        <v/>
      </c>
      <c r="G10">
        <f>F10-E10</f>
        <v/>
      </c>
      <c r="H10">
        <f>IF(OR(NOT(ISNUMBER(D10)),ABS(D10-E10)&gt;$O$3,AND($O$11=1,B10&lt;$O$12)),1,0)</f>
        <v/>
      </c>
      <c r="I10">
        <f>IF(H10=1,NA(),D10)</f>
        <v/>
      </c>
      <c r="J10">
        <f>IF(AND(ISNUMBER(D10),D10&gt;=$O$4,OR($O$11=0,B10&gt;=$O$12)),1,0)</f>
        <v/>
      </c>
      <c r="K10">
        <f>B10-$O$14</f>
        <v/>
      </c>
      <c r="N10" t="inlineStr">
        <is>
          <t>En buyuk dusus (g)</t>
        </is>
      </c>
      <c r="O10">
        <f>MAX(G2:G1310)</f>
        <v/>
      </c>
    </row>
    <row r="11">
      <c r="A11" t="n">
        <v>27</v>
      </c>
      <c r="B11" t="n">
        <v>0.9</v>
      </c>
      <c r="C11" t="inlineStr">
        <is>
          <t>000</t>
        </is>
      </c>
      <c r="D11" t="n">
        <v>0</v>
      </c>
      <c r="E11">
        <f>MEDIAN(D2:D31)</f>
        <v/>
      </c>
      <c r="F11">
        <f>E11</f>
        <v/>
      </c>
      <c r="G11">
        <f>F11-E11</f>
        <v/>
      </c>
      <c r="H11">
        <f>IF(OR(NOT(ISNUMBER(D11)),ABS(D11-E11)&gt;$O$3,AND($O$11=1,B11&lt;$O$12)),1,0)</f>
        <v/>
      </c>
      <c r="I11">
        <f>IF(H11=1,NA(),D11)</f>
        <v/>
      </c>
      <c r="J11">
        <f>IF(AND(ISNUMBER(D11),D11&gt;=$O$4,OR($O$11=0,B11&gt;=$O$12)),1,0)</f>
        <v/>
      </c>
      <c r="K11">
        <f>B11-$O$14</f>
        <v/>
      </c>
      <c r="N11" t="inlineStr">
        <is>
          <t>Reset tespit edildi mi (1/0)</t>
        </is>
      </c>
      <c r="O11">
        <f>IF(O10&gt;$O$8,1,0)</f>
        <v/>
      </c>
    </row>
    <row r="12">
      <c r="A12" t="n">
        <v>30</v>
      </c>
      <c r="B12" t="n">
        <v>1</v>
      </c>
      <c r="C12" t="inlineStr">
        <is>
          <t>000</t>
        </is>
      </c>
      <c r="D12" t="n">
        <v>0</v>
      </c>
      <c r="E12">
        <f>MEDIAN(D2:D32)</f>
        <v/>
      </c>
      <c r="F12">
        <f>E12</f>
        <v/>
      </c>
      <c r="G12">
        <f>F12-E12</f>
        <v/>
      </c>
      <c r="H12">
        <f>IF(OR(NOT(ISNUMBER(D12)),ABS(D12-E12)&gt;$O$3,AND($O$11=1,B12&lt;$O$12)),1,0)</f>
        <v/>
      </c>
      <c r="I12">
        <f>IF(H12=1,NA(),D12)</f>
        <v/>
      </c>
      <c r="J12">
        <f>IF(AND(ISNUMBER(D12),D12&gt;=$O$4,OR($O$11=0,B12&gt;=$O$12)),1,0)</f>
        <v/>
      </c>
      <c r="K12">
        <f>B12-$O$14</f>
        <v/>
      </c>
      <c r="N12" t="inlineStr">
        <is>
          <t>Reset zamani (s)</t>
        </is>
      </c>
      <c r="O12">
        <f>IF(O11=1,INDEX(B2:B1310,MATCH(O10,G2:G1310,0)),-1000000)</f>
        <v/>
      </c>
    </row>
    <row r="13">
      <c r="A13" t="n">
        <v>33</v>
      </c>
      <c r="B13" t="n">
        <v>1.1</v>
      </c>
      <c r="C13" t="inlineStr">
        <is>
          <t>000</t>
        </is>
      </c>
      <c r="D13" t="n">
        <v>0</v>
      </c>
      <c r="E13">
        <f>MEDIAN(D2:D33)</f>
        <v/>
      </c>
      <c r="F13">
        <f>E13</f>
        <v/>
      </c>
      <c r="G13">
        <f>F13-E13</f>
        <v/>
      </c>
      <c r="H13">
        <f>IF(OR(NOT(ISNUMBER(D13)),ABS(D13-E13)&gt;$O$3,AND($O$11=1,B13&lt;$O$12)),1,0)</f>
        <v/>
      </c>
      <c r="I13">
        <f>IF(H13=1,NA(),D13)</f>
        <v/>
      </c>
      <c r="J13">
        <f>IF(AND(ISNUMBER(D13),D13&gt;=$O$4,OR($O$11=0,B13&gt;=$O$12)),1,0)</f>
        <v/>
      </c>
      <c r="K13">
        <f>B13-$O$14</f>
        <v/>
      </c>
    </row>
    <row r="14">
      <c r="A14" t="n">
        <v>36</v>
      </c>
      <c r="B14" t="n">
        <v>1.2</v>
      </c>
      <c r="C14" t="inlineStr">
        <is>
          <t>000</t>
        </is>
      </c>
      <c r="D14" t="n">
        <v>0</v>
      </c>
      <c r="E14">
        <f>MEDIAN(D2:D34)</f>
        <v/>
      </c>
      <c r="F14">
        <f>E14</f>
        <v/>
      </c>
      <c r="G14">
        <f>F14-E14</f>
        <v/>
      </c>
      <c r="H14">
        <f>IF(OR(NOT(ISNUMBER(D14)),ABS(D14-E14)&gt;$O$3,AND($O$11=1,B14&lt;$O$12)),1,0)</f>
        <v/>
      </c>
      <c r="I14">
        <f>IF(H14=1,NA(),D14)</f>
        <v/>
      </c>
      <c r="J14">
        <f>IF(AND(ISNUMBER(D14),D14&gt;=$O$4,OR($O$11=0,B14&gt;=$O$12)),1,0)</f>
        <v/>
      </c>
      <c r="K14">
        <f>B14-$O$14</f>
        <v/>
      </c>
      <c r="N14" t="inlineStr">
        <is>
          <t>Baslangic zamani (s)</t>
        </is>
      </c>
      <c r="O14">
        <f>INDEX(B2:B1310,MATCH(1,J2:J1310,0))</f>
        <v/>
      </c>
    </row>
    <row r="15">
      <c r="A15" t="n">
        <v>39</v>
      </c>
      <c r="B15" t="n">
        <v>1.3</v>
      </c>
      <c r="C15" t="inlineStr">
        <is>
          <t>000</t>
        </is>
      </c>
      <c r="D15" t="n">
        <v>0</v>
      </c>
      <c r="E15">
        <f>MEDIAN(D2:D35)</f>
        <v/>
      </c>
      <c r="F15">
        <f>E15</f>
        <v/>
      </c>
      <c r="G15">
        <f>F15-E15</f>
        <v/>
      </c>
      <c r="H15">
        <f>IF(OR(NOT(ISNUMBER(D15)),ABS(D15-E15)&gt;$O$3,AND($O$11=1,B15&lt;$O$12)),1,0)</f>
        <v/>
      </c>
      <c r="I15">
        <f>IF(H15=1,NA(),D15)</f>
        <v/>
      </c>
      <c r="J15">
        <f>IF(AND(ISNUMBER(D15),D15&gt;=$O$4,OR($O$11=0,B15&gt;=$O$12)),1,0)</f>
        <v/>
      </c>
      <c r="K15">
        <f>B15-$O$14</f>
        <v/>
      </c>
    </row>
    <row r="16">
      <c r="A16" t="n">
        <v>42</v>
      </c>
      <c r="B16" t="n">
        <v>1.4</v>
      </c>
      <c r="C16" t="inlineStr">
        <is>
          <t>000</t>
        </is>
      </c>
      <c r="D16" t="n">
        <v>0</v>
      </c>
      <c r="E16">
        <f>MEDIAN(D2:D36)</f>
        <v/>
      </c>
      <c r="F16">
        <f>E16</f>
        <v/>
      </c>
      <c r="G16">
        <f>F16-E16</f>
        <v/>
      </c>
      <c r="H16">
        <f>IF(OR(NOT(ISNUMBER(D16)),ABS(D16-E16)&gt;$O$3,AND($O$11=1,B16&lt;$O$12)),1,0)</f>
        <v/>
      </c>
      <c r="I16">
        <f>IF(H16=1,NA(),D16)</f>
        <v/>
      </c>
      <c r="J16">
        <f>IF(AND(ISNUMBER(D16),D16&gt;=$O$4,OR($O$11=0,B16&gt;=$O$12)),1,0)</f>
        <v/>
      </c>
      <c r="K16">
        <f>B16-$O$14</f>
        <v/>
      </c>
    </row>
    <row r="17">
      <c r="A17" t="n">
        <v>45</v>
      </c>
      <c r="B17" t="n">
        <v>1.5</v>
      </c>
      <c r="C17" t="inlineStr">
        <is>
          <t>000</t>
        </is>
      </c>
      <c r="D17" t="n">
        <v>0</v>
      </c>
      <c r="E17">
        <f>MEDIAN(D2:D37)</f>
        <v/>
      </c>
      <c r="F17">
        <f>E17</f>
        <v/>
      </c>
      <c r="G17">
        <f>F17-E17</f>
        <v/>
      </c>
      <c r="H17">
        <f>IF(OR(NOT(ISNUMBER(D17)),ABS(D17-E17)&gt;$O$3,AND($O$11=1,B17&lt;$O$12)),1,0)</f>
        <v/>
      </c>
      <c r="I17">
        <f>IF(H17=1,NA(),D17)</f>
        <v/>
      </c>
      <c r="J17">
        <f>IF(AND(ISNUMBER(D17),D17&gt;=$O$4,OR($O$11=0,B17&gt;=$O$12)),1,0)</f>
        <v/>
      </c>
      <c r="K17">
        <f>B17-$O$14</f>
        <v/>
      </c>
    </row>
    <row r="18">
      <c r="A18" t="n">
        <v>48</v>
      </c>
      <c r="B18" t="n">
        <v>1.6</v>
      </c>
      <c r="C18" t="inlineStr">
        <is>
          <t>080</t>
        </is>
      </c>
      <c r="D18" t="n">
        <v>0.8</v>
      </c>
      <c r="E18">
        <f>MEDIAN(D2:D38)</f>
        <v/>
      </c>
      <c r="F18">
        <f>E18</f>
        <v/>
      </c>
      <c r="G18">
        <f>F18-E18</f>
        <v/>
      </c>
      <c r="H18">
        <f>IF(OR(NOT(ISNUMBER(D18)),ABS(D18-E18)&gt;$O$3,AND($O$11=1,B18&lt;$O$12)),1,0)</f>
        <v/>
      </c>
      <c r="I18">
        <f>IF(H18=1,NA(),D18)</f>
        <v/>
      </c>
      <c r="J18">
        <f>IF(AND(ISNUMBER(D18),D18&gt;=$O$4,OR($O$11=0,B18&gt;=$O$12)),1,0)</f>
        <v/>
      </c>
      <c r="K18">
        <f>B18-$O$14</f>
        <v/>
      </c>
    </row>
    <row r="19">
      <c r="A19" t="n">
        <v>51</v>
      </c>
      <c r="B19" t="n">
        <v>1.7</v>
      </c>
      <c r="C19" t="inlineStr">
        <is>
          <t>000</t>
        </is>
      </c>
      <c r="D19" t="n">
        <v>0</v>
      </c>
      <c r="E19">
        <f>MEDIAN(D2:D39)</f>
        <v/>
      </c>
      <c r="F19">
        <f>E19</f>
        <v/>
      </c>
      <c r="G19">
        <f>F19-E19</f>
        <v/>
      </c>
      <c r="H19">
        <f>IF(OR(NOT(ISNUMBER(D19)),ABS(D19-E19)&gt;$O$3,AND($O$11=1,B19&lt;$O$12)),1,0)</f>
        <v/>
      </c>
      <c r="I19">
        <f>IF(H19=1,NA(),D19)</f>
        <v/>
      </c>
      <c r="J19">
        <f>IF(AND(ISNUMBER(D19),D19&gt;=$O$4,OR($O$11=0,B19&gt;=$O$12)),1,0)</f>
        <v/>
      </c>
      <c r="K19">
        <f>B19-$O$14</f>
        <v/>
      </c>
    </row>
    <row r="20">
      <c r="A20" t="n">
        <v>54</v>
      </c>
      <c r="B20" t="n">
        <v>1.8</v>
      </c>
      <c r="C20" t="inlineStr">
        <is>
          <t>000</t>
        </is>
      </c>
      <c r="D20" t="n">
        <v>0</v>
      </c>
      <c r="E20">
        <f>MEDIAN(D2:D40)</f>
        <v/>
      </c>
      <c r="F20">
        <f>E20</f>
        <v/>
      </c>
      <c r="G20">
        <f>F20-E20</f>
        <v/>
      </c>
      <c r="H20">
        <f>IF(OR(NOT(ISNUMBER(D20)),ABS(D20-E20)&gt;$O$3,AND($O$11=1,B20&lt;$O$12)),1,0)</f>
        <v/>
      </c>
      <c r="I20">
        <f>IF(H20=1,NA(),D20)</f>
        <v/>
      </c>
      <c r="J20">
        <f>IF(AND(ISNUMBER(D20),D20&gt;=$O$4,OR($O$11=0,B20&gt;=$O$12)),1,0)</f>
        <v/>
      </c>
      <c r="K20">
        <f>B20-$O$14</f>
        <v/>
      </c>
    </row>
    <row r="21">
      <c r="A21" t="n">
        <v>57</v>
      </c>
      <c r="B21" t="n">
        <v>1.9</v>
      </c>
      <c r="C21" t="inlineStr">
        <is>
          <t>000</t>
        </is>
      </c>
      <c r="D21" t="n">
        <v>0</v>
      </c>
      <c r="E21">
        <f>MEDIAN(D2:D41)</f>
        <v/>
      </c>
      <c r="F21">
        <f>E21</f>
        <v/>
      </c>
      <c r="G21">
        <f>F21-E21</f>
        <v/>
      </c>
      <c r="H21">
        <f>IF(OR(NOT(ISNUMBER(D21)),ABS(D21-E21)&gt;$O$3,AND($O$11=1,B21&lt;$O$12)),1,0)</f>
        <v/>
      </c>
      <c r="I21">
        <f>IF(H21=1,NA(),D21)</f>
        <v/>
      </c>
      <c r="J21">
        <f>IF(AND(ISNUMBER(D21),D21&gt;=$O$4,OR($O$11=0,B21&gt;=$O$12)),1,0)</f>
        <v/>
      </c>
      <c r="K21">
        <f>B21-$O$14</f>
        <v/>
      </c>
    </row>
    <row r="22">
      <c r="A22" t="n">
        <v>60</v>
      </c>
      <c r="B22" t="n">
        <v>2</v>
      </c>
      <c r="C22" t="inlineStr">
        <is>
          <t>000</t>
        </is>
      </c>
      <c r="D22" t="n">
        <v>0</v>
      </c>
      <c r="E22">
        <f>MEDIAN(D2:D42)</f>
        <v/>
      </c>
      <c r="F22">
        <f>E2</f>
        <v/>
      </c>
      <c r="G22">
        <f>F22-E22</f>
        <v/>
      </c>
      <c r="H22">
        <f>IF(OR(NOT(ISNUMBER(D22)),ABS(D22-E22)&gt;$O$3,AND($O$11=1,B22&lt;$O$12)),1,0)</f>
        <v/>
      </c>
      <c r="I22">
        <f>IF(H22=1,NA(),D22)</f>
        <v/>
      </c>
      <c r="J22">
        <f>IF(AND(ISNUMBER(D22),D22&gt;=$O$4,OR($O$11=0,B22&gt;=$O$12)),1,0)</f>
        <v/>
      </c>
      <c r="K22">
        <f>B22-$O$14</f>
        <v/>
      </c>
    </row>
    <row r="23">
      <c r="A23" t="n">
        <v>63</v>
      </c>
      <c r="B23" t="n">
        <v>2.1</v>
      </c>
      <c r="C23" t="inlineStr">
        <is>
          <t>000</t>
        </is>
      </c>
      <c r="D23" t="n">
        <v>0</v>
      </c>
      <c r="E23">
        <f>MEDIAN(D3:D43)</f>
        <v/>
      </c>
      <c r="F23">
        <f>E3</f>
        <v/>
      </c>
      <c r="G23">
        <f>F23-E23</f>
        <v/>
      </c>
      <c r="H23">
        <f>IF(OR(NOT(ISNUMBER(D23)),ABS(D23-E23)&gt;$O$3,AND($O$11=1,B23&lt;$O$12)),1,0)</f>
        <v/>
      </c>
      <c r="I23">
        <f>IF(H23=1,NA(),D23)</f>
        <v/>
      </c>
      <c r="J23">
        <f>IF(AND(ISNUMBER(D23),D23&gt;=$O$4,OR($O$11=0,B23&gt;=$O$12)),1,0)</f>
        <v/>
      </c>
      <c r="K23">
        <f>B23-$O$14</f>
        <v/>
      </c>
    </row>
    <row r="24">
      <c r="A24" t="n">
        <v>66</v>
      </c>
      <c r="B24" t="n">
        <v>2.2</v>
      </c>
      <c r="C24" t="inlineStr">
        <is>
          <t>000</t>
        </is>
      </c>
      <c r="D24" t="n">
        <v>0</v>
      </c>
      <c r="E24">
        <f>MEDIAN(D4:D44)</f>
        <v/>
      </c>
      <c r="F24">
        <f>E4</f>
        <v/>
      </c>
      <c r="G24">
        <f>F24-E24</f>
        <v/>
      </c>
      <c r="H24">
        <f>IF(OR(NOT(ISNUMBER(D24)),ABS(D24-E24)&gt;$O$3,AND($O$11=1,B24&lt;$O$12)),1,0)</f>
        <v/>
      </c>
      <c r="I24">
        <f>IF(H24=1,NA(),D24)</f>
        <v/>
      </c>
      <c r="J24">
        <f>IF(AND(ISNUMBER(D24),D24&gt;=$O$4,OR($O$11=0,B24&gt;=$O$12)),1,0)</f>
        <v/>
      </c>
      <c r="K24">
        <f>B24-$O$14</f>
        <v/>
      </c>
    </row>
    <row r="25">
      <c r="A25" t="n">
        <v>69</v>
      </c>
      <c r="B25" t="n">
        <v>2.3</v>
      </c>
      <c r="C25" t="inlineStr">
        <is>
          <t>005</t>
        </is>
      </c>
      <c r="D25" t="n">
        <v>0.05</v>
      </c>
      <c r="E25">
        <f>MEDIAN(D5:D45)</f>
        <v/>
      </c>
      <c r="F25">
        <f>E5</f>
        <v/>
      </c>
      <c r="G25">
        <f>F25-E25</f>
        <v/>
      </c>
      <c r="H25">
        <f>IF(OR(NOT(ISNUMBER(D25)),ABS(D25-E25)&gt;$O$3,AND($O$11=1,B25&lt;$O$12)),1,0)</f>
        <v/>
      </c>
      <c r="I25">
        <f>IF(H25=1,NA(),D25)</f>
        <v/>
      </c>
      <c r="J25">
        <f>IF(AND(ISNUMBER(D25),D25&gt;=$O$4,OR($O$11=0,B25&gt;=$O$12)),1,0)</f>
        <v/>
      </c>
      <c r="K25">
        <f>B25-$O$14</f>
        <v/>
      </c>
    </row>
    <row r="26">
      <c r="A26" t="n">
        <v>72</v>
      </c>
      <c r="B26" t="n">
        <v>2.4</v>
      </c>
      <c r="C26" t="inlineStr">
        <is>
          <t>002</t>
        </is>
      </c>
      <c r="D26" t="n">
        <v>0.02</v>
      </c>
      <c r="E26">
        <f>MEDIAN(D6:D46)</f>
        <v/>
      </c>
      <c r="F26">
        <f>E6</f>
        <v/>
      </c>
      <c r="G26">
        <f>F26-E26</f>
        <v/>
      </c>
      <c r="H26">
        <f>IF(OR(NOT(ISNUMBER(D26)),ABS(D26-E26)&gt;$O$3,AND($O$11=1,B26&lt;$O$12)),1,0)</f>
        <v/>
      </c>
      <c r="I26">
        <f>IF(H26=1,NA(),D26)</f>
        <v/>
      </c>
      <c r="J26">
        <f>IF(AND(ISNUMBER(D26),D26&gt;=$O$4,OR($O$11=0,B26&gt;=$O$12)),1,0)</f>
        <v/>
      </c>
      <c r="K26">
        <f>B26-$O$14</f>
        <v/>
      </c>
    </row>
    <row r="27">
      <c r="A27" t="n">
        <v>75</v>
      </c>
      <c r="B27" t="n">
        <v>2.5</v>
      </c>
      <c r="C27" t="inlineStr">
        <is>
          <t>002</t>
        </is>
      </c>
      <c r="D27" t="n">
        <v>0.02</v>
      </c>
      <c r="E27">
        <f>MEDIAN(D7:D47)</f>
        <v/>
      </c>
      <c r="F27">
        <f>E7</f>
        <v/>
      </c>
      <c r="G27">
        <f>F27-E27</f>
        <v/>
      </c>
      <c r="H27">
        <f>IF(OR(NOT(ISNUMBER(D27)),ABS(D27-E27)&gt;$O$3,AND($O$11=1,B27&lt;$O$12)),1,0)</f>
        <v/>
      </c>
      <c r="I27">
        <f>IF(H27=1,NA(),D27)</f>
        <v/>
      </c>
      <c r="J27">
        <f>IF(AND(ISNUMBER(D27),D27&gt;=$O$4,OR($O$11=0,B27&gt;=$O$12)),1,0)</f>
        <v/>
      </c>
      <c r="K27">
        <f>B27-$O$14</f>
        <v/>
      </c>
    </row>
    <row r="28">
      <c r="A28" t="n">
        <v>78</v>
      </c>
      <c r="B28" t="n">
        <v>2.6</v>
      </c>
      <c r="C28" t="inlineStr">
        <is>
          <t>002</t>
        </is>
      </c>
      <c r="D28" t="n">
        <v>0.02</v>
      </c>
      <c r="E28">
        <f>MEDIAN(D8:D48)</f>
        <v/>
      </c>
      <c r="F28">
        <f>E8</f>
        <v/>
      </c>
      <c r="G28">
        <f>F28-E28</f>
        <v/>
      </c>
      <c r="H28">
        <f>IF(OR(NOT(ISNUMBER(D28)),ABS(D28-E28)&gt;$O$3,AND($O$11=1,B28&lt;$O$12)),1,0)</f>
        <v/>
      </c>
      <c r="I28">
        <f>IF(H28=1,NA(),D28)</f>
        <v/>
      </c>
      <c r="J28">
        <f>IF(AND(ISNUMBER(D28),D28&gt;=$O$4,OR($O$11=0,B28&gt;=$O$12)),1,0)</f>
        <v/>
      </c>
      <c r="K28">
        <f>B28-$O$14</f>
        <v/>
      </c>
    </row>
    <row r="29">
      <c r="A29" t="n">
        <v>81</v>
      </c>
      <c r="B29" t="n">
        <v>2.7</v>
      </c>
      <c r="C29" t="inlineStr">
        <is>
          <t>02</t>
        </is>
      </c>
      <c r="D29" t="n">
        <v>0.02</v>
      </c>
      <c r="E29">
        <f>MEDIAN(D9:D49)</f>
        <v/>
      </c>
      <c r="F29">
        <f>E9</f>
        <v/>
      </c>
      <c r="G29">
        <f>F29-E29</f>
        <v/>
      </c>
      <c r="H29">
        <f>IF(OR(NOT(ISNUMBER(D29)),ABS(D29-E29)&gt;$O$3,AND($O$11=1,B29&lt;$O$12)),1,0)</f>
        <v/>
      </c>
      <c r="I29">
        <f>IF(H29=1,NA(),D29)</f>
        <v/>
      </c>
      <c r="J29">
        <f>IF(AND(ISNUMBER(D29),D29&gt;=$O$4,OR($O$11=0,B29&gt;=$O$12)),1,0)</f>
        <v/>
      </c>
      <c r="K29">
        <f>B29-$O$14</f>
        <v/>
      </c>
    </row>
    <row r="30">
      <c r="A30" t="n">
        <v>84</v>
      </c>
      <c r="B30" t="n">
        <v>2.8</v>
      </c>
      <c r="C30" t="inlineStr">
        <is>
          <t>0?3</t>
        </is>
      </c>
      <c r="E30">
        <f>MEDIAN(D10:D50)</f>
        <v/>
      </c>
      <c r="F30">
        <f>E10</f>
        <v/>
      </c>
      <c r="G30">
        <f>F30-E30</f>
        <v/>
      </c>
      <c r="H30">
        <f>IF(OR(NOT(ISNUMBER(D30)),ABS(D30-E30)&gt;$O$3,AND($O$11=1,B30&lt;$O$12)),1,0)</f>
        <v/>
      </c>
      <c r="I30">
        <f>IF(H30=1,NA(),D30)</f>
        <v/>
      </c>
      <c r="J30">
        <f>IF(AND(ISNUMBER(D30),D30&gt;=$O$4,OR($O$11=0,B30&gt;=$O$12)),1,0)</f>
        <v/>
      </c>
      <c r="K30">
        <f>B30-$O$14</f>
        <v/>
      </c>
    </row>
    <row r="31">
      <c r="A31" t="n">
        <v>87</v>
      </c>
      <c r="B31" t="n">
        <v>2.9</v>
      </c>
      <c r="C31" t="inlineStr">
        <is>
          <t>04</t>
        </is>
      </c>
      <c r="D31" t="n">
        <v>0.04</v>
      </c>
      <c r="E31">
        <f>MEDIAN(D11:D51)</f>
        <v/>
      </c>
      <c r="F31">
        <f>E11</f>
        <v/>
      </c>
      <c r="G31">
        <f>F31-E31</f>
        <v/>
      </c>
      <c r="H31">
        <f>IF(OR(NOT(ISNUMBER(D31)),ABS(D31-E31)&gt;$O$3,AND($O$11=1,B31&lt;$O$12)),1,0)</f>
        <v/>
      </c>
      <c r="I31">
        <f>IF(H31=1,NA(),D31)</f>
        <v/>
      </c>
      <c r="J31">
        <f>IF(AND(ISNUMBER(D31),D31&gt;=$O$4,OR($O$11=0,B31&gt;=$O$12)),1,0)</f>
        <v/>
      </c>
      <c r="K31">
        <f>B31-$O$14</f>
        <v/>
      </c>
    </row>
    <row r="32">
      <c r="A32" t="n">
        <v>90</v>
      </c>
      <c r="B32" t="n">
        <v>3</v>
      </c>
      <c r="C32" t="inlineStr">
        <is>
          <t>005</t>
        </is>
      </c>
      <c r="D32" t="n">
        <v>0.05</v>
      </c>
      <c r="E32">
        <f>MEDIAN(D12:D52)</f>
        <v/>
      </c>
      <c r="F32">
        <f>E12</f>
        <v/>
      </c>
      <c r="G32">
        <f>F32-E32</f>
        <v/>
      </c>
      <c r="H32">
        <f>IF(OR(NOT(ISNUMBER(D32)),ABS(D32-E32)&gt;$O$3,AND($O$11=1,B32&lt;$O$12)),1,0)</f>
        <v/>
      </c>
      <c r="I32">
        <f>IF(H32=1,NA(),D32)</f>
        <v/>
      </c>
      <c r="J32">
        <f>IF(AND(ISNUMBER(D32),D32&gt;=$O$4,OR($O$11=0,B32&gt;=$O$12)),1,0)</f>
        <v/>
      </c>
      <c r="K32">
        <f>B32-$O$14</f>
        <v/>
      </c>
    </row>
    <row r="33">
      <c r="A33" t="n">
        <v>93</v>
      </c>
      <c r="B33" t="n">
        <v>3.1</v>
      </c>
      <c r="C33" t="inlineStr">
        <is>
          <t>006</t>
        </is>
      </c>
      <c r="D33" t="n">
        <v>0.06</v>
      </c>
      <c r="E33">
        <f>MEDIAN(D13:D53)</f>
        <v/>
      </c>
      <c r="F33">
        <f>E13</f>
        <v/>
      </c>
      <c r="G33">
        <f>F33-E33</f>
        <v/>
      </c>
      <c r="H33">
        <f>IF(OR(NOT(ISNUMBER(D33)),ABS(D33-E33)&gt;$O$3,AND($O$11=1,B33&lt;$O$12)),1,0)</f>
        <v/>
      </c>
      <c r="I33">
        <f>IF(H33=1,NA(),D33)</f>
        <v/>
      </c>
      <c r="J33">
        <f>IF(AND(ISNUMBER(D33),D33&gt;=$O$4,OR($O$11=0,B33&gt;=$O$12)),1,0)</f>
        <v/>
      </c>
      <c r="K33">
        <f>B33-$O$14</f>
        <v/>
      </c>
    </row>
    <row r="34">
      <c r="A34" t="n">
        <v>96</v>
      </c>
      <c r="B34" t="n">
        <v>3.2</v>
      </c>
      <c r="C34" t="inlineStr">
        <is>
          <t>006</t>
        </is>
      </c>
      <c r="D34" t="n">
        <v>0.06</v>
      </c>
      <c r="E34">
        <f>MEDIAN(D14:D54)</f>
        <v/>
      </c>
      <c r="F34">
        <f>E14</f>
        <v/>
      </c>
      <c r="G34">
        <f>F34-E34</f>
        <v/>
      </c>
      <c r="H34">
        <f>IF(OR(NOT(ISNUMBER(D34)),ABS(D34-E34)&gt;$O$3,AND($O$11=1,B34&lt;$O$12)),1,0)</f>
        <v/>
      </c>
      <c r="I34">
        <f>IF(H34=1,NA(),D34)</f>
        <v/>
      </c>
      <c r="J34">
        <f>IF(AND(ISNUMBER(D34),D34&gt;=$O$4,OR($O$11=0,B34&gt;=$O$12)),1,0)</f>
        <v/>
      </c>
      <c r="K34">
        <f>B34-$O$14</f>
        <v/>
      </c>
    </row>
    <row r="35">
      <c r="A35" t="n">
        <v>99</v>
      </c>
      <c r="B35" t="n">
        <v>3.3</v>
      </c>
      <c r="C35" t="inlineStr">
        <is>
          <t>005</t>
        </is>
      </c>
      <c r="D35" t="n">
        <v>0.05</v>
      </c>
      <c r="E35">
        <f>MEDIAN(D15:D55)</f>
        <v/>
      </c>
      <c r="F35">
        <f>E15</f>
        <v/>
      </c>
      <c r="G35">
        <f>F35-E35</f>
        <v/>
      </c>
      <c r="H35">
        <f>IF(OR(NOT(ISNUMBER(D35)),ABS(D35-E35)&gt;$O$3,AND($O$11=1,B35&lt;$O$12)),1,0)</f>
        <v/>
      </c>
      <c r="I35">
        <f>IF(H35=1,NA(),D35)</f>
        <v/>
      </c>
      <c r="J35">
        <f>IF(AND(ISNUMBER(D35),D35&gt;=$O$4,OR($O$11=0,B35&gt;=$O$12)),1,0)</f>
        <v/>
      </c>
      <c r="K35">
        <f>B35-$O$14</f>
        <v/>
      </c>
    </row>
    <row r="36">
      <c r="A36" t="n">
        <v>102</v>
      </c>
      <c r="B36" t="n">
        <v>3.4</v>
      </c>
      <c r="C36" t="inlineStr">
        <is>
          <t>010</t>
        </is>
      </c>
      <c r="D36" t="n">
        <v>0.1</v>
      </c>
      <c r="E36">
        <f>MEDIAN(D16:D56)</f>
        <v/>
      </c>
      <c r="F36">
        <f>E16</f>
        <v/>
      </c>
      <c r="G36">
        <f>F36-E36</f>
        <v/>
      </c>
      <c r="H36">
        <f>IF(OR(NOT(ISNUMBER(D36)),ABS(D36-E36)&gt;$O$3,AND($O$11=1,B36&lt;$O$12)),1,0)</f>
        <v/>
      </c>
      <c r="I36">
        <f>IF(H36=1,NA(),D36)</f>
        <v/>
      </c>
      <c r="J36">
        <f>IF(AND(ISNUMBER(D36),D36&gt;=$O$4,OR($O$11=0,B36&gt;=$O$12)),1,0)</f>
        <v/>
      </c>
      <c r="K36">
        <f>B36-$O$14</f>
        <v/>
      </c>
    </row>
    <row r="37">
      <c r="A37" t="n">
        <v>105</v>
      </c>
      <c r="B37" t="n">
        <v>3.5</v>
      </c>
      <c r="C37" t="inlineStr">
        <is>
          <t>012</t>
        </is>
      </c>
      <c r="D37" t="n">
        <v>0.12</v>
      </c>
      <c r="E37">
        <f>MEDIAN(D17:D57)</f>
        <v/>
      </c>
      <c r="F37">
        <f>E17</f>
        <v/>
      </c>
      <c r="G37">
        <f>F37-E37</f>
        <v/>
      </c>
      <c r="H37">
        <f>IF(OR(NOT(ISNUMBER(D37)),ABS(D37-E37)&gt;$O$3,AND($O$11=1,B37&lt;$O$12)),1,0)</f>
        <v/>
      </c>
      <c r="I37">
        <f>IF(H37=1,NA(),D37)</f>
        <v/>
      </c>
      <c r="J37">
        <f>IF(AND(ISNUMBER(D37),D37&gt;=$O$4,OR($O$11=0,B37&gt;=$O$12)),1,0)</f>
        <v/>
      </c>
      <c r="K37">
        <f>B37-$O$14</f>
        <v/>
      </c>
    </row>
    <row r="38">
      <c r="A38" t="n">
        <v>108</v>
      </c>
      <c r="B38" t="n">
        <v>3.6</v>
      </c>
      <c r="C38" t="inlineStr">
        <is>
          <t>014</t>
        </is>
      </c>
      <c r="D38" t="n">
        <v>0.14</v>
      </c>
      <c r="E38">
        <f>MEDIAN(D18:D58)</f>
        <v/>
      </c>
      <c r="F38">
        <f>E18</f>
        <v/>
      </c>
      <c r="G38">
        <f>F38-E38</f>
        <v/>
      </c>
      <c r="H38">
        <f>IF(OR(NOT(ISNUMBER(D38)),ABS(D38-E38)&gt;$O$3,AND($O$11=1,B38&lt;$O$12)),1,0)</f>
        <v/>
      </c>
      <c r="I38">
        <f>IF(H38=1,NA(),D38)</f>
        <v/>
      </c>
      <c r="J38">
        <f>IF(AND(ISNUMBER(D38),D38&gt;=$O$4,OR($O$11=0,B38&gt;=$O$12)),1,0)</f>
        <v/>
      </c>
      <c r="K38">
        <f>B38-$O$14</f>
        <v/>
      </c>
    </row>
    <row r="39">
      <c r="A39" t="n">
        <v>111</v>
      </c>
      <c r="B39" t="n">
        <v>3.7</v>
      </c>
      <c r="C39" t="inlineStr">
        <is>
          <t>?17</t>
        </is>
      </c>
      <c r="E39">
        <f>MEDIAN(D19:D59)</f>
        <v/>
      </c>
      <c r="F39">
        <f>E19</f>
        <v/>
      </c>
      <c r="G39">
        <f>F39-E39</f>
        <v/>
      </c>
      <c r="H39">
        <f>IF(OR(NOT(ISNUMBER(D39)),ABS(D39-E39)&gt;$O$3,AND($O$11=1,B39&lt;$O$12)),1,0)</f>
        <v/>
      </c>
      <c r="I39">
        <f>IF(H39=1,NA(),D39)</f>
        <v/>
      </c>
      <c r="J39">
        <f>IF(AND(ISNUMBER(D39),D39&gt;=$O$4,OR($O$11=0,B39&gt;=$O$12)),1,0)</f>
        <v/>
      </c>
      <c r="K39">
        <f>B39-$O$14</f>
        <v/>
      </c>
    </row>
    <row r="40">
      <c r="A40" t="n">
        <v>114</v>
      </c>
      <c r="B40" t="n">
        <v>3.8</v>
      </c>
      <c r="C40" t="inlineStr">
        <is>
          <t>016</t>
        </is>
      </c>
      <c r="D40" t="n">
        <v>0.16</v>
      </c>
      <c r="E40">
        <f>MEDIAN(D20:D60)</f>
        <v/>
      </c>
      <c r="F40">
        <f>E20</f>
        <v/>
      </c>
      <c r="G40">
        <f>F40-E40</f>
        <v/>
      </c>
      <c r="H40">
        <f>IF(OR(NOT(ISNUMBER(D40)),ABS(D40-E40)&gt;$O$3,AND($O$11=1,B40&lt;$O$12)),1,0)</f>
        <v/>
      </c>
      <c r="I40">
        <f>IF(H40=1,NA(),D40)</f>
        <v/>
      </c>
      <c r="J40">
        <f>IF(AND(ISNUMBER(D40),D40&gt;=$O$4,OR($O$11=0,B40&gt;=$O$12)),1,0)</f>
        <v/>
      </c>
      <c r="K40">
        <f>B40-$O$14</f>
        <v/>
      </c>
    </row>
    <row r="41">
      <c r="A41" t="n">
        <v>117</v>
      </c>
      <c r="B41" t="n">
        <v>3.9</v>
      </c>
      <c r="C41" t="inlineStr">
        <is>
          <t>020</t>
        </is>
      </c>
      <c r="D41" t="n">
        <v>0.2</v>
      </c>
      <c r="E41">
        <f>MEDIAN(D21:D61)</f>
        <v/>
      </c>
      <c r="F41">
        <f>E21</f>
        <v/>
      </c>
      <c r="G41">
        <f>F41-E41</f>
        <v/>
      </c>
      <c r="H41">
        <f>IF(OR(NOT(ISNUMBER(D41)),ABS(D41-E41)&gt;$O$3,AND($O$11=1,B41&lt;$O$12)),1,0)</f>
        <v/>
      </c>
      <c r="I41">
        <f>IF(H41=1,NA(),D41)</f>
        <v/>
      </c>
      <c r="J41">
        <f>IF(AND(ISNUMBER(D41),D41&gt;=$O$4,OR($O$11=0,B41&gt;=$O$12)),1,0)</f>
        <v/>
      </c>
      <c r="K41">
        <f>B41-$O$14</f>
        <v/>
      </c>
    </row>
    <row r="42">
      <c r="A42" t="n">
        <v>120</v>
      </c>
      <c r="B42" t="n">
        <v>4</v>
      </c>
      <c r="C42" t="inlineStr">
        <is>
          <t>023</t>
        </is>
      </c>
      <c r="D42" t="n">
        <v>0.23</v>
      </c>
      <c r="E42">
        <f>MEDIAN(D22:D62)</f>
        <v/>
      </c>
      <c r="F42">
        <f>E22</f>
        <v/>
      </c>
      <c r="G42">
        <f>F42-E42</f>
        <v/>
      </c>
      <c r="H42">
        <f>IF(OR(NOT(ISNUMBER(D42)),ABS(D42-E42)&gt;$O$3,AND($O$11=1,B42&lt;$O$12)),1,0)</f>
        <v/>
      </c>
      <c r="I42">
        <f>IF(H42=1,NA(),D42)</f>
        <v/>
      </c>
      <c r="J42">
        <f>IF(AND(ISNUMBER(D42),D42&gt;=$O$4,OR($O$11=0,B42&gt;=$O$12)),1,0)</f>
        <v/>
      </c>
      <c r="K42">
        <f>B42-$O$14</f>
        <v/>
      </c>
    </row>
    <row r="43">
      <c r="A43" t="n">
        <v>123</v>
      </c>
      <c r="B43" t="n">
        <v>4.1</v>
      </c>
      <c r="C43" t="inlineStr">
        <is>
          <t>024</t>
        </is>
      </c>
      <c r="D43" t="n">
        <v>0.24</v>
      </c>
      <c r="E43">
        <f>MEDIAN(D23:D63)</f>
        <v/>
      </c>
      <c r="F43">
        <f>E23</f>
        <v/>
      </c>
      <c r="G43">
        <f>F43-E43</f>
        <v/>
      </c>
      <c r="H43">
        <f>IF(OR(NOT(ISNUMBER(D43)),ABS(D43-E43)&gt;$O$3,AND($O$11=1,B43&lt;$O$12)),1,0)</f>
        <v/>
      </c>
      <c r="I43">
        <f>IF(H43=1,NA(),D43)</f>
        <v/>
      </c>
      <c r="J43">
        <f>IF(AND(ISNUMBER(D43),D43&gt;=$O$4,OR($O$11=0,B43&gt;=$O$12)),1,0)</f>
        <v/>
      </c>
      <c r="K43">
        <f>B43-$O$14</f>
        <v/>
      </c>
    </row>
    <row r="44">
      <c r="A44" t="n">
        <v>126</v>
      </c>
      <c r="B44" t="n">
        <v>4.2</v>
      </c>
      <c r="C44" t="inlineStr">
        <is>
          <t>026</t>
        </is>
      </c>
      <c r="D44" t="n">
        <v>0.26</v>
      </c>
      <c r="E44">
        <f>MEDIAN(D24:D64)</f>
        <v/>
      </c>
      <c r="F44">
        <f>E24</f>
        <v/>
      </c>
      <c r="G44">
        <f>F44-E44</f>
        <v/>
      </c>
      <c r="H44">
        <f>IF(OR(NOT(ISNUMBER(D44)),ABS(D44-E44)&gt;$O$3,AND($O$11=1,B44&lt;$O$12)),1,0)</f>
        <v/>
      </c>
      <c r="I44">
        <f>IF(H44=1,NA(),D44)</f>
        <v/>
      </c>
      <c r="J44">
        <f>IF(AND(ISNUMBER(D44),D44&gt;=$O$4,OR($O$11=0,B44&gt;=$O$12)),1,0)</f>
        <v/>
      </c>
      <c r="K44">
        <f>B44-$O$14</f>
        <v/>
      </c>
    </row>
    <row r="45">
      <c r="A45" t="n">
        <v>129</v>
      </c>
      <c r="B45" t="n">
        <v>4.3</v>
      </c>
      <c r="C45" t="inlineStr">
        <is>
          <t>02?</t>
        </is>
      </c>
      <c r="E45">
        <f>MEDIAN(D25:D65)</f>
        <v/>
      </c>
      <c r="F45">
        <f>E25</f>
        <v/>
      </c>
      <c r="G45">
        <f>F45-E45</f>
        <v/>
      </c>
      <c r="H45">
        <f>IF(OR(NOT(ISNUMBER(D45)),ABS(D45-E45)&gt;$O$3,AND($O$11=1,B45&lt;$O$12)),1,0)</f>
        <v/>
      </c>
      <c r="I45">
        <f>IF(H45=1,NA(),D45)</f>
        <v/>
      </c>
      <c r="J45">
        <f>IF(AND(ISNUMBER(D45),D45&gt;=$O$4,OR($O$11=0,B45&gt;=$O$12)),1,0)</f>
        <v/>
      </c>
      <c r="K45">
        <f>B45-$O$14</f>
        <v/>
      </c>
    </row>
    <row r="46">
      <c r="A46" t="n">
        <v>132</v>
      </c>
      <c r="B46" t="n">
        <v>4.4</v>
      </c>
      <c r="C46" t="inlineStr">
        <is>
          <t>030</t>
        </is>
      </c>
      <c r="D46" t="n">
        <v>0.3</v>
      </c>
      <c r="E46">
        <f>MEDIAN(D26:D66)</f>
        <v/>
      </c>
      <c r="F46">
        <f>E26</f>
        <v/>
      </c>
      <c r="G46">
        <f>F46-E46</f>
        <v/>
      </c>
      <c r="H46">
        <f>IF(OR(NOT(ISNUMBER(D46)),ABS(D46-E46)&gt;$O$3,AND($O$11=1,B46&lt;$O$12)),1,0)</f>
        <v/>
      </c>
      <c r="I46">
        <f>IF(H46=1,NA(),D46)</f>
        <v/>
      </c>
      <c r="J46">
        <f>IF(AND(ISNUMBER(D46),D46&gt;=$O$4,OR($O$11=0,B46&gt;=$O$12)),1,0)</f>
        <v/>
      </c>
      <c r="K46">
        <f>B46-$O$14</f>
        <v/>
      </c>
    </row>
    <row r="47">
      <c r="A47" t="n">
        <v>135</v>
      </c>
      <c r="B47" t="n">
        <v>4.5</v>
      </c>
      <c r="C47" t="inlineStr">
        <is>
          <t>0?1</t>
        </is>
      </c>
      <c r="E47">
        <f>MEDIAN(D27:D67)</f>
        <v/>
      </c>
      <c r="F47">
        <f>E27</f>
        <v/>
      </c>
      <c r="G47">
        <f>F47-E47</f>
        <v/>
      </c>
      <c r="H47">
        <f>IF(OR(NOT(ISNUMBER(D47)),ABS(D47-E47)&gt;$O$3,AND($O$11=1,B47&lt;$O$12)),1,0)</f>
        <v/>
      </c>
      <c r="I47">
        <f>IF(H47=1,NA(),D47)</f>
        <v/>
      </c>
      <c r="J47">
        <f>IF(AND(ISNUMBER(D47),D47&gt;=$O$4,OR($O$11=0,B47&gt;=$O$12)),1,0)</f>
        <v/>
      </c>
      <c r="K47">
        <f>B47-$O$14</f>
        <v/>
      </c>
    </row>
    <row r="48">
      <c r="A48" t="n">
        <v>138</v>
      </c>
      <c r="B48" t="n">
        <v>4.6</v>
      </c>
      <c r="C48" t="inlineStr">
        <is>
          <t>033</t>
        </is>
      </c>
      <c r="D48" t="n">
        <v>0.33</v>
      </c>
      <c r="E48">
        <f>MEDIAN(D28:D68)</f>
        <v/>
      </c>
      <c r="F48">
        <f>E28</f>
        <v/>
      </c>
      <c r="G48">
        <f>F48-E48</f>
        <v/>
      </c>
      <c r="H48">
        <f>IF(OR(NOT(ISNUMBER(D48)),ABS(D48-E48)&gt;$O$3,AND($O$11=1,B48&lt;$O$12)),1,0)</f>
        <v/>
      </c>
      <c r="I48">
        <f>IF(H48=1,NA(),D48)</f>
        <v/>
      </c>
      <c r="J48">
        <f>IF(AND(ISNUMBER(D48),D48&gt;=$O$4,OR($O$11=0,B48&gt;=$O$12)),1,0)</f>
        <v/>
      </c>
      <c r="K48">
        <f>B48-$O$14</f>
        <v/>
      </c>
    </row>
    <row r="49">
      <c r="A49" t="n">
        <v>141</v>
      </c>
      <c r="B49" t="n">
        <v>4.7</v>
      </c>
      <c r="C49" t="inlineStr">
        <is>
          <t>035</t>
        </is>
      </c>
      <c r="D49" t="n">
        <v>0.35</v>
      </c>
      <c r="E49">
        <f>MEDIAN(D29:D69)</f>
        <v/>
      </c>
      <c r="F49">
        <f>E29</f>
        <v/>
      </c>
      <c r="G49">
        <f>F49-E49</f>
        <v/>
      </c>
      <c r="H49">
        <f>IF(OR(NOT(ISNUMBER(D49)),ABS(D49-E49)&gt;$O$3,AND($O$11=1,B49&lt;$O$12)),1,0)</f>
        <v/>
      </c>
      <c r="I49">
        <f>IF(H49=1,NA(),D49)</f>
        <v/>
      </c>
      <c r="J49">
        <f>IF(AND(ISNUMBER(D49),D49&gt;=$O$4,OR($O$11=0,B49&gt;=$O$12)),1,0)</f>
        <v/>
      </c>
      <c r="K49">
        <f>B49-$O$14</f>
        <v/>
      </c>
    </row>
    <row r="50">
      <c r="A50" t="n">
        <v>144</v>
      </c>
      <c r="B50" t="n">
        <v>4.8</v>
      </c>
      <c r="C50" t="inlineStr">
        <is>
          <t>035</t>
        </is>
      </c>
      <c r="D50" t="n">
        <v>0.35</v>
      </c>
      <c r="E50">
        <f>MEDIAN(D30:D70)</f>
        <v/>
      </c>
      <c r="F50">
        <f>E30</f>
        <v/>
      </c>
      <c r="G50">
        <f>F50-E50</f>
        <v/>
      </c>
      <c r="H50">
        <f>IF(OR(NOT(ISNUMBER(D50)),ABS(D50-E50)&gt;$O$3,AND($O$11=1,B50&lt;$O$12)),1,0)</f>
        <v/>
      </c>
      <c r="I50">
        <f>IF(H50=1,NA(),D50)</f>
        <v/>
      </c>
      <c r="J50">
        <f>IF(AND(ISNUMBER(D50),D50&gt;=$O$4,OR($O$11=0,B50&gt;=$O$12)),1,0)</f>
        <v/>
      </c>
      <c r="K50">
        <f>B50-$O$14</f>
        <v/>
      </c>
    </row>
    <row r="51">
      <c r="A51" t="n">
        <v>147</v>
      </c>
      <c r="B51" t="n">
        <v>4.9</v>
      </c>
      <c r="C51" t="inlineStr">
        <is>
          <t>036</t>
        </is>
      </c>
      <c r="D51" t="n">
        <v>0.36</v>
      </c>
      <c r="E51">
        <f>MEDIAN(D31:D71)</f>
        <v/>
      </c>
      <c r="F51">
        <f>E31</f>
        <v/>
      </c>
      <c r="G51">
        <f>F51-E51</f>
        <v/>
      </c>
      <c r="H51">
        <f>IF(OR(NOT(ISNUMBER(D51)),ABS(D51-E51)&gt;$O$3,AND($O$11=1,B51&lt;$O$12)),1,0)</f>
        <v/>
      </c>
      <c r="I51">
        <f>IF(H51=1,NA(),D51)</f>
        <v/>
      </c>
      <c r="J51">
        <f>IF(AND(ISNUMBER(D51),D51&gt;=$O$4,OR($O$11=0,B51&gt;=$O$12)),1,0)</f>
        <v/>
      </c>
      <c r="K51">
        <f>B51-$O$14</f>
        <v/>
      </c>
    </row>
    <row r="52">
      <c r="A52" t="n">
        <v>150</v>
      </c>
      <c r="B52" t="n">
        <v>5</v>
      </c>
      <c r="C52" t="inlineStr">
        <is>
          <t>040</t>
        </is>
      </c>
      <c r="D52" t="n">
        <v>0.4</v>
      </c>
      <c r="E52">
        <f>MEDIAN(D32:D72)</f>
        <v/>
      </c>
      <c r="F52">
        <f>E32</f>
        <v/>
      </c>
      <c r="G52">
        <f>F52-E52</f>
        <v/>
      </c>
      <c r="H52">
        <f>IF(OR(NOT(ISNUMBER(D52)),ABS(D52-E52)&gt;$O$3,AND($O$11=1,B52&lt;$O$12)),1,0)</f>
        <v/>
      </c>
      <c r="I52">
        <f>IF(H52=1,NA(),D52)</f>
        <v/>
      </c>
      <c r="J52">
        <f>IF(AND(ISNUMBER(D52),D52&gt;=$O$4,OR($O$11=0,B52&gt;=$O$12)),1,0)</f>
        <v/>
      </c>
      <c r="K52">
        <f>B52-$O$14</f>
        <v/>
      </c>
    </row>
    <row r="53">
      <c r="A53" t="n">
        <v>153</v>
      </c>
      <c r="B53" t="n">
        <v>5.1</v>
      </c>
      <c r="C53" t="inlineStr">
        <is>
          <t>?4?</t>
        </is>
      </c>
      <c r="E53">
        <f>MEDIAN(D33:D73)</f>
        <v/>
      </c>
      <c r="F53">
        <f>E33</f>
        <v/>
      </c>
      <c r="G53">
        <f>F53-E53</f>
        <v/>
      </c>
      <c r="H53">
        <f>IF(OR(NOT(ISNUMBER(D53)),ABS(D53-E53)&gt;$O$3,AND($O$11=1,B53&lt;$O$12)),1,0)</f>
        <v/>
      </c>
      <c r="I53">
        <f>IF(H53=1,NA(),D53)</f>
        <v/>
      </c>
      <c r="J53">
        <f>IF(AND(ISNUMBER(D53),D53&gt;=$O$4,OR($O$11=0,B53&gt;=$O$12)),1,0)</f>
        <v/>
      </c>
      <c r="K53">
        <f>B53-$O$14</f>
        <v/>
      </c>
    </row>
    <row r="54">
      <c r="A54" t="n">
        <v>156</v>
      </c>
      <c r="B54" t="n">
        <v>5.2</v>
      </c>
      <c r="C54" t="inlineStr">
        <is>
          <t>046</t>
        </is>
      </c>
      <c r="D54" t="n">
        <v>0.46</v>
      </c>
      <c r="E54">
        <f>MEDIAN(D34:D74)</f>
        <v/>
      </c>
      <c r="F54">
        <f>E34</f>
        <v/>
      </c>
      <c r="G54">
        <f>F54-E54</f>
        <v/>
      </c>
      <c r="H54">
        <f>IF(OR(NOT(ISNUMBER(D54)),ABS(D54-E54)&gt;$O$3,AND($O$11=1,B54&lt;$O$12)),1,0)</f>
        <v/>
      </c>
      <c r="I54">
        <f>IF(H54=1,NA(),D54)</f>
        <v/>
      </c>
      <c r="J54">
        <f>IF(AND(ISNUMBER(D54),D54&gt;=$O$4,OR($O$11=0,B54&gt;=$O$12)),1,0)</f>
        <v/>
      </c>
      <c r="K54">
        <f>B54-$O$14</f>
        <v/>
      </c>
    </row>
    <row r="55">
      <c r="A55" t="n">
        <v>159</v>
      </c>
      <c r="B55" t="n">
        <v>5.3</v>
      </c>
      <c r="C55" t="inlineStr">
        <is>
          <t>?46</t>
        </is>
      </c>
      <c r="E55">
        <f>MEDIAN(D35:D75)</f>
        <v/>
      </c>
      <c r="F55">
        <f>E35</f>
        <v/>
      </c>
      <c r="G55">
        <f>F55-E55</f>
        <v/>
      </c>
      <c r="H55">
        <f>IF(OR(NOT(ISNUMBER(D55)),ABS(D55-E55)&gt;$O$3,AND($O$11=1,B55&lt;$O$12)),1,0)</f>
        <v/>
      </c>
      <c r="I55">
        <f>IF(H55=1,NA(),D55)</f>
        <v/>
      </c>
      <c r="J55">
        <f>IF(AND(ISNUMBER(D55),D55&gt;=$O$4,OR($O$11=0,B55&gt;=$O$12)),1,0)</f>
        <v/>
      </c>
      <c r="K55">
        <f>B55-$O$14</f>
        <v/>
      </c>
    </row>
    <row r="56">
      <c r="A56" t="n">
        <v>162</v>
      </c>
      <c r="B56" t="n">
        <v>5.4</v>
      </c>
      <c r="C56" t="inlineStr">
        <is>
          <t>046</t>
        </is>
      </c>
      <c r="D56" t="n">
        <v>0.46</v>
      </c>
      <c r="E56">
        <f>MEDIAN(D36:D76)</f>
        <v/>
      </c>
      <c r="F56">
        <f>E36</f>
        <v/>
      </c>
      <c r="G56">
        <f>F56-E56</f>
        <v/>
      </c>
      <c r="H56">
        <f>IF(OR(NOT(ISNUMBER(D56)),ABS(D56-E56)&gt;$O$3,AND($O$11=1,B56&lt;$O$12)),1,0)</f>
        <v/>
      </c>
      <c r="I56">
        <f>IF(H56=1,NA(),D56)</f>
        <v/>
      </c>
      <c r="J56">
        <f>IF(AND(ISNUMBER(D56),D56&gt;=$O$4,OR($O$11=0,B56&gt;=$O$12)),1,0)</f>
        <v/>
      </c>
      <c r="K56">
        <f>B56-$O$14</f>
        <v/>
      </c>
    </row>
    <row r="57">
      <c r="A57" t="n">
        <v>165</v>
      </c>
      <c r="B57" t="n">
        <v>5.5</v>
      </c>
      <c r="C57" t="inlineStr">
        <is>
          <t>040</t>
        </is>
      </c>
      <c r="D57" t="n">
        <v>0.4</v>
      </c>
      <c r="E57">
        <f>MEDIAN(D37:D77)</f>
        <v/>
      </c>
      <c r="F57">
        <f>E37</f>
        <v/>
      </c>
      <c r="G57">
        <f>F57-E57</f>
        <v/>
      </c>
      <c r="H57">
        <f>IF(OR(NOT(ISNUMBER(D57)),ABS(D57-E57)&gt;$O$3,AND($O$11=1,B57&lt;$O$12)),1,0)</f>
        <v/>
      </c>
      <c r="I57">
        <f>IF(H57=1,NA(),D57)</f>
        <v/>
      </c>
      <c r="J57">
        <f>IF(AND(ISNUMBER(D57),D57&gt;=$O$4,OR($O$11=0,B57&gt;=$O$12)),1,0)</f>
        <v/>
      </c>
      <c r="K57">
        <f>B57-$O$14</f>
        <v/>
      </c>
    </row>
    <row r="58">
      <c r="A58" t="n">
        <v>168</v>
      </c>
      <c r="B58" t="n">
        <v>5.6</v>
      </c>
      <c r="C58" t="inlineStr">
        <is>
          <t>046</t>
        </is>
      </c>
      <c r="D58" t="n">
        <v>0.46</v>
      </c>
      <c r="E58">
        <f>MEDIAN(D38:D78)</f>
        <v/>
      </c>
      <c r="F58">
        <f>E38</f>
        <v/>
      </c>
      <c r="G58">
        <f>F58-E58</f>
        <v/>
      </c>
      <c r="H58">
        <f>IF(OR(NOT(ISNUMBER(D58)),ABS(D58-E58)&gt;$O$3,AND($O$11=1,B58&lt;$O$12)),1,0)</f>
        <v/>
      </c>
      <c r="I58">
        <f>IF(H58=1,NA(),D58)</f>
        <v/>
      </c>
      <c r="J58">
        <f>IF(AND(ISNUMBER(D58),D58&gt;=$O$4,OR($O$11=0,B58&gt;=$O$12)),1,0)</f>
        <v/>
      </c>
      <c r="K58">
        <f>B58-$O$14</f>
        <v/>
      </c>
    </row>
    <row r="59">
      <c r="A59" t="n">
        <v>171</v>
      </c>
      <c r="B59" t="n">
        <v>5.7</v>
      </c>
      <c r="C59" t="inlineStr">
        <is>
          <t>046</t>
        </is>
      </c>
      <c r="D59" t="n">
        <v>0.46</v>
      </c>
      <c r="E59">
        <f>MEDIAN(D39:D79)</f>
        <v/>
      </c>
      <c r="F59">
        <f>E39</f>
        <v/>
      </c>
      <c r="G59">
        <f>F59-E59</f>
        <v/>
      </c>
      <c r="H59">
        <f>IF(OR(NOT(ISNUMBER(D59)),ABS(D59-E59)&gt;$O$3,AND($O$11=1,B59&lt;$O$12)),1,0)</f>
        <v/>
      </c>
      <c r="I59">
        <f>IF(H59=1,NA(),D59)</f>
        <v/>
      </c>
      <c r="J59">
        <f>IF(AND(ISNUMBER(D59),D59&gt;=$O$4,OR($O$11=0,B59&gt;=$O$12)),1,0)</f>
        <v/>
      </c>
      <c r="K59">
        <f>B59-$O$14</f>
        <v/>
      </c>
    </row>
    <row r="60">
      <c r="A60" t="n">
        <v>174</v>
      </c>
      <c r="B60" t="n">
        <v>5.8</v>
      </c>
      <c r="C60" t="inlineStr">
        <is>
          <t>056</t>
        </is>
      </c>
      <c r="D60" t="n">
        <v>0.5600000000000001</v>
      </c>
      <c r="E60">
        <f>MEDIAN(D40:D80)</f>
        <v/>
      </c>
      <c r="F60">
        <f>E40</f>
        <v/>
      </c>
      <c r="G60">
        <f>F60-E60</f>
        <v/>
      </c>
      <c r="H60">
        <f>IF(OR(NOT(ISNUMBER(D60)),ABS(D60-E60)&gt;$O$3,AND($O$11=1,B60&lt;$O$12)),1,0)</f>
        <v/>
      </c>
      <c r="I60">
        <f>IF(H60=1,NA(),D60)</f>
        <v/>
      </c>
      <c r="J60">
        <f>IF(AND(ISNUMBER(D60),D60&gt;=$O$4,OR($O$11=0,B60&gt;=$O$12)),1,0)</f>
        <v/>
      </c>
      <c r="K60">
        <f>B60-$O$14</f>
        <v/>
      </c>
    </row>
    <row r="61">
      <c r="A61" t="n">
        <v>177</v>
      </c>
      <c r="B61" t="n">
        <v>5.9</v>
      </c>
      <c r="C61" t="inlineStr">
        <is>
          <t>056</t>
        </is>
      </c>
      <c r="D61" t="n">
        <v>0.5600000000000001</v>
      </c>
      <c r="E61">
        <f>MEDIAN(D41:D81)</f>
        <v/>
      </c>
      <c r="F61">
        <f>E41</f>
        <v/>
      </c>
      <c r="G61">
        <f>F61-E61</f>
        <v/>
      </c>
      <c r="H61">
        <f>IF(OR(NOT(ISNUMBER(D61)),ABS(D61-E61)&gt;$O$3,AND($O$11=1,B61&lt;$O$12)),1,0)</f>
        <v/>
      </c>
      <c r="I61">
        <f>IF(H61=1,NA(),D61)</f>
        <v/>
      </c>
      <c r="J61">
        <f>IF(AND(ISNUMBER(D61),D61&gt;=$O$4,OR($O$11=0,B61&gt;=$O$12)),1,0)</f>
        <v/>
      </c>
      <c r="K61">
        <f>B61-$O$14</f>
        <v/>
      </c>
    </row>
    <row r="62">
      <c r="A62" t="n">
        <v>180</v>
      </c>
      <c r="B62" t="n">
        <v>6</v>
      </c>
      <c r="C62" t="inlineStr">
        <is>
          <t>055</t>
        </is>
      </c>
      <c r="D62" t="n">
        <v>0.55</v>
      </c>
      <c r="E62">
        <f>MEDIAN(D42:D82)</f>
        <v/>
      </c>
      <c r="F62">
        <f>E42</f>
        <v/>
      </c>
      <c r="G62">
        <f>F62-E62</f>
        <v/>
      </c>
      <c r="H62">
        <f>IF(OR(NOT(ISNUMBER(D62)),ABS(D62-E62)&gt;$O$3,AND($O$11=1,B62&lt;$O$12)),1,0)</f>
        <v/>
      </c>
      <c r="I62">
        <f>IF(H62=1,NA(),D62)</f>
        <v/>
      </c>
      <c r="J62">
        <f>IF(AND(ISNUMBER(D62),D62&gt;=$O$4,OR($O$11=0,B62&gt;=$O$12)),1,0)</f>
        <v/>
      </c>
      <c r="K62">
        <f>B62-$O$14</f>
        <v/>
      </c>
    </row>
    <row r="63">
      <c r="A63" t="n">
        <v>183</v>
      </c>
      <c r="B63" t="n">
        <v>6.1</v>
      </c>
      <c r="C63" t="inlineStr">
        <is>
          <t>055</t>
        </is>
      </c>
      <c r="D63" t="n">
        <v>0.55</v>
      </c>
      <c r="E63">
        <f>MEDIAN(D43:D83)</f>
        <v/>
      </c>
      <c r="F63">
        <f>E43</f>
        <v/>
      </c>
      <c r="G63">
        <f>F63-E63</f>
        <v/>
      </c>
      <c r="H63">
        <f>IF(OR(NOT(ISNUMBER(D63)),ABS(D63-E63)&gt;$O$3,AND($O$11=1,B63&lt;$O$12)),1,0)</f>
        <v/>
      </c>
      <c r="I63">
        <f>IF(H63=1,NA(),D63)</f>
        <v/>
      </c>
      <c r="J63">
        <f>IF(AND(ISNUMBER(D63),D63&gt;=$O$4,OR($O$11=0,B63&gt;=$O$12)),1,0)</f>
        <v/>
      </c>
      <c r="K63">
        <f>B63-$O$14</f>
        <v/>
      </c>
    </row>
    <row r="64">
      <c r="A64" t="n">
        <v>186</v>
      </c>
      <c r="B64" t="n">
        <v>6.2</v>
      </c>
      <c r="C64" t="inlineStr">
        <is>
          <t>056</t>
        </is>
      </c>
      <c r="D64" t="n">
        <v>0.5600000000000001</v>
      </c>
      <c r="E64">
        <f>MEDIAN(D44:D84)</f>
        <v/>
      </c>
      <c r="F64">
        <f>E44</f>
        <v/>
      </c>
      <c r="G64">
        <f>F64-E64</f>
        <v/>
      </c>
      <c r="H64">
        <f>IF(OR(NOT(ISNUMBER(D64)),ABS(D64-E64)&gt;$O$3,AND($O$11=1,B64&lt;$O$12)),1,0)</f>
        <v/>
      </c>
      <c r="I64">
        <f>IF(H64=1,NA(),D64)</f>
        <v/>
      </c>
      <c r="J64">
        <f>IF(AND(ISNUMBER(D64),D64&gt;=$O$4,OR($O$11=0,B64&gt;=$O$12)),1,0)</f>
        <v/>
      </c>
      <c r="K64">
        <f>B64-$O$14</f>
        <v/>
      </c>
    </row>
    <row r="65">
      <c r="A65" t="n">
        <v>189</v>
      </c>
      <c r="B65" t="n">
        <v>6.3</v>
      </c>
      <c r="C65" t="inlineStr">
        <is>
          <t>056</t>
        </is>
      </c>
      <c r="D65" t="n">
        <v>0.5600000000000001</v>
      </c>
      <c r="E65">
        <f>MEDIAN(D45:D85)</f>
        <v/>
      </c>
      <c r="F65">
        <f>E45</f>
        <v/>
      </c>
      <c r="G65">
        <f>F65-E65</f>
        <v/>
      </c>
      <c r="H65">
        <f>IF(OR(NOT(ISNUMBER(D65)),ABS(D65-E65)&gt;$O$3,AND($O$11=1,B65&lt;$O$12)),1,0)</f>
        <v/>
      </c>
      <c r="I65">
        <f>IF(H65=1,NA(),D65)</f>
        <v/>
      </c>
      <c r="J65">
        <f>IF(AND(ISNUMBER(D65),D65&gt;=$O$4,OR($O$11=0,B65&gt;=$O$12)),1,0)</f>
        <v/>
      </c>
      <c r="K65">
        <f>B65-$O$14</f>
        <v/>
      </c>
    </row>
    <row r="66">
      <c r="A66" t="n">
        <v>192</v>
      </c>
      <c r="B66" t="n">
        <v>6.4</v>
      </c>
      <c r="C66" t="inlineStr">
        <is>
          <t>055</t>
        </is>
      </c>
      <c r="D66" t="n">
        <v>0.55</v>
      </c>
      <c r="E66">
        <f>MEDIAN(D46:D86)</f>
        <v/>
      </c>
      <c r="F66">
        <f>E46</f>
        <v/>
      </c>
      <c r="G66">
        <f>F66-E66</f>
        <v/>
      </c>
      <c r="H66">
        <f>IF(OR(NOT(ISNUMBER(D66)),ABS(D66-E66)&gt;$O$3,AND($O$11=1,B66&lt;$O$12)),1,0)</f>
        <v/>
      </c>
      <c r="I66">
        <f>IF(H66=1,NA(),D66)</f>
        <v/>
      </c>
      <c r="J66">
        <f>IF(AND(ISNUMBER(D66),D66&gt;=$O$4,OR($O$11=0,B66&gt;=$O$12)),1,0)</f>
        <v/>
      </c>
      <c r="K66">
        <f>B66-$O$14</f>
        <v/>
      </c>
    </row>
    <row r="67">
      <c r="A67" t="n">
        <v>195</v>
      </c>
      <c r="B67" t="n">
        <v>6.5</v>
      </c>
      <c r="C67" t="inlineStr">
        <is>
          <t>066</t>
        </is>
      </c>
      <c r="D67" t="n">
        <v>0.66</v>
      </c>
      <c r="E67">
        <f>MEDIAN(D47:D87)</f>
        <v/>
      </c>
      <c r="F67">
        <f>E47</f>
        <v/>
      </c>
      <c r="G67">
        <f>F67-E67</f>
        <v/>
      </c>
      <c r="H67">
        <f>IF(OR(NOT(ISNUMBER(D67)),ABS(D67-E67)&gt;$O$3,AND($O$11=1,B67&lt;$O$12)),1,0)</f>
        <v/>
      </c>
      <c r="I67">
        <f>IF(H67=1,NA(),D67)</f>
        <v/>
      </c>
      <c r="J67">
        <f>IF(AND(ISNUMBER(D67),D67&gt;=$O$4,OR($O$11=0,B67&gt;=$O$12)),1,0)</f>
        <v/>
      </c>
      <c r="K67">
        <f>B67-$O$14</f>
        <v/>
      </c>
    </row>
    <row r="68">
      <c r="A68" t="n">
        <v>198</v>
      </c>
      <c r="B68" t="n">
        <v>6.6</v>
      </c>
      <c r="C68" t="inlineStr">
        <is>
          <t>066</t>
        </is>
      </c>
      <c r="D68" t="n">
        <v>0.66</v>
      </c>
      <c r="E68">
        <f>MEDIAN(D48:D88)</f>
        <v/>
      </c>
      <c r="F68">
        <f>E48</f>
        <v/>
      </c>
      <c r="G68">
        <f>F68-E68</f>
        <v/>
      </c>
      <c r="H68">
        <f>IF(OR(NOT(ISNUMBER(D68)),ABS(D68-E68)&gt;$O$3,AND($O$11=1,B68&lt;$O$12)),1,0)</f>
        <v/>
      </c>
      <c r="I68">
        <f>IF(H68=1,NA(),D68)</f>
        <v/>
      </c>
      <c r="J68">
        <f>IF(AND(ISNUMBER(D68),D68&gt;=$O$4,OR($O$11=0,B68&gt;=$O$12)),1,0)</f>
        <v/>
      </c>
      <c r="K68">
        <f>B68-$O$14</f>
        <v/>
      </c>
    </row>
    <row r="69">
      <c r="A69" t="n">
        <v>201</v>
      </c>
      <c r="B69" t="n">
        <v>6.7</v>
      </c>
      <c r="C69" t="inlineStr">
        <is>
          <t>065</t>
        </is>
      </c>
      <c r="D69" t="n">
        <v>0.65</v>
      </c>
      <c r="E69">
        <f>MEDIAN(D49:D89)</f>
        <v/>
      </c>
      <c r="F69">
        <f>E49</f>
        <v/>
      </c>
      <c r="G69">
        <f>F69-E69</f>
        <v/>
      </c>
      <c r="H69">
        <f>IF(OR(NOT(ISNUMBER(D69)),ABS(D69-E69)&gt;$O$3,AND($O$11=1,B69&lt;$O$12)),1,0)</f>
        <v/>
      </c>
      <c r="I69">
        <f>IF(H69=1,NA(),D69)</f>
        <v/>
      </c>
      <c r="J69">
        <f>IF(AND(ISNUMBER(D69),D69&gt;=$O$4,OR($O$11=0,B69&gt;=$O$12)),1,0)</f>
        <v/>
      </c>
      <c r="K69">
        <f>B69-$O$14</f>
        <v/>
      </c>
    </row>
    <row r="70">
      <c r="A70" t="n">
        <v>204</v>
      </c>
      <c r="B70" t="n">
        <v>6.8</v>
      </c>
      <c r="C70" t="inlineStr">
        <is>
          <t>066</t>
        </is>
      </c>
      <c r="D70" t="n">
        <v>0.66</v>
      </c>
      <c r="E70">
        <f>MEDIAN(D50:D90)</f>
        <v/>
      </c>
      <c r="F70">
        <f>E50</f>
        <v/>
      </c>
      <c r="G70">
        <f>F70-E70</f>
        <v/>
      </c>
      <c r="H70">
        <f>IF(OR(NOT(ISNUMBER(D70)),ABS(D70-E70)&gt;$O$3,AND($O$11=1,B70&lt;$O$12)),1,0)</f>
        <v/>
      </c>
      <c r="I70">
        <f>IF(H70=1,NA(),D70)</f>
        <v/>
      </c>
      <c r="J70">
        <f>IF(AND(ISNUMBER(D70),D70&gt;=$O$4,OR($O$11=0,B70&gt;=$O$12)),1,0)</f>
        <v/>
      </c>
      <c r="K70">
        <f>B70-$O$14</f>
        <v/>
      </c>
    </row>
    <row r="71">
      <c r="A71" t="n">
        <v>207</v>
      </c>
      <c r="B71" t="n">
        <v>6.9</v>
      </c>
      <c r="C71" t="inlineStr">
        <is>
          <t>00</t>
        </is>
      </c>
      <c r="D71" t="n">
        <v>0</v>
      </c>
      <c r="E71">
        <f>MEDIAN(D51:D91)</f>
        <v/>
      </c>
      <c r="F71">
        <f>E51</f>
        <v/>
      </c>
      <c r="G71">
        <f>F71-E71</f>
        <v/>
      </c>
      <c r="H71">
        <f>IF(OR(NOT(ISNUMBER(D71)),ABS(D71-E71)&gt;$O$3,AND($O$11=1,B71&lt;$O$12)),1,0)</f>
        <v/>
      </c>
      <c r="I71">
        <f>IF(H71=1,NA(),D71)</f>
        <v/>
      </c>
      <c r="J71">
        <f>IF(AND(ISNUMBER(D71),D71&gt;=$O$4,OR($O$11=0,B71&gt;=$O$12)),1,0)</f>
        <v/>
      </c>
      <c r="K71">
        <f>B71-$O$14</f>
        <v/>
      </c>
    </row>
    <row r="72">
      <c r="A72" t="n">
        <v>210</v>
      </c>
      <c r="B72" t="n">
        <v>7</v>
      </c>
      <c r="C72" t="inlineStr">
        <is>
          <t>066</t>
        </is>
      </c>
      <c r="D72" t="n">
        <v>0.66</v>
      </c>
      <c r="E72">
        <f>MEDIAN(D52:D92)</f>
        <v/>
      </c>
      <c r="F72">
        <f>E52</f>
        <v/>
      </c>
      <c r="G72">
        <f>F72-E72</f>
        <v/>
      </c>
      <c r="H72">
        <f>IF(OR(NOT(ISNUMBER(D72)),ABS(D72-E72)&gt;$O$3,AND($O$11=1,B72&lt;$O$12)),1,0)</f>
        <v/>
      </c>
      <c r="I72">
        <f>IF(H72=1,NA(),D72)</f>
        <v/>
      </c>
      <c r="J72">
        <f>IF(AND(ISNUMBER(D72),D72&gt;=$O$4,OR($O$11=0,B72&gt;=$O$12)),1,0)</f>
        <v/>
      </c>
      <c r="K72">
        <f>B72-$O$14</f>
        <v/>
      </c>
    </row>
    <row r="73">
      <c r="A73" t="n">
        <v>213</v>
      </c>
      <c r="B73" t="n">
        <v>7.1</v>
      </c>
      <c r="C73" t="inlineStr">
        <is>
          <t>080</t>
        </is>
      </c>
      <c r="D73" t="n">
        <v>0.8</v>
      </c>
      <c r="E73">
        <f>MEDIAN(D53:D93)</f>
        <v/>
      </c>
      <c r="F73">
        <f>E53</f>
        <v/>
      </c>
      <c r="G73">
        <f>F73-E73</f>
        <v/>
      </c>
      <c r="H73">
        <f>IF(OR(NOT(ISNUMBER(D73)),ABS(D73-E73)&gt;$O$3,AND($O$11=1,B73&lt;$O$12)),1,0)</f>
        <v/>
      </c>
      <c r="I73">
        <f>IF(H73=1,NA(),D73)</f>
        <v/>
      </c>
      <c r="J73">
        <f>IF(AND(ISNUMBER(D73),D73&gt;=$O$4,OR($O$11=0,B73&gt;=$O$12)),1,0)</f>
        <v/>
      </c>
      <c r="K73">
        <f>B73-$O$14</f>
        <v/>
      </c>
    </row>
    <row r="74">
      <c r="A74" t="n">
        <v>216</v>
      </c>
      <c r="B74" t="n">
        <v>7.2</v>
      </c>
      <c r="C74" t="inlineStr">
        <is>
          <t>07?</t>
        </is>
      </c>
      <c r="E74">
        <f>MEDIAN(D54:D94)</f>
        <v/>
      </c>
      <c r="F74">
        <f>E54</f>
        <v/>
      </c>
      <c r="G74">
        <f>F74-E74</f>
        <v/>
      </c>
      <c r="H74">
        <f>IF(OR(NOT(ISNUMBER(D74)),ABS(D74-E74)&gt;$O$3,AND($O$11=1,B74&lt;$O$12)),1,0)</f>
        <v/>
      </c>
      <c r="I74">
        <f>IF(H74=1,NA(),D74)</f>
        <v/>
      </c>
      <c r="J74">
        <f>IF(AND(ISNUMBER(D74),D74&gt;=$O$4,OR($O$11=0,B74&gt;=$O$12)),1,0)</f>
        <v/>
      </c>
      <c r="K74">
        <f>B74-$O$14</f>
        <v/>
      </c>
    </row>
    <row r="75">
      <c r="A75" t="n">
        <v>219</v>
      </c>
      <c r="B75" t="n">
        <v>7.3</v>
      </c>
      <c r="C75" t="inlineStr">
        <is>
          <t>?76</t>
        </is>
      </c>
      <c r="E75">
        <f>MEDIAN(D55:D95)</f>
        <v/>
      </c>
      <c r="F75">
        <f>E55</f>
        <v/>
      </c>
      <c r="G75">
        <f>F75-E75</f>
        <v/>
      </c>
      <c r="H75">
        <f>IF(OR(NOT(ISNUMBER(D75)),ABS(D75-E75)&gt;$O$3,AND($O$11=1,B75&lt;$O$12)),1,0)</f>
        <v/>
      </c>
      <c r="I75">
        <f>IF(H75=1,NA(),D75)</f>
        <v/>
      </c>
      <c r="J75">
        <f>IF(AND(ISNUMBER(D75),D75&gt;=$O$4,OR($O$11=0,B75&gt;=$O$12)),1,0)</f>
        <v/>
      </c>
      <c r="K75">
        <f>B75-$O$14</f>
        <v/>
      </c>
    </row>
    <row r="76">
      <c r="A76" t="n">
        <v>222</v>
      </c>
      <c r="B76" t="n">
        <v>7.4</v>
      </c>
      <c r="C76" t="inlineStr">
        <is>
          <t>076</t>
        </is>
      </c>
      <c r="D76" t="n">
        <v>0.76</v>
      </c>
      <c r="E76">
        <f>MEDIAN(D56:D96)</f>
        <v/>
      </c>
      <c r="F76">
        <f>E56</f>
        <v/>
      </c>
      <c r="G76">
        <f>F76-E76</f>
        <v/>
      </c>
      <c r="H76">
        <f>IF(OR(NOT(ISNUMBER(D76)),ABS(D76-E76)&gt;$O$3,AND($O$11=1,B76&lt;$O$12)),1,0)</f>
        <v/>
      </c>
      <c r="I76">
        <f>IF(H76=1,NA(),D76)</f>
        <v/>
      </c>
      <c r="J76">
        <f>IF(AND(ISNUMBER(D76),D76&gt;=$O$4,OR($O$11=0,B76&gt;=$O$12)),1,0)</f>
        <v/>
      </c>
      <c r="K76">
        <f>B76-$O$14</f>
        <v/>
      </c>
    </row>
    <row r="77">
      <c r="A77" t="n">
        <v>225</v>
      </c>
      <c r="B77" t="n">
        <v>7.5</v>
      </c>
      <c r="C77" t="inlineStr">
        <is>
          <t>074</t>
        </is>
      </c>
      <c r="D77" t="n">
        <v>0.74</v>
      </c>
      <c r="E77">
        <f>MEDIAN(D57:D97)</f>
        <v/>
      </c>
      <c r="F77">
        <f>E57</f>
        <v/>
      </c>
      <c r="G77">
        <f>F77-E77</f>
        <v/>
      </c>
      <c r="H77">
        <f>IF(OR(NOT(ISNUMBER(D77)),ABS(D77-E77)&gt;$O$3,AND($O$11=1,B77&lt;$O$12)),1,0)</f>
        <v/>
      </c>
      <c r="I77">
        <f>IF(H77=1,NA(),D77)</f>
        <v/>
      </c>
      <c r="J77">
        <f>IF(AND(ISNUMBER(D77),D77&gt;=$O$4,OR($O$11=0,B77&gt;=$O$12)),1,0)</f>
        <v/>
      </c>
      <c r="K77">
        <f>B77-$O$14</f>
        <v/>
      </c>
    </row>
    <row r="78">
      <c r="A78" t="n">
        <v>228</v>
      </c>
      <c r="B78" t="n">
        <v>7.6</v>
      </c>
      <c r="C78" t="inlineStr">
        <is>
          <t>?76</t>
        </is>
      </c>
      <c r="E78">
        <f>MEDIAN(D58:D98)</f>
        <v/>
      </c>
      <c r="F78">
        <f>E58</f>
        <v/>
      </c>
      <c r="G78">
        <f>F78-E78</f>
        <v/>
      </c>
      <c r="H78">
        <f>IF(OR(NOT(ISNUMBER(D78)),ABS(D78-E78)&gt;$O$3,AND($O$11=1,B78&lt;$O$12)),1,0)</f>
        <v/>
      </c>
      <c r="I78">
        <f>IF(H78=1,NA(),D78)</f>
        <v/>
      </c>
      <c r="J78">
        <f>IF(AND(ISNUMBER(D78),D78&gt;=$O$4,OR($O$11=0,B78&gt;=$O$12)),1,0)</f>
        <v/>
      </c>
      <c r="K78">
        <f>B78-$O$14</f>
        <v/>
      </c>
    </row>
    <row r="79">
      <c r="A79" t="n">
        <v>231</v>
      </c>
      <c r="B79" t="n">
        <v>7.7</v>
      </c>
      <c r="C79" t="inlineStr">
        <is>
          <t>076</t>
        </is>
      </c>
      <c r="D79" t="n">
        <v>0.76</v>
      </c>
      <c r="E79">
        <f>MEDIAN(D59:D99)</f>
        <v/>
      </c>
      <c r="F79">
        <f>E59</f>
        <v/>
      </c>
      <c r="G79">
        <f>F79-E79</f>
        <v/>
      </c>
      <c r="H79">
        <f>IF(OR(NOT(ISNUMBER(D79)),ABS(D79-E79)&gt;$O$3,AND($O$11=1,B79&lt;$O$12)),1,0)</f>
        <v/>
      </c>
      <c r="I79">
        <f>IF(H79=1,NA(),D79)</f>
        <v/>
      </c>
      <c r="J79">
        <f>IF(AND(ISNUMBER(D79),D79&gt;=$O$4,OR($O$11=0,B79&gt;=$O$12)),1,0)</f>
        <v/>
      </c>
      <c r="K79">
        <f>B79-$O$14</f>
        <v/>
      </c>
    </row>
    <row r="80">
      <c r="A80" t="n">
        <v>234</v>
      </c>
      <c r="B80" t="n">
        <v>7.8</v>
      </c>
      <c r="C80" t="inlineStr">
        <is>
          <t>080</t>
        </is>
      </c>
      <c r="D80" t="n">
        <v>0.8</v>
      </c>
      <c r="E80">
        <f>MEDIAN(D60:D100)</f>
        <v/>
      </c>
      <c r="F80">
        <f>E60</f>
        <v/>
      </c>
      <c r="G80">
        <f>F80-E80</f>
        <v/>
      </c>
      <c r="H80">
        <f>IF(OR(NOT(ISNUMBER(D80)),ABS(D80-E80)&gt;$O$3,AND($O$11=1,B80&lt;$O$12)),1,0)</f>
        <v/>
      </c>
      <c r="I80">
        <f>IF(H80=1,NA(),D80)</f>
        <v/>
      </c>
      <c r="J80">
        <f>IF(AND(ISNUMBER(D80),D80&gt;=$O$4,OR($O$11=0,B80&gt;=$O$12)),1,0)</f>
        <v/>
      </c>
      <c r="K80">
        <f>B80-$O$14</f>
        <v/>
      </c>
    </row>
    <row r="81">
      <c r="A81" t="n">
        <v>237</v>
      </c>
      <c r="B81" t="n">
        <v>7.9</v>
      </c>
      <c r="C81" t="inlineStr">
        <is>
          <t>082</t>
        </is>
      </c>
      <c r="D81" t="n">
        <v>0.82</v>
      </c>
      <c r="E81">
        <f>MEDIAN(D61:D101)</f>
        <v/>
      </c>
      <c r="F81">
        <f>E61</f>
        <v/>
      </c>
      <c r="G81">
        <f>F81-E81</f>
        <v/>
      </c>
      <c r="H81">
        <f>IF(OR(NOT(ISNUMBER(D81)),ABS(D81-E81)&gt;$O$3,AND($O$11=1,B81&lt;$O$12)),1,0)</f>
        <v/>
      </c>
      <c r="I81">
        <f>IF(H81=1,NA(),D81)</f>
        <v/>
      </c>
      <c r="J81">
        <f>IF(AND(ISNUMBER(D81),D81&gt;=$O$4,OR($O$11=0,B81&gt;=$O$12)),1,0)</f>
        <v/>
      </c>
      <c r="K81">
        <f>B81-$O$14</f>
        <v/>
      </c>
    </row>
    <row r="82">
      <c r="A82" t="n">
        <v>240</v>
      </c>
      <c r="B82" t="n">
        <v>8</v>
      </c>
      <c r="C82" t="inlineStr">
        <is>
          <t>085</t>
        </is>
      </c>
      <c r="D82" t="n">
        <v>0.85</v>
      </c>
      <c r="E82">
        <f>MEDIAN(D62:D102)</f>
        <v/>
      </c>
      <c r="F82">
        <f>E62</f>
        <v/>
      </c>
      <c r="G82">
        <f>F82-E82</f>
        <v/>
      </c>
      <c r="H82">
        <f>IF(OR(NOT(ISNUMBER(D82)),ABS(D82-E82)&gt;$O$3,AND($O$11=1,B82&lt;$O$12)),1,0)</f>
        <v/>
      </c>
      <c r="I82">
        <f>IF(H82=1,NA(),D82)</f>
        <v/>
      </c>
      <c r="J82">
        <f>IF(AND(ISNUMBER(D82),D82&gt;=$O$4,OR($O$11=0,B82&gt;=$O$12)),1,0)</f>
        <v/>
      </c>
      <c r="K82">
        <f>B82-$O$14</f>
        <v/>
      </c>
    </row>
    <row r="83">
      <c r="A83" t="n">
        <v>243</v>
      </c>
      <c r="B83" t="n">
        <v>8.1</v>
      </c>
      <c r="C83" t="inlineStr">
        <is>
          <t>086</t>
        </is>
      </c>
      <c r="D83" t="n">
        <v>0.86</v>
      </c>
      <c r="E83">
        <f>MEDIAN(D63:D103)</f>
        <v/>
      </c>
      <c r="F83">
        <f>E63</f>
        <v/>
      </c>
      <c r="G83">
        <f>F83-E83</f>
        <v/>
      </c>
      <c r="H83">
        <f>IF(OR(NOT(ISNUMBER(D83)),ABS(D83-E83)&gt;$O$3,AND($O$11=1,B83&lt;$O$12)),1,0)</f>
        <v/>
      </c>
      <c r="I83">
        <f>IF(H83=1,NA(),D83)</f>
        <v/>
      </c>
      <c r="J83">
        <f>IF(AND(ISNUMBER(D83),D83&gt;=$O$4,OR($O$11=0,B83&gt;=$O$12)),1,0)</f>
        <v/>
      </c>
      <c r="K83">
        <f>B83-$O$14</f>
        <v/>
      </c>
    </row>
    <row r="84">
      <c r="A84" t="n">
        <v>246</v>
      </c>
      <c r="B84" t="n">
        <v>8.199999999999999</v>
      </c>
      <c r="C84" t="inlineStr">
        <is>
          <t>086</t>
        </is>
      </c>
      <c r="D84" t="n">
        <v>0.86</v>
      </c>
      <c r="E84">
        <f>MEDIAN(D64:D104)</f>
        <v/>
      </c>
      <c r="F84">
        <f>E64</f>
        <v/>
      </c>
      <c r="G84">
        <f>F84-E84</f>
        <v/>
      </c>
      <c r="H84">
        <f>IF(OR(NOT(ISNUMBER(D84)),ABS(D84-E84)&gt;$O$3,AND($O$11=1,B84&lt;$O$12)),1,0)</f>
        <v/>
      </c>
      <c r="I84">
        <f>IF(H84=1,NA(),D84)</f>
        <v/>
      </c>
      <c r="J84">
        <f>IF(AND(ISNUMBER(D84),D84&gt;=$O$4,OR($O$11=0,B84&gt;=$O$12)),1,0)</f>
        <v/>
      </c>
      <c r="K84">
        <f>B84-$O$14</f>
        <v/>
      </c>
    </row>
    <row r="85">
      <c r="A85" t="n">
        <v>249</v>
      </c>
      <c r="B85" t="n">
        <v>8.300000000000001</v>
      </c>
      <c r="C85" t="inlineStr">
        <is>
          <t>096</t>
        </is>
      </c>
      <c r="D85" t="n">
        <v>0.96</v>
      </c>
      <c r="E85">
        <f>MEDIAN(D65:D105)</f>
        <v/>
      </c>
      <c r="F85">
        <f>E65</f>
        <v/>
      </c>
      <c r="G85">
        <f>F85-E85</f>
        <v/>
      </c>
      <c r="H85">
        <f>IF(OR(NOT(ISNUMBER(D85)),ABS(D85-E85)&gt;$O$3,AND($O$11=1,B85&lt;$O$12)),1,0)</f>
        <v/>
      </c>
      <c r="I85">
        <f>IF(H85=1,NA(),D85)</f>
        <v/>
      </c>
      <c r="J85">
        <f>IF(AND(ISNUMBER(D85),D85&gt;=$O$4,OR($O$11=0,B85&gt;=$O$12)),1,0)</f>
        <v/>
      </c>
      <c r="K85">
        <f>B85-$O$14</f>
        <v/>
      </c>
    </row>
    <row r="86">
      <c r="A86" t="n">
        <v>252</v>
      </c>
      <c r="B86" t="n">
        <v>8.4</v>
      </c>
      <c r="C86" t="inlineStr">
        <is>
          <t>096</t>
        </is>
      </c>
      <c r="D86" t="n">
        <v>0.96</v>
      </c>
      <c r="E86">
        <f>MEDIAN(D66:D106)</f>
        <v/>
      </c>
      <c r="F86">
        <f>E66</f>
        <v/>
      </c>
      <c r="G86">
        <f>F86-E86</f>
        <v/>
      </c>
      <c r="H86">
        <f>IF(OR(NOT(ISNUMBER(D86)),ABS(D86-E86)&gt;$O$3,AND($O$11=1,B86&lt;$O$12)),1,0)</f>
        <v/>
      </c>
      <c r="I86">
        <f>IF(H86=1,NA(),D86)</f>
        <v/>
      </c>
      <c r="J86">
        <f>IF(AND(ISNUMBER(D86),D86&gt;=$O$4,OR($O$11=0,B86&gt;=$O$12)),1,0)</f>
        <v/>
      </c>
      <c r="K86">
        <f>B86-$O$14</f>
        <v/>
      </c>
    </row>
    <row r="87">
      <c r="A87" t="n">
        <v>255</v>
      </c>
      <c r="B87" t="n">
        <v>8.5</v>
      </c>
      <c r="C87" t="inlineStr">
        <is>
          <t>095</t>
        </is>
      </c>
      <c r="D87" t="n">
        <v>0.95</v>
      </c>
      <c r="E87">
        <f>MEDIAN(D67:D107)</f>
        <v/>
      </c>
      <c r="F87">
        <f>E67</f>
        <v/>
      </c>
      <c r="G87">
        <f>F87-E87</f>
        <v/>
      </c>
      <c r="H87">
        <f>IF(OR(NOT(ISNUMBER(D87)),ABS(D87-E87)&gt;$O$3,AND($O$11=1,B87&lt;$O$12)),1,0)</f>
        <v/>
      </c>
      <c r="I87">
        <f>IF(H87=1,NA(),D87)</f>
        <v/>
      </c>
      <c r="J87">
        <f>IF(AND(ISNUMBER(D87),D87&gt;=$O$4,OR($O$11=0,B87&gt;=$O$12)),1,0)</f>
        <v/>
      </c>
      <c r="K87">
        <f>B87-$O$14</f>
        <v/>
      </c>
    </row>
    <row r="88">
      <c r="A88" t="n">
        <v>258</v>
      </c>
      <c r="B88" t="n">
        <v>8.6</v>
      </c>
      <c r="C88" t="inlineStr">
        <is>
          <t>?9?</t>
        </is>
      </c>
      <c r="E88">
        <f>MEDIAN(D68:D108)</f>
        <v/>
      </c>
      <c r="F88">
        <f>E68</f>
        <v/>
      </c>
      <c r="G88">
        <f>F88-E88</f>
        <v/>
      </c>
      <c r="H88">
        <f>IF(OR(NOT(ISNUMBER(D88)),ABS(D88-E88)&gt;$O$3,AND($O$11=1,B88&lt;$O$12)),1,0)</f>
        <v/>
      </c>
      <c r="I88">
        <f>IF(H88=1,NA(),D88)</f>
        <v/>
      </c>
      <c r="J88">
        <f>IF(AND(ISNUMBER(D88),D88&gt;=$O$4,OR($O$11=0,B88&gt;=$O$12)),1,0)</f>
        <v/>
      </c>
      <c r="K88">
        <f>B88-$O$14</f>
        <v/>
      </c>
    </row>
    <row r="89">
      <c r="A89" t="n">
        <v>261</v>
      </c>
      <c r="B89" t="n">
        <v>8.699999999999999</v>
      </c>
      <c r="C89" t="inlineStr">
        <is>
          <t>096</t>
        </is>
      </c>
      <c r="D89" t="n">
        <v>0.96</v>
      </c>
      <c r="E89">
        <f>MEDIAN(D69:D109)</f>
        <v/>
      </c>
      <c r="F89">
        <f>E69</f>
        <v/>
      </c>
      <c r="G89">
        <f>F89-E89</f>
        <v/>
      </c>
      <c r="H89">
        <f>IF(OR(NOT(ISNUMBER(D89)),ABS(D89-E89)&gt;$O$3,AND($O$11=1,B89&lt;$O$12)),1,0)</f>
        <v/>
      </c>
      <c r="I89">
        <f>IF(H89=1,NA(),D89)</f>
        <v/>
      </c>
      <c r="J89">
        <f>IF(AND(ISNUMBER(D89),D89&gt;=$O$4,OR($O$11=0,B89&gt;=$O$12)),1,0)</f>
        <v/>
      </c>
      <c r="K89">
        <f>B89-$O$14</f>
        <v/>
      </c>
    </row>
    <row r="90">
      <c r="A90" t="n">
        <v>264</v>
      </c>
      <c r="B90" t="n">
        <v>8.800000000000001</v>
      </c>
      <c r="C90" t="inlineStr">
        <is>
          <t>046</t>
        </is>
      </c>
      <c r="D90" t="n">
        <v>0.46</v>
      </c>
      <c r="E90">
        <f>MEDIAN(D70:D110)</f>
        <v/>
      </c>
      <c r="F90">
        <f>E70</f>
        <v/>
      </c>
      <c r="G90">
        <f>F90-E90</f>
        <v/>
      </c>
      <c r="H90">
        <f>IF(OR(NOT(ISNUMBER(D90)),ABS(D90-E90)&gt;$O$3,AND($O$11=1,B90&lt;$O$12)),1,0)</f>
        <v/>
      </c>
      <c r="I90">
        <f>IF(H90=1,NA(),D90)</f>
        <v/>
      </c>
      <c r="J90">
        <f>IF(AND(ISNUMBER(D90),D90&gt;=$O$4,OR($O$11=0,B90&gt;=$O$12)),1,0)</f>
        <v/>
      </c>
      <c r="K90">
        <f>B90-$O$14</f>
        <v/>
      </c>
    </row>
    <row r="91">
      <c r="A91" t="n">
        <v>267</v>
      </c>
      <c r="B91" t="n">
        <v>8.9</v>
      </c>
      <c r="C91" t="inlineStr">
        <is>
          <t>055</t>
        </is>
      </c>
      <c r="D91" t="n">
        <v>0.55</v>
      </c>
      <c r="E91">
        <f>MEDIAN(D71:D111)</f>
        <v/>
      </c>
      <c r="F91">
        <f>E71</f>
        <v/>
      </c>
      <c r="G91">
        <f>F91-E91</f>
        <v/>
      </c>
      <c r="H91">
        <f>IF(OR(NOT(ISNUMBER(D91)),ABS(D91-E91)&gt;$O$3,AND($O$11=1,B91&lt;$O$12)),1,0)</f>
        <v/>
      </c>
      <c r="I91">
        <f>IF(H91=1,NA(),D91)</f>
        <v/>
      </c>
      <c r="J91">
        <f>IF(AND(ISNUMBER(D91),D91&gt;=$O$4,OR($O$11=0,B91&gt;=$O$12)),1,0)</f>
        <v/>
      </c>
      <c r="K91">
        <f>B91-$O$14</f>
        <v/>
      </c>
    </row>
    <row r="92">
      <c r="A92" t="n">
        <v>270</v>
      </c>
      <c r="B92" t="n">
        <v>9</v>
      </c>
      <c r="C92" t="inlineStr">
        <is>
          <t>1?1</t>
        </is>
      </c>
      <c r="E92">
        <f>MEDIAN(D72:D112)</f>
        <v/>
      </c>
      <c r="F92">
        <f>E72</f>
        <v/>
      </c>
      <c r="G92">
        <f>F92-E92</f>
        <v/>
      </c>
      <c r="H92">
        <f>IF(OR(NOT(ISNUMBER(D92)),ABS(D92-E92)&gt;$O$3,AND($O$11=1,B92&lt;$O$12)),1,0)</f>
        <v/>
      </c>
      <c r="I92">
        <f>IF(H92=1,NA(),D92)</f>
        <v/>
      </c>
      <c r="J92">
        <f>IF(AND(ISNUMBER(D92),D92&gt;=$O$4,OR($O$11=0,B92&gt;=$O$12)),1,0)</f>
        <v/>
      </c>
      <c r="K92">
        <f>B92-$O$14</f>
        <v/>
      </c>
    </row>
    <row r="93">
      <c r="A93" t="n">
        <v>273</v>
      </c>
      <c r="B93" t="n">
        <v>9.1</v>
      </c>
      <c r="C93" t="inlineStr">
        <is>
          <t>106</t>
        </is>
      </c>
      <c r="D93" t="n">
        <v>1.06</v>
      </c>
      <c r="E93">
        <f>MEDIAN(D73:D113)</f>
        <v/>
      </c>
      <c r="F93">
        <f>E73</f>
        <v/>
      </c>
      <c r="G93">
        <f>F93-E93</f>
        <v/>
      </c>
      <c r="H93">
        <f>IF(OR(NOT(ISNUMBER(D93)),ABS(D93-E93)&gt;$O$3,AND($O$11=1,B93&lt;$O$12)),1,0)</f>
        <v/>
      </c>
      <c r="I93">
        <f>IF(H93=1,NA(),D93)</f>
        <v/>
      </c>
      <c r="J93">
        <f>IF(AND(ISNUMBER(D93),D93&gt;=$O$4,OR($O$11=0,B93&gt;=$O$12)),1,0)</f>
        <v/>
      </c>
      <c r="K93">
        <f>B93-$O$14</f>
        <v/>
      </c>
    </row>
    <row r="94">
      <c r="A94" t="n">
        <v>276</v>
      </c>
      <c r="B94" t="n">
        <v>9.199999999999999</v>
      </c>
      <c r="C94" t="inlineStr">
        <is>
          <t>1?2</t>
        </is>
      </c>
      <c r="E94">
        <f>MEDIAN(D74:D114)</f>
        <v/>
      </c>
      <c r="F94">
        <f>E74</f>
        <v/>
      </c>
      <c r="G94">
        <f>F94-E94</f>
        <v/>
      </c>
      <c r="H94">
        <f>IF(OR(NOT(ISNUMBER(D94)),ABS(D94-E94)&gt;$O$3,AND($O$11=1,B94&lt;$O$12)),1,0)</f>
        <v/>
      </c>
      <c r="I94">
        <f>IF(H94=1,NA(),D94)</f>
        <v/>
      </c>
      <c r="J94">
        <f>IF(AND(ISNUMBER(D94),D94&gt;=$O$4,OR($O$11=0,B94&gt;=$O$12)),1,0)</f>
        <v/>
      </c>
      <c r="K94">
        <f>B94-$O$14</f>
        <v/>
      </c>
    </row>
    <row r="95">
      <c r="A95" t="n">
        <v>279</v>
      </c>
      <c r="B95" t="n">
        <v>9.300000000000001</v>
      </c>
      <c r="C95" t="inlineStr">
        <is>
          <t>103</t>
        </is>
      </c>
      <c r="D95" t="n">
        <v>1.03</v>
      </c>
      <c r="E95">
        <f>MEDIAN(D75:D115)</f>
        <v/>
      </c>
      <c r="F95">
        <f>E75</f>
        <v/>
      </c>
      <c r="G95">
        <f>F95-E95</f>
        <v/>
      </c>
      <c r="H95">
        <f>IF(OR(NOT(ISNUMBER(D95)),ABS(D95-E95)&gt;$O$3,AND($O$11=1,B95&lt;$O$12)),1,0)</f>
        <v/>
      </c>
      <c r="I95">
        <f>IF(H95=1,NA(),D95)</f>
        <v/>
      </c>
      <c r="J95">
        <f>IF(AND(ISNUMBER(D95),D95&gt;=$O$4,OR($O$11=0,B95&gt;=$O$12)),1,0)</f>
        <v/>
      </c>
      <c r="K95">
        <f>B95-$O$14</f>
        <v/>
      </c>
    </row>
    <row r="96">
      <c r="A96" t="n">
        <v>282</v>
      </c>
      <c r="B96" t="n">
        <v>9.4</v>
      </c>
      <c r="C96" t="inlineStr">
        <is>
          <t>104</t>
        </is>
      </c>
      <c r="D96" t="n">
        <v>1.04</v>
      </c>
      <c r="E96">
        <f>MEDIAN(D76:D116)</f>
        <v/>
      </c>
      <c r="F96">
        <f>E76</f>
        <v/>
      </c>
      <c r="G96">
        <f>F96-E96</f>
        <v/>
      </c>
      <c r="H96">
        <f>IF(OR(NOT(ISNUMBER(D96)),ABS(D96-E96)&gt;$O$3,AND($O$11=1,B96&lt;$O$12)),1,0)</f>
        <v/>
      </c>
      <c r="I96">
        <f>IF(H96=1,NA(),D96)</f>
        <v/>
      </c>
      <c r="J96">
        <f>IF(AND(ISNUMBER(D96),D96&gt;=$O$4,OR($O$11=0,B96&gt;=$O$12)),1,0)</f>
        <v/>
      </c>
      <c r="K96">
        <f>B96-$O$14</f>
        <v/>
      </c>
    </row>
    <row r="97">
      <c r="A97" t="n">
        <v>285</v>
      </c>
      <c r="B97" t="n">
        <v>9.5</v>
      </c>
      <c r="C97" t="inlineStr">
        <is>
          <t>106</t>
        </is>
      </c>
      <c r="D97" t="n">
        <v>1.06</v>
      </c>
      <c r="E97">
        <f>MEDIAN(D77:D117)</f>
        <v/>
      </c>
      <c r="F97">
        <f>E77</f>
        <v/>
      </c>
      <c r="G97">
        <f>F97-E97</f>
        <v/>
      </c>
      <c r="H97">
        <f>IF(OR(NOT(ISNUMBER(D97)),ABS(D97-E97)&gt;$O$3,AND($O$11=1,B97&lt;$O$12)),1,0)</f>
        <v/>
      </c>
      <c r="I97">
        <f>IF(H97=1,NA(),D97)</f>
        <v/>
      </c>
      <c r="J97">
        <f>IF(AND(ISNUMBER(D97),D97&gt;=$O$4,OR($O$11=0,B97&gt;=$O$12)),1,0)</f>
        <v/>
      </c>
      <c r="K97">
        <f>B97-$O$14</f>
        <v/>
      </c>
    </row>
    <row r="98">
      <c r="A98" t="n">
        <v>288</v>
      </c>
      <c r="B98" t="n">
        <v>9.6</v>
      </c>
      <c r="C98" t="inlineStr">
        <is>
          <t>1?6</t>
        </is>
      </c>
      <c r="E98">
        <f>MEDIAN(D78:D118)</f>
        <v/>
      </c>
      <c r="F98">
        <f>E78</f>
        <v/>
      </c>
      <c r="G98">
        <f>F98-E98</f>
        <v/>
      </c>
      <c r="H98">
        <f>IF(OR(NOT(ISNUMBER(D98)),ABS(D98-E98)&gt;$O$3,AND($O$11=1,B98&lt;$O$12)),1,0)</f>
        <v/>
      </c>
      <c r="I98">
        <f>IF(H98=1,NA(),D98)</f>
        <v/>
      </c>
      <c r="J98">
        <f>IF(AND(ISNUMBER(D98),D98&gt;=$O$4,OR($O$11=0,B98&gt;=$O$12)),1,0)</f>
        <v/>
      </c>
      <c r="K98">
        <f>B98-$O$14</f>
        <v/>
      </c>
    </row>
    <row r="99">
      <c r="A99" t="n">
        <v>291</v>
      </c>
      <c r="B99" t="n">
        <v>9.699999999999999</v>
      </c>
      <c r="C99" t="inlineStr">
        <is>
          <t>105</t>
        </is>
      </c>
      <c r="D99" t="n">
        <v>1.05</v>
      </c>
      <c r="E99">
        <f>MEDIAN(D79:D119)</f>
        <v/>
      </c>
      <c r="F99">
        <f>E79</f>
        <v/>
      </c>
      <c r="G99">
        <f>F99-E99</f>
        <v/>
      </c>
      <c r="H99">
        <f>IF(OR(NOT(ISNUMBER(D99)),ABS(D99-E99)&gt;$O$3,AND($O$11=1,B99&lt;$O$12)),1,0)</f>
        <v/>
      </c>
      <c r="I99">
        <f>IF(H99=1,NA(),D99)</f>
        <v/>
      </c>
      <c r="J99">
        <f>IF(AND(ISNUMBER(D99),D99&gt;=$O$4,OR($O$11=0,B99&gt;=$O$12)),1,0)</f>
        <v/>
      </c>
      <c r="K99">
        <f>B99-$O$14</f>
        <v/>
      </c>
    </row>
    <row r="100">
      <c r="A100" t="n">
        <v>294</v>
      </c>
      <c r="B100" t="n">
        <v>9.800000000000001</v>
      </c>
      <c r="C100" t="inlineStr">
        <is>
          <t>107</t>
        </is>
      </c>
      <c r="D100" t="n">
        <v>1.07</v>
      </c>
      <c r="E100">
        <f>MEDIAN(D80:D120)</f>
        <v/>
      </c>
      <c r="F100">
        <f>E80</f>
        <v/>
      </c>
      <c r="G100">
        <f>F100-E100</f>
        <v/>
      </c>
      <c r="H100">
        <f>IF(OR(NOT(ISNUMBER(D100)),ABS(D100-E100)&gt;$O$3,AND($O$11=1,B100&lt;$O$12)),1,0)</f>
        <v/>
      </c>
      <c r="I100">
        <f>IF(H100=1,NA(),D100)</f>
        <v/>
      </c>
      <c r="J100">
        <f>IF(AND(ISNUMBER(D100),D100&gt;=$O$4,OR($O$11=0,B100&gt;=$O$12)),1,0)</f>
        <v/>
      </c>
      <c r="K100">
        <f>B100-$O$14</f>
        <v/>
      </c>
    </row>
    <row r="101">
      <c r="A101" t="n">
        <v>297</v>
      </c>
      <c r="B101" t="n">
        <v>9.9</v>
      </c>
      <c r="C101" t="inlineStr">
        <is>
          <t>114</t>
        </is>
      </c>
      <c r="D101" t="n">
        <v>1.14</v>
      </c>
      <c r="E101">
        <f>MEDIAN(D81:D121)</f>
        <v/>
      </c>
      <c r="F101">
        <f>E81</f>
        <v/>
      </c>
      <c r="G101">
        <f>F101-E101</f>
        <v/>
      </c>
      <c r="H101">
        <f>IF(OR(NOT(ISNUMBER(D101)),ABS(D101-E101)&gt;$O$3,AND($O$11=1,B101&lt;$O$12)),1,0)</f>
        <v/>
      </c>
      <c r="I101">
        <f>IF(H101=1,NA(),D101)</f>
        <v/>
      </c>
      <c r="J101">
        <f>IF(AND(ISNUMBER(D101),D101&gt;=$O$4,OR($O$11=0,B101&gt;=$O$12)),1,0)</f>
        <v/>
      </c>
      <c r="K101">
        <f>B101-$O$14</f>
        <v/>
      </c>
    </row>
    <row r="102">
      <c r="A102" t="n">
        <v>300</v>
      </c>
      <c r="B102" t="n">
        <v>10</v>
      </c>
      <c r="C102" t="inlineStr">
        <is>
          <t>114</t>
        </is>
      </c>
      <c r="D102" t="n">
        <v>1.14</v>
      </c>
      <c r="E102">
        <f>MEDIAN(D82:D122)</f>
        <v/>
      </c>
      <c r="F102">
        <f>E82</f>
        <v/>
      </c>
      <c r="G102">
        <f>F102-E102</f>
        <v/>
      </c>
      <c r="H102">
        <f>IF(OR(NOT(ISNUMBER(D102)),ABS(D102-E102)&gt;$O$3,AND($O$11=1,B102&lt;$O$12)),1,0)</f>
        <v/>
      </c>
      <c r="I102">
        <f>IF(H102=1,NA(),D102)</f>
        <v/>
      </c>
      <c r="J102">
        <f>IF(AND(ISNUMBER(D102),D102&gt;=$O$4,OR($O$11=0,B102&gt;=$O$12)),1,0)</f>
        <v/>
      </c>
      <c r="K102">
        <f>B102-$O$14</f>
        <v/>
      </c>
    </row>
    <row r="103">
      <c r="A103" t="n">
        <v>303</v>
      </c>
      <c r="B103" t="n">
        <v>10.1</v>
      </c>
      <c r="C103" t="inlineStr">
        <is>
          <t>116</t>
        </is>
      </c>
      <c r="D103" t="n">
        <v>1.16</v>
      </c>
      <c r="E103">
        <f>MEDIAN(D83:D123)</f>
        <v/>
      </c>
      <c r="F103">
        <f>E83</f>
        <v/>
      </c>
      <c r="G103">
        <f>F103-E103</f>
        <v/>
      </c>
      <c r="H103">
        <f>IF(OR(NOT(ISNUMBER(D103)),ABS(D103-E103)&gt;$O$3,AND($O$11=1,B103&lt;$O$12)),1,0)</f>
        <v/>
      </c>
      <c r="I103">
        <f>IF(H103=1,NA(),D103)</f>
        <v/>
      </c>
      <c r="J103">
        <f>IF(AND(ISNUMBER(D103),D103&gt;=$O$4,OR($O$11=0,B103&gt;=$O$12)),1,0)</f>
        <v/>
      </c>
      <c r="K103">
        <f>B103-$O$14</f>
        <v/>
      </c>
    </row>
    <row r="104">
      <c r="A104" t="n">
        <v>306</v>
      </c>
      <c r="B104" t="n">
        <v>10.2</v>
      </c>
      <c r="C104" t="inlineStr">
        <is>
          <t>116</t>
        </is>
      </c>
      <c r="D104" t="n">
        <v>1.16</v>
      </c>
      <c r="E104">
        <f>MEDIAN(D84:D124)</f>
        <v/>
      </c>
      <c r="F104">
        <f>E84</f>
        <v/>
      </c>
      <c r="G104">
        <f>F104-E104</f>
        <v/>
      </c>
      <c r="H104">
        <f>IF(OR(NOT(ISNUMBER(D104)),ABS(D104-E104)&gt;$O$3,AND($O$11=1,B104&lt;$O$12)),1,0)</f>
        <v/>
      </c>
      <c r="I104">
        <f>IF(H104=1,NA(),D104)</f>
        <v/>
      </c>
      <c r="J104">
        <f>IF(AND(ISNUMBER(D104),D104&gt;=$O$4,OR($O$11=0,B104&gt;=$O$12)),1,0)</f>
        <v/>
      </c>
      <c r="K104">
        <f>B104-$O$14</f>
        <v/>
      </c>
    </row>
    <row r="105">
      <c r="A105" t="n">
        <v>309</v>
      </c>
      <c r="B105" t="n">
        <v>10.3</v>
      </c>
      <c r="C105" t="inlineStr">
        <is>
          <t>120</t>
        </is>
      </c>
      <c r="D105" t="n">
        <v>1.2</v>
      </c>
      <c r="E105">
        <f>MEDIAN(D85:D125)</f>
        <v/>
      </c>
      <c r="F105">
        <f>E85</f>
        <v/>
      </c>
      <c r="G105">
        <f>F105-E105</f>
        <v/>
      </c>
      <c r="H105">
        <f>IF(OR(NOT(ISNUMBER(D105)),ABS(D105-E105)&gt;$O$3,AND($O$11=1,B105&lt;$O$12)),1,0)</f>
        <v/>
      </c>
      <c r="I105">
        <f>IF(H105=1,NA(),D105)</f>
        <v/>
      </c>
      <c r="J105">
        <f>IF(AND(ISNUMBER(D105),D105&gt;=$O$4,OR($O$11=0,B105&gt;=$O$12)),1,0)</f>
        <v/>
      </c>
      <c r="K105">
        <f>B105-$O$14</f>
        <v/>
      </c>
    </row>
    <row r="106">
      <c r="A106" t="n">
        <v>312</v>
      </c>
      <c r="B106" t="n">
        <v>10.4</v>
      </c>
      <c r="C106" t="inlineStr">
        <is>
          <t>122</t>
        </is>
      </c>
      <c r="D106" t="n">
        <v>1.22</v>
      </c>
      <c r="E106">
        <f>MEDIAN(D86:D126)</f>
        <v/>
      </c>
      <c r="F106">
        <f>E86</f>
        <v/>
      </c>
      <c r="G106">
        <f>F106-E106</f>
        <v/>
      </c>
      <c r="H106">
        <f>IF(OR(NOT(ISNUMBER(D106)),ABS(D106-E106)&gt;$O$3,AND($O$11=1,B106&lt;$O$12)),1,0)</f>
        <v/>
      </c>
      <c r="I106">
        <f>IF(H106=1,NA(),D106)</f>
        <v/>
      </c>
      <c r="J106">
        <f>IF(AND(ISNUMBER(D106),D106&gt;=$O$4,OR($O$11=0,B106&gt;=$O$12)),1,0)</f>
        <v/>
      </c>
      <c r="K106">
        <f>B106-$O$14</f>
        <v/>
      </c>
    </row>
    <row r="107">
      <c r="A107" t="n">
        <v>315</v>
      </c>
      <c r="B107" t="n">
        <v>10.5</v>
      </c>
      <c r="C107" t="inlineStr">
        <is>
          <t>123</t>
        </is>
      </c>
      <c r="D107" t="n">
        <v>1.23</v>
      </c>
      <c r="E107">
        <f>MEDIAN(D87:D127)</f>
        <v/>
      </c>
      <c r="F107">
        <f>E87</f>
        <v/>
      </c>
      <c r="G107">
        <f>F107-E107</f>
        <v/>
      </c>
      <c r="H107">
        <f>IF(OR(NOT(ISNUMBER(D107)),ABS(D107-E107)&gt;$O$3,AND($O$11=1,B107&lt;$O$12)),1,0)</f>
        <v/>
      </c>
      <c r="I107">
        <f>IF(H107=1,NA(),D107)</f>
        <v/>
      </c>
      <c r="J107">
        <f>IF(AND(ISNUMBER(D107),D107&gt;=$O$4,OR($O$11=0,B107&gt;=$O$12)),1,0)</f>
        <v/>
      </c>
      <c r="K107">
        <f>B107-$O$14</f>
        <v/>
      </c>
    </row>
    <row r="108">
      <c r="A108" t="n">
        <v>318</v>
      </c>
      <c r="B108" t="n">
        <v>10.6</v>
      </c>
      <c r="C108" t="inlineStr">
        <is>
          <t>124</t>
        </is>
      </c>
      <c r="D108" t="n">
        <v>1.24</v>
      </c>
      <c r="E108">
        <f>MEDIAN(D88:D128)</f>
        <v/>
      </c>
      <c r="F108">
        <f>E88</f>
        <v/>
      </c>
      <c r="G108">
        <f>F108-E108</f>
        <v/>
      </c>
      <c r="H108">
        <f>IF(OR(NOT(ISNUMBER(D108)),ABS(D108-E108)&gt;$O$3,AND($O$11=1,B108&lt;$O$12)),1,0)</f>
        <v/>
      </c>
      <c r="I108">
        <f>IF(H108=1,NA(),D108)</f>
        <v/>
      </c>
      <c r="J108">
        <f>IF(AND(ISNUMBER(D108),D108&gt;=$O$4,OR($O$11=0,B108&gt;=$O$12)),1,0)</f>
        <v/>
      </c>
      <c r="K108">
        <f>B108-$O$14</f>
        <v/>
      </c>
    </row>
    <row r="109">
      <c r="A109" t="n">
        <v>321</v>
      </c>
      <c r="B109" t="n">
        <v>10.7</v>
      </c>
      <c r="C109" t="inlineStr">
        <is>
          <t>125</t>
        </is>
      </c>
      <c r="D109" t="n">
        <v>1.25</v>
      </c>
      <c r="E109">
        <f>MEDIAN(D89:D129)</f>
        <v/>
      </c>
      <c r="F109">
        <f>E89</f>
        <v/>
      </c>
      <c r="G109">
        <f>F109-E109</f>
        <v/>
      </c>
      <c r="H109">
        <f>IF(OR(NOT(ISNUMBER(D109)),ABS(D109-E109)&gt;$O$3,AND($O$11=1,B109&lt;$O$12)),1,0)</f>
        <v/>
      </c>
      <c r="I109">
        <f>IF(H109=1,NA(),D109)</f>
        <v/>
      </c>
      <c r="J109">
        <f>IF(AND(ISNUMBER(D109),D109&gt;=$O$4,OR($O$11=0,B109&gt;=$O$12)),1,0)</f>
        <v/>
      </c>
      <c r="K109">
        <f>B109-$O$14</f>
        <v/>
      </c>
    </row>
    <row r="110">
      <c r="A110" t="n">
        <v>324</v>
      </c>
      <c r="B110" t="n">
        <v>10.8</v>
      </c>
      <c r="C110" t="inlineStr">
        <is>
          <t>126</t>
        </is>
      </c>
      <c r="D110" t="n">
        <v>1.26</v>
      </c>
      <c r="E110">
        <f>MEDIAN(D90:D130)</f>
        <v/>
      </c>
      <c r="F110">
        <f>E90</f>
        <v/>
      </c>
      <c r="G110">
        <f>F110-E110</f>
        <v/>
      </c>
      <c r="H110">
        <f>IF(OR(NOT(ISNUMBER(D110)),ABS(D110-E110)&gt;$O$3,AND($O$11=1,B110&lt;$O$12)),1,0)</f>
        <v/>
      </c>
      <c r="I110">
        <f>IF(H110=1,NA(),D110)</f>
        <v/>
      </c>
      <c r="J110">
        <f>IF(AND(ISNUMBER(D110),D110&gt;=$O$4,OR($O$11=0,B110&gt;=$O$12)),1,0)</f>
        <v/>
      </c>
      <c r="K110">
        <f>B110-$O$14</f>
        <v/>
      </c>
    </row>
    <row r="111">
      <c r="A111" t="n">
        <v>327</v>
      </c>
      <c r="B111" t="n">
        <v>10.9</v>
      </c>
      <c r="C111" t="inlineStr">
        <is>
          <t>15</t>
        </is>
      </c>
      <c r="D111" t="n">
        <v>0.15</v>
      </c>
      <c r="E111">
        <f>MEDIAN(D91:D131)</f>
        <v/>
      </c>
      <c r="F111">
        <f>E91</f>
        <v/>
      </c>
      <c r="G111">
        <f>F111-E111</f>
        <v/>
      </c>
      <c r="H111">
        <f>IF(OR(NOT(ISNUMBER(D111)),ABS(D111-E111)&gt;$O$3,AND($O$11=1,B111&lt;$O$12)),1,0)</f>
        <v/>
      </c>
      <c r="I111">
        <f>IF(H111=1,NA(),D111)</f>
        <v/>
      </c>
      <c r="J111">
        <f>IF(AND(ISNUMBER(D111),D111&gt;=$O$4,OR($O$11=0,B111&gt;=$O$12)),1,0)</f>
        <v/>
      </c>
      <c r="K111">
        <f>B111-$O$14</f>
        <v/>
      </c>
    </row>
    <row r="112">
      <c r="A112" t="n">
        <v>330</v>
      </c>
      <c r="B112" t="n">
        <v>11</v>
      </c>
      <c r="C112" t="inlineStr">
        <is>
          <t>12</t>
        </is>
      </c>
      <c r="D112" t="n">
        <v>0.12</v>
      </c>
      <c r="E112">
        <f>MEDIAN(D92:D132)</f>
        <v/>
      </c>
      <c r="F112">
        <f>E92</f>
        <v/>
      </c>
      <c r="G112">
        <f>F112-E112</f>
        <v/>
      </c>
      <c r="H112">
        <f>IF(OR(NOT(ISNUMBER(D112)),ABS(D112-E112)&gt;$O$3,AND($O$11=1,B112&lt;$O$12)),1,0)</f>
        <v/>
      </c>
      <c r="I112">
        <f>IF(H112=1,NA(),D112)</f>
        <v/>
      </c>
      <c r="J112">
        <f>IF(AND(ISNUMBER(D112),D112&gt;=$O$4,OR($O$11=0,B112&gt;=$O$12)),1,0)</f>
        <v/>
      </c>
      <c r="K112">
        <f>B112-$O$14</f>
        <v/>
      </c>
    </row>
    <row r="113">
      <c r="A113" t="n">
        <v>333</v>
      </c>
      <c r="B113" t="n">
        <v>11.1</v>
      </c>
      <c r="C113" t="inlineStr">
        <is>
          <t>1?3</t>
        </is>
      </c>
      <c r="E113">
        <f>MEDIAN(D93:D133)</f>
        <v/>
      </c>
      <c r="F113">
        <f>E93</f>
        <v/>
      </c>
      <c r="G113">
        <f>F113-E113</f>
        <v/>
      </c>
      <c r="H113">
        <f>IF(OR(NOT(ISNUMBER(D113)),ABS(D113-E113)&gt;$O$3,AND($O$11=1,B113&lt;$O$12)),1,0)</f>
        <v/>
      </c>
      <c r="I113">
        <f>IF(H113=1,NA(),D113)</f>
        <v/>
      </c>
      <c r="J113">
        <f>IF(AND(ISNUMBER(D113),D113&gt;=$O$4,OR($O$11=0,B113&gt;=$O$12)),1,0)</f>
        <v/>
      </c>
      <c r="K113">
        <f>B113-$O$14</f>
        <v/>
      </c>
    </row>
    <row r="114">
      <c r="A114" t="n">
        <v>336</v>
      </c>
      <c r="B114" t="n">
        <v>11.2</v>
      </c>
      <c r="C114" t="inlineStr">
        <is>
          <t>134</t>
        </is>
      </c>
      <c r="D114" t="n">
        <v>1.34</v>
      </c>
      <c r="E114">
        <f>MEDIAN(D94:D134)</f>
        <v/>
      </c>
      <c r="F114">
        <f>E94</f>
        <v/>
      </c>
      <c r="G114">
        <f>F114-E114</f>
        <v/>
      </c>
      <c r="H114">
        <f>IF(OR(NOT(ISNUMBER(D114)),ABS(D114-E114)&gt;$O$3,AND($O$11=1,B114&lt;$O$12)),1,0)</f>
        <v/>
      </c>
      <c r="I114">
        <f>IF(H114=1,NA(),D114)</f>
        <v/>
      </c>
      <c r="J114">
        <f>IF(AND(ISNUMBER(D114),D114&gt;=$O$4,OR($O$11=0,B114&gt;=$O$12)),1,0)</f>
        <v/>
      </c>
      <c r="K114">
        <f>B114-$O$14</f>
        <v/>
      </c>
    </row>
    <row r="115">
      <c r="A115" t="n">
        <v>339</v>
      </c>
      <c r="B115" t="n">
        <v>11.3</v>
      </c>
      <c r="C115" t="inlineStr">
        <is>
          <t>135</t>
        </is>
      </c>
      <c r="D115" t="n">
        <v>1.35</v>
      </c>
      <c r="E115">
        <f>MEDIAN(D95:D135)</f>
        <v/>
      </c>
      <c r="F115">
        <f>E95</f>
        <v/>
      </c>
      <c r="G115">
        <f>F115-E115</f>
        <v/>
      </c>
      <c r="H115">
        <f>IF(OR(NOT(ISNUMBER(D115)),ABS(D115-E115)&gt;$O$3,AND($O$11=1,B115&lt;$O$12)),1,0)</f>
        <v/>
      </c>
      <c r="I115">
        <f>IF(H115=1,NA(),D115)</f>
        <v/>
      </c>
      <c r="J115">
        <f>IF(AND(ISNUMBER(D115),D115&gt;=$O$4,OR($O$11=0,B115&gt;=$O$12)),1,0)</f>
        <v/>
      </c>
      <c r="K115">
        <f>B115-$O$14</f>
        <v/>
      </c>
    </row>
    <row r="116">
      <c r="A116" t="n">
        <v>342</v>
      </c>
      <c r="B116" t="n">
        <v>11.4</v>
      </c>
      <c r="C116" t="inlineStr">
        <is>
          <t>137</t>
        </is>
      </c>
      <c r="D116" t="n">
        <v>1.37</v>
      </c>
      <c r="E116">
        <f>MEDIAN(D96:D136)</f>
        <v/>
      </c>
      <c r="F116">
        <f>E96</f>
        <v/>
      </c>
      <c r="G116">
        <f>F116-E116</f>
        <v/>
      </c>
      <c r="H116">
        <f>IF(OR(NOT(ISNUMBER(D116)),ABS(D116-E116)&gt;$O$3,AND($O$11=1,B116&lt;$O$12)),1,0)</f>
        <v/>
      </c>
      <c r="I116">
        <f>IF(H116=1,NA(),D116)</f>
        <v/>
      </c>
      <c r="J116">
        <f>IF(AND(ISNUMBER(D116),D116&gt;=$O$4,OR($O$11=0,B116&gt;=$O$12)),1,0)</f>
        <v/>
      </c>
      <c r="K116">
        <f>B116-$O$14</f>
        <v/>
      </c>
    </row>
    <row r="117">
      <c r="A117" t="n">
        <v>345</v>
      </c>
      <c r="B117" t="n">
        <v>11.5</v>
      </c>
      <c r="C117" t="inlineStr">
        <is>
          <t>15</t>
        </is>
      </c>
      <c r="D117" t="n">
        <v>0.15</v>
      </c>
      <c r="E117">
        <f>MEDIAN(D97:D137)</f>
        <v/>
      </c>
      <c r="F117">
        <f>E97</f>
        <v/>
      </c>
      <c r="G117">
        <f>F117-E117</f>
        <v/>
      </c>
      <c r="H117">
        <f>IF(OR(NOT(ISNUMBER(D117)),ABS(D117-E117)&gt;$O$3,AND($O$11=1,B117&lt;$O$12)),1,0)</f>
        <v/>
      </c>
      <c r="I117">
        <f>IF(H117=1,NA(),D117)</f>
        <v/>
      </c>
      <c r="J117">
        <f>IF(AND(ISNUMBER(D117),D117&gt;=$O$4,OR($O$11=0,B117&gt;=$O$12)),1,0)</f>
        <v/>
      </c>
      <c r="K117">
        <f>B117-$O$14</f>
        <v/>
      </c>
    </row>
    <row r="118">
      <c r="A118" t="n">
        <v>348</v>
      </c>
      <c r="B118" t="n">
        <v>11.6</v>
      </c>
      <c r="C118" t="inlineStr">
        <is>
          <t>140</t>
        </is>
      </c>
      <c r="D118" t="n">
        <v>1.4</v>
      </c>
      <c r="E118">
        <f>MEDIAN(D98:D138)</f>
        <v/>
      </c>
      <c r="F118">
        <f>E98</f>
        <v/>
      </c>
      <c r="G118">
        <f>F118-E118</f>
        <v/>
      </c>
      <c r="H118">
        <f>IF(OR(NOT(ISNUMBER(D118)),ABS(D118-E118)&gt;$O$3,AND($O$11=1,B118&lt;$O$12)),1,0)</f>
        <v/>
      </c>
      <c r="I118">
        <f>IF(H118=1,NA(),D118)</f>
        <v/>
      </c>
      <c r="J118">
        <f>IF(AND(ISNUMBER(D118),D118&gt;=$O$4,OR($O$11=0,B118&gt;=$O$12)),1,0)</f>
        <v/>
      </c>
      <c r="K118">
        <f>B118-$O$14</f>
        <v/>
      </c>
    </row>
    <row r="119">
      <c r="A119" t="n">
        <v>351</v>
      </c>
      <c r="B119" t="n">
        <v>11.7</v>
      </c>
      <c r="C119" t="inlineStr">
        <is>
          <t>143</t>
        </is>
      </c>
      <c r="D119" t="n">
        <v>1.43</v>
      </c>
      <c r="E119">
        <f>MEDIAN(D99:D139)</f>
        <v/>
      </c>
      <c r="F119">
        <f>E99</f>
        <v/>
      </c>
      <c r="G119">
        <f>F119-E119</f>
        <v/>
      </c>
      <c r="H119">
        <f>IF(OR(NOT(ISNUMBER(D119)),ABS(D119-E119)&gt;$O$3,AND($O$11=1,B119&lt;$O$12)),1,0)</f>
        <v/>
      </c>
      <c r="I119">
        <f>IF(H119=1,NA(),D119)</f>
        <v/>
      </c>
      <c r="J119">
        <f>IF(AND(ISNUMBER(D119),D119&gt;=$O$4,OR($O$11=0,B119&gt;=$O$12)),1,0)</f>
        <v/>
      </c>
      <c r="K119">
        <f>B119-$O$14</f>
        <v/>
      </c>
    </row>
    <row r="120">
      <c r="A120" t="n">
        <v>354</v>
      </c>
      <c r="B120" t="n">
        <v>11.8</v>
      </c>
      <c r="C120" t="inlineStr">
        <is>
          <t>144</t>
        </is>
      </c>
      <c r="D120" t="n">
        <v>1.44</v>
      </c>
      <c r="E120">
        <f>MEDIAN(D100:D140)</f>
        <v/>
      </c>
      <c r="F120">
        <f>E100</f>
        <v/>
      </c>
      <c r="G120">
        <f>F120-E120</f>
        <v/>
      </c>
      <c r="H120">
        <f>IF(OR(NOT(ISNUMBER(D120)),ABS(D120-E120)&gt;$O$3,AND($O$11=1,B120&lt;$O$12)),1,0)</f>
        <v/>
      </c>
      <c r="I120">
        <f>IF(H120=1,NA(),D120)</f>
        <v/>
      </c>
      <c r="J120">
        <f>IF(AND(ISNUMBER(D120),D120&gt;=$O$4,OR($O$11=0,B120&gt;=$O$12)),1,0)</f>
        <v/>
      </c>
      <c r="K120">
        <f>B120-$O$14</f>
        <v/>
      </c>
    </row>
    <row r="121">
      <c r="A121" t="n">
        <v>357</v>
      </c>
      <c r="B121" t="n">
        <v>11.9</v>
      </c>
      <c r="C121" t="inlineStr">
        <is>
          <t>145</t>
        </is>
      </c>
      <c r="D121" t="n">
        <v>1.45</v>
      </c>
      <c r="E121">
        <f>MEDIAN(D101:D141)</f>
        <v/>
      </c>
      <c r="F121">
        <f>E101</f>
        <v/>
      </c>
      <c r="G121">
        <f>F121-E121</f>
        <v/>
      </c>
      <c r="H121">
        <f>IF(OR(NOT(ISNUMBER(D121)),ABS(D121-E121)&gt;$O$3,AND($O$11=1,B121&lt;$O$12)),1,0)</f>
        <v/>
      </c>
      <c r="I121">
        <f>IF(H121=1,NA(),D121)</f>
        <v/>
      </c>
      <c r="J121">
        <f>IF(AND(ISNUMBER(D121),D121&gt;=$O$4,OR($O$11=0,B121&gt;=$O$12)),1,0)</f>
        <v/>
      </c>
      <c r="K121">
        <f>B121-$O$14</f>
        <v/>
      </c>
    </row>
    <row r="122">
      <c r="A122" t="n">
        <v>360</v>
      </c>
      <c r="B122" t="n">
        <v>12</v>
      </c>
      <c r="C122" t="inlineStr">
        <is>
          <t>146</t>
        </is>
      </c>
      <c r="D122" t="n">
        <v>1.46</v>
      </c>
      <c r="E122">
        <f>MEDIAN(D102:D142)</f>
        <v/>
      </c>
      <c r="F122">
        <f>E102</f>
        <v/>
      </c>
      <c r="G122">
        <f>F122-E122</f>
        <v/>
      </c>
      <c r="H122">
        <f>IF(OR(NOT(ISNUMBER(D122)),ABS(D122-E122)&gt;$O$3,AND($O$11=1,B122&lt;$O$12)),1,0)</f>
        <v/>
      </c>
      <c r="I122">
        <f>IF(H122=1,NA(),D122)</f>
        <v/>
      </c>
      <c r="J122">
        <f>IF(AND(ISNUMBER(D122),D122&gt;=$O$4,OR($O$11=0,B122&gt;=$O$12)),1,0)</f>
        <v/>
      </c>
      <c r="K122">
        <f>B122-$O$14</f>
        <v/>
      </c>
    </row>
    <row r="123">
      <c r="A123" t="n">
        <v>363</v>
      </c>
      <c r="B123" t="n">
        <v>12.1</v>
      </c>
      <c r="C123" t="inlineStr">
        <is>
          <t>146</t>
        </is>
      </c>
      <c r="D123" t="n">
        <v>1.46</v>
      </c>
      <c r="E123">
        <f>MEDIAN(D103:D143)</f>
        <v/>
      </c>
      <c r="F123">
        <f>E103</f>
        <v/>
      </c>
      <c r="G123">
        <f>F123-E123</f>
        <v/>
      </c>
      <c r="H123">
        <f>IF(OR(NOT(ISNUMBER(D123)),ABS(D123-E123)&gt;$O$3,AND($O$11=1,B123&lt;$O$12)),1,0)</f>
        <v/>
      </c>
      <c r="I123">
        <f>IF(H123=1,NA(),D123)</f>
        <v/>
      </c>
      <c r="J123">
        <f>IF(AND(ISNUMBER(D123),D123&gt;=$O$4,OR($O$11=0,B123&gt;=$O$12)),1,0)</f>
        <v/>
      </c>
      <c r="K123">
        <f>B123-$O$14</f>
        <v/>
      </c>
    </row>
    <row r="124">
      <c r="A124" t="n">
        <v>366</v>
      </c>
      <c r="B124" t="n">
        <v>12.2</v>
      </c>
      <c r="C124" t="inlineStr">
        <is>
          <t>150</t>
        </is>
      </c>
      <c r="D124" t="n">
        <v>1.5</v>
      </c>
      <c r="E124">
        <f>MEDIAN(D104:D144)</f>
        <v/>
      </c>
      <c r="F124">
        <f>E104</f>
        <v/>
      </c>
      <c r="G124">
        <f>F124-E124</f>
        <v/>
      </c>
      <c r="H124">
        <f>IF(OR(NOT(ISNUMBER(D124)),ABS(D124-E124)&gt;$O$3,AND($O$11=1,B124&lt;$O$12)),1,0)</f>
        <v/>
      </c>
      <c r="I124">
        <f>IF(H124=1,NA(),D124)</f>
        <v/>
      </c>
      <c r="J124">
        <f>IF(AND(ISNUMBER(D124),D124&gt;=$O$4,OR($O$11=0,B124&gt;=$O$12)),1,0)</f>
        <v/>
      </c>
      <c r="K124">
        <f>B124-$O$14</f>
        <v/>
      </c>
    </row>
    <row r="125">
      <c r="A125" t="n">
        <v>369</v>
      </c>
      <c r="B125" t="n">
        <v>12.3</v>
      </c>
      <c r="C125" t="inlineStr">
        <is>
          <t>152</t>
        </is>
      </c>
      <c r="D125" t="n">
        <v>1.52</v>
      </c>
      <c r="E125">
        <f>MEDIAN(D105:D145)</f>
        <v/>
      </c>
      <c r="F125">
        <f>E105</f>
        <v/>
      </c>
      <c r="G125">
        <f>F125-E125</f>
        <v/>
      </c>
      <c r="H125">
        <f>IF(OR(NOT(ISNUMBER(D125)),ABS(D125-E125)&gt;$O$3,AND($O$11=1,B125&lt;$O$12)),1,0)</f>
        <v/>
      </c>
      <c r="I125">
        <f>IF(H125=1,NA(),D125)</f>
        <v/>
      </c>
      <c r="J125">
        <f>IF(AND(ISNUMBER(D125),D125&gt;=$O$4,OR($O$11=0,B125&gt;=$O$12)),1,0)</f>
        <v/>
      </c>
      <c r="K125">
        <f>B125-$O$14</f>
        <v/>
      </c>
    </row>
    <row r="126">
      <c r="A126" t="n">
        <v>372</v>
      </c>
      <c r="B126" t="n">
        <v>12.4</v>
      </c>
      <c r="C126" t="inlineStr">
        <is>
          <t>153</t>
        </is>
      </c>
      <c r="D126" t="n">
        <v>1.53</v>
      </c>
      <c r="E126">
        <f>MEDIAN(D106:D146)</f>
        <v/>
      </c>
      <c r="F126">
        <f>E106</f>
        <v/>
      </c>
      <c r="G126">
        <f>F126-E126</f>
        <v/>
      </c>
      <c r="H126">
        <f>IF(OR(NOT(ISNUMBER(D126)),ABS(D126-E126)&gt;$O$3,AND($O$11=1,B126&lt;$O$12)),1,0)</f>
        <v/>
      </c>
      <c r="I126">
        <f>IF(H126=1,NA(),D126)</f>
        <v/>
      </c>
      <c r="J126">
        <f>IF(AND(ISNUMBER(D126),D126&gt;=$O$4,OR($O$11=0,B126&gt;=$O$12)),1,0)</f>
        <v/>
      </c>
      <c r="K126">
        <f>B126-$O$14</f>
        <v/>
      </c>
    </row>
    <row r="127">
      <c r="A127" t="n">
        <v>375</v>
      </c>
      <c r="B127" t="n">
        <v>12.5</v>
      </c>
      <c r="C127" t="inlineStr">
        <is>
          <t>14</t>
        </is>
      </c>
      <c r="D127" t="n">
        <v>0.14</v>
      </c>
      <c r="E127">
        <f>MEDIAN(D107:D147)</f>
        <v/>
      </c>
      <c r="F127">
        <f>E107</f>
        <v/>
      </c>
      <c r="G127">
        <f>F127-E127</f>
        <v/>
      </c>
      <c r="H127">
        <f>IF(OR(NOT(ISNUMBER(D127)),ABS(D127-E127)&gt;$O$3,AND($O$11=1,B127&lt;$O$12)),1,0)</f>
        <v/>
      </c>
      <c r="I127">
        <f>IF(H127=1,NA(),D127)</f>
        <v/>
      </c>
      <c r="J127">
        <f>IF(AND(ISNUMBER(D127),D127&gt;=$O$4,OR($O$11=0,B127&gt;=$O$12)),1,0)</f>
        <v/>
      </c>
      <c r="K127">
        <f>B127-$O$14</f>
        <v/>
      </c>
    </row>
    <row r="128">
      <c r="A128" t="n">
        <v>378</v>
      </c>
      <c r="B128" t="n">
        <v>12.6</v>
      </c>
      <c r="C128" t="inlineStr">
        <is>
          <t>156</t>
        </is>
      </c>
      <c r="D128" t="n">
        <v>1.56</v>
      </c>
      <c r="E128">
        <f>MEDIAN(D108:D148)</f>
        <v/>
      </c>
      <c r="F128">
        <f>E108</f>
        <v/>
      </c>
      <c r="G128">
        <f>F128-E128</f>
        <v/>
      </c>
      <c r="H128">
        <f>IF(OR(NOT(ISNUMBER(D128)),ABS(D128-E128)&gt;$O$3,AND($O$11=1,B128&lt;$O$12)),1,0)</f>
        <v/>
      </c>
      <c r="I128">
        <f>IF(H128=1,NA(),D128)</f>
        <v/>
      </c>
      <c r="J128">
        <f>IF(AND(ISNUMBER(D128),D128&gt;=$O$4,OR($O$11=0,B128&gt;=$O$12)),1,0)</f>
        <v/>
      </c>
      <c r="K128">
        <f>B128-$O$14</f>
        <v/>
      </c>
    </row>
    <row r="129">
      <c r="A129" t="n">
        <v>381</v>
      </c>
      <c r="B129" t="n">
        <v>12.7</v>
      </c>
      <c r="C129" t="inlineStr">
        <is>
          <t>156</t>
        </is>
      </c>
      <c r="D129" t="n">
        <v>1.56</v>
      </c>
      <c r="E129">
        <f>MEDIAN(D109:D149)</f>
        <v/>
      </c>
      <c r="F129">
        <f>E109</f>
        <v/>
      </c>
      <c r="G129">
        <f>F129-E129</f>
        <v/>
      </c>
      <c r="H129">
        <f>IF(OR(NOT(ISNUMBER(D129)),ABS(D129-E129)&gt;$O$3,AND($O$11=1,B129&lt;$O$12)),1,0)</f>
        <v/>
      </c>
      <c r="I129">
        <f>IF(H129=1,NA(),D129)</f>
        <v/>
      </c>
      <c r="J129">
        <f>IF(AND(ISNUMBER(D129),D129&gt;=$O$4,OR($O$11=0,B129&gt;=$O$12)),1,0)</f>
        <v/>
      </c>
      <c r="K129">
        <f>B129-$O$14</f>
        <v/>
      </c>
    </row>
    <row r="130">
      <c r="A130" t="n">
        <v>384</v>
      </c>
      <c r="B130" t="n">
        <v>12.8</v>
      </c>
      <c r="C130" t="inlineStr">
        <is>
          <t>155</t>
        </is>
      </c>
      <c r="D130" t="n">
        <v>1.55</v>
      </c>
      <c r="E130">
        <f>MEDIAN(D110:D150)</f>
        <v/>
      </c>
      <c r="F130">
        <f>E110</f>
        <v/>
      </c>
      <c r="G130">
        <f>F130-E130</f>
        <v/>
      </c>
      <c r="H130">
        <f>IF(OR(NOT(ISNUMBER(D130)),ABS(D130-E130)&gt;$O$3,AND($O$11=1,B130&lt;$O$12)),1,0)</f>
        <v/>
      </c>
      <c r="I130">
        <f>IF(H130=1,NA(),D130)</f>
        <v/>
      </c>
      <c r="J130">
        <f>IF(AND(ISNUMBER(D130),D130&gt;=$O$4,OR($O$11=0,B130&gt;=$O$12)),1,0)</f>
        <v/>
      </c>
      <c r="K130">
        <f>B130-$O$14</f>
        <v/>
      </c>
    </row>
    <row r="131">
      <c r="A131" t="n">
        <v>387</v>
      </c>
      <c r="B131" t="n">
        <v>12.9</v>
      </c>
      <c r="C131" t="inlineStr">
        <is>
          <t>161</t>
        </is>
      </c>
      <c r="D131" t="n">
        <v>1.61</v>
      </c>
      <c r="E131">
        <f>MEDIAN(D111:D151)</f>
        <v/>
      </c>
      <c r="F131">
        <f>E111</f>
        <v/>
      </c>
      <c r="G131">
        <f>F131-E131</f>
        <v/>
      </c>
      <c r="H131">
        <f>IF(OR(NOT(ISNUMBER(D131)),ABS(D131-E131)&gt;$O$3,AND($O$11=1,B131&lt;$O$12)),1,0)</f>
        <v/>
      </c>
      <c r="I131">
        <f>IF(H131=1,NA(),D131)</f>
        <v/>
      </c>
      <c r="J131">
        <f>IF(AND(ISNUMBER(D131),D131&gt;=$O$4,OR($O$11=0,B131&gt;=$O$12)),1,0)</f>
        <v/>
      </c>
      <c r="K131">
        <f>B131-$O$14</f>
        <v/>
      </c>
    </row>
    <row r="132">
      <c r="A132" t="n">
        <v>390</v>
      </c>
      <c r="B132" t="n">
        <v>13</v>
      </c>
      <c r="C132" t="inlineStr">
        <is>
          <t>14</t>
        </is>
      </c>
      <c r="D132" t="n">
        <v>0.14</v>
      </c>
      <c r="E132">
        <f>MEDIAN(D112:D152)</f>
        <v/>
      </c>
      <c r="F132">
        <f>E112</f>
        <v/>
      </c>
      <c r="G132">
        <f>F132-E132</f>
        <v/>
      </c>
      <c r="H132">
        <f>IF(OR(NOT(ISNUMBER(D132)),ABS(D132-E132)&gt;$O$3,AND($O$11=1,B132&lt;$O$12)),1,0)</f>
        <v/>
      </c>
      <c r="I132">
        <f>IF(H132=1,NA(),D132)</f>
        <v/>
      </c>
      <c r="J132">
        <f>IF(AND(ISNUMBER(D132),D132&gt;=$O$4,OR($O$11=0,B132&gt;=$O$12)),1,0)</f>
        <v/>
      </c>
      <c r="K132">
        <f>B132-$O$14</f>
        <v/>
      </c>
    </row>
    <row r="133">
      <c r="A133" t="n">
        <v>393</v>
      </c>
      <c r="B133" t="n">
        <v>13.1</v>
      </c>
      <c r="C133" t="inlineStr">
        <is>
          <t>165</t>
        </is>
      </c>
      <c r="D133" t="n">
        <v>1.65</v>
      </c>
      <c r="E133">
        <f>MEDIAN(D113:D153)</f>
        <v/>
      </c>
      <c r="F133">
        <f>E113</f>
        <v/>
      </c>
      <c r="G133">
        <f>F133-E133</f>
        <v/>
      </c>
      <c r="H133">
        <f>IF(OR(NOT(ISNUMBER(D133)),ABS(D133-E133)&gt;$O$3,AND($O$11=1,B133&lt;$O$12)),1,0)</f>
        <v/>
      </c>
      <c r="I133">
        <f>IF(H133=1,NA(),D133)</f>
        <v/>
      </c>
      <c r="J133">
        <f>IF(AND(ISNUMBER(D133),D133&gt;=$O$4,OR($O$11=0,B133&gt;=$O$12)),1,0)</f>
        <v/>
      </c>
      <c r="K133">
        <f>B133-$O$14</f>
        <v/>
      </c>
    </row>
    <row r="134">
      <c r="A134" t="n">
        <v>396</v>
      </c>
      <c r="B134" t="n">
        <v>13.2</v>
      </c>
      <c r="C134" t="inlineStr">
        <is>
          <t>166</t>
        </is>
      </c>
      <c r="D134" t="n">
        <v>1.66</v>
      </c>
      <c r="E134">
        <f>MEDIAN(D114:D154)</f>
        <v/>
      </c>
      <c r="F134">
        <f>E114</f>
        <v/>
      </c>
      <c r="G134">
        <f>F134-E134</f>
        <v/>
      </c>
      <c r="H134">
        <f>IF(OR(NOT(ISNUMBER(D134)),ABS(D134-E134)&gt;$O$3,AND($O$11=1,B134&lt;$O$12)),1,0)</f>
        <v/>
      </c>
      <c r="I134">
        <f>IF(H134=1,NA(),D134)</f>
        <v/>
      </c>
      <c r="J134">
        <f>IF(AND(ISNUMBER(D134),D134&gt;=$O$4,OR($O$11=0,B134&gt;=$O$12)),1,0)</f>
        <v/>
      </c>
      <c r="K134">
        <f>B134-$O$14</f>
        <v/>
      </c>
    </row>
    <row r="135">
      <c r="A135" t="n">
        <v>399</v>
      </c>
      <c r="B135" t="n">
        <v>13.3</v>
      </c>
      <c r="C135" t="inlineStr">
        <is>
          <t>167</t>
        </is>
      </c>
      <c r="D135" t="n">
        <v>1.67</v>
      </c>
      <c r="E135">
        <f>MEDIAN(D115:D155)</f>
        <v/>
      </c>
      <c r="F135">
        <f>E115</f>
        <v/>
      </c>
      <c r="G135">
        <f>F135-E135</f>
        <v/>
      </c>
      <c r="H135">
        <f>IF(OR(NOT(ISNUMBER(D135)),ABS(D135-E135)&gt;$O$3,AND($O$11=1,B135&lt;$O$12)),1,0)</f>
        <v/>
      </c>
      <c r="I135">
        <f>IF(H135=1,NA(),D135)</f>
        <v/>
      </c>
      <c r="J135">
        <f>IF(AND(ISNUMBER(D135),D135&gt;=$O$4,OR($O$11=0,B135&gt;=$O$12)),1,0)</f>
        <v/>
      </c>
      <c r="K135">
        <f>B135-$O$14</f>
        <v/>
      </c>
    </row>
    <row r="136">
      <c r="A136" t="n">
        <v>402</v>
      </c>
      <c r="B136" t="n">
        <v>13.4</v>
      </c>
      <c r="C136" t="inlineStr">
        <is>
          <t>165</t>
        </is>
      </c>
      <c r="D136" t="n">
        <v>1.65</v>
      </c>
      <c r="E136">
        <f>MEDIAN(D116:D156)</f>
        <v/>
      </c>
      <c r="F136">
        <f>E116</f>
        <v/>
      </c>
      <c r="G136">
        <f>F136-E136</f>
        <v/>
      </c>
      <c r="H136">
        <f>IF(OR(NOT(ISNUMBER(D136)),ABS(D136-E136)&gt;$O$3,AND($O$11=1,B136&lt;$O$12)),1,0)</f>
        <v/>
      </c>
      <c r="I136">
        <f>IF(H136=1,NA(),D136)</f>
        <v/>
      </c>
      <c r="J136">
        <f>IF(AND(ISNUMBER(D136),D136&gt;=$O$4,OR($O$11=0,B136&gt;=$O$12)),1,0)</f>
        <v/>
      </c>
      <c r="K136">
        <f>B136-$O$14</f>
        <v/>
      </c>
    </row>
    <row r="137">
      <c r="A137" t="n">
        <v>405</v>
      </c>
      <c r="B137" t="n">
        <v>13.5</v>
      </c>
      <c r="C137" t="inlineStr">
        <is>
          <t>171</t>
        </is>
      </c>
      <c r="D137" t="n">
        <v>1.71</v>
      </c>
      <c r="E137">
        <f>MEDIAN(D117:D157)</f>
        <v/>
      </c>
      <c r="F137">
        <f>E117</f>
        <v/>
      </c>
      <c r="G137">
        <f>F137-E137</f>
        <v/>
      </c>
      <c r="H137">
        <f>IF(OR(NOT(ISNUMBER(D137)),ABS(D137-E137)&gt;$O$3,AND($O$11=1,B137&lt;$O$12)),1,0)</f>
        <v/>
      </c>
      <c r="I137">
        <f>IF(H137=1,NA(),D137)</f>
        <v/>
      </c>
      <c r="J137">
        <f>IF(AND(ISNUMBER(D137),D137&gt;=$O$4,OR($O$11=0,B137&gt;=$O$12)),1,0)</f>
        <v/>
      </c>
      <c r="K137">
        <f>B137-$O$14</f>
        <v/>
      </c>
    </row>
    <row r="138">
      <c r="A138" t="n">
        <v>408</v>
      </c>
      <c r="B138" t="n">
        <v>13.6</v>
      </c>
      <c r="C138" t="inlineStr">
        <is>
          <t>172</t>
        </is>
      </c>
      <c r="D138" t="n">
        <v>1.72</v>
      </c>
      <c r="E138">
        <f>MEDIAN(D118:D158)</f>
        <v/>
      </c>
      <c r="F138">
        <f>E118</f>
        <v/>
      </c>
      <c r="G138">
        <f>F138-E138</f>
        <v/>
      </c>
      <c r="H138">
        <f>IF(OR(NOT(ISNUMBER(D138)),ABS(D138-E138)&gt;$O$3,AND($O$11=1,B138&lt;$O$12)),1,0)</f>
        <v/>
      </c>
      <c r="I138">
        <f>IF(H138=1,NA(),D138)</f>
        <v/>
      </c>
      <c r="J138">
        <f>IF(AND(ISNUMBER(D138),D138&gt;=$O$4,OR($O$11=0,B138&gt;=$O$12)),1,0)</f>
        <v/>
      </c>
      <c r="K138">
        <f>B138-$O$14</f>
        <v/>
      </c>
    </row>
    <row r="139">
      <c r="A139" t="n">
        <v>411</v>
      </c>
      <c r="B139" t="n">
        <v>13.7</v>
      </c>
      <c r="C139" t="inlineStr">
        <is>
          <t>173</t>
        </is>
      </c>
      <c r="D139" t="n">
        <v>1.73</v>
      </c>
      <c r="E139">
        <f>MEDIAN(D119:D159)</f>
        <v/>
      </c>
      <c r="F139">
        <f>E119</f>
        <v/>
      </c>
      <c r="G139">
        <f>F139-E139</f>
        <v/>
      </c>
      <c r="H139">
        <f>IF(OR(NOT(ISNUMBER(D139)),ABS(D139-E139)&gt;$O$3,AND($O$11=1,B139&lt;$O$12)),1,0)</f>
        <v/>
      </c>
      <c r="I139">
        <f>IF(H139=1,NA(),D139)</f>
        <v/>
      </c>
      <c r="J139">
        <f>IF(AND(ISNUMBER(D139),D139&gt;=$O$4,OR($O$11=0,B139&gt;=$O$12)),1,0)</f>
        <v/>
      </c>
      <c r="K139">
        <f>B139-$O$14</f>
        <v/>
      </c>
    </row>
    <row r="140">
      <c r="A140" t="n">
        <v>414</v>
      </c>
      <c r="B140" t="n">
        <v>13.8</v>
      </c>
      <c r="C140" t="inlineStr">
        <is>
          <t>175</t>
        </is>
      </c>
      <c r="D140" t="n">
        <v>1.75</v>
      </c>
      <c r="E140">
        <f>MEDIAN(D120:D160)</f>
        <v/>
      </c>
      <c r="F140">
        <f>E120</f>
        <v/>
      </c>
      <c r="G140">
        <f>F140-E140</f>
        <v/>
      </c>
      <c r="H140">
        <f>IF(OR(NOT(ISNUMBER(D140)),ABS(D140-E140)&gt;$O$3,AND($O$11=1,B140&lt;$O$12)),1,0)</f>
        <v/>
      </c>
      <c r="I140">
        <f>IF(H140=1,NA(),D140)</f>
        <v/>
      </c>
      <c r="J140">
        <f>IF(AND(ISNUMBER(D140),D140&gt;=$O$4,OR($O$11=0,B140&gt;=$O$12)),1,0)</f>
        <v/>
      </c>
      <c r="K140">
        <f>B140-$O$14</f>
        <v/>
      </c>
    </row>
    <row r="141">
      <c r="A141" t="n">
        <v>417</v>
      </c>
      <c r="B141" t="n">
        <v>13.9</v>
      </c>
      <c r="C141" t="inlineStr">
        <is>
          <t>176</t>
        </is>
      </c>
      <c r="D141" t="n">
        <v>1.76</v>
      </c>
      <c r="E141">
        <f>MEDIAN(D121:D161)</f>
        <v/>
      </c>
      <c r="F141">
        <f>E121</f>
        <v/>
      </c>
      <c r="G141">
        <f>F141-E141</f>
        <v/>
      </c>
      <c r="H141">
        <f>IF(OR(NOT(ISNUMBER(D141)),ABS(D141-E141)&gt;$O$3,AND($O$11=1,B141&lt;$O$12)),1,0)</f>
        <v/>
      </c>
      <c r="I141">
        <f>IF(H141=1,NA(),D141)</f>
        <v/>
      </c>
      <c r="J141">
        <f>IF(AND(ISNUMBER(D141),D141&gt;=$O$4,OR($O$11=0,B141&gt;=$O$12)),1,0)</f>
        <v/>
      </c>
      <c r="K141">
        <f>B141-$O$14</f>
        <v/>
      </c>
    </row>
    <row r="142">
      <c r="A142" t="n">
        <v>420</v>
      </c>
      <c r="B142" t="n">
        <v>14</v>
      </c>
      <c r="C142" t="inlineStr">
        <is>
          <t>176</t>
        </is>
      </c>
      <c r="D142" t="n">
        <v>1.76</v>
      </c>
      <c r="E142">
        <f>MEDIAN(D122:D162)</f>
        <v/>
      </c>
      <c r="F142">
        <f>E122</f>
        <v/>
      </c>
      <c r="G142">
        <f>F142-E142</f>
        <v/>
      </c>
      <c r="H142">
        <f>IF(OR(NOT(ISNUMBER(D142)),ABS(D142-E142)&gt;$O$3,AND($O$11=1,B142&lt;$O$12)),1,0)</f>
        <v/>
      </c>
      <c r="I142">
        <f>IF(H142=1,NA(),D142)</f>
        <v/>
      </c>
      <c r="J142">
        <f>IF(AND(ISNUMBER(D142),D142&gt;=$O$4,OR($O$11=0,B142&gt;=$O$12)),1,0)</f>
        <v/>
      </c>
      <c r="K142">
        <f>B142-$O$14</f>
        <v/>
      </c>
    </row>
    <row r="143">
      <c r="A143" t="n">
        <v>423</v>
      </c>
      <c r="B143" t="n">
        <v>14.1</v>
      </c>
      <c r="C143" t="inlineStr">
        <is>
          <t>175</t>
        </is>
      </c>
      <c r="D143" t="n">
        <v>1.75</v>
      </c>
      <c r="E143">
        <f>MEDIAN(D123:D163)</f>
        <v/>
      </c>
      <c r="F143">
        <f>E123</f>
        <v/>
      </c>
      <c r="G143">
        <f>F143-E143</f>
        <v/>
      </c>
      <c r="H143">
        <f>IF(OR(NOT(ISNUMBER(D143)),ABS(D143-E143)&gt;$O$3,AND($O$11=1,B143&lt;$O$12)),1,0)</f>
        <v/>
      </c>
      <c r="I143">
        <f>IF(H143=1,NA(),D143)</f>
        <v/>
      </c>
      <c r="J143">
        <f>IF(AND(ISNUMBER(D143),D143&gt;=$O$4,OR($O$11=0,B143&gt;=$O$12)),1,0)</f>
        <v/>
      </c>
      <c r="K143">
        <f>B143-$O$14</f>
        <v/>
      </c>
    </row>
    <row r="144">
      <c r="A144" t="n">
        <v>426</v>
      </c>
      <c r="B144" t="n">
        <v>14.2</v>
      </c>
      <c r="C144" t="inlineStr">
        <is>
          <t>182</t>
        </is>
      </c>
      <c r="D144" t="n">
        <v>1.82</v>
      </c>
      <c r="E144">
        <f>MEDIAN(D124:D164)</f>
        <v/>
      </c>
      <c r="F144">
        <f>E124</f>
        <v/>
      </c>
      <c r="G144">
        <f>F144-E144</f>
        <v/>
      </c>
      <c r="H144">
        <f>IF(OR(NOT(ISNUMBER(D144)),ABS(D144-E144)&gt;$O$3,AND($O$11=1,B144&lt;$O$12)),1,0)</f>
        <v/>
      </c>
      <c r="I144">
        <f>IF(H144=1,NA(),D144)</f>
        <v/>
      </c>
      <c r="J144">
        <f>IF(AND(ISNUMBER(D144),D144&gt;=$O$4,OR($O$11=0,B144&gt;=$O$12)),1,0)</f>
        <v/>
      </c>
      <c r="K144">
        <f>B144-$O$14</f>
        <v/>
      </c>
    </row>
    <row r="145">
      <c r="A145" t="n">
        <v>429</v>
      </c>
      <c r="B145" t="n">
        <v>14.3</v>
      </c>
      <c r="C145" t="inlineStr">
        <is>
          <t>184</t>
        </is>
      </c>
      <c r="D145" t="n">
        <v>1.84</v>
      </c>
      <c r="E145">
        <f>MEDIAN(D125:D165)</f>
        <v/>
      </c>
      <c r="F145">
        <f>E125</f>
        <v/>
      </c>
      <c r="G145">
        <f>F145-E145</f>
        <v/>
      </c>
      <c r="H145">
        <f>IF(OR(NOT(ISNUMBER(D145)),ABS(D145-E145)&gt;$O$3,AND($O$11=1,B145&lt;$O$12)),1,0)</f>
        <v/>
      </c>
      <c r="I145">
        <f>IF(H145=1,NA(),D145)</f>
        <v/>
      </c>
      <c r="J145">
        <f>IF(AND(ISNUMBER(D145),D145&gt;=$O$4,OR($O$11=0,B145&gt;=$O$12)),1,0)</f>
        <v/>
      </c>
      <c r="K145">
        <f>B145-$O$14</f>
        <v/>
      </c>
    </row>
    <row r="146">
      <c r="A146" t="n">
        <v>432</v>
      </c>
      <c r="B146" t="n">
        <v>14.4</v>
      </c>
      <c r="C146" t="inlineStr">
        <is>
          <t>186</t>
        </is>
      </c>
      <c r="D146" t="n">
        <v>1.86</v>
      </c>
      <c r="E146">
        <f>MEDIAN(D126:D166)</f>
        <v/>
      </c>
      <c r="F146">
        <f>E126</f>
        <v/>
      </c>
      <c r="G146">
        <f>F146-E146</f>
        <v/>
      </c>
      <c r="H146">
        <f>IF(OR(NOT(ISNUMBER(D146)),ABS(D146-E146)&gt;$O$3,AND($O$11=1,B146&lt;$O$12)),1,0)</f>
        <v/>
      </c>
      <c r="I146">
        <f>IF(H146=1,NA(),D146)</f>
        <v/>
      </c>
      <c r="J146">
        <f>IF(AND(ISNUMBER(D146),D146&gt;=$O$4,OR($O$11=0,B146&gt;=$O$12)),1,0)</f>
        <v/>
      </c>
      <c r="K146">
        <f>B146-$O$14</f>
        <v/>
      </c>
    </row>
    <row r="147">
      <c r="A147" t="n">
        <v>435</v>
      </c>
      <c r="B147" t="n">
        <v>14.5</v>
      </c>
      <c r="C147" t="inlineStr">
        <is>
          <t>186</t>
        </is>
      </c>
      <c r="D147" t="n">
        <v>1.86</v>
      </c>
      <c r="E147">
        <f>MEDIAN(D127:D167)</f>
        <v/>
      </c>
      <c r="F147">
        <f>E127</f>
        <v/>
      </c>
      <c r="G147">
        <f>F147-E147</f>
        <v/>
      </c>
      <c r="H147">
        <f>IF(OR(NOT(ISNUMBER(D147)),ABS(D147-E147)&gt;$O$3,AND($O$11=1,B147&lt;$O$12)),1,0)</f>
        <v/>
      </c>
      <c r="I147">
        <f>IF(H147=1,NA(),D147)</f>
        <v/>
      </c>
      <c r="J147">
        <f>IF(AND(ISNUMBER(D147),D147&gt;=$O$4,OR($O$11=0,B147&gt;=$O$12)),1,0)</f>
        <v/>
      </c>
      <c r="K147">
        <f>B147-$O$14</f>
        <v/>
      </c>
    </row>
    <row r="148">
      <c r="A148" t="n">
        <v>438</v>
      </c>
      <c r="B148" t="n">
        <v>14.6</v>
      </c>
      <c r="C148" t="inlineStr">
        <is>
          <t>167</t>
        </is>
      </c>
      <c r="D148" t="n">
        <v>1.67</v>
      </c>
      <c r="E148">
        <f>MEDIAN(D128:D168)</f>
        <v/>
      </c>
      <c r="F148">
        <f>E128</f>
        <v/>
      </c>
      <c r="G148">
        <f>F148-E148</f>
        <v/>
      </c>
      <c r="H148">
        <f>IF(OR(NOT(ISNUMBER(D148)),ABS(D148-E148)&gt;$O$3,AND($O$11=1,B148&lt;$O$12)),1,0)</f>
        <v/>
      </c>
      <c r="I148">
        <f>IF(H148=1,NA(),D148)</f>
        <v/>
      </c>
      <c r="J148">
        <f>IF(AND(ISNUMBER(D148),D148&gt;=$O$4,OR($O$11=0,B148&gt;=$O$12)),1,0)</f>
        <v/>
      </c>
      <c r="K148">
        <f>B148-$O$14</f>
        <v/>
      </c>
    </row>
    <row r="149">
      <c r="A149" t="n">
        <v>441</v>
      </c>
      <c r="B149" t="n">
        <v>14.7</v>
      </c>
      <c r="C149" t="inlineStr">
        <is>
          <t>185</t>
        </is>
      </c>
      <c r="D149" t="n">
        <v>1.85</v>
      </c>
      <c r="E149">
        <f>MEDIAN(D129:D169)</f>
        <v/>
      </c>
      <c r="F149">
        <f>E129</f>
        <v/>
      </c>
      <c r="G149">
        <f>F149-E149</f>
        <v/>
      </c>
      <c r="H149">
        <f>IF(OR(NOT(ISNUMBER(D149)),ABS(D149-E149)&gt;$O$3,AND($O$11=1,B149&lt;$O$12)),1,0)</f>
        <v/>
      </c>
      <c r="I149">
        <f>IF(H149=1,NA(),D149)</f>
        <v/>
      </c>
      <c r="J149">
        <f>IF(AND(ISNUMBER(D149),D149&gt;=$O$4,OR($O$11=0,B149&gt;=$O$12)),1,0)</f>
        <v/>
      </c>
      <c r="K149">
        <f>B149-$O$14</f>
        <v/>
      </c>
    </row>
    <row r="150">
      <c r="A150" t="n">
        <v>444</v>
      </c>
      <c r="B150" t="n">
        <v>14.8</v>
      </c>
      <c r="C150" t="inlineStr">
        <is>
          <t>190</t>
        </is>
      </c>
      <c r="D150" t="n">
        <v>1.9</v>
      </c>
      <c r="E150">
        <f>MEDIAN(D130:D170)</f>
        <v/>
      </c>
      <c r="F150">
        <f>E130</f>
        <v/>
      </c>
      <c r="G150">
        <f>F150-E150</f>
        <v/>
      </c>
      <c r="H150">
        <f>IF(OR(NOT(ISNUMBER(D150)),ABS(D150-E150)&gt;$O$3,AND($O$11=1,B150&lt;$O$12)),1,0)</f>
        <v/>
      </c>
      <c r="I150">
        <f>IF(H150=1,NA(),D150)</f>
        <v/>
      </c>
      <c r="J150">
        <f>IF(AND(ISNUMBER(D150),D150&gt;=$O$4,OR($O$11=0,B150&gt;=$O$12)),1,0)</f>
        <v/>
      </c>
      <c r="K150">
        <f>B150-$O$14</f>
        <v/>
      </c>
    </row>
    <row r="151">
      <c r="A151" t="n">
        <v>447</v>
      </c>
      <c r="B151" t="n">
        <v>14.9</v>
      </c>
      <c r="C151" t="inlineStr">
        <is>
          <t>152</t>
        </is>
      </c>
      <c r="D151" t="n">
        <v>1.52</v>
      </c>
      <c r="E151">
        <f>MEDIAN(D131:D171)</f>
        <v/>
      </c>
      <c r="F151">
        <f>E131</f>
        <v/>
      </c>
      <c r="G151">
        <f>F151-E151</f>
        <v/>
      </c>
      <c r="H151">
        <f>IF(OR(NOT(ISNUMBER(D151)),ABS(D151-E151)&gt;$O$3,AND($O$11=1,B151&lt;$O$12)),1,0)</f>
        <v/>
      </c>
      <c r="I151">
        <f>IF(H151=1,NA(),D151)</f>
        <v/>
      </c>
      <c r="J151">
        <f>IF(AND(ISNUMBER(D151),D151&gt;=$O$4,OR($O$11=0,B151&gt;=$O$12)),1,0)</f>
        <v/>
      </c>
      <c r="K151">
        <f>B151-$O$14</f>
        <v/>
      </c>
    </row>
    <row r="152">
      <c r="A152" t="n">
        <v>450</v>
      </c>
      <c r="B152" t="n">
        <v>15</v>
      </c>
      <c r="C152" t="inlineStr">
        <is>
          <t>153</t>
        </is>
      </c>
      <c r="D152" t="n">
        <v>1.53</v>
      </c>
      <c r="E152">
        <f>MEDIAN(D132:D172)</f>
        <v/>
      </c>
      <c r="F152">
        <f>E132</f>
        <v/>
      </c>
      <c r="G152">
        <f>F152-E152</f>
        <v/>
      </c>
      <c r="H152">
        <f>IF(OR(NOT(ISNUMBER(D152)),ABS(D152-E152)&gt;$O$3,AND($O$11=1,B152&lt;$O$12)),1,0)</f>
        <v/>
      </c>
      <c r="I152">
        <f>IF(H152=1,NA(),D152)</f>
        <v/>
      </c>
      <c r="J152">
        <f>IF(AND(ISNUMBER(D152),D152&gt;=$O$4,OR($O$11=0,B152&gt;=$O$12)),1,0)</f>
        <v/>
      </c>
      <c r="K152">
        <f>B152-$O$14</f>
        <v/>
      </c>
    </row>
    <row r="153">
      <c r="A153" t="n">
        <v>453</v>
      </c>
      <c r="B153" t="n">
        <v>15.1</v>
      </c>
      <c r="C153" t="inlineStr">
        <is>
          <t>194</t>
        </is>
      </c>
      <c r="D153" t="n">
        <v>1.94</v>
      </c>
      <c r="E153">
        <f>MEDIAN(D133:D173)</f>
        <v/>
      </c>
      <c r="F153">
        <f>E133</f>
        <v/>
      </c>
      <c r="G153">
        <f>F153-E153</f>
        <v/>
      </c>
      <c r="H153">
        <f>IF(OR(NOT(ISNUMBER(D153)),ABS(D153-E153)&gt;$O$3,AND($O$11=1,B153&lt;$O$12)),1,0)</f>
        <v/>
      </c>
      <c r="I153">
        <f>IF(H153=1,NA(),D153)</f>
        <v/>
      </c>
      <c r="J153">
        <f>IF(AND(ISNUMBER(D153),D153&gt;=$O$4,OR($O$11=0,B153&gt;=$O$12)),1,0)</f>
        <v/>
      </c>
      <c r="K153">
        <f>B153-$O$14</f>
        <v/>
      </c>
    </row>
    <row r="154">
      <c r="A154" t="n">
        <v>456</v>
      </c>
      <c r="B154" t="n">
        <v>15.2</v>
      </c>
      <c r="C154" t="inlineStr">
        <is>
          <t>195</t>
        </is>
      </c>
      <c r="D154" t="n">
        <v>1.95</v>
      </c>
      <c r="E154">
        <f>MEDIAN(D134:D174)</f>
        <v/>
      </c>
      <c r="F154">
        <f>E134</f>
        <v/>
      </c>
      <c r="G154">
        <f>F154-E154</f>
        <v/>
      </c>
      <c r="H154">
        <f>IF(OR(NOT(ISNUMBER(D154)),ABS(D154-E154)&gt;$O$3,AND($O$11=1,B154&lt;$O$12)),1,0)</f>
        <v/>
      </c>
      <c r="I154">
        <f>IF(H154=1,NA(),D154)</f>
        <v/>
      </c>
      <c r="J154">
        <f>IF(AND(ISNUMBER(D154),D154&gt;=$O$4,OR($O$11=0,B154&gt;=$O$12)),1,0)</f>
        <v/>
      </c>
      <c r="K154">
        <f>B154-$O$14</f>
        <v/>
      </c>
    </row>
    <row r="155">
      <c r="A155" t="n">
        <v>459</v>
      </c>
      <c r="B155" t="n">
        <v>15.3</v>
      </c>
      <c r="C155" t="inlineStr">
        <is>
          <t>17</t>
        </is>
      </c>
      <c r="D155" t="n">
        <v>0.17</v>
      </c>
      <c r="E155">
        <f>MEDIAN(D135:D175)</f>
        <v/>
      </c>
      <c r="F155">
        <f>E135</f>
        <v/>
      </c>
      <c r="G155">
        <f>F155-E155</f>
        <v/>
      </c>
      <c r="H155">
        <f>IF(OR(NOT(ISNUMBER(D155)),ABS(D155-E155)&gt;$O$3,AND($O$11=1,B155&lt;$O$12)),1,0)</f>
        <v/>
      </c>
      <c r="I155">
        <f>IF(H155=1,NA(),D155)</f>
        <v/>
      </c>
      <c r="J155">
        <f>IF(AND(ISNUMBER(D155),D155&gt;=$O$4,OR($O$11=0,B155&gt;=$O$12)),1,0)</f>
        <v/>
      </c>
      <c r="K155">
        <f>B155-$O$14</f>
        <v/>
      </c>
    </row>
    <row r="156">
      <c r="A156" t="n">
        <v>462</v>
      </c>
      <c r="B156" t="n">
        <v>15.4</v>
      </c>
      <c r="C156" t="inlineStr">
        <is>
          <t>195</t>
        </is>
      </c>
      <c r="D156" t="n">
        <v>1.95</v>
      </c>
      <c r="E156">
        <f>MEDIAN(D136:D176)</f>
        <v/>
      </c>
      <c r="F156">
        <f>E136</f>
        <v/>
      </c>
      <c r="G156">
        <f>F156-E156</f>
        <v/>
      </c>
      <c r="H156">
        <f>IF(OR(NOT(ISNUMBER(D156)),ABS(D156-E156)&gt;$O$3,AND($O$11=1,B156&lt;$O$12)),1,0)</f>
        <v/>
      </c>
      <c r="I156">
        <f>IF(H156=1,NA(),D156)</f>
        <v/>
      </c>
      <c r="J156">
        <f>IF(AND(ISNUMBER(D156),D156&gt;=$O$4,OR($O$11=0,B156&gt;=$O$12)),1,0)</f>
        <v/>
      </c>
      <c r="K156">
        <f>B156-$O$14</f>
        <v/>
      </c>
    </row>
    <row r="157">
      <c r="A157" t="n">
        <v>465</v>
      </c>
      <c r="B157" t="n">
        <v>15.5</v>
      </c>
      <c r="C157" t="inlineStr">
        <is>
          <t>245</t>
        </is>
      </c>
      <c r="D157" t="n">
        <v>2.45</v>
      </c>
      <c r="E157">
        <f>MEDIAN(D137:D177)</f>
        <v/>
      </c>
      <c r="F157">
        <f>E137</f>
        <v/>
      </c>
      <c r="G157">
        <f>F157-E157</f>
        <v/>
      </c>
      <c r="H157">
        <f>IF(OR(NOT(ISNUMBER(D157)),ABS(D157-E157)&gt;$O$3,AND($O$11=1,B157&lt;$O$12)),1,0)</f>
        <v/>
      </c>
      <c r="I157">
        <f>IF(H157=1,NA(),D157)</f>
        <v/>
      </c>
      <c r="J157">
        <f>IF(AND(ISNUMBER(D157),D157&gt;=$O$4,OR($O$11=0,B157&gt;=$O$12)),1,0)</f>
        <v/>
      </c>
      <c r="K157">
        <f>B157-$O$14</f>
        <v/>
      </c>
    </row>
    <row r="158">
      <c r="A158" t="n">
        <v>468</v>
      </c>
      <c r="B158" t="n">
        <v>15.6</v>
      </c>
      <c r="C158" t="inlineStr">
        <is>
          <t>273</t>
        </is>
      </c>
      <c r="D158" t="n">
        <v>2.73</v>
      </c>
      <c r="E158">
        <f>MEDIAN(D138:D178)</f>
        <v/>
      </c>
      <c r="F158">
        <f>E138</f>
        <v/>
      </c>
      <c r="G158">
        <f>F158-E158</f>
        <v/>
      </c>
      <c r="H158">
        <f>IF(OR(NOT(ISNUMBER(D158)),ABS(D158-E158)&gt;$O$3,AND($O$11=1,B158&lt;$O$12)),1,0)</f>
        <v/>
      </c>
      <c r="I158">
        <f>IF(H158=1,NA(),D158)</f>
        <v/>
      </c>
      <c r="J158">
        <f>IF(AND(ISNUMBER(D158),D158&gt;=$O$4,OR($O$11=0,B158&gt;=$O$12)),1,0)</f>
        <v/>
      </c>
      <c r="K158">
        <f>B158-$O$14</f>
        <v/>
      </c>
    </row>
    <row r="159">
      <c r="A159" t="n">
        <v>471</v>
      </c>
      <c r="B159" t="n">
        <v>15.7</v>
      </c>
      <c r="C159" t="inlineStr">
        <is>
          <t>205</t>
        </is>
      </c>
      <c r="D159" t="n">
        <v>2.05</v>
      </c>
      <c r="E159">
        <f>MEDIAN(D139:D179)</f>
        <v/>
      </c>
      <c r="F159">
        <f>E139</f>
        <v/>
      </c>
      <c r="G159">
        <f>F159-E159</f>
        <v/>
      </c>
      <c r="H159">
        <f>IF(OR(NOT(ISNUMBER(D159)),ABS(D159-E159)&gt;$O$3,AND($O$11=1,B159&lt;$O$12)),1,0)</f>
        <v/>
      </c>
      <c r="I159">
        <f>IF(H159=1,NA(),D159)</f>
        <v/>
      </c>
      <c r="J159">
        <f>IF(AND(ISNUMBER(D159),D159&gt;=$O$4,OR($O$11=0,B159&gt;=$O$12)),1,0)</f>
        <v/>
      </c>
      <c r="K159">
        <f>B159-$O$14</f>
        <v/>
      </c>
    </row>
    <row r="160">
      <c r="A160" t="n">
        <v>474</v>
      </c>
      <c r="B160" t="n">
        <v>15.8</v>
      </c>
      <c r="C160" t="inlineStr">
        <is>
          <t>277</t>
        </is>
      </c>
      <c r="D160" t="n">
        <v>2.77</v>
      </c>
      <c r="E160">
        <f>MEDIAN(D140:D180)</f>
        <v/>
      </c>
      <c r="F160">
        <f>E140</f>
        <v/>
      </c>
      <c r="G160">
        <f>F160-E160</f>
        <v/>
      </c>
      <c r="H160">
        <f>IF(OR(NOT(ISNUMBER(D160)),ABS(D160-E160)&gt;$O$3,AND($O$11=1,B160&lt;$O$12)),1,0)</f>
        <v/>
      </c>
      <c r="I160">
        <f>IF(H160=1,NA(),D160)</f>
        <v/>
      </c>
      <c r="J160">
        <f>IF(AND(ISNUMBER(D160),D160&gt;=$O$4,OR($O$11=0,B160&gt;=$O$12)),1,0)</f>
        <v/>
      </c>
      <c r="K160">
        <f>B160-$O$14</f>
        <v/>
      </c>
    </row>
    <row r="161">
      <c r="A161" t="n">
        <v>477</v>
      </c>
      <c r="B161" t="n">
        <v>15.9</v>
      </c>
      <c r="C161" t="inlineStr">
        <is>
          <t>247</t>
        </is>
      </c>
      <c r="D161" t="n">
        <v>2.47</v>
      </c>
      <c r="E161">
        <f>MEDIAN(D141:D181)</f>
        <v/>
      </c>
      <c r="F161">
        <f>E141</f>
        <v/>
      </c>
      <c r="G161">
        <f>F161-E161</f>
        <v/>
      </c>
      <c r="H161">
        <f>IF(OR(NOT(ISNUMBER(D161)),ABS(D161-E161)&gt;$O$3,AND($O$11=1,B161&lt;$O$12)),1,0)</f>
        <v/>
      </c>
      <c r="I161">
        <f>IF(H161=1,NA(),D161)</f>
        <v/>
      </c>
      <c r="J161">
        <f>IF(AND(ISNUMBER(D161),D161&gt;=$O$4,OR($O$11=0,B161&gt;=$O$12)),1,0)</f>
        <v/>
      </c>
      <c r="K161">
        <f>B161-$O$14</f>
        <v/>
      </c>
    </row>
    <row r="162">
      <c r="A162" t="n">
        <v>480</v>
      </c>
      <c r="B162" t="n">
        <v>16</v>
      </c>
      <c r="C162" t="inlineStr">
        <is>
          <t>5</t>
        </is>
      </c>
      <c r="D162" t="n">
        <v>0.05</v>
      </c>
      <c r="E162">
        <f>MEDIAN(D142:D182)</f>
        <v/>
      </c>
      <c r="F162">
        <f>E142</f>
        <v/>
      </c>
      <c r="G162">
        <f>F162-E162</f>
        <v/>
      </c>
      <c r="H162">
        <f>IF(OR(NOT(ISNUMBER(D162)),ABS(D162-E162)&gt;$O$3,AND($O$11=1,B162&lt;$O$12)),1,0)</f>
        <v/>
      </c>
      <c r="I162">
        <f>IF(H162=1,NA(),D162)</f>
        <v/>
      </c>
      <c r="J162">
        <f>IF(AND(ISNUMBER(D162),D162&gt;=$O$4,OR($O$11=0,B162&gt;=$O$12)),1,0)</f>
        <v/>
      </c>
      <c r="K162">
        <f>B162-$O$14</f>
        <v/>
      </c>
    </row>
    <row r="163">
      <c r="A163" t="n">
        <v>483</v>
      </c>
      <c r="B163" t="n">
        <v>16.1</v>
      </c>
      <c r="C163" t="inlineStr">
        <is>
          <t>211</t>
        </is>
      </c>
      <c r="D163" t="n">
        <v>2.11</v>
      </c>
      <c r="E163">
        <f>MEDIAN(D143:D183)</f>
        <v/>
      </c>
      <c r="F163">
        <f>E143</f>
        <v/>
      </c>
      <c r="G163">
        <f>F163-E163</f>
        <v/>
      </c>
      <c r="H163">
        <f>IF(OR(NOT(ISNUMBER(D163)),ABS(D163-E163)&gt;$O$3,AND($O$11=1,B163&lt;$O$12)),1,0)</f>
        <v/>
      </c>
      <c r="I163">
        <f>IF(H163=1,NA(),D163)</f>
        <v/>
      </c>
      <c r="J163">
        <f>IF(AND(ISNUMBER(D163),D163&gt;=$O$4,OR($O$11=0,B163&gt;=$O$12)),1,0)</f>
        <v/>
      </c>
      <c r="K163">
        <f>B163-$O$14</f>
        <v/>
      </c>
    </row>
    <row r="164">
      <c r="A164" t="n">
        <v>486</v>
      </c>
      <c r="B164" t="n">
        <v>16.2</v>
      </c>
      <c r="C164" t="inlineStr">
        <is>
          <t>?12</t>
        </is>
      </c>
      <c r="E164">
        <f>MEDIAN(D144:D184)</f>
        <v/>
      </c>
      <c r="F164">
        <f>E144</f>
        <v/>
      </c>
      <c r="G164">
        <f>F164-E164</f>
        <v/>
      </c>
      <c r="H164">
        <f>IF(OR(NOT(ISNUMBER(D164)),ABS(D164-E164)&gt;$O$3,AND($O$11=1,B164&lt;$O$12)),1,0)</f>
        <v/>
      </c>
      <c r="I164">
        <f>IF(H164=1,NA(),D164)</f>
        <v/>
      </c>
      <c r="J164">
        <f>IF(AND(ISNUMBER(D164),D164&gt;=$O$4,OR($O$11=0,B164&gt;=$O$12)),1,0)</f>
        <v/>
      </c>
      <c r="K164">
        <f>B164-$O$14</f>
        <v/>
      </c>
    </row>
    <row r="165">
      <c r="A165" t="n">
        <v>489</v>
      </c>
      <c r="B165" t="n">
        <v>16.3</v>
      </c>
      <c r="C165" t="inlineStr">
        <is>
          <t>214</t>
        </is>
      </c>
      <c r="D165" t="n">
        <v>2.14</v>
      </c>
      <c r="E165">
        <f>MEDIAN(D145:D185)</f>
        <v/>
      </c>
      <c r="F165">
        <f>E145</f>
        <v/>
      </c>
      <c r="G165">
        <f>F165-E165</f>
        <v/>
      </c>
      <c r="H165">
        <f>IF(OR(NOT(ISNUMBER(D165)),ABS(D165-E165)&gt;$O$3,AND($O$11=1,B165&lt;$O$12)),1,0)</f>
        <v/>
      </c>
      <c r="I165">
        <f>IF(H165=1,NA(),D165)</f>
        <v/>
      </c>
      <c r="J165">
        <f>IF(AND(ISNUMBER(D165),D165&gt;=$O$4,OR($O$11=0,B165&gt;=$O$12)),1,0)</f>
        <v/>
      </c>
      <c r="K165">
        <f>B165-$O$14</f>
        <v/>
      </c>
    </row>
    <row r="166">
      <c r="A166" t="n">
        <v>492</v>
      </c>
      <c r="B166" t="n">
        <v>16.4</v>
      </c>
      <c r="C166" t="inlineStr">
        <is>
          <t>14</t>
        </is>
      </c>
      <c r="D166" t="n">
        <v>0.14</v>
      </c>
      <c r="E166">
        <f>MEDIAN(D146:D186)</f>
        <v/>
      </c>
      <c r="F166">
        <f>E146</f>
        <v/>
      </c>
      <c r="G166">
        <f>F166-E166</f>
        <v/>
      </c>
      <c r="H166">
        <f>IF(OR(NOT(ISNUMBER(D166)),ABS(D166-E166)&gt;$O$3,AND($O$11=1,B166&lt;$O$12)),1,0)</f>
        <v/>
      </c>
      <c r="I166">
        <f>IF(H166=1,NA(),D166)</f>
        <v/>
      </c>
      <c r="J166">
        <f>IF(AND(ISNUMBER(D166),D166&gt;=$O$4,OR($O$11=0,B166&gt;=$O$12)),1,0)</f>
        <v/>
      </c>
      <c r="K166">
        <f>B166-$O$14</f>
        <v/>
      </c>
    </row>
    <row r="167">
      <c r="A167" t="n">
        <v>495</v>
      </c>
      <c r="B167" t="n">
        <v>16.5</v>
      </c>
      <c r="C167" t="inlineStr">
        <is>
          <t>15</t>
        </is>
      </c>
      <c r="D167" t="n">
        <v>0.15</v>
      </c>
      <c r="E167">
        <f>MEDIAN(D147:D187)</f>
        <v/>
      </c>
      <c r="F167">
        <f>E147</f>
        <v/>
      </c>
      <c r="G167">
        <f>F167-E167</f>
        <v/>
      </c>
      <c r="H167">
        <f>IF(OR(NOT(ISNUMBER(D167)),ABS(D167-E167)&gt;$O$3,AND($O$11=1,B167&lt;$O$12)),1,0)</f>
        <v/>
      </c>
      <c r="I167">
        <f>IF(H167=1,NA(),D167)</f>
        <v/>
      </c>
      <c r="J167">
        <f>IF(AND(ISNUMBER(D167),D167&gt;=$O$4,OR($O$11=0,B167&gt;=$O$12)),1,0)</f>
        <v/>
      </c>
      <c r="K167">
        <f>B167-$O$14</f>
        <v/>
      </c>
    </row>
    <row r="168">
      <c r="A168" t="n">
        <v>498</v>
      </c>
      <c r="B168" t="n">
        <v>16.6</v>
      </c>
      <c r="C168" t="inlineStr">
        <is>
          <t>215</t>
        </is>
      </c>
      <c r="D168" t="n">
        <v>2.15</v>
      </c>
      <c r="E168">
        <f>MEDIAN(D148:D188)</f>
        <v/>
      </c>
      <c r="F168">
        <f>E148</f>
        <v/>
      </c>
      <c r="G168">
        <f>F168-E168</f>
        <v/>
      </c>
      <c r="H168">
        <f>IF(OR(NOT(ISNUMBER(D168)),ABS(D168-E168)&gt;$O$3,AND($O$11=1,B168&lt;$O$12)),1,0)</f>
        <v/>
      </c>
      <c r="I168">
        <f>IF(H168=1,NA(),D168)</f>
        <v/>
      </c>
      <c r="J168">
        <f>IF(AND(ISNUMBER(D168),D168&gt;=$O$4,OR($O$11=0,B168&gt;=$O$12)),1,0)</f>
        <v/>
      </c>
      <c r="K168">
        <f>B168-$O$14</f>
        <v/>
      </c>
    </row>
    <row r="169">
      <c r="A169" t="n">
        <v>501</v>
      </c>
      <c r="B169" t="n">
        <v>16.7</v>
      </c>
      <c r="C169" t="inlineStr">
        <is>
          <t>216</t>
        </is>
      </c>
      <c r="D169" t="n">
        <v>2.16</v>
      </c>
      <c r="E169">
        <f>MEDIAN(D149:D189)</f>
        <v/>
      </c>
      <c r="F169">
        <f>E149</f>
        <v/>
      </c>
      <c r="G169">
        <f>F169-E169</f>
        <v/>
      </c>
      <c r="H169">
        <f>IF(OR(NOT(ISNUMBER(D169)),ABS(D169-E169)&gt;$O$3,AND($O$11=1,B169&lt;$O$12)),1,0)</f>
        <v/>
      </c>
      <c r="I169">
        <f>IF(H169=1,NA(),D169)</f>
        <v/>
      </c>
      <c r="J169">
        <f>IF(AND(ISNUMBER(D169),D169&gt;=$O$4,OR($O$11=0,B169&gt;=$O$12)),1,0)</f>
        <v/>
      </c>
      <c r="K169">
        <f>B169-$O$14</f>
        <v/>
      </c>
    </row>
    <row r="170">
      <c r="A170" t="n">
        <v>504</v>
      </c>
      <c r="B170" t="n">
        <v>16.8</v>
      </c>
      <c r="C170" t="inlineStr">
        <is>
          <t>16</t>
        </is>
      </c>
      <c r="D170" t="n">
        <v>0.16</v>
      </c>
      <c r="E170">
        <f>MEDIAN(D150:D190)</f>
        <v/>
      </c>
      <c r="F170">
        <f>E150</f>
        <v/>
      </c>
      <c r="G170">
        <f>F170-E170</f>
        <v/>
      </c>
      <c r="H170">
        <f>IF(OR(NOT(ISNUMBER(D170)),ABS(D170-E170)&gt;$O$3,AND($O$11=1,B170&lt;$O$12)),1,0)</f>
        <v/>
      </c>
      <c r="I170">
        <f>IF(H170=1,NA(),D170)</f>
        <v/>
      </c>
      <c r="J170">
        <f>IF(AND(ISNUMBER(D170),D170&gt;=$O$4,OR($O$11=0,B170&gt;=$O$12)),1,0)</f>
        <v/>
      </c>
      <c r="K170">
        <f>B170-$O$14</f>
        <v/>
      </c>
    </row>
    <row r="171">
      <c r="A171" t="n">
        <v>507</v>
      </c>
      <c r="B171" t="n">
        <v>16.9</v>
      </c>
      <c r="C171" t="inlineStr">
        <is>
          <t>?2</t>
        </is>
      </c>
      <c r="E171">
        <f>MEDIAN(D151:D191)</f>
        <v/>
      </c>
      <c r="F171">
        <f>E151</f>
        <v/>
      </c>
      <c r="G171">
        <f>F171-E171</f>
        <v/>
      </c>
      <c r="H171">
        <f>IF(OR(NOT(ISNUMBER(D171)),ABS(D171-E171)&gt;$O$3,AND($O$11=1,B171&lt;$O$12)),1,0)</f>
        <v/>
      </c>
      <c r="I171">
        <f>IF(H171=1,NA(),D171)</f>
        <v/>
      </c>
      <c r="J171">
        <f>IF(AND(ISNUMBER(D171),D171&gt;=$O$4,OR($O$11=0,B171&gt;=$O$12)),1,0)</f>
        <v/>
      </c>
      <c r="K171">
        <f>B171-$O$14</f>
        <v/>
      </c>
    </row>
    <row r="172">
      <c r="A172" t="n">
        <v>510</v>
      </c>
      <c r="B172" t="n">
        <v>17</v>
      </c>
      <c r="C172" t="inlineStr">
        <is>
          <t>223</t>
        </is>
      </c>
      <c r="D172" t="n">
        <v>2.23</v>
      </c>
      <c r="E172">
        <f>MEDIAN(D152:D192)</f>
        <v/>
      </c>
      <c r="F172">
        <f>E152</f>
        <v/>
      </c>
      <c r="G172">
        <f>F172-E172</f>
        <v/>
      </c>
      <c r="H172">
        <f>IF(OR(NOT(ISNUMBER(D172)),ABS(D172-E172)&gt;$O$3,AND($O$11=1,B172&lt;$O$12)),1,0)</f>
        <v/>
      </c>
      <c r="I172">
        <f>IF(H172=1,NA(),D172)</f>
        <v/>
      </c>
      <c r="J172">
        <f>IF(AND(ISNUMBER(D172),D172&gt;=$O$4,OR($O$11=0,B172&gt;=$O$12)),1,0)</f>
        <v/>
      </c>
      <c r="K172">
        <f>B172-$O$14</f>
        <v/>
      </c>
    </row>
    <row r="173">
      <c r="A173" t="n">
        <v>513</v>
      </c>
      <c r="B173" t="n">
        <v>17.1</v>
      </c>
      <c r="C173" t="inlineStr">
        <is>
          <t>85</t>
        </is>
      </c>
      <c r="D173" t="n">
        <v>0.85</v>
      </c>
      <c r="E173">
        <f>MEDIAN(D153:D193)</f>
        <v/>
      </c>
      <c r="F173">
        <f>E153</f>
        <v/>
      </c>
      <c r="G173">
        <f>F173-E173</f>
        <v/>
      </c>
      <c r="H173">
        <f>IF(OR(NOT(ISNUMBER(D173)),ABS(D173-E173)&gt;$O$3,AND($O$11=1,B173&lt;$O$12)),1,0)</f>
        <v/>
      </c>
      <c r="I173">
        <f>IF(H173=1,NA(),D173)</f>
        <v/>
      </c>
      <c r="J173">
        <f>IF(AND(ISNUMBER(D173),D173&gt;=$O$4,OR($O$11=0,B173&gt;=$O$12)),1,0)</f>
        <v/>
      </c>
      <c r="K173">
        <f>B173-$O$14</f>
        <v/>
      </c>
    </row>
    <row r="174">
      <c r="A174" t="n">
        <v>516</v>
      </c>
      <c r="B174" t="n">
        <v>17.2</v>
      </c>
      <c r="C174" t="inlineStr">
        <is>
          <t>226</t>
        </is>
      </c>
      <c r="D174" t="n">
        <v>2.26</v>
      </c>
      <c r="E174">
        <f>MEDIAN(D154:D194)</f>
        <v/>
      </c>
      <c r="F174">
        <f>E154</f>
        <v/>
      </c>
      <c r="G174">
        <f>F174-E174</f>
        <v/>
      </c>
      <c r="H174">
        <f>IF(OR(NOT(ISNUMBER(D174)),ABS(D174-E174)&gt;$O$3,AND($O$11=1,B174&lt;$O$12)),1,0)</f>
        <v/>
      </c>
      <c r="I174">
        <f>IF(H174=1,NA(),D174)</f>
        <v/>
      </c>
      <c r="J174">
        <f>IF(AND(ISNUMBER(D174),D174&gt;=$O$4,OR($O$11=0,B174&gt;=$O$12)),1,0)</f>
        <v/>
      </c>
      <c r="K174">
        <f>B174-$O$14</f>
        <v/>
      </c>
    </row>
    <row r="175">
      <c r="A175" t="n">
        <v>519</v>
      </c>
      <c r="B175" t="n">
        <v>17.3</v>
      </c>
      <c r="C175" t="inlineStr">
        <is>
          <t>226</t>
        </is>
      </c>
      <c r="D175" t="n">
        <v>2.26</v>
      </c>
      <c r="E175">
        <f>MEDIAN(D155:D195)</f>
        <v/>
      </c>
      <c r="F175">
        <f>E155</f>
        <v/>
      </c>
      <c r="G175">
        <f>F175-E175</f>
        <v/>
      </c>
      <c r="H175">
        <f>IF(OR(NOT(ISNUMBER(D175)),ABS(D175-E175)&gt;$O$3,AND($O$11=1,B175&lt;$O$12)),1,0)</f>
        <v/>
      </c>
      <c r="I175">
        <f>IF(H175=1,NA(),D175)</f>
        <v/>
      </c>
      <c r="J175">
        <f>IF(AND(ISNUMBER(D175),D175&gt;=$O$4,OR($O$11=0,B175&gt;=$O$12)),1,0)</f>
        <v/>
      </c>
      <c r="K175">
        <f>B175-$O$14</f>
        <v/>
      </c>
    </row>
    <row r="176">
      <c r="A176" t="n">
        <v>522</v>
      </c>
      <c r="B176" t="n">
        <v>17.4</v>
      </c>
      <c r="C176" t="inlineStr">
        <is>
          <t>230</t>
        </is>
      </c>
      <c r="D176" t="n">
        <v>2.3</v>
      </c>
      <c r="E176">
        <f>MEDIAN(D156:D196)</f>
        <v/>
      </c>
      <c r="F176">
        <f>E156</f>
        <v/>
      </c>
      <c r="G176">
        <f>F176-E176</f>
        <v/>
      </c>
      <c r="H176">
        <f>IF(OR(NOT(ISNUMBER(D176)),ABS(D176-E176)&gt;$O$3,AND($O$11=1,B176&lt;$O$12)),1,0)</f>
        <v/>
      </c>
      <c r="I176">
        <f>IF(H176=1,NA(),D176)</f>
        <v/>
      </c>
      <c r="J176">
        <f>IF(AND(ISNUMBER(D176),D176&gt;=$O$4,OR($O$11=0,B176&gt;=$O$12)),1,0)</f>
        <v/>
      </c>
      <c r="K176">
        <f>B176-$O$14</f>
        <v/>
      </c>
    </row>
    <row r="177">
      <c r="A177" t="n">
        <v>525</v>
      </c>
      <c r="B177" t="n">
        <v>17.5</v>
      </c>
      <c r="C177" t="inlineStr">
        <is>
          <t>2</t>
        </is>
      </c>
      <c r="D177" t="n">
        <v>0.02</v>
      </c>
      <c r="E177">
        <f>MEDIAN(D157:D197)</f>
        <v/>
      </c>
      <c r="F177">
        <f>E157</f>
        <v/>
      </c>
      <c r="G177">
        <f>F177-E177</f>
        <v/>
      </c>
      <c r="H177">
        <f>IF(OR(NOT(ISNUMBER(D177)),ABS(D177-E177)&gt;$O$3,AND($O$11=1,B177&lt;$O$12)),1,0)</f>
        <v/>
      </c>
      <c r="I177">
        <f>IF(H177=1,NA(),D177)</f>
        <v/>
      </c>
      <c r="J177">
        <f>IF(AND(ISNUMBER(D177),D177&gt;=$O$4,OR($O$11=0,B177&gt;=$O$12)),1,0)</f>
        <v/>
      </c>
      <c r="K177">
        <f>B177-$O$14</f>
        <v/>
      </c>
    </row>
    <row r="178">
      <c r="A178" t="n">
        <v>528</v>
      </c>
      <c r="B178" t="n">
        <v>17.6</v>
      </c>
      <c r="C178" t="inlineStr">
        <is>
          <t>233</t>
        </is>
      </c>
      <c r="D178" t="n">
        <v>2.33</v>
      </c>
      <c r="E178">
        <f>MEDIAN(D158:D198)</f>
        <v/>
      </c>
      <c r="F178">
        <f>E158</f>
        <v/>
      </c>
      <c r="G178">
        <f>F178-E178</f>
        <v/>
      </c>
      <c r="H178">
        <f>IF(OR(NOT(ISNUMBER(D178)),ABS(D178-E178)&gt;$O$3,AND($O$11=1,B178&lt;$O$12)),1,0)</f>
        <v/>
      </c>
      <c r="I178">
        <f>IF(H178=1,NA(),D178)</f>
        <v/>
      </c>
      <c r="J178">
        <f>IF(AND(ISNUMBER(D178),D178&gt;=$O$4,OR($O$11=0,B178&gt;=$O$12)),1,0)</f>
        <v/>
      </c>
      <c r="K178">
        <f>B178-$O$14</f>
        <v/>
      </c>
    </row>
    <row r="179">
      <c r="A179" t="n">
        <v>531</v>
      </c>
      <c r="B179" t="n">
        <v>17.7</v>
      </c>
      <c r="C179" t="inlineStr">
        <is>
          <t>04</t>
        </is>
      </c>
      <c r="D179" t="n">
        <v>0.04</v>
      </c>
      <c r="E179">
        <f>MEDIAN(D159:D199)</f>
        <v/>
      </c>
      <c r="F179">
        <f>E159</f>
        <v/>
      </c>
      <c r="G179">
        <f>F179-E179</f>
        <v/>
      </c>
      <c r="H179">
        <f>IF(OR(NOT(ISNUMBER(D179)),ABS(D179-E179)&gt;$O$3,AND($O$11=1,B179&lt;$O$12)),1,0)</f>
        <v/>
      </c>
      <c r="I179">
        <f>IF(H179=1,NA(),D179)</f>
        <v/>
      </c>
      <c r="J179">
        <f>IF(AND(ISNUMBER(D179),D179&gt;=$O$4,OR($O$11=0,B179&gt;=$O$12)),1,0)</f>
        <v/>
      </c>
      <c r="K179">
        <f>B179-$O$14</f>
        <v/>
      </c>
    </row>
    <row r="180">
      <c r="A180" t="n">
        <v>534</v>
      </c>
      <c r="B180" t="n">
        <v>17.8</v>
      </c>
      <c r="C180" t="inlineStr">
        <is>
          <t>?35</t>
        </is>
      </c>
      <c r="E180">
        <f>MEDIAN(D160:D200)</f>
        <v/>
      </c>
      <c r="F180">
        <f>E160</f>
        <v/>
      </c>
      <c r="G180">
        <f>F180-E180</f>
        <v/>
      </c>
      <c r="H180">
        <f>IF(OR(NOT(ISNUMBER(D180)),ABS(D180-E180)&gt;$O$3,AND($O$11=1,B180&lt;$O$12)),1,0)</f>
        <v/>
      </c>
      <c r="I180">
        <f>IF(H180=1,NA(),D180)</f>
        <v/>
      </c>
      <c r="J180">
        <f>IF(AND(ISNUMBER(D180),D180&gt;=$O$4,OR($O$11=0,B180&gt;=$O$12)),1,0)</f>
        <v/>
      </c>
      <c r="K180">
        <f>B180-$O$14</f>
        <v/>
      </c>
    </row>
    <row r="181">
      <c r="A181" t="n">
        <v>537</v>
      </c>
      <c r="B181" t="n">
        <v>17.9</v>
      </c>
      <c r="C181" t="inlineStr">
        <is>
          <t>06</t>
        </is>
      </c>
      <c r="D181" t="n">
        <v>0.06</v>
      </c>
      <c r="E181">
        <f>MEDIAN(D161:D201)</f>
        <v/>
      </c>
      <c r="F181">
        <f>E161</f>
        <v/>
      </c>
      <c r="G181">
        <f>F181-E181</f>
        <v/>
      </c>
      <c r="H181">
        <f>IF(OR(NOT(ISNUMBER(D181)),ABS(D181-E181)&gt;$O$3,AND($O$11=1,B181&lt;$O$12)),1,0)</f>
        <v/>
      </c>
      <c r="I181">
        <f>IF(H181=1,NA(),D181)</f>
        <v/>
      </c>
      <c r="J181">
        <f>IF(AND(ISNUMBER(D181),D181&gt;=$O$4,OR($O$11=0,B181&gt;=$O$12)),1,0)</f>
        <v/>
      </c>
      <c r="K181">
        <f>B181-$O$14</f>
        <v/>
      </c>
    </row>
    <row r="182">
      <c r="A182" t="n">
        <v>540</v>
      </c>
      <c r="B182" t="n">
        <v>18</v>
      </c>
      <c r="C182" t="inlineStr">
        <is>
          <t>?36</t>
        </is>
      </c>
      <c r="E182">
        <f>MEDIAN(D162:D202)</f>
        <v/>
      </c>
      <c r="F182">
        <f>E162</f>
        <v/>
      </c>
      <c r="G182">
        <f>F182-E182</f>
        <v/>
      </c>
      <c r="H182">
        <f>IF(OR(NOT(ISNUMBER(D182)),ABS(D182-E182)&gt;$O$3,AND($O$11=1,B182&lt;$O$12)),1,0)</f>
        <v/>
      </c>
      <c r="I182">
        <f>IF(H182=1,NA(),D182)</f>
        <v/>
      </c>
      <c r="J182">
        <f>IF(AND(ISNUMBER(D182),D182&gt;=$O$4,OR($O$11=0,B182&gt;=$O$12)),1,0)</f>
        <v/>
      </c>
      <c r="K182">
        <f>B182-$O$14</f>
        <v/>
      </c>
    </row>
    <row r="183">
      <c r="A183" t="n">
        <v>543</v>
      </c>
      <c r="B183" t="n">
        <v>18.1</v>
      </c>
      <c r="C183" t="inlineStr">
        <is>
          <t>2?6</t>
        </is>
      </c>
      <c r="E183">
        <f>MEDIAN(D163:D203)</f>
        <v/>
      </c>
      <c r="F183">
        <f>E163</f>
        <v/>
      </c>
      <c r="G183">
        <f>F183-E183</f>
        <v/>
      </c>
      <c r="H183">
        <f>IF(OR(NOT(ISNUMBER(D183)),ABS(D183-E183)&gt;$O$3,AND($O$11=1,B183&lt;$O$12)),1,0)</f>
        <v/>
      </c>
      <c r="I183">
        <f>IF(H183=1,NA(),D183)</f>
        <v/>
      </c>
      <c r="J183">
        <f>IF(AND(ISNUMBER(D183),D183&gt;=$O$4,OR($O$11=0,B183&gt;=$O$12)),1,0)</f>
        <v/>
      </c>
      <c r="K183">
        <f>B183-$O$14</f>
        <v/>
      </c>
    </row>
    <row r="184">
      <c r="A184" t="n">
        <v>546</v>
      </c>
      <c r="B184" t="n">
        <v>18.2</v>
      </c>
      <c r="C184" t="inlineStr">
        <is>
          <t>240</t>
        </is>
      </c>
      <c r="D184" t="n">
        <v>2.4</v>
      </c>
      <c r="E184">
        <f>MEDIAN(D164:D204)</f>
        <v/>
      </c>
      <c r="F184">
        <f>E164</f>
        <v/>
      </c>
      <c r="G184">
        <f>F184-E184</f>
        <v/>
      </c>
      <c r="H184">
        <f>IF(OR(NOT(ISNUMBER(D184)),ABS(D184-E184)&gt;$O$3,AND($O$11=1,B184&lt;$O$12)),1,0)</f>
        <v/>
      </c>
      <c r="I184">
        <f>IF(H184=1,NA(),D184)</f>
        <v/>
      </c>
      <c r="J184">
        <f>IF(AND(ISNUMBER(D184),D184&gt;=$O$4,OR($O$11=0,B184&gt;=$O$12)),1,0)</f>
        <v/>
      </c>
      <c r="K184">
        <f>B184-$O$14</f>
        <v/>
      </c>
    </row>
    <row r="185">
      <c r="A185" t="n">
        <v>549</v>
      </c>
      <c r="B185" t="n">
        <v>18.3</v>
      </c>
      <c r="C185" t="inlineStr">
        <is>
          <t>?41</t>
        </is>
      </c>
      <c r="E185">
        <f>MEDIAN(D165:D205)</f>
        <v/>
      </c>
      <c r="F185">
        <f>E165</f>
        <v/>
      </c>
      <c r="G185">
        <f>F185-E185</f>
        <v/>
      </c>
      <c r="H185">
        <f>IF(OR(NOT(ISNUMBER(D185)),ABS(D185-E185)&gt;$O$3,AND($O$11=1,B185&lt;$O$12)),1,0)</f>
        <v/>
      </c>
      <c r="I185">
        <f>IF(H185=1,NA(),D185)</f>
        <v/>
      </c>
      <c r="J185">
        <f>IF(AND(ISNUMBER(D185),D185&gt;=$O$4,OR($O$11=0,B185&gt;=$O$12)),1,0)</f>
        <v/>
      </c>
      <c r="K185">
        <f>B185-$O$14</f>
        <v/>
      </c>
    </row>
    <row r="186">
      <c r="A186" t="n">
        <v>552</v>
      </c>
      <c r="B186" t="n">
        <v>18.4</v>
      </c>
      <c r="C186" t="inlineStr">
        <is>
          <t>242</t>
        </is>
      </c>
      <c r="D186" t="n">
        <v>2.42</v>
      </c>
      <c r="E186">
        <f>MEDIAN(D166:D206)</f>
        <v/>
      </c>
      <c r="F186">
        <f>E166</f>
        <v/>
      </c>
      <c r="G186">
        <f>F186-E186</f>
        <v/>
      </c>
      <c r="H186">
        <f>IF(OR(NOT(ISNUMBER(D186)),ABS(D186-E186)&gt;$O$3,AND($O$11=1,B186&lt;$O$12)),1,0)</f>
        <v/>
      </c>
      <c r="I186">
        <f>IF(H186=1,NA(),D186)</f>
        <v/>
      </c>
      <c r="J186">
        <f>IF(AND(ISNUMBER(D186),D186&gt;=$O$4,OR($O$11=0,B186&gt;=$O$12)),1,0)</f>
        <v/>
      </c>
      <c r="K186">
        <f>B186-$O$14</f>
        <v/>
      </c>
    </row>
    <row r="187">
      <c r="A187" t="n">
        <v>555</v>
      </c>
      <c r="B187" t="n">
        <v>18.5</v>
      </c>
      <c r="C187" t="inlineStr">
        <is>
          <t>?44</t>
        </is>
      </c>
      <c r="E187">
        <f>MEDIAN(D167:D207)</f>
        <v/>
      </c>
      <c r="F187">
        <f>E167</f>
        <v/>
      </c>
      <c r="G187">
        <f>F187-E187</f>
        <v/>
      </c>
      <c r="H187">
        <f>IF(OR(NOT(ISNUMBER(D187)),ABS(D187-E187)&gt;$O$3,AND($O$11=1,B187&lt;$O$12)),1,0)</f>
        <v/>
      </c>
      <c r="I187">
        <f>IF(H187=1,NA(),D187)</f>
        <v/>
      </c>
      <c r="J187">
        <f>IF(AND(ISNUMBER(D187),D187&gt;=$O$4,OR($O$11=0,B187&gt;=$O$12)),1,0)</f>
        <v/>
      </c>
      <c r="K187">
        <f>B187-$O$14</f>
        <v/>
      </c>
    </row>
    <row r="188">
      <c r="A188" t="n">
        <v>558</v>
      </c>
      <c r="B188" t="n">
        <v>18.6</v>
      </c>
      <c r="C188" t="inlineStr">
        <is>
          <t>245</t>
        </is>
      </c>
      <c r="D188" t="n">
        <v>2.45</v>
      </c>
      <c r="E188">
        <f>MEDIAN(D168:D208)</f>
        <v/>
      </c>
      <c r="F188">
        <f>E168</f>
        <v/>
      </c>
      <c r="G188">
        <f>F188-E188</f>
        <v/>
      </c>
      <c r="H188">
        <f>IF(OR(NOT(ISNUMBER(D188)),ABS(D188-E188)&gt;$O$3,AND($O$11=1,B188&lt;$O$12)),1,0)</f>
        <v/>
      </c>
      <c r="I188">
        <f>IF(H188=1,NA(),D188)</f>
        <v/>
      </c>
      <c r="J188">
        <f>IF(AND(ISNUMBER(D188),D188&gt;=$O$4,OR($O$11=0,B188&gt;=$O$12)),1,0)</f>
        <v/>
      </c>
      <c r="K188">
        <f>B188-$O$14</f>
        <v/>
      </c>
    </row>
    <row r="189">
      <c r="A189" t="n">
        <v>561</v>
      </c>
      <c r="B189" t="n">
        <v>18.7</v>
      </c>
      <c r="C189" t="inlineStr">
        <is>
          <t>?46</t>
        </is>
      </c>
      <c r="E189">
        <f>MEDIAN(D169:D209)</f>
        <v/>
      </c>
      <c r="F189">
        <f>E169</f>
        <v/>
      </c>
      <c r="G189">
        <f>F189-E189</f>
        <v/>
      </c>
      <c r="H189">
        <f>IF(OR(NOT(ISNUMBER(D189)),ABS(D189-E189)&gt;$O$3,AND($O$11=1,B189&lt;$O$12)),1,0)</f>
        <v/>
      </c>
      <c r="I189">
        <f>IF(H189=1,NA(),D189)</f>
        <v/>
      </c>
      <c r="J189">
        <f>IF(AND(ISNUMBER(D189),D189&gt;=$O$4,OR($O$11=0,B189&gt;=$O$12)),1,0)</f>
        <v/>
      </c>
      <c r="K189">
        <f>B189-$O$14</f>
        <v/>
      </c>
    </row>
    <row r="190">
      <c r="A190" t="n">
        <v>564</v>
      </c>
      <c r="B190" t="n">
        <v>18.8</v>
      </c>
      <c r="C190" t="inlineStr">
        <is>
          <t>?46</t>
        </is>
      </c>
      <c r="E190">
        <f>MEDIAN(D170:D210)</f>
        <v/>
      </c>
      <c r="F190">
        <f>E170</f>
        <v/>
      </c>
      <c r="G190">
        <f>F190-E190</f>
        <v/>
      </c>
      <c r="H190">
        <f>IF(OR(NOT(ISNUMBER(D190)),ABS(D190-E190)&gt;$O$3,AND($O$11=1,B190&lt;$O$12)),1,0)</f>
        <v/>
      </c>
      <c r="I190">
        <f>IF(H190=1,NA(),D190)</f>
        <v/>
      </c>
      <c r="J190">
        <f>IF(AND(ISNUMBER(D190),D190&gt;=$O$4,OR($O$11=0,B190&gt;=$O$12)),1,0)</f>
        <v/>
      </c>
      <c r="K190">
        <f>B190-$O$14</f>
        <v/>
      </c>
    </row>
    <row r="191">
      <c r="A191" t="n">
        <v>567</v>
      </c>
      <c r="B191" t="n">
        <v>18.9</v>
      </c>
      <c r="C191" t="inlineStr">
        <is>
          <t>45</t>
        </is>
      </c>
      <c r="D191" t="n">
        <v>0.45</v>
      </c>
      <c r="E191">
        <f>MEDIAN(D171:D211)</f>
        <v/>
      </c>
      <c r="F191">
        <f>E171</f>
        <v/>
      </c>
      <c r="G191">
        <f>F191-E191</f>
        <v/>
      </c>
      <c r="H191">
        <f>IF(OR(NOT(ISNUMBER(D191)),ABS(D191-E191)&gt;$O$3,AND($O$11=1,B191&lt;$O$12)),1,0)</f>
        <v/>
      </c>
      <c r="I191">
        <f>IF(H191=1,NA(),D191)</f>
        <v/>
      </c>
      <c r="J191">
        <f>IF(AND(ISNUMBER(D191),D191&gt;=$O$4,OR($O$11=0,B191&gt;=$O$12)),1,0)</f>
        <v/>
      </c>
      <c r="K191">
        <f>B191-$O$14</f>
        <v/>
      </c>
    </row>
    <row r="192">
      <c r="A192" t="n">
        <v>570</v>
      </c>
      <c r="B192" t="n">
        <v>19</v>
      </c>
      <c r="C192" t="inlineStr">
        <is>
          <t>?50</t>
        </is>
      </c>
      <c r="E192">
        <f>MEDIAN(D172:D212)</f>
        <v/>
      </c>
      <c r="F192">
        <f>E172</f>
        <v/>
      </c>
      <c r="G192">
        <f>F192-E192</f>
        <v/>
      </c>
      <c r="H192">
        <f>IF(OR(NOT(ISNUMBER(D192)),ABS(D192-E192)&gt;$O$3,AND($O$11=1,B192&lt;$O$12)),1,0)</f>
        <v/>
      </c>
      <c r="I192">
        <f>IF(H192=1,NA(),D192)</f>
        <v/>
      </c>
      <c r="J192">
        <f>IF(AND(ISNUMBER(D192),D192&gt;=$O$4,OR($O$11=0,B192&gt;=$O$12)),1,0)</f>
        <v/>
      </c>
      <c r="K192">
        <f>B192-$O$14</f>
        <v/>
      </c>
    </row>
    <row r="193">
      <c r="A193" t="n">
        <v>573</v>
      </c>
      <c r="B193" t="n">
        <v>19.1</v>
      </c>
      <c r="C193" t="inlineStr">
        <is>
          <t>252</t>
        </is>
      </c>
      <c r="D193" t="n">
        <v>2.52</v>
      </c>
      <c r="E193">
        <f>MEDIAN(D173:D213)</f>
        <v/>
      </c>
      <c r="F193">
        <f>E173</f>
        <v/>
      </c>
      <c r="G193">
        <f>F193-E193</f>
        <v/>
      </c>
      <c r="H193">
        <f>IF(OR(NOT(ISNUMBER(D193)),ABS(D193-E193)&gt;$O$3,AND($O$11=1,B193&lt;$O$12)),1,0)</f>
        <v/>
      </c>
      <c r="I193">
        <f>IF(H193=1,NA(),D193)</f>
        <v/>
      </c>
      <c r="J193">
        <f>IF(AND(ISNUMBER(D193),D193&gt;=$O$4,OR($O$11=0,B193&gt;=$O$12)),1,0)</f>
        <v/>
      </c>
      <c r="K193">
        <f>B193-$O$14</f>
        <v/>
      </c>
    </row>
    <row r="194">
      <c r="A194" t="n">
        <v>576</v>
      </c>
      <c r="B194" t="n">
        <v>19.2</v>
      </c>
      <c r="C194" t="inlineStr">
        <is>
          <t>?53</t>
        </is>
      </c>
      <c r="E194">
        <f>MEDIAN(D174:D214)</f>
        <v/>
      </c>
      <c r="F194">
        <f>E174</f>
        <v/>
      </c>
      <c r="G194">
        <f>F194-E194</f>
        <v/>
      </c>
      <c r="H194">
        <f>IF(OR(NOT(ISNUMBER(D194)),ABS(D194-E194)&gt;$O$3,AND($O$11=1,B194&lt;$O$12)),1,0)</f>
        <v/>
      </c>
      <c r="I194">
        <f>IF(H194=1,NA(),D194)</f>
        <v/>
      </c>
      <c r="J194">
        <f>IF(AND(ISNUMBER(D194),D194&gt;=$O$4,OR($O$11=0,B194&gt;=$O$12)),1,0)</f>
        <v/>
      </c>
      <c r="K194">
        <f>B194-$O$14</f>
        <v/>
      </c>
    </row>
    <row r="195">
      <c r="A195" t="n">
        <v>579</v>
      </c>
      <c r="B195" t="n">
        <v>19.3</v>
      </c>
      <c r="C195" t="inlineStr">
        <is>
          <t>255</t>
        </is>
      </c>
      <c r="D195" t="n">
        <v>2.55</v>
      </c>
      <c r="E195">
        <f>MEDIAN(D175:D215)</f>
        <v/>
      </c>
      <c r="F195">
        <f>E175</f>
        <v/>
      </c>
      <c r="G195">
        <f>F195-E195</f>
        <v/>
      </c>
      <c r="H195">
        <f>IF(OR(NOT(ISNUMBER(D195)),ABS(D195-E195)&gt;$O$3,AND($O$11=1,B195&lt;$O$12)),1,0)</f>
        <v/>
      </c>
      <c r="I195">
        <f>IF(H195=1,NA(),D195)</f>
        <v/>
      </c>
      <c r="J195">
        <f>IF(AND(ISNUMBER(D195),D195&gt;=$O$4,OR($O$11=0,B195&gt;=$O$12)),1,0)</f>
        <v/>
      </c>
      <c r="K195">
        <f>B195-$O$14</f>
        <v/>
      </c>
    </row>
    <row r="196">
      <c r="A196" t="n">
        <v>582</v>
      </c>
      <c r="B196" t="n">
        <v>19.4</v>
      </c>
      <c r="C196" t="inlineStr">
        <is>
          <t>6</t>
        </is>
      </c>
      <c r="D196" t="n">
        <v>0.06</v>
      </c>
      <c r="E196">
        <f>MEDIAN(D176:D216)</f>
        <v/>
      </c>
      <c r="F196">
        <f>E176</f>
        <v/>
      </c>
      <c r="G196">
        <f>F196-E196</f>
        <v/>
      </c>
      <c r="H196">
        <f>IF(OR(NOT(ISNUMBER(D196)),ABS(D196-E196)&gt;$O$3,AND($O$11=1,B196&lt;$O$12)),1,0)</f>
        <v/>
      </c>
      <c r="I196">
        <f>IF(H196=1,NA(),D196)</f>
        <v/>
      </c>
      <c r="J196">
        <f>IF(AND(ISNUMBER(D196),D196&gt;=$O$4,OR($O$11=0,B196&gt;=$O$12)),1,0)</f>
        <v/>
      </c>
      <c r="K196">
        <f>B196-$O$14</f>
        <v/>
      </c>
    </row>
    <row r="197">
      <c r="A197" t="n">
        <v>585</v>
      </c>
      <c r="B197" t="n">
        <v>19.5</v>
      </c>
      <c r="C197" t="inlineStr">
        <is>
          <t>2?7</t>
        </is>
      </c>
      <c r="E197">
        <f>MEDIAN(D177:D217)</f>
        <v/>
      </c>
      <c r="F197">
        <f>E177</f>
        <v/>
      </c>
      <c r="G197">
        <f>F197-E197</f>
        <v/>
      </c>
      <c r="H197">
        <f>IF(OR(NOT(ISNUMBER(D197)),ABS(D197-E197)&gt;$O$3,AND($O$11=1,B197&lt;$O$12)),1,0)</f>
        <v/>
      </c>
      <c r="I197">
        <f>IF(H197=1,NA(),D197)</f>
        <v/>
      </c>
      <c r="J197">
        <f>IF(AND(ISNUMBER(D197),D197&gt;=$O$4,OR($O$11=0,B197&gt;=$O$12)),1,0)</f>
        <v/>
      </c>
      <c r="K197">
        <f>B197-$O$14</f>
        <v/>
      </c>
    </row>
    <row r="198">
      <c r="A198" t="n">
        <v>588</v>
      </c>
      <c r="B198" t="n">
        <v>19.6</v>
      </c>
      <c r="C198" t="inlineStr">
        <is>
          <t>5</t>
        </is>
      </c>
      <c r="D198" t="n">
        <v>0.05</v>
      </c>
      <c r="E198">
        <f>MEDIAN(D178:D218)</f>
        <v/>
      </c>
      <c r="F198">
        <f>E178</f>
        <v/>
      </c>
      <c r="G198">
        <f>F198-E198</f>
        <v/>
      </c>
      <c r="H198">
        <f>IF(OR(NOT(ISNUMBER(D198)),ABS(D198-E198)&gt;$O$3,AND($O$11=1,B198&lt;$O$12)),1,0)</f>
        <v/>
      </c>
      <c r="I198">
        <f>IF(H198=1,NA(),D198)</f>
        <v/>
      </c>
      <c r="J198">
        <f>IF(AND(ISNUMBER(D198),D198&gt;=$O$4,OR($O$11=0,B198&gt;=$O$12)),1,0)</f>
        <v/>
      </c>
      <c r="K198">
        <f>B198-$O$14</f>
        <v/>
      </c>
    </row>
    <row r="199">
      <c r="A199" t="n">
        <v>591</v>
      </c>
      <c r="B199" t="n">
        <v>19.7</v>
      </c>
      <c r="C199" t="inlineStr">
        <is>
          <t>260</t>
        </is>
      </c>
      <c r="D199" t="n">
        <v>2.6</v>
      </c>
      <c r="E199">
        <f>MEDIAN(D179:D219)</f>
        <v/>
      </c>
      <c r="F199">
        <f>E179</f>
        <v/>
      </c>
      <c r="G199">
        <f>F199-E199</f>
        <v/>
      </c>
      <c r="H199">
        <f>IF(OR(NOT(ISNUMBER(D199)),ABS(D199-E199)&gt;$O$3,AND($O$11=1,B199&lt;$O$12)),1,0)</f>
        <v/>
      </c>
      <c r="I199">
        <f>IF(H199=1,NA(),D199)</f>
        <v/>
      </c>
      <c r="J199">
        <f>IF(AND(ISNUMBER(D199),D199&gt;=$O$4,OR($O$11=0,B199&gt;=$O$12)),1,0)</f>
        <v/>
      </c>
      <c r="K199">
        <f>B199-$O$14</f>
        <v/>
      </c>
    </row>
    <row r="200">
      <c r="A200" t="n">
        <v>594</v>
      </c>
      <c r="B200" t="n">
        <v>19.8</v>
      </c>
      <c r="C200" t="inlineStr">
        <is>
          <t>262</t>
        </is>
      </c>
      <c r="D200" t="n">
        <v>2.62</v>
      </c>
      <c r="E200">
        <f>MEDIAN(D180:D220)</f>
        <v/>
      </c>
      <c r="F200">
        <f>E180</f>
        <v/>
      </c>
      <c r="G200">
        <f>F200-E200</f>
        <v/>
      </c>
      <c r="H200">
        <f>IF(OR(NOT(ISNUMBER(D200)),ABS(D200-E200)&gt;$O$3,AND($O$11=1,B200&lt;$O$12)),1,0)</f>
        <v/>
      </c>
      <c r="I200">
        <f>IF(H200=1,NA(),D200)</f>
        <v/>
      </c>
      <c r="J200">
        <f>IF(AND(ISNUMBER(D200),D200&gt;=$O$4,OR($O$11=0,B200&gt;=$O$12)),1,0)</f>
        <v/>
      </c>
      <c r="K200">
        <f>B200-$O$14</f>
        <v/>
      </c>
    </row>
    <row r="201">
      <c r="A201" t="n">
        <v>597</v>
      </c>
      <c r="B201" t="n">
        <v>19.9</v>
      </c>
      <c r="C201" t="inlineStr">
        <is>
          <t>266</t>
        </is>
      </c>
      <c r="D201" t="n">
        <v>2.66</v>
      </c>
      <c r="E201">
        <f>MEDIAN(D181:D221)</f>
        <v/>
      </c>
      <c r="F201">
        <f>E181</f>
        <v/>
      </c>
      <c r="G201">
        <f>F201-E201</f>
        <v/>
      </c>
      <c r="H201">
        <f>IF(OR(NOT(ISNUMBER(D201)),ABS(D201-E201)&gt;$O$3,AND($O$11=1,B201&lt;$O$12)),1,0)</f>
        <v/>
      </c>
      <c r="I201">
        <f>IF(H201=1,NA(),D201)</f>
        <v/>
      </c>
      <c r="J201">
        <f>IF(AND(ISNUMBER(D201),D201&gt;=$O$4,OR($O$11=0,B201&gt;=$O$12)),1,0)</f>
        <v/>
      </c>
      <c r="K201">
        <f>B201-$O$14</f>
        <v/>
      </c>
    </row>
    <row r="202">
      <c r="A202" t="n">
        <v>600</v>
      </c>
      <c r="B202" t="n">
        <v>20</v>
      </c>
      <c r="C202" t="inlineStr">
        <is>
          <t>26</t>
        </is>
      </c>
      <c r="D202" t="n">
        <v>0.26</v>
      </c>
      <c r="E202">
        <f>MEDIAN(D182:D222)</f>
        <v/>
      </c>
      <c r="F202">
        <f>E182</f>
        <v/>
      </c>
      <c r="G202">
        <f>F202-E202</f>
        <v/>
      </c>
      <c r="H202">
        <f>IF(OR(NOT(ISNUMBER(D202)),ABS(D202-E202)&gt;$O$3,AND($O$11=1,B202&lt;$O$12)),1,0)</f>
        <v/>
      </c>
      <c r="I202">
        <f>IF(H202=1,NA(),D202)</f>
        <v/>
      </c>
      <c r="J202">
        <f>IF(AND(ISNUMBER(D202),D202&gt;=$O$4,OR($O$11=0,B202&gt;=$O$12)),1,0)</f>
        <v/>
      </c>
      <c r="K202">
        <f>B202-$O$14</f>
        <v/>
      </c>
    </row>
    <row r="203">
      <c r="A203" t="n">
        <v>603</v>
      </c>
      <c r="B203" t="n">
        <v>20.1</v>
      </c>
      <c r="C203" t="inlineStr">
        <is>
          <t>266</t>
        </is>
      </c>
      <c r="D203" t="n">
        <v>2.66</v>
      </c>
      <c r="E203">
        <f>MEDIAN(D183:D223)</f>
        <v/>
      </c>
      <c r="F203">
        <f>E183</f>
        <v/>
      </c>
      <c r="G203">
        <f>F203-E203</f>
        <v/>
      </c>
      <c r="H203">
        <f>IF(OR(NOT(ISNUMBER(D203)),ABS(D203-E203)&gt;$O$3,AND($O$11=1,B203&lt;$O$12)),1,0)</f>
        <v/>
      </c>
      <c r="I203">
        <f>IF(H203=1,NA(),D203)</f>
        <v/>
      </c>
      <c r="J203">
        <f>IF(AND(ISNUMBER(D203),D203&gt;=$O$4,OR($O$11=0,B203&gt;=$O$12)),1,0)</f>
        <v/>
      </c>
      <c r="K203">
        <f>B203-$O$14</f>
        <v/>
      </c>
    </row>
    <row r="204">
      <c r="A204" t="n">
        <v>606</v>
      </c>
      <c r="B204" t="n">
        <v>20.2</v>
      </c>
      <c r="C204" t="inlineStr">
        <is>
          <t>267</t>
        </is>
      </c>
      <c r="D204" t="n">
        <v>2.67</v>
      </c>
      <c r="E204">
        <f>MEDIAN(D184:D224)</f>
        <v/>
      </c>
      <c r="F204">
        <f>E184</f>
        <v/>
      </c>
      <c r="G204">
        <f>F204-E204</f>
        <v/>
      </c>
      <c r="H204">
        <f>IF(OR(NOT(ISNUMBER(D204)),ABS(D204-E204)&gt;$O$3,AND($O$11=1,B204&lt;$O$12)),1,0)</f>
        <v/>
      </c>
      <c r="I204">
        <f>IF(H204=1,NA(),D204)</f>
        <v/>
      </c>
      <c r="J204">
        <f>IF(AND(ISNUMBER(D204),D204&gt;=$O$4,OR($O$11=0,B204&gt;=$O$12)),1,0)</f>
        <v/>
      </c>
      <c r="K204">
        <f>B204-$O$14</f>
        <v/>
      </c>
    </row>
    <row r="205">
      <c r="A205" t="n">
        <v>609</v>
      </c>
      <c r="B205" t="n">
        <v>20.3</v>
      </c>
      <c r="C205" t="inlineStr">
        <is>
          <t>256</t>
        </is>
      </c>
      <c r="D205" t="n">
        <v>2.56</v>
      </c>
      <c r="E205">
        <f>MEDIAN(D185:D225)</f>
        <v/>
      </c>
      <c r="F205">
        <f>E185</f>
        <v/>
      </c>
      <c r="G205">
        <f>F205-E205</f>
        <v/>
      </c>
      <c r="H205">
        <f>IF(OR(NOT(ISNUMBER(D205)),ABS(D205-E205)&gt;$O$3,AND($O$11=1,B205&lt;$O$12)),1,0)</f>
        <v/>
      </c>
      <c r="I205">
        <f>IF(H205=1,NA(),D205)</f>
        <v/>
      </c>
      <c r="J205">
        <f>IF(AND(ISNUMBER(D205),D205&gt;=$O$4,OR($O$11=0,B205&gt;=$O$12)),1,0)</f>
        <v/>
      </c>
      <c r="K205">
        <f>B205-$O$14</f>
        <v/>
      </c>
    </row>
    <row r="206">
      <c r="A206" t="n">
        <v>612</v>
      </c>
      <c r="B206" t="n">
        <v>20.4</v>
      </c>
      <c r="C206" t="inlineStr">
        <is>
          <t>266</t>
        </is>
      </c>
      <c r="D206" t="n">
        <v>2.66</v>
      </c>
      <c r="E206">
        <f>MEDIAN(D186:D226)</f>
        <v/>
      </c>
      <c r="F206">
        <f>E186</f>
        <v/>
      </c>
      <c r="G206">
        <f>F206-E206</f>
        <v/>
      </c>
      <c r="H206">
        <f>IF(OR(NOT(ISNUMBER(D206)),ABS(D206-E206)&gt;$O$3,AND($O$11=1,B206&lt;$O$12)),1,0)</f>
        <v/>
      </c>
      <c r="I206">
        <f>IF(H206=1,NA(),D206)</f>
        <v/>
      </c>
      <c r="J206">
        <f>IF(AND(ISNUMBER(D206),D206&gt;=$O$4,OR($O$11=0,B206&gt;=$O$12)),1,0)</f>
        <v/>
      </c>
      <c r="K206">
        <f>B206-$O$14</f>
        <v/>
      </c>
    </row>
    <row r="207">
      <c r="A207" t="n">
        <v>615</v>
      </c>
      <c r="B207" t="n">
        <v>20.5</v>
      </c>
      <c r="C207" t="inlineStr">
        <is>
          <t>265</t>
        </is>
      </c>
      <c r="D207" t="n">
        <v>2.65</v>
      </c>
      <c r="E207">
        <f>MEDIAN(D187:D227)</f>
        <v/>
      </c>
      <c r="F207">
        <f>E187</f>
        <v/>
      </c>
      <c r="G207">
        <f>F207-E207</f>
        <v/>
      </c>
      <c r="H207">
        <f>IF(OR(NOT(ISNUMBER(D207)),ABS(D207-E207)&gt;$O$3,AND($O$11=1,B207&lt;$O$12)),1,0)</f>
        <v/>
      </c>
      <c r="I207">
        <f>IF(H207=1,NA(),D207)</f>
        <v/>
      </c>
      <c r="J207">
        <f>IF(AND(ISNUMBER(D207),D207&gt;=$O$4,OR($O$11=0,B207&gt;=$O$12)),1,0)</f>
        <v/>
      </c>
      <c r="K207">
        <f>B207-$O$14</f>
        <v/>
      </c>
    </row>
    <row r="208">
      <c r="A208" t="n">
        <v>618</v>
      </c>
      <c r="B208" t="n">
        <v>20.6</v>
      </c>
      <c r="C208" t="inlineStr">
        <is>
          <t>270</t>
        </is>
      </c>
      <c r="D208" t="n">
        <v>2.7</v>
      </c>
      <c r="E208">
        <f>MEDIAN(D188:D228)</f>
        <v/>
      </c>
      <c r="F208">
        <f>E188</f>
        <v/>
      </c>
      <c r="G208">
        <f>F208-E208</f>
        <v/>
      </c>
      <c r="H208">
        <f>IF(OR(NOT(ISNUMBER(D208)),ABS(D208-E208)&gt;$O$3,AND($O$11=1,B208&lt;$O$12)),1,0)</f>
        <v/>
      </c>
      <c r="I208">
        <f>IF(H208=1,NA(),D208)</f>
        <v/>
      </c>
      <c r="J208">
        <f>IF(AND(ISNUMBER(D208),D208&gt;=$O$4,OR($O$11=0,B208&gt;=$O$12)),1,0)</f>
        <v/>
      </c>
      <c r="K208">
        <f>B208-$O$14</f>
        <v/>
      </c>
    </row>
    <row r="209">
      <c r="A209" t="n">
        <v>621</v>
      </c>
      <c r="B209" t="n">
        <v>20.7</v>
      </c>
      <c r="C209" t="inlineStr">
        <is>
          <t>?71</t>
        </is>
      </c>
      <c r="E209">
        <f>MEDIAN(D189:D229)</f>
        <v/>
      </c>
      <c r="F209">
        <f>E189</f>
        <v/>
      </c>
      <c r="G209">
        <f>F209-E209</f>
        <v/>
      </c>
      <c r="H209">
        <f>IF(OR(NOT(ISNUMBER(D209)),ABS(D209-E209)&gt;$O$3,AND($O$11=1,B209&lt;$O$12)),1,0)</f>
        <v/>
      </c>
      <c r="I209">
        <f>IF(H209=1,NA(),D209)</f>
        <v/>
      </c>
      <c r="J209">
        <f>IF(AND(ISNUMBER(D209),D209&gt;=$O$4,OR($O$11=0,B209&gt;=$O$12)),1,0)</f>
        <v/>
      </c>
      <c r="K209">
        <f>B209-$O$14</f>
        <v/>
      </c>
    </row>
    <row r="210">
      <c r="A210" t="n">
        <v>624</v>
      </c>
      <c r="B210" t="n">
        <v>20.8</v>
      </c>
      <c r="C210" t="inlineStr">
        <is>
          <t>272</t>
        </is>
      </c>
      <c r="D210" t="n">
        <v>2.72</v>
      </c>
      <c r="E210">
        <f>MEDIAN(D190:D230)</f>
        <v/>
      </c>
      <c r="F210">
        <f>E190</f>
        <v/>
      </c>
      <c r="G210">
        <f>F210-E210</f>
        <v/>
      </c>
      <c r="H210">
        <f>IF(OR(NOT(ISNUMBER(D210)),ABS(D210-E210)&gt;$O$3,AND($O$11=1,B210&lt;$O$12)),1,0)</f>
        <v/>
      </c>
      <c r="I210">
        <f>IF(H210=1,NA(),D210)</f>
        <v/>
      </c>
      <c r="J210">
        <f>IF(AND(ISNUMBER(D210),D210&gt;=$O$4,OR($O$11=0,B210&gt;=$O$12)),1,0)</f>
        <v/>
      </c>
      <c r="K210">
        <f>B210-$O$14</f>
        <v/>
      </c>
    </row>
    <row r="211">
      <c r="A211" t="n">
        <v>627</v>
      </c>
      <c r="B211" t="n">
        <v>20.9</v>
      </c>
      <c r="C211" t="inlineStr">
        <is>
          <t>273</t>
        </is>
      </c>
      <c r="D211" t="n">
        <v>2.73</v>
      </c>
      <c r="E211">
        <f>MEDIAN(D191:D231)</f>
        <v/>
      </c>
      <c r="F211">
        <f>E191</f>
        <v/>
      </c>
      <c r="G211">
        <f>F211-E211</f>
        <v/>
      </c>
      <c r="H211">
        <f>IF(OR(NOT(ISNUMBER(D211)),ABS(D211-E211)&gt;$O$3,AND($O$11=1,B211&lt;$O$12)),1,0)</f>
        <v/>
      </c>
      <c r="I211">
        <f>IF(H211=1,NA(),D211)</f>
        <v/>
      </c>
      <c r="J211">
        <f>IF(AND(ISNUMBER(D211),D211&gt;=$O$4,OR($O$11=0,B211&gt;=$O$12)),1,0)</f>
        <v/>
      </c>
      <c r="K211">
        <f>B211-$O$14</f>
        <v/>
      </c>
    </row>
    <row r="212">
      <c r="A212" t="n">
        <v>630</v>
      </c>
      <c r="B212" t="n">
        <v>21</v>
      </c>
      <c r="C212" t="inlineStr">
        <is>
          <t>?74</t>
        </is>
      </c>
      <c r="E212">
        <f>MEDIAN(D192:D232)</f>
        <v/>
      </c>
      <c r="F212">
        <f>E192</f>
        <v/>
      </c>
      <c r="G212">
        <f>F212-E212</f>
        <v/>
      </c>
      <c r="H212">
        <f>IF(OR(NOT(ISNUMBER(D212)),ABS(D212-E212)&gt;$O$3,AND($O$11=1,B212&lt;$O$12)),1,0)</f>
        <v/>
      </c>
      <c r="I212">
        <f>IF(H212=1,NA(),D212)</f>
        <v/>
      </c>
      <c r="J212">
        <f>IF(AND(ISNUMBER(D212),D212&gt;=$O$4,OR($O$11=0,B212&gt;=$O$12)),1,0)</f>
        <v/>
      </c>
      <c r="K212">
        <f>B212-$O$14</f>
        <v/>
      </c>
    </row>
    <row r="213">
      <c r="A213" t="n">
        <v>633</v>
      </c>
      <c r="B213" t="n">
        <v>21.1</v>
      </c>
      <c r="C213" t="inlineStr">
        <is>
          <t>275</t>
        </is>
      </c>
      <c r="D213" t="n">
        <v>2.75</v>
      </c>
      <c r="E213">
        <f>MEDIAN(D193:D233)</f>
        <v/>
      </c>
      <c r="F213">
        <f>E193</f>
        <v/>
      </c>
      <c r="G213">
        <f>F213-E213</f>
        <v/>
      </c>
      <c r="H213">
        <f>IF(OR(NOT(ISNUMBER(D213)),ABS(D213-E213)&gt;$O$3,AND($O$11=1,B213&lt;$O$12)),1,0)</f>
        <v/>
      </c>
      <c r="I213">
        <f>IF(H213=1,NA(),D213)</f>
        <v/>
      </c>
      <c r="J213">
        <f>IF(AND(ISNUMBER(D213),D213&gt;=$O$4,OR($O$11=0,B213&gt;=$O$12)),1,0)</f>
        <v/>
      </c>
      <c r="K213">
        <f>B213-$O$14</f>
        <v/>
      </c>
    </row>
    <row r="214">
      <c r="A214" t="n">
        <v>636</v>
      </c>
      <c r="B214" t="n">
        <v>21.2</v>
      </c>
      <c r="C214" t="inlineStr">
        <is>
          <t>76</t>
        </is>
      </c>
      <c r="D214" t="n">
        <v>0.76</v>
      </c>
      <c r="E214">
        <f>MEDIAN(D194:D234)</f>
        <v/>
      </c>
      <c r="F214">
        <f>E194</f>
        <v/>
      </c>
      <c r="G214">
        <f>F214-E214</f>
        <v/>
      </c>
      <c r="H214">
        <f>IF(OR(NOT(ISNUMBER(D214)),ABS(D214-E214)&gt;$O$3,AND($O$11=1,B214&lt;$O$12)),1,0)</f>
        <v/>
      </c>
      <c r="I214">
        <f>IF(H214=1,NA(),D214)</f>
        <v/>
      </c>
      <c r="J214">
        <f>IF(AND(ISNUMBER(D214),D214&gt;=$O$4,OR($O$11=0,B214&gt;=$O$12)),1,0)</f>
        <v/>
      </c>
      <c r="K214">
        <f>B214-$O$14</f>
        <v/>
      </c>
    </row>
    <row r="215">
      <c r="A215" t="n">
        <v>639</v>
      </c>
      <c r="B215" t="n">
        <v>21.3</v>
      </c>
      <c r="C215" t="inlineStr">
        <is>
          <t>276</t>
        </is>
      </c>
      <c r="D215" t="n">
        <v>2.76</v>
      </c>
      <c r="E215">
        <f>MEDIAN(D195:D235)</f>
        <v/>
      </c>
      <c r="F215">
        <f>E195</f>
        <v/>
      </c>
      <c r="G215">
        <f>F215-E215</f>
        <v/>
      </c>
      <c r="H215">
        <f>IF(OR(NOT(ISNUMBER(D215)),ABS(D215-E215)&gt;$O$3,AND($O$11=1,B215&lt;$O$12)),1,0)</f>
        <v/>
      </c>
      <c r="I215">
        <f>IF(H215=1,NA(),D215)</f>
        <v/>
      </c>
      <c r="J215">
        <f>IF(AND(ISNUMBER(D215),D215&gt;=$O$4,OR($O$11=0,B215&gt;=$O$12)),1,0)</f>
        <v/>
      </c>
      <c r="K215">
        <f>B215-$O$14</f>
        <v/>
      </c>
    </row>
    <row r="216">
      <c r="A216" t="n">
        <v>642</v>
      </c>
      <c r="B216" t="n">
        <v>21.4</v>
      </c>
      <c r="C216" t="inlineStr">
        <is>
          <t>277</t>
        </is>
      </c>
      <c r="D216" t="n">
        <v>2.77</v>
      </c>
      <c r="E216">
        <f>MEDIAN(D196:D236)</f>
        <v/>
      </c>
      <c r="F216">
        <f>E196</f>
        <v/>
      </c>
      <c r="G216">
        <f>F216-E216</f>
        <v/>
      </c>
      <c r="H216">
        <f>IF(OR(NOT(ISNUMBER(D216)),ABS(D216-E216)&gt;$O$3,AND($O$11=1,B216&lt;$O$12)),1,0)</f>
        <v/>
      </c>
      <c r="I216">
        <f>IF(H216=1,NA(),D216)</f>
        <v/>
      </c>
      <c r="J216">
        <f>IF(AND(ISNUMBER(D216),D216&gt;=$O$4,OR($O$11=0,B216&gt;=$O$12)),1,0)</f>
        <v/>
      </c>
      <c r="K216">
        <f>B216-$O$14</f>
        <v/>
      </c>
    </row>
    <row r="217">
      <c r="A217" t="n">
        <v>645</v>
      </c>
      <c r="B217" t="n">
        <v>21.5</v>
      </c>
      <c r="C217" t="inlineStr">
        <is>
          <t>276</t>
        </is>
      </c>
      <c r="D217" t="n">
        <v>2.76</v>
      </c>
      <c r="E217">
        <f>MEDIAN(D197:D237)</f>
        <v/>
      </c>
      <c r="F217">
        <f>E197</f>
        <v/>
      </c>
      <c r="G217">
        <f>F217-E217</f>
        <v/>
      </c>
      <c r="H217">
        <f>IF(OR(NOT(ISNUMBER(D217)),ABS(D217-E217)&gt;$O$3,AND($O$11=1,B217&lt;$O$12)),1,0)</f>
        <v/>
      </c>
      <c r="I217">
        <f>IF(H217=1,NA(),D217)</f>
        <v/>
      </c>
      <c r="J217">
        <f>IF(AND(ISNUMBER(D217),D217&gt;=$O$4,OR($O$11=0,B217&gt;=$O$12)),1,0)</f>
        <v/>
      </c>
      <c r="K217">
        <f>B217-$O$14</f>
        <v/>
      </c>
    </row>
    <row r="218">
      <c r="A218" t="n">
        <v>648</v>
      </c>
      <c r="B218" t="n">
        <v>21.6</v>
      </c>
      <c r="C218" t="inlineStr">
        <is>
          <t>276</t>
        </is>
      </c>
      <c r="D218" t="n">
        <v>2.76</v>
      </c>
      <c r="E218">
        <f>MEDIAN(D198:D238)</f>
        <v/>
      </c>
      <c r="F218">
        <f>E198</f>
        <v/>
      </c>
      <c r="G218">
        <f>F218-E218</f>
        <v/>
      </c>
      <c r="H218">
        <f>IF(OR(NOT(ISNUMBER(D218)),ABS(D218-E218)&gt;$O$3,AND($O$11=1,B218&lt;$O$12)),1,0)</f>
        <v/>
      </c>
      <c r="I218">
        <f>IF(H218=1,NA(),D218)</f>
        <v/>
      </c>
      <c r="J218">
        <f>IF(AND(ISNUMBER(D218),D218&gt;=$O$4,OR($O$11=0,B218&gt;=$O$12)),1,0)</f>
        <v/>
      </c>
      <c r="K218">
        <f>B218-$O$14</f>
        <v/>
      </c>
    </row>
    <row r="219">
      <c r="A219" t="n">
        <v>651</v>
      </c>
      <c r="B219" t="n">
        <v>21.7</v>
      </c>
      <c r="C219" t="inlineStr">
        <is>
          <t>275</t>
        </is>
      </c>
      <c r="D219" t="n">
        <v>2.75</v>
      </c>
      <c r="E219">
        <f>MEDIAN(D199:D239)</f>
        <v/>
      </c>
      <c r="F219">
        <f>E199</f>
        <v/>
      </c>
      <c r="G219">
        <f>F219-E219</f>
        <v/>
      </c>
      <c r="H219">
        <f>IF(OR(NOT(ISNUMBER(D219)),ABS(D219-E219)&gt;$O$3,AND($O$11=1,B219&lt;$O$12)),1,0)</f>
        <v/>
      </c>
      <c r="I219">
        <f>IF(H219=1,NA(),D219)</f>
        <v/>
      </c>
      <c r="J219">
        <f>IF(AND(ISNUMBER(D219),D219&gt;=$O$4,OR($O$11=0,B219&gt;=$O$12)),1,0)</f>
        <v/>
      </c>
      <c r="K219">
        <f>B219-$O$14</f>
        <v/>
      </c>
    </row>
    <row r="220">
      <c r="A220" t="n">
        <v>654</v>
      </c>
      <c r="B220" t="n">
        <v>21.8</v>
      </c>
      <c r="C220" t="inlineStr">
        <is>
          <t>275</t>
        </is>
      </c>
      <c r="D220" t="n">
        <v>2.75</v>
      </c>
      <c r="E220">
        <f>MEDIAN(D200:D240)</f>
        <v/>
      </c>
      <c r="F220">
        <f>E200</f>
        <v/>
      </c>
      <c r="G220">
        <f>F220-E220</f>
        <v/>
      </c>
      <c r="H220">
        <f>IF(OR(NOT(ISNUMBER(D220)),ABS(D220-E220)&gt;$O$3,AND($O$11=1,B220&lt;$O$12)),1,0)</f>
        <v/>
      </c>
      <c r="I220">
        <f>IF(H220=1,NA(),D220)</f>
        <v/>
      </c>
      <c r="J220">
        <f>IF(AND(ISNUMBER(D220),D220&gt;=$O$4,OR($O$11=0,B220&gt;=$O$12)),1,0)</f>
        <v/>
      </c>
      <c r="K220">
        <f>B220-$O$14</f>
        <v/>
      </c>
    </row>
    <row r="221">
      <c r="A221" t="n">
        <v>657</v>
      </c>
      <c r="B221" t="n">
        <v>21.9</v>
      </c>
      <c r="C221" t="inlineStr">
        <is>
          <t>?75</t>
        </is>
      </c>
      <c r="E221">
        <f>MEDIAN(D201:D241)</f>
        <v/>
      </c>
      <c r="F221">
        <f>E201</f>
        <v/>
      </c>
      <c r="G221">
        <f>F221-E221</f>
        <v/>
      </c>
      <c r="H221">
        <f>IF(OR(NOT(ISNUMBER(D221)),ABS(D221-E221)&gt;$O$3,AND($O$11=1,B221&lt;$O$12)),1,0)</f>
        <v/>
      </c>
      <c r="I221">
        <f>IF(H221=1,NA(),D221)</f>
        <v/>
      </c>
      <c r="J221">
        <f>IF(AND(ISNUMBER(D221),D221&gt;=$O$4,OR($O$11=0,B221&gt;=$O$12)),1,0)</f>
        <v/>
      </c>
      <c r="K221">
        <f>B221-$O$14</f>
        <v/>
      </c>
    </row>
    <row r="222">
      <c r="A222" t="n">
        <v>660</v>
      </c>
      <c r="B222" t="n">
        <v>22</v>
      </c>
      <c r="C222" t="inlineStr">
        <is>
          <t>280</t>
        </is>
      </c>
      <c r="D222" t="n">
        <v>2.8</v>
      </c>
      <c r="E222">
        <f>MEDIAN(D202:D242)</f>
        <v/>
      </c>
      <c r="F222">
        <f>E202</f>
        <v/>
      </c>
      <c r="G222">
        <f>F222-E222</f>
        <v/>
      </c>
      <c r="H222">
        <f>IF(OR(NOT(ISNUMBER(D222)),ABS(D222-E222)&gt;$O$3,AND($O$11=1,B222&lt;$O$12)),1,0)</f>
        <v/>
      </c>
      <c r="I222">
        <f>IF(H222=1,NA(),D222)</f>
        <v/>
      </c>
      <c r="J222">
        <f>IF(AND(ISNUMBER(D222),D222&gt;=$O$4,OR($O$11=0,B222&gt;=$O$12)),1,0)</f>
        <v/>
      </c>
      <c r="K222">
        <f>B222-$O$14</f>
        <v/>
      </c>
    </row>
    <row r="223">
      <c r="A223" t="n">
        <v>663</v>
      </c>
      <c r="B223" t="n">
        <v>22.1</v>
      </c>
      <c r="C223" t="inlineStr">
        <is>
          <t>241</t>
        </is>
      </c>
      <c r="D223" t="n">
        <v>2.41</v>
      </c>
      <c r="E223">
        <f>MEDIAN(D203:D243)</f>
        <v/>
      </c>
      <c r="F223">
        <f>E203</f>
        <v/>
      </c>
      <c r="G223">
        <f>F223-E223</f>
        <v/>
      </c>
      <c r="H223">
        <f>IF(OR(NOT(ISNUMBER(D223)),ABS(D223-E223)&gt;$O$3,AND($O$11=1,B223&lt;$O$12)),1,0)</f>
        <v/>
      </c>
      <c r="I223">
        <f>IF(H223=1,NA(),D223)</f>
        <v/>
      </c>
      <c r="J223">
        <f>IF(AND(ISNUMBER(D223),D223&gt;=$O$4,OR($O$11=0,B223&gt;=$O$12)),1,0)</f>
        <v/>
      </c>
      <c r="K223">
        <f>B223-$O$14</f>
        <v/>
      </c>
    </row>
    <row r="224">
      <c r="A224" t="n">
        <v>666</v>
      </c>
      <c r="B224" t="n">
        <v>22.2</v>
      </c>
      <c r="C224" t="inlineStr">
        <is>
          <t>241</t>
        </is>
      </c>
      <c r="D224" t="n">
        <v>2.41</v>
      </c>
      <c r="E224">
        <f>MEDIAN(D204:D244)</f>
        <v/>
      </c>
      <c r="F224">
        <f>E204</f>
        <v/>
      </c>
      <c r="G224">
        <f>F224-E224</f>
        <v/>
      </c>
      <c r="H224">
        <f>IF(OR(NOT(ISNUMBER(D224)),ABS(D224-E224)&gt;$O$3,AND($O$11=1,B224&lt;$O$12)),1,0)</f>
        <v/>
      </c>
      <c r="I224">
        <f>IF(H224=1,NA(),D224)</f>
        <v/>
      </c>
      <c r="J224">
        <f>IF(AND(ISNUMBER(D224),D224&gt;=$O$4,OR($O$11=0,B224&gt;=$O$12)),1,0)</f>
        <v/>
      </c>
      <c r="K224">
        <f>B224-$O$14</f>
        <v/>
      </c>
    </row>
    <row r="225">
      <c r="A225" t="n">
        <v>669</v>
      </c>
      <c r="B225" t="n">
        <v>22.3</v>
      </c>
      <c r="C225" t="inlineStr">
        <is>
          <t>282</t>
        </is>
      </c>
      <c r="D225" t="n">
        <v>2.82</v>
      </c>
      <c r="E225">
        <f>MEDIAN(D205:D245)</f>
        <v/>
      </c>
      <c r="F225">
        <f>E205</f>
        <v/>
      </c>
      <c r="G225">
        <f>F225-E225</f>
        <v/>
      </c>
      <c r="H225">
        <f>IF(OR(NOT(ISNUMBER(D225)),ABS(D225-E225)&gt;$O$3,AND($O$11=1,B225&lt;$O$12)),1,0)</f>
        <v/>
      </c>
      <c r="I225">
        <f>IF(H225=1,NA(),D225)</f>
        <v/>
      </c>
      <c r="J225">
        <f>IF(AND(ISNUMBER(D225),D225&gt;=$O$4,OR($O$11=0,B225&gt;=$O$12)),1,0)</f>
        <v/>
      </c>
      <c r="K225">
        <f>B225-$O$14</f>
        <v/>
      </c>
    </row>
    <row r="226">
      <c r="A226" t="n">
        <v>672</v>
      </c>
      <c r="B226" t="n">
        <v>22.4</v>
      </c>
      <c r="C226" t="inlineStr">
        <is>
          <t>3</t>
        </is>
      </c>
      <c r="D226" t="n">
        <v>0.03</v>
      </c>
      <c r="E226">
        <f>MEDIAN(D206:D246)</f>
        <v/>
      </c>
      <c r="F226">
        <f>E206</f>
        <v/>
      </c>
      <c r="G226">
        <f>F226-E226</f>
        <v/>
      </c>
      <c r="H226">
        <f>IF(OR(NOT(ISNUMBER(D226)),ABS(D226-E226)&gt;$O$3,AND($O$11=1,B226&lt;$O$12)),1,0)</f>
        <v/>
      </c>
      <c r="I226">
        <f>IF(H226=1,NA(),D226)</f>
        <v/>
      </c>
      <c r="J226">
        <f>IF(AND(ISNUMBER(D226),D226&gt;=$O$4,OR($O$11=0,B226&gt;=$O$12)),1,0)</f>
        <v/>
      </c>
      <c r="K226">
        <f>B226-$O$14</f>
        <v/>
      </c>
    </row>
    <row r="227">
      <c r="A227" t="n">
        <v>675</v>
      </c>
      <c r="B227" t="n">
        <v>22.5</v>
      </c>
      <c r="C227" t="inlineStr">
        <is>
          <t>243</t>
        </is>
      </c>
      <c r="D227" t="n">
        <v>2.43</v>
      </c>
      <c r="E227">
        <f>MEDIAN(D207:D247)</f>
        <v/>
      </c>
      <c r="F227">
        <f>E207</f>
        <v/>
      </c>
      <c r="G227">
        <f>F227-E227</f>
        <v/>
      </c>
      <c r="H227">
        <f>IF(OR(NOT(ISNUMBER(D227)),ABS(D227-E227)&gt;$O$3,AND($O$11=1,B227&lt;$O$12)),1,0)</f>
        <v/>
      </c>
      <c r="I227">
        <f>IF(H227=1,NA(),D227)</f>
        <v/>
      </c>
      <c r="J227">
        <f>IF(AND(ISNUMBER(D227),D227&gt;=$O$4,OR($O$11=0,B227&gt;=$O$12)),1,0)</f>
        <v/>
      </c>
      <c r="K227">
        <f>B227-$O$14</f>
        <v/>
      </c>
    </row>
    <row r="228">
      <c r="A228" t="n">
        <v>678</v>
      </c>
      <c r="B228" t="n">
        <v>22.6</v>
      </c>
      <c r="C228" t="inlineStr">
        <is>
          <t>284</t>
        </is>
      </c>
      <c r="D228" t="n">
        <v>2.84</v>
      </c>
      <c r="E228">
        <f>MEDIAN(D208:D248)</f>
        <v/>
      </c>
      <c r="F228">
        <f>E208</f>
        <v/>
      </c>
      <c r="G228">
        <f>F228-E228</f>
        <v/>
      </c>
      <c r="H228">
        <f>IF(OR(NOT(ISNUMBER(D228)),ABS(D228-E228)&gt;$O$3,AND($O$11=1,B228&lt;$O$12)),1,0)</f>
        <v/>
      </c>
      <c r="I228">
        <f>IF(H228=1,NA(),D228)</f>
        <v/>
      </c>
      <c r="J228">
        <f>IF(AND(ISNUMBER(D228),D228&gt;=$O$4,OR($O$11=0,B228&gt;=$O$12)),1,0)</f>
        <v/>
      </c>
      <c r="K228">
        <f>B228-$O$14</f>
        <v/>
      </c>
    </row>
    <row r="229">
      <c r="A229" t="n">
        <v>681</v>
      </c>
      <c r="B229" t="n">
        <v>22.7</v>
      </c>
      <c r="C229" t="inlineStr">
        <is>
          <t>245</t>
        </is>
      </c>
      <c r="D229" t="n">
        <v>2.45</v>
      </c>
      <c r="E229">
        <f>MEDIAN(D209:D249)</f>
        <v/>
      </c>
      <c r="F229">
        <f>E209</f>
        <v/>
      </c>
      <c r="G229">
        <f>F229-E229</f>
        <v/>
      </c>
      <c r="H229">
        <f>IF(OR(NOT(ISNUMBER(D229)),ABS(D229-E229)&gt;$O$3,AND($O$11=1,B229&lt;$O$12)),1,0)</f>
        <v/>
      </c>
      <c r="I229">
        <f>IF(H229=1,NA(),D229)</f>
        <v/>
      </c>
      <c r="J229">
        <f>IF(AND(ISNUMBER(D229),D229&gt;=$O$4,OR($O$11=0,B229&gt;=$O$12)),1,0)</f>
        <v/>
      </c>
      <c r="K229">
        <f>B229-$O$14</f>
        <v/>
      </c>
    </row>
    <row r="230">
      <c r="A230" t="n">
        <v>684</v>
      </c>
      <c r="B230" t="n">
        <v>22.8</v>
      </c>
      <c r="C230" t="inlineStr">
        <is>
          <t>245</t>
        </is>
      </c>
      <c r="D230" t="n">
        <v>2.45</v>
      </c>
      <c r="E230">
        <f>MEDIAN(D210:D250)</f>
        <v/>
      </c>
      <c r="F230">
        <f>E210</f>
        <v/>
      </c>
      <c r="G230">
        <f>F230-E230</f>
        <v/>
      </c>
      <c r="H230">
        <f>IF(OR(NOT(ISNUMBER(D230)),ABS(D230-E230)&gt;$O$3,AND($O$11=1,B230&lt;$O$12)),1,0)</f>
        <v/>
      </c>
      <c r="I230">
        <f>IF(H230=1,NA(),D230)</f>
        <v/>
      </c>
      <c r="J230">
        <f>IF(AND(ISNUMBER(D230),D230&gt;=$O$4,OR($O$11=0,B230&gt;=$O$12)),1,0)</f>
        <v/>
      </c>
      <c r="K230">
        <f>B230-$O$14</f>
        <v/>
      </c>
    </row>
    <row r="231">
      <c r="A231" t="n">
        <v>687</v>
      </c>
      <c r="B231" t="n">
        <v>22.9</v>
      </c>
      <c r="C231" t="inlineStr">
        <is>
          <t>246</t>
        </is>
      </c>
      <c r="D231" t="n">
        <v>2.46</v>
      </c>
      <c r="E231">
        <f>MEDIAN(D211:D251)</f>
        <v/>
      </c>
      <c r="F231">
        <f>E211</f>
        <v/>
      </c>
      <c r="G231">
        <f>F231-E231</f>
        <v/>
      </c>
      <c r="H231">
        <f>IF(OR(NOT(ISNUMBER(D231)),ABS(D231-E231)&gt;$O$3,AND($O$11=1,B231&lt;$O$12)),1,0)</f>
        <v/>
      </c>
      <c r="I231">
        <f>IF(H231=1,NA(),D231)</f>
        <v/>
      </c>
      <c r="J231">
        <f>IF(AND(ISNUMBER(D231),D231&gt;=$O$4,OR($O$11=0,B231&gt;=$O$12)),1,0)</f>
        <v/>
      </c>
      <c r="K231">
        <f>B231-$O$14</f>
        <v/>
      </c>
    </row>
    <row r="232">
      <c r="A232" t="n">
        <v>690</v>
      </c>
      <c r="B232" t="n">
        <v>23</v>
      </c>
      <c r="C232" t="inlineStr">
        <is>
          <t>246</t>
        </is>
      </c>
      <c r="D232" t="n">
        <v>2.46</v>
      </c>
      <c r="E232">
        <f>MEDIAN(D212:D252)</f>
        <v/>
      </c>
      <c r="F232">
        <f>E212</f>
        <v/>
      </c>
      <c r="G232">
        <f>F232-E232</f>
        <v/>
      </c>
      <c r="H232">
        <f>IF(OR(NOT(ISNUMBER(D232)),ABS(D232-E232)&gt;$O$3,AND($O$11=1,B232&lt;$O$12)),1,0)</f>
        <v/>
      </c>
      <c r="I232">
        <f>IF(H232=1,NA(),D232)</f>
        <v/>
      </c>
      <c r="J232">
        <f>IF(AND(ISNUMBER(D232),D232&gt;=$O$4,OR($O$11=0,B232&gt;=$O$12)),1,0)</f>
        <v/>
      </c>
      <c r="K232">
        <f>B232-$O$14</f>
        <v/>
      </c>
    </row>
    <row r="233">
      <c r="A233" t="n">
        <v>693</v>
      </c>
      <c r="B233" t="n">
        <v>23.1</v>
      </c>
      <c r="C233" t="inlineStr">
        <is>
          <t>286</t>
        </is>
      </c>
      <c r="D233" t="n">
        <v>2.86</v>
      </c>
      <c r="E233">
        <f>MEDIAN(D213:D253)</f>
        <v/>
      </c>
      <c r="F233">
        <f>E213</f>
        <v/>
      </c>
      <c r="G233">
        <f>F233-E233</f>
        <v/>
      </c>
      <c r="H233">
        <f>IF(OR(NOT(ISNUMBER(D233)),ABS(D233-E233)&gt;$O$3,AND($O$11=1,B233&lt;$O$12)),1,0)</f>
        <v/>
      </c>
      <c r="I233">
        <f>IF(H233=1,NA(),D233)</f>
        <v/>
      </c>
      <c r="J233">
        <f>IF(AND(ISNUMBER(D233),D233&gt;=$O$4,OR($O$11=0,B233&gt;=$O$12)),1,0)</f>
        <v/>
      </c>
      <c r="K233">
        <f>B233-$O$14</f>
        <v/>
      </c>
    </row>
    <row r="234">
      <c r="A234" t="n">
        <v>696</v>
      </c>
      <c r="B234" t="n">
        <v>23.2</v>
      </c>
      <c r="C234" t="inlineStr">
        <is>
          <t>247</t>
        </is>
      </c>
      <c r="D234" t="n">
        <v>2.47</v>
      </c>
      <c r="E234">
        <f>MEDIAN(D214:D254)</f>
        <v/>
      </c>
      <c r="F234">
        <f>E214</f>
        <v/>
      </c>
      <c r="G234">
        <f>F234-E234</f>
        <v/>
      </c>
      <c r="H234">
        <f>IF(OR(NOT(ISNUMBER(D234)),ABS(D234-E234)&gt;$O$3,AND($O$11=1,B234&lt;$O$12)),1,0)</f>
        <v/>
      </c>
      <c r="I234">
        <f>IF(H234=1,NA(),D234)</f>
        <v/>
      </c>
      <c r="J234">
        <f>IF(AND(ISNUMBER(D234),D234&gt;=$O$4,OR($O$11=0,B234&gt;=$O$12)),1,0)</f>
        <v/>
      </c>
      <c r="K234">
        <f>B234-$O$14</f>
        <v/>
      </c>
    </row>
    <row r="235">
      <c r="A235" t="n">
        <v>699</v>
      </c>
      <c r="B235" t="n">
        <v>23.3</v>
      </c>
      <c r="C235" t="inlineStr">
        <is>
          <t>7</t>
        </is>
      </c>
      <c r="D235" t="n">
        <v>0.07000000000000001</v>
      </c>
      <c r="E235">
        <f>MEDIAN(D215:D255)</f>
        <v/>
      </c>
      <c r="F235">
        <f>E215</f>
        <v/>
      </c>
      <c r="G235">
        <f>F235-E235</f>
        <v/>
      </c>
      <c r="H235">
        <f>IF(OR(NOT(ISNUMBER(D235)),ABS(D235-E235)&gt;$O$3,AND($O$11=1,B235&lt;$O$12)),1,0)</f>
        <v/>
      </c>
      <c r="I235">
        <f>IF(H235=1,NA(),D235)</f>
        <v/>
      </c>
      <c r="J235">
        <f>IF(AND(ISNUMBER(D235),D235&gt;=$O$4,OR($O$11=0,B235&gt;=$O$12)),1,0)</f>
        <v/>
      </c>
      <c r="K235">
        <f>B235-$O$14</f>
        <v/>
      </c>
    </row>
    <row r="236">
      <c r="A236" t="n">
        <v>702</v>
      </c>
      <c r="B236" t="n">
        <v>23.4</v>
      </c>
      <c r="C236" t="inlineStr">
        <is>
          <t>286</t>
        </is>
      </c>
      <c r="D236" t="n">
        <v>2.86</v>
      </c>
      <c r="E236">
        <f>MEDIAN(D216:D256)</f>
        <v/>
      </c>
      <c r="F236">
        <f>E216</f>
        <v/>
      </c>
      <c r="G236">
        <f>F236-E236</f>
        <v/>
      </c>
      <c r="H236">
        <f>IF(OR(NOT(ISNUMBER(D236)),ABS(D236-E236)&gt;$O$3,AND($O$11=1,B236&lt;$O$12)),1,0)</f>
        <v/>
      </c>
      <c r="I236">
        <f>IF(H236=1,NA(),D236)</f>
        <v/>
      </c>
      <c r="J236">
        <f>IF(AND(ISNUMBER(D236),D236&gt;=$O$4,OR($O$11=0,B236&gt;=$O$12)),1,0)</f>
        <v/>
      </c>
      <c r="K236">
        <f>B236-$O$14</f>
        <v/>
      </c>
    </row>
    <row r="237">
      <c r="A237" t="n">
        <v>705</v>
      </c>
      <c r="B237" t="n">
        <v>23.5</v>
      </c>
      <c r="C237" t="inlineStr">
        <is>
          <t>26</t>
        </is>
      </c>
      <c r="D237" t="n">
        <v>0.26</v>
      </c>
      <c r="E237">
        <f>MEDIAN(D217:D257)</f>
        <v/>
      </c>
      <c r="F237">
        <f>E217</f>
        <v/>
      </c>
      <c r="G237">
        <f>F237-E237</f>
        <v/>
      </c>
      <c r="H237">
        <f>IF(OR(NOT(ISNUMBER(D237)),ABS(D237-E237)&gt;$O$3,AND($O$11=1,B237&lt;$O$12)),1,0)</f>
        <v/>
      </c>
      <c r="I237">
        <f>IF(H237=1,NA(),D237)</f>
        <v/>
      </c>
      <c r="J237">
        <f>IF(AND(ISNUMBER(D237),D237&gt;=$O$4,OR($O$11=0,B237&gt;=$O$12)),1,0)</f>
        <v/>
      </c>
      <c r="K237">
        <f>B237-$O$14</f>
        <v/>
      </c>
    </row>
    <row r="238">
      <c r="A238" t="n">
        <v>708</v>
      </c>
      <c r="B238" t="n">
        <v>23.6</v>
      </c>
      <c r="C238" t="inlineStr">
        <is>
          <t>286</t>
        </is>
      </c>
      <c r="D238" t="n">
        <v>2.86</v>
      </c>
      <c r="E238">
        <f>MEDIAN(D218:D258)</f>
        <v/>
      </c>
      <c r="F238">
        <f>E218</f>
        <v/>
      </c>
      <c r="G238">
        <f>F238-E238</f>
        <v/>
      </c>
      <c r="H238">
        <f>IF(OR(NOT(ISNUMBER(D238)),ABS(D238-E238)&gt;$O$3,AND($O$11=1,B238&lt;$O$12)),1,0)</f>
        <v/>
      </c>
      <c r="I238">
        <f>IF(H238=1,NA(),D238)</f>
        <v/>
      </c>
      <c r="J238">
        <f>IF(AND(ISNUMBER(D238),D238&gt;=$O$4,OR($O$11=0,B238&gt;=$O$12)),1,0)</f>
        <v/>
      </c>
      <c r="K238">
        <f>B238-$O$14</f>
        <v/>
      </c>
    </row>
    <row r="239">
      <c r="A239" t="n">
        <v>711</v>
      </c>
      <c r="B239" t="n">
        <v>23.7</v>
      </c>
      <c r="C239" t="inlineStr">
        <is>
          <t>245</t>
        </is>
      </c>
      <c r="D239" t="n">
        <v>2.45</v>
      </c>
      <c r="E239">
        <f>MEDIAN(D219:D259)</f>
        <v/>
      </c>
      <c r="F239">
        <f>E219</f>
        <v/>
      </c>
      <c r="G239">
        <f>F239-E239</f>
        <v/>
      </c>
      <c r="H239">
        <f>IF(OR(NOT(ISNUMBER(D239)),ABS(D239-E239)&gt;$O$3,AND($O$11=1,B239&lt;$O$12)),1,0)</f>
        <v/>
      </c>
      <c r="I239">
        <f>IF(H239=1,NA(),D239)</f>
        <v/>
      </c>
      <c r="J239">
        <f>IF(AND(ISNUMBER(D239),D239&gt;=$O$4,OR($O$11=0,B239&gt;=$O$12)),1,0)</f>
        <v/>
      </c>
      <c r="K239">
        <f>B239-$O$14</f>
        <v/>
      </c>
    </row>
    <row r="240">
      <c r="A240" t="n">
        <v>714</v>
      </c>
      <c r="B240" t="n">
        <v>23.8</v>
      </c>
      <c r="C240" t="inlineStr">
        <is>
          <t>286</t>
        </is>
      </c>
      <c r="D240" t="n">
        <v>2.86</v>
      </c>
      <c r="E240">
        <f>MEDIAN(D220:D260)</f>
        <v/>
      </c>
      <c r="F240">
        <f>E220</f>
        <v/>
      </c>
      <c r="G240">
        <f>F240-E240</f>
        <v/>
      </c>
      <c r="H240">
        <f>IF(OR(NOT(ISNUMBER(D240)),ABS(D240-E240)&gt;$O$3,AND($O$11=1,B240&lt;$O$12)),1,0)</f>
        <v/>
      </c>
      <c r="I240">
        <f>IF(H240=1,NA(),D240)</f>
        <v/>
      </c>
      <c r="J240">
        <f>IF(AND(ISNUMBER(D240),D240&gt;=$O$4,OR($O$11=0,B240&gt;=$O$12)),1,0)</f>
        <v/>
      </c>
      <c r="K240">
        <f>B240-$O$14</f>
        <v/>
      </c>
    </row>
    <row r="241">
      <c r="A241" t="n">
        <v>717</v>
      </c>
      <c r="B241" t="n">
        <v>23.9</v>
      </c>
      <c r="C241" t="inlineStr">
        <is>
          <t>246</t>
        </is>
      </c>
      <c r="D241" t="n">
        <v>2.46</v>
      </c>
      <c r="E241">
        <f>MEDIAN(D221:D261)</f>
        <v/>
      </c>
      <c r="F241">
        <f>E221</f>
        <v/>
      </c>
      <c r="G241">
        <f>F241-E241</f>
        <v/>
      </c>
      <c r="H241">
        <f>IF(OR(NOT(ISNUMBER(D241)),ABS(D241-E241)&gt;$O$3,AND($O$11=1,B241&lt;$O$12)),1,0)</f>
        <v/>
      </c>
      <c r="I241">
        <f>IF(H241=1,NA(),D241)</f>
        <v/>
      </c>
      <c r="J241">
        <f>IF(AND(ISNUMBER(D241),D241&gt;=$O$4,OR($O$11=0,B241&gt;=$O$12)),1,0)</f>
        <v/>
      </c>
      <c r="K241">
        <f>B241-$O$14</f>
        <v/>
      </c>
    </row>
    <row r="242">
      <c r="A242" t="n">
        <v>720</v>
      </c>
      <c r="B242" t="n">
        <v>24</v>
      </c>
      <c r="C242" t="inlineStr">
        <is>
          <t>245</t>
        </is>
      </c>
      <c r="D242" t="n">
        <v>2.45</v>
      </c>
      <c r="E242">
        <f>MEDIAN(D222:D262)</f>
        <v/>
      </c>
      <c r="F242">
        <f>E222</f>
        <v/>
      </c>
      <c r="G242">
        <f>F242-E242</f>
        <v/>
      </c>
      <c r="H242">
        <f>IF(OR(NOT(ISNUMBER(D242)),ABS(D242-E242)&gt;$O$3,AND($O$11=1,B242&lt;$O$12)),1,0)</f>
        <v/>
      </c>
      <c r="I242">
        <f>IF(H242=1,NA(),D242)</f>
        <v/>
      </c>
      <c r="J242">
        <f>IF(AND(ISNUMBER(D242),D242&gt;=$O$4,OR($O$11=0,B242&gt;=$O$12)),1,0)</f>
        <v/>
      </c>
      <c r="K242">
        <f>B242-$O$14</f>
        <v/>
      </c>
    </row>
    <row r="243">
      <c r="A243" t="n">
        <v>723</v>
      </c>
      <c r="B243" t="n">
        <v>24.1</v>
      </c>
      <c r="C243" t="inlineStr">
        <is>
          <t>285</t>
        </is>
      </c>
      <c r="D243" t="n">
        <v>2.85</v>
      </c>
      <c r="E243">
        <f>MEDIAN(D223:D263)</f>
        <v/>
      </c>
      <c r="F243">
        <f>E223</f>
        <v/>
      </c>
      <c r="G243">
        <f>F243-E243</f>
        <v/>
      </c>
      <c r="H243">
        <f>IF(OR(NOT(ISNUMBER(D243)),ABS(D243-E243)&gt;$O$3,AND($O$11=1,B243&lt;$O$12)),1,0)</f>
        <v/>
      </c>
      <c r="I243">
        <f>IF(H243=1,NA(),D243)</f>
        <v/>
      </c>
      <c r="J243">
        <f>IF(AND(ISNUMBER(D243),D243&gt;=$O$4,OR($O$11=0,B243&gt;=$O$12)),1,0)</f>
        <v/>
      </c>
      <c r="K243">
        <f>B243-$O$14</f>
        <v/>
      </c>
    </row>
    <row r="244">
      <c r="A244" t="n">
        <v>726</v>
      </c>
      <c r="B244" t="n">
        <v>24.2</v>
      </c>
      <c r="C244" t="inlineStr">
        <is>
          <t>25</t>
        </is>
      </c>
      <c r="D244" t="n">
        <v>0.25</v>
      </c>
      <c r="E244">
        <f>MEDIAN(D224:D264)</f>
        <v/>
      </c>
      <c r="F244">
        <f>E224</f>
        <v/>
      </c>
      <c r="G244">
        <f>F244-E244</f>
        <v/>
      </c>
      <c r="H244">
        <f>IF(OR(NOT(ISNUMBER(D244)),ABS(D244-E244)&gt;$O$3,AND($O$11=1,B244&lt;$O$12)),1,0)</f>
        <v/>
      </c>
      <c r="I244">
        <f>IF(H244=1,NA(),D244)</f>
        <v/>
      </c>
      <c r="J244">
        <f>IF(AND(ISNUMBER(D244),D244&gt;=$O$4,OR($O$11=0,B244&gt;=$O$12)),1,0)</f>
        <v/>
      </c>
      <c r="K244">
        <f>B244-$O$14</f>
        <v/>
      </c>
    </row>
    <row r="245">
      <c r="A245" t="n">
        <v>729</v>
      </c>
      <c r="B245" t="n">
        <v>24.3</v>
      </c>
      <c r="C245" t="inlineStr">
        <is>
          <t>240</t>
        </is>
      </c>
      <c r="D245" t="n">
        <v>2.4</v>
      </c>
      <c r="E245">
        <f>MEDIAN(D225:D265)</f>
        <v/>
      </c>
      <c r="F245">
        <f>E225</f>
        <v/>
      </c>
      <c r="G245">
        <f>F245-E245</f>
        <v/>
      </c>
      <c r="H245">
        <f>IF(OR(NOT(ISNUMBER(D245)),ABS(D245-E245)&gt;$O$3,AND($O$11=1,B245&lt;$O$12)),1,0)</f>
        <v/>
      </c>
      <c r="I245">
        <f>IF(H245=1,NA(),D245)</f>
        <v/>
      </c>
      <c r="J245">
        <f>IF(AND(ISNUMBER(D245),D245&gt;=$O$4,OR($O$11=0,B245&gt;=$O$12)),1,0)</f>
        <v/>
      </c>
      <c r="K245">
        <f>B245-$O$14</f>
        <v/>
      </c>
    </row>
    <row r="246">
      <c r="A246" t="n">
        <v>732</v>
      </c>
      <c r="B246" t="n">
        <v>24.4</v>
      </c>
      <c r="C246" t="inlineStr">
        <is>
          <t>290</t>
        </is>
      </c>
      <c r="D246" t="n">
        <v>2.9</v>
      </c>
      <c r="E246">
        <f>MEDIAN(D226:D266)</f>
        <v/>
      </c>
      <c r="F246">
        <f>E226</f>
        <v/>
      </c>
      <c r="G246">
        <f>F246-E246</f>
        <v/>
      </c>
      <c r="H246">
        <f>IF(OR(NOT(ISNUMBER(D246)),ABS(D246-E246)&gt;$O$3,AND($O$11=1,B246&lt;$O$12)),1,0)</f>
        <v/>
      </c>
      <c r="I246">
        <f>IF(H246=1,NA(),D246)</f>
        <v/>
      </c>
      <c r="J246">
        <f>IF(AND(ISNUMBER(D246),D246&gt;=$O$4,OR($O$11=0,B246&gt;=$O$12)),1,0)</f>
        <v/>
      </c>
      <c r="K246">
        <f>B246-$O$14</f>
        <v/>
      </c>
    </row>
    <row r="247">
      <c r="A247" t="n">
        <v>735</v>
      </c>
      <c r="B247" t="n">
        <v>24.5</v>
      </c>
      <c r="C247" t="inlineStr">
        <is>
          <t>290</t>
        </is>
      </c>
      <c r="D247" t="n">
        <v>2.9</v>
      </c>
      <c r="E247">
        <f>MEDIAN(D227:D267)</f>
        <v/>
      </c>
      <c r="F247">
        <f>E227</f>
        <v/>
      </c>
      <c r="G247">
        <f>F247-E247</f>
        <v/>
      </c>
      <c r="H247">
        <f>IF(OR(NOT(ISNUMBER(D247)),ABS(D247-E247)&gt;$O$3,AND($O$11=1,B247&lt;$O$12)),1,0)</f>
        <v/>
      </c>
      <c r="I247">
        <f>IF(H247=1,NA(),D247)</f>
        <v/>
      </c>
      <c r="J247">
        <f>IF(AND(ISNUMBER(D247),D247&gt;=$O$4,OR($O$11=0,B247&gt;=$O$12)),1,0)</f>
        <v/>
      </c>
      <c r="K247">
        <f>B247-$O$14</f>
        <v/>
      </c>
    </row>
    <row r="248">
      <c r="A248" t="n">
        <v>738</v>
      </c>
      <c r="B248" t="n">
        <v>24.6</v>
      </c>
      <c r="C248" t="inlineStr">
        <is>
          <t>290</t>
        </is>
      </c>
      <c r="D248" t="n">
        <v>2.9</v>
      </c>
      <c r="E248">
        <f>MEDIAN(D228:D268)</f>
        <v/>
      </c>
      <c r="F248">
        <f>E228</f>
        <v/>
      </c>
      <c r="G248">
        <f>F248-E248</f>
        <v/>
      </c>
      <c r="H248">
        <f>IF(OR(NOT(ISNUMBER(D248)),ABS(D248-E248)&gt;$O$3,AND($O$11=1,B248&lt;$O$12)),1,0)</f>
        <v/>
      </c>
      <c r="I248">
        <f>IF(H248=1,NA(),D248)</f>
        <v/>
      </c>
      <c r="J248">
        <f>IF(AND(ISNUMBER(D248),D248&gt;=$O$4,OR($O$11=0,B248&gt;=$O$12)),1,0)</f>
        <v/>
      </c>
      <c r="K248">
        <f>B248-$O$14</f>
        <v/>
      </c>
    </row>
    <row r="249">
      <c r="A249" t="n">
        <v>741</v>
      </c>
      <c r="B249" t="n">
        <v>24.7</v>
      </c>
      <c r="C249" t="inlineStr">
        <is>
          <t>291</t>
        </is>
      </c>
      <c r="D249" t="n">
        <v>2.91</v>
      </c>
      <c r="E249">
        <f>MEDIAN(D229:D269)</f>
        <v/>
      </c>
      <c r="F249">
        <f>E229</f>
        <v/>
      </c>
      <c r="G249">
        <f>F249-E249</f>
        <v/>
      </c>
      <c r="H249">
        <f>IF(OR(NOT(ISNUMBER(D249)),ABS(D249-E249)&gt;$O$3,AND($O$11=1,B249&lt;$O$12)),1,0)</f>
        <v/>
      </c>
      <c r="I249">
        <f>IF(H249=1,NA(),D249)</f>
        <v/>
      </c>
      <c r="J249">
        <f>IF(AND(ISNUMBER(D249),D249&gt;=$O$4,OR($O$11=0,B249&gt;=$O$12)),1,0)</f>
        <v/>
      </c>
      <c r="K249">
        <f>B249-$O$14</f>
        <v/>
      </c>
    </row>
    <row r="250">
      <c r="A250" t="n">
        <v>744</v>
      </c>
      <c r="B250" t="n">
        <v>24.8</v>
      </c>
      <c r="C250" t="inlineStr">
        <is>
          <t>245</t>
        </is>
      </c>
      <c r="D250" t="n">
        <v>2.45</v>
      </c>
      <c r="E250">
        <f>MEDIAN(D230:D270)</f>
        <v/>
      </c>
      <c r="F250">
        <f>E230</f>
        <v/>
      </c>
      <c r="G250">
        <f>F250-E250</f>
        <v/>
      </c>
      <c r="H250">
        <f>IF(OR(NOT(ISNUMBER(D250)),ABS(D250-E250)&gt;$O$3,AND($O$11=1,B250&lt;$O$12)),1,0)</f>
        <v/>
      </c>
      <c r="I250">
        <f>IF(H250=1,NA(),D250)</f>
        <v/>
      </c>
      <c r="J250">
        <f>IF(AND(ISNUMBER(D250),D250&gt;=$O$4,OR($O$11=0,B250&gt;=$O$12)),1,0)</f>
        <v/>
      </c>
      <c r="K250">
        <f>B250-$O$14</f>
        <v/>
      </c>
    </row>
    <row r="251">
      <c r="A251" t="n">
        <v>747</v>
      </c>
      <c r="B251" t="n">
        <v>24.9</v>
      </c>
      <c r="C251" t="inlineStr">
        <is>
          <t>245</t>
        </is>
      </c>
      <c r="D251" t="n">
        <v>2.45</v>
      </c>
      <c r="E251">
        <f>MEDIAN(D231:D271)</f>
        <v/>
      </c>
      <c r="F251">
        <f>E231</f>
        <v/>
      </c>
      <c r="G251">
        <f>F251-E251</f>
        <v/>
      </c>
      <c r="H251">
        <f>IF(OR(NOT(ISNUMBER(D251)),ABS(D251-E251)&gt;$O$3,AND($O$11=1,B251&lt;$O$12)),1,0)</f>
        <v/>
      </c>
      <c r="I251">
        <f>IF(H251=1,NA(),D251)</f>
        <v/>
      </c>
      <c r="J251">
        <f>IF(AND(ISNUMBER(D251),D251&gt;=$O$4,OR($O$11=0,B251&gt;=$O$12)),1,0)</f>
        <v/>
      </c>
      <c r="K251">
        <f>B251-$O$14</f>
        <v/>
      </c>
    </row>
    <row r="252">
      <c r="A252" t="n">
        <v>750</v>
      </c>
      <c r="B252" t="n">
        <v>25</v>
      </c>
      <c r="C252" t="inlineStr">
        <is>
          <t>292</t>
        </is>
      </c>
      <c r="D252" t="n">
        <v>2.92</v>
      </c>
      <c r="E252">
        <f>MEDIAN(D232:D272)</f>
        <v/>
      </c>
      <c r="F252">
        <f>E232</f>
        <v/>
      </c>
      <c r="G252">
        <f>F252-E252</f>
        <v/>
      </c>
      <c r="H252">
        <f>IF(OR(NOT(ISNUMBER(D252)),ABS(D252-E252)&gt;$O$3,AND($O$11=1,B252&lt;$O$12)),1,0)</f>
        <v/>
      </c>
      <c r="I252">
        <f>IF(H252=1,NA(),D252)</f>
        <v/>
      </c>
      <c r="J252">
        <f>IF(AND(ISNUMBER(D252),D252&gt;=$O$4,OR($O$11=0,B252&gt;=$O$12)),1,0)</f>
        <v/>
      </c>
      <c r="K252">
        <f>B252-$O$14</f>
        <v/>
      </c>
    </row>
    <row r="253">
      <c r="A253" t="n">
        <v>753</v>
      </c>
      <c r="B253" t="n">
        <v>25.1</v>
      </c>
      <c r="C253" t="inlineStr">
        <is>
          <t>242</t>
        </is>
      </c>
      <c r="D253" t="n">
        <v>2.42</v>
      </c>
      <c r="E253">
        <f>MEDIAN(D233:D273)</f>
        <v/>
      </c>
      <c r="F253">
        <f>E233</f>
        <v/>
      </c>
      <c r="G253">
        <f>F253-E253</f>
        <v/>
      </c>
      <c r="H253">
        <f>IF(OR(NOT(ISNUMBER(D253)),ABS(D253-E253)&gt;$O$3,AND($O$11=1,B253&lt;$O$12)),1,0)</f>
        <v/>
      </c>
      <c r="I253">
        <f>IF(H253=1,NA(),D253)</f>
        <v/>
      </c>
      <c r="J253">
        <f>IF(AND(ISNUMBER(D253),D253&gt;=$O$4,OR($O$11=0,B253&gt;=$O$12)),1,0)</f>
        <v/>
      </c>
      <c r="K253">
        <f>B253-$O$14</f>
        <v/>
      </c>
    </row>
    <row r="254">
      <c r="A254" t="n">
        <v>756</v>
      </c>
      <c r="B254" t="n">
        <v>25.2</v>
      </c>
      <c r="C254" t="inlineStr">
        <is>
          <t>292</t>
        </is>
      </c>
      <c r="D254" t="n">
        <v>2.92</v>
      </c>
      <c r="E254">
        <f>MEDIAN(D234:D274)</f>
        <v/>
      </c>
      <c r="F254">
        <f>E234</f>
        <v/>
      </c>
      <c r="G254">
        <f>F254-E254</f>
        <v/>
      </c>
      <c r="H254">
        <f>IF(OR(NOT(ISNUMBER(D254)),ABS(D254-E254)&gt;$O$3,AND($O$11=1,B254&lt;$O$12)),1,0)</f>
        <v/>
      </c>
      <c r="I254">
        <f>IF(H254=1,NA(),D254)</f>
        <v/>
      </c>
      <c r="J254">
        <f>IF(AND(ISNUMBER(D254),D254&gt;=$O$4,OR($O$11=0,B254&gt;=$O$12)),1,0)</f>
        <v/>
      </c>
      <c r="K254">
        <f>B254-$O$14</f>
        <v/>
      </c>
    </row>
    <row r="255">
      <c r="A255" t="n">
        <v>759</v>
      </c>
      <c r="B255" t="n">
        <v>25.3</v>
      </c>
      <c r="C255" t="inlineStr">
        <is>
          <t>243</t>
        </is>
      </c>
      <c r="D255" t="n">
        <v>2.43</v>
      </c>
      <c r="E255">
        <f>MEDIAN(D235:D275)</f>
        <v/>
      </c>
      <c r="F255">
        <f>E235</f>
        <v/>
      </c>
      <c r="G255">
        <f>F255-E255</f>
        <v/>
      </c>
      <c r="H255">
        <f>IF(OR(NOT(ISNUMBER(D255)),ABS(D255-E255)&gt;$O$3,AND($O$11=1,B255&lt;$O$12)),1,0)</f>
        <v/>
      </c>
      <c r="I255">
        <f>IF(H255=1,NA(),D255)</f>
        <v/>
      </c>
      <c r="J255">
        <f>IF(AND(ISNUMBER(D255),D255&gt;=$O$4,OR($O$11=0,B255&gt;=$O$12)),1,0)</f>
        <v/>
      </c>
      <c r="K255">
        <f>B255-$O$14</f>
        <v/>
      </c>
    </row>
    <row r="256">
      <c r="A256" t="n">
        <v>762</v>
      </c>
      <c r="B256" t="n">
        <v>25.4</v>
      </c>
      <c r="C256" t="inlineStr">
        <is>
          <t>3</t>
        </is>
      </c>
      <c r="D256" t="n">
        <v>0.03</v>
      </c>
      <c r="E256">
        <f>MEDIAN(D236:D276)</f>
        <v/>
      </c>
      <c r="F256">
        <f>E236</f>
        <v/>
      </c>
      <c r="G256">
        <f>F256-E256</f>
        <v/>
      </c>
      <c r="H256">
        <f>IF(OR(NOT(ISNUMBER(D256)),ABS(D256-E256)&gt;$O$3,AND($O$11=1,B256&lt;$O$12)),1,0)</f>
        <v/>
      </c>
      <c r="I256">
        <f>IF(H256=1,NA(),D256)</f>
        <v/>
      </c>
      <c r="J256">
        <f>IF(AND(ISNUMBER(D256),D256&gt;=$O$4,OR($O$11=0,B256&gt;=$O$12)),1,0)</f>
        <v/>
      </c>
      <c r="K256">
        <f>B256-$O$14</f>
        <v/>
      </c>
    </row>
    <row r="257">
      <c r="A257" t="n">
        <v>765</v>
      </c>
      <c r="B257" t="n">
        <v>25.5</v>
      </c>
      <c r="C257" t="inlineStr">
        <is>
          <t>293</t>
        </is>
      </c>
      <c r="D257" t="n">
        <v>2.93</v>
      </c>
      <c r="E257">
        <f>MEDIAN(D237:D277)</f>
        <v/>
      </c>
      <c r="F257">
        <f>E237</f>
        <v/>
      </c>
      <c r="G257">
        <f>F257-E257</f>
        <v/>
      </c>
      <c r="H257">
        <f>IF(OR(NOT(ISNUMBER(D257)),ABS(D257-E257)&gt;$O$3,AND($O$11=1,B257&lt;$O$12)),1,0)</f>
        <v/>
      </c>
      <c r="I257">
        <f>IF(H257=1,NA(),D257)</f>
        <v/>
      </c>
      <c r="J257">
        <f>IF(AND(ISNUMBER(D257),D257&gt;=$O$4,OR($O$11=0,B257&gt;=$O$12)),1,0)</f>
        <v/>
      </c>
      <c r="K257">
        <f>B257-$O$14</f>
        <v/>
      </c>
    </row>
    <row r="258">
      <c r="A258" t="n">
        <v>768</v>
      </c>
      <c r="B258" t="n">
        <v>25.6</v>
      </c>
      <c r="C258" t="inlineStr">
        <is>
          <t>253</t>
        </is>
      </c>
      <c r="D258" t="n">
        <v>2.53</v>
      </c>
      <c r="E258">
        <f>MEDIAN(D238:D278)</f>
        <v/>
      </c>
      <c r="F258">
        <f>E238</f>
        <v/>
      </c>
      <c r="G258">
        <f>F258-E258</f>
        <v/>
      </c>
      <c r="H258">
        <f>IF(OR(NOT(ISNUMBER(D258)),ABS(D258-E258)&gt;$O$3,AND($O$11=1,B258&lt;$O$12)),1,0)</f>
        <v/>
      </c>
      <c r="I258">
        <f>IF(H258=1,NA(),D258)</f>
        <v/>
      </c>
      <c r="J258">
        <f>IF(AND(ISNUMBER(D258),D258&gt;=$O$4,OR($O$11=0,B258&gt;=$O$12)),1,0)</f>
        <v/>
      </c>
      <c r="K258">
        <f>B258-$O$14</f>
        <v/>
      </c>
    </row>
    <row r="259">
      <c r="A259" t="n">
        <v>771</v>
      </c>
      <c r="B259" t="n">
        <v>25.7</v>
      </c>
      <c r="C259" t="inlineStr">
        <is>
          <t>244</t>
        </is>
      </c>
      <c r="D259" t="n">
        <v>2.44</v>
      </c>
      <c r="E259">
        <f>MEDIAN(D239:D279)</f>
        <v/>
      </c>
      <c r="F259">
        <f>E239</f>
        <v/>
      </c>
      <c r="G259">
        <f>F259-E259</f>
        <v/>
      </c>
      <c r="H259">
        <f>IF(OR(NOT(ISNUMBER(D259)),ABS(D259-E259)&gt;$O$3,AND($O$11=1,B259&lt;$O$12)),1,0)</f>
        <v/>
      </c>
      <c r="I259">
        <f>IF(H259=1,NA(),D259)</f>
        <v/>
      </c>
      <c r="J259">
        <f>IF(AND(ISNUMBER(D259),D259&gt;=$O$4,OR($O$11=0,B259&gt;=$O$12)),1,0)</f>
        <v/>
      </c>
      <c r="K259">
        <f>B259-$O$14</f>
        <v/>
      </c>
    </row>
    <row r="260">
      <c r="A260" t="n">
        <v>774</v>
      </c>
      <c r="B260" t="n">
        <v>25.8</v>
      </c>
      <c r="C260" t="inlineStr">
        <is>
          <t>244</t>
        </is>
      </c>
      <c r="D260" t="n">
        <v>2.44</v>
      </c>
      <c r="E260">
        <f>MEDIAN(D240:D280)</f>
        <v/>
      </c>
      <c r="F260">
        <f>E240</f>
        <v/>
      </c>
      <c r="G260">
        <f>F260-E260</f>
        <v/>
      </c>
      <c r="H260">
        <f>IF(OR(NOT(ISNUMBER(D260)),ABS(D260-E260)&gt;$O$3,AND($O$11=1,B260&lt;$O$12)),1,0)</f>
        <v/>
      </c>
      <c r="I260">
        <f>IF(H260=1,NA(),D260)</f>
        <v/>
      </c>
      <c r="J260">
        <f>IF(AND(ISNUMBER(D260),D260&gt;=$O$4,OR($O$11=0,B260&gt;=$O$12)),1,0)</f>
        <v/>
      </c>
      <c r="K260">
        <f>B260-$O$14</f>
        <v/>
      </c>
    </row>
    <row r="261">
      <c r="A261" t="n">
        <v>777</v>
      </c>
      <c r="B261" t="n">
        <v>25.9</v>
      </c>
      <c r="C261" t="inlineStr">
        <is>
          <t>?94</t>
        </is>
      </c>
      <c r="E261">
        <f>MEDIAN(D241:D281)</f>
        <v/>
      </c>
      <c r="F261">
        <f>E241</f>
        <v/>
      </c>
      <c r="G261">
        <f>F261-E261</f>
        <v/>
      </c>
      <c r="H261">
        <f>IF(OR(NOT(ISNUMBER(D261)),ABS(D261-E261)&gt;$O$3,AND($O$11=1,B261&lt;$O$12)),1,0)</f>
        <v/>
      </c>
      <c r="I261">
        <f>IF(H261=1,NA(),D261)</f>
        <v/>
      </c>
      <c r="J261">
        <f>IF(AND(ISNUMBER(D261),D261&gt;=$O$4,OR($O$11=0,B261&gt;=$O$12)),1,0)</f>
        <v/>
      </c>
      <c r="K261">
        <f>B261-$O$14</f>
        <v/>
      </c>
    </row>
    <row r="262">
      <c r="A262" t="n">
        <v>780</v>
      </c>
      <c r="B262" t="n">
        <v>26</v>
      </c>
      <c r="C262" t="inlineStr">
        <is>
          <t>244</t>
        </is>
      </c>
      <c r="D262" t="n">
        <v>2.44</v>
      </c>
      <c r="E262">
        <f>MEDIAN(D242:D282)</f>
        <v/>
      </c>
      <c r="F262">
        <f>E242</f>
        <v/>
      </c>
      <c r="G262">
        <f>F262-E262</f>
        <v/>
      </c>
      <c r="H262">
        <f>IF(OR(NOT(ISNUMBER(D262)),ABS(D262-E262)&gt;$O$3,AND($O$11=1,B262&lt;$O$12)),1,0)</f>
        <v/>
      </c>
      <c r="I262">
        <f>IF(H262=1,NA(),D262)</f>
        <v/>
      </c>
      <c r="J262">
        <f>IF(AND(ISNUMBER(D262),D262&gt;=$O$4,OR($O$11=0,B262&gt;=$O$12)),1,0)</f>
        <v/>
      </c>
      <c r="K262">
        <f>B262-$O$14</f>
        <v/>
      </c>
    </row>
    <row r="263">
      <c r="A263" t="n">
        <v>783</v>
      </c>
      <c r="B263" t="n">
        <v>26.1</v>
      </c>
      <c r="C263" t="inlineStr">
        <is>
          <t>?94</t>
        </is>
      </c>
      <c r="E263">
        <f>MEDIAN(D243:D283)</f>
        <v/>
      </c>
      <c r="F263">
        <f>E243</f>
        <v/>
      </c>
      <c r="G263">
        <f>F263-E263</f>
        <v/>
      </c>
      <c r="H263">
        <f>IF(OR(NOT(ISNUMBER(D263)),ABS(D263-E263)&gt;$O$3,AND($O$11=1,B263&lt;$O$12)),1,0)</f>
        <v/>
      </c>
      <c r="I263">
        <f>IF(H263=1,NA(),D263)</f>
        <v/>
      </c>
      <c r="J263">
        <f>IF(AND(ISNUMBER(D263),D263&gt;=$O$4,OR($O$11=0,B263&gt;=$O$12)),1,0)</f>
        <v/>
      </c>
      <c r="K263">
        <f>B263-$O$14</f>
        <v/>
      </c>
    </row>
    <row r="264">
      <c r="A264" t="n">
        <v>786</v>
      </c>
      <c r="B264" t="n">
        <v>26.2</v>
      </c>
      <c r="C264" t="inlineStr">
        <is>
          <t>244</t>
        </is>
      </c>
      <c r="D264" t="n">
        <v>2.44</v>
      </c>
      <c r="E264">
        <f>MEDIAN(D244:D284)</f>
        <v/>
      </c>
      <c r="F264">
        <f>E244</f>
        <v/>
      </c>
      <c r="G264">
        <f>F264-E264</f>
        <v/>
      </c>
      <c r="H264">
        <f>IF(OR(NOT(ISNUMBER(D264)),ABS(D264-E264)&gt;$O$3,AND($O$11=1,B264&lt;$O$12)),1,0)</f>
        <v/>
      </c>
      <c r="I264">
        <f>IF(H264=1,NA(),D264)</f>
        <v/>
      </c>
      <c r="J264">
        <f>IF(AND(ISNUMBER(D264),D264&gt;=$O$4,OR($O$11=0,B264&gt;=$O$12)),1,0)</f>
        <v/>
      </c>
      <c r="K264">
        <f>B264-$O$14</f>
        <v/>
      </c>
    </row>
    <row r="265">
      <c r="A265" t="n">
        <v>789</v>
      </c>
      <c r="B265" t="n">
        <v>26.3</v>
      </c>
      <c r="C265" t="inlineStr">
        <is>
          <t>4</t>
        </is>
      </c>
      <c r="D265" t="n">
        <v>0.04</v>
      </c>
      <c r="E265">
        <f>MEDIAN(D245:D285)</f>
        <v/>
      </c>
      <c r="F265">
        <f>E245</f>
        <v/>
      </c>
      <c r="G265">
        <f>F265-E265</f>
        <v/>
      </c>
      <c r="H265">
        <f>IF(OR(NOT(ISNUMBER(D265)),ABS(D265-E265)&gt;$O$3,AND($O$11=1,B265&lt;$O$12)),1,0)</f>
        <v/>
      </c>
      <c r="I265">
        <f>IF(H265=1,NA(),D265)</f>
        <v/>
      </c>
      <c r="J265">
        <f>IF(AND(ISNUMBER(D265),D265&gt;=$O$4,OR($O$11=0,B265&gt;=$O$12)),1,0)</f>
        <v/>
      </c>
      <c r="K265">
        <f>B265-$O$14</f>
        <v/>
      </c>
    </row>
    <row r="266">
      <c r="A266" t="n">
        <v>792</v>
      </c>
      <c r="B266" t="n">
        <v>26.4</v>
      </c>
      <c r="C266" t="inlineStr">
        <is>
          <t>244</t>
        </is>
      </c>
      <c r="D266" t="n">
        <v>2.44</v>
      </c>
      <c r="E266">
        <f>MEDIAN(D246:D286)</f>
        <v/>
      </c>
      <c r="F266">
        <f>E246</f>
        <v/>
      </c>
      <c r="G266">
        <f>F266-E266</f>
        <v/>
      </c>
      <c r="H266">
        <f>IF(OR(NOT(ISNUMBER(D266)),ABS(D266-E266)&gt;$O$3,AND($O$11=1,B266&lt;$O$12)),1,0)</f>
        <v/>
      </c>
      <c r="I266">
        <f>IF(H266=1,NA(),D266)</f>
        <v/>
      </c>
      <c r="J266">
        <f>IF(AND(ISNUMBER(D266),D266&gt;=$O$4,OR($O$11=0,B266&gt;=$O$12)),1,0)</f>
        <v/>
      </c>
      <c r="K266">
        <f>B266-$O$14</f>
        <v/>
      </c>
    </row>
    <row r="267">
      <c r="A267" t="n">
        <v>795</v>
      </c>
      <c r="B267" t="n">
        <v>26.5</v>
      </c>
      <c r="C267" t="inlineStr">
        <is>
          <t>?94</t>
        </is>
      </c>
      <c r="E267">
        <f>MEDIAN(D247:D287)</f>
        <v/>
      </c>
      <c r="F267">
        <f>E247</f>
        <v/>
      </c>
      <c r="G267">
        <f>F267-E267</f>
        <v/>
      </c>
      <c r="H267">
        <f>IF(OR(NOT(ISNUMBER(D267)),ABS(D267-E267)&gt;$O$3,AND($O$11=1,B267&lt;$O$12)),1,0)</f>
        <v/>
      </c>
      <c r="I267">
        <f>IF(H267=1,NA(),D267)</f>
        <v/>
      </c>
      <c r="J267">
        <f>IF(AND(ISNUMBER(D267),D267&gt;=$O$4,OR($O$11=0,B267&gt;=$O$12)),1,0)</f>
        <v/>
      </c>
      <c r="K267">
        <f>B267-$O$14</f>
        <v/>
      </c>
    </row>
    <row r="268">
      <c r="A268" t="n">
        <v>798</v>
      </c>
      <c r="B268" t="n">
        <v>26.6</v>
      </c>
      <c r="C268" t="inlineStr">
        <is>
          <t>244</t>
        </is>
      </c>
      <c r="D268" t="n">
        <v>2.44</v>
      </c>
      <c r="E268">
        <f>MEDIAN(D248:D288)</f>
        <v/>
      </c>
      <c r="F268">
        <f>E248</f>
        <v/>
      </c>
      <c r="G268">
        <f>F268-E268</f>
        <v/>
      </c>
      <c r="H268">
        <f>IF(OR(NOT(ISNUMBER(D268)),ABS(D268-E268)&gt;$O$3,AND($O$11=1,B268&lt;$O$12)),1,0)</f>
        <v/>
      </c>
      <c r="I268">
        <f>IF(H268=1,NA(),D268)</f>
        <v/>
      </c>
      <c r="J268">
        <f>IF(AND(ISNUMBER(D268),D268&gt;=$O$4,OR($O$11=0,B268&gt;=$O$12)),1,0)</f>
        <v/>
      </c>
      <c r="K268">
        <f>B268-$O$14</f>
        <v/>
      </c>
    </row>
    <row r="269">
      <c r="A269" t="n">
        <v>801</v>
      </c>
      <c r="B269" t="n">
        <v>26.7</v>
      </c>
      <c r="C269" t="inlineStr">
        <is>
          <t>?94</t>
        </is>
      </c>
      <c r="E269">
        <f>MEDIAN(D249:D289)</f>
        <v/>
      </c>
      <c r="F269">
        <f>E249</f>
        <v/>
      </c>
      <c r="G269">
        <f>F269-E269</f>
        <v/>
      </c>
      <c r="H269">
        <f>IF(OR(NOT(ISNUMBER(D269)),ABS(D269-E269)&gt;$O$3,AND($O$11=1,B269&lt;$O$12)),1,0)</f>
        <v/>
      </c>
      <c r="I269">
        <f>IF(H269=1,NA(),D269)</f>
        <v/>
      </c>
      <c r="J269">
        <f>IF(AND(ISNUMBER(D269),D269&gt;=$O$4,OR($O$11=0,B269&gt;=$O$12)),1,0)</f>
        <v/>
      </c>
      <c r="K269">
        <f>B269-$O$14</f>
        <v/>
      </c>
    </row>
    <row r="270">
      <c r="A270" t="n">
        <v>804</v>
      </c>
      <c r="B270" t="n">
        <v>26.8</v>
      </c>
      <c r="C270" t="inlineStr">
        <is>
          <t>244</t>
        </is>
      </c>
      <c r="D270" t="n">
        <v>2.44</v>
      </c>
      <c r="E270">
        <f>MEDIAN(D250:D290)</f>
        <v/>
      </c>
      <c r="F270">
        <f>E250</f>
        <v/>
      </c>
      <c r="G270">
        <f>F270-E270</f>
        <v/>
      </c>
      <c r="H270">
        <f>IF(OR(NOT(ISNUMBER(D270)),ABS(D270-E270)&gt;$O$3,AND($O$11=1,B270&lt;$O$12)),1,0)</f>
        <v/>
      </c>
      <c r="I270">
        <f>IF(H270=1,NA(),D270)</f>
        <v/>
      </c>
      <c r="J270">
        <f>IF(AND(ISNUMBER(D270),D270&gt;=$O$4,OR($O$11=0,B270&gt;=$O$12)),1,0)</f>
        <v/>
      </c>
      <c r="K270">
        <f>B270-$O$14</f>
        <v/>
      </c>
    </row>
    <row r="271">
      <c r="A271" t="n">
        <v>807</v>
      </c>
      <c r="B271" t="n">
        <v>26.9</v>
      </c>
      <c r="C271" t="inlineStr">
        <is>
          <t>244</t>
        </is>
      </c>
      <c r="D271" t="n">
        <v>2.44</v>
      </c>
      <c r="E271">
        <f>MEDIAN(D251:D291)</f>
        <v/>
      </c>
      <c r="F271">
        <f>E251</f>
        <v/>
      </c>
      <c r="G271">
        <f>F271-E271</f>
        <v/>
      </c>
      <c r="H271">
        <f>IF(OR(NOT(ISNUMBER(D271)),ABS(D271-E271)&gt;$O$3,AND($O$11=1,B271&lt;$O$12)),1,0)</f>
        <v/>
      </c>
      <c r="I271">
        <f>IF(H271=1,NA(),D271)</f>
        <v/>
      </c>
      <c r="J271">
        <f>IF(AND(ISNUMBER(D271),D271&gt;=$O$4,OR($O$11=0,B271&gt;=$O$12)),1,0)</f>
        <v/>
      </c>
      <c r="K271">
        <f>B271-$O$14</f>
        <v/>
      </c>
    </row>
    <row r="272">
      <c r="A272" t="n">
        <v>810</v>
      </c>
      <c r="B272" t="n">
        <v>27</v>
      </c>
      <c r="C272" t="inlineStr">
        <is>
          <t>?95</t>
        </is>
      </c>
      <c r="E272">
        <f>MEDIAN(D252:D292)</f>
        <v/>
      </c>
      <c r="F272">
        <f>E252</f>
        <v/>
      </c>
      <c r="G272">
        <f>F272-E272</f>
        <v/>
      </c>
      <c r="H272">
        <f>IF(OR(NOT(ISNUMBER(D272)),ABS(D272-E272)&gt;$O$3,AND($O$11=1,B272&lt;$O$12)),1,0)</f>
        <v/>
      </c>
      <c r="I272">
        <f>IF(H272=1,NA(),D272)</f>
        <v/>
      </c>
      <c r="J272">
        <f>IF(AND(ISNUMBER(D272),D272&gt;=$O$4,OR($O$11=0,B272&gt;=$O$12)),1,0)</f>
        <v/>
      </c>
      <c r="K272">
        <f>B272-$O$14</f>
        <v/>
      </c>
    </row>
    <row r="273">
      <c r="A273" t="n">
        <v>813</v>
      </c>
      <c r="B273" t="n">
        <v>27.1</v>
      </c>
      <c r="C273" t="inlineStr">
        <is>
          <t>247</t>
        </is>
      </c>
      <c r="D273" t="n">
        <v>2.47</v>
      </c>
      <c r="E273">
        <f>MEDIAN(D253:D293)</f>
        <v/>
      </c>
      <c r="F273">
        <f>E253</f>
        <v/>
      </c>
      <c r="G273">
        <f>F273-E273</f>
        <v/>
      </c>
      <c r="H273">
        <f>IF(OR(NOT(ISNUMBER(D273)),ABS(D273-E273)&gt;$O$3,AND($O$11=1,B273&lt;$O$12)),1,0)</f>
        <v/>
      </c>
      <c r="I273">
        <f>IF(H273=1,NA(),D273)</f>
        <v/>
      </c>
      <c r="J273">
        <f>IF(AND(ISNUMBER(D273),D273&gt;=$O$4,OR($O$11=0,B273&gt;=$O$12)),1,0)</f>
        <v/>
      </c>
      <c r="K273">
        <f>B273-$O$14</f>
        <v/>
      </c>
    </row>
    <row r="274">
      <c r="A274" t="n">
        <v>816</v>
      </c>
      <c r="B274" t="n">
        <v>27.2</v>
      </c>
      <c r="C274" t="inlineStr">
        <is>
          <t>247</t>
        </is>
      </c>
      <c r="D274" t="n">
        <v>2.47</v>
      </c>
      <c r="E274">
        <f>MEDIAN(D254:D294)</f>
        <v/>
      </c>
      <c r="F274">
        <f>E254</f>
        <v/>
      </c>
      <c r="G274">
        <f>F274-E274</f>
        <v/>
      </c>
      <c r="H274">
        <f>IF(OR(NOT(ISNUMBER(D274)),ABS(D274-E274)&gt;$O$3,AND($O$11=1,B274&lt;$O$12)),1,0)</f>
        <v/>
      </c>
      <c r="I274">
        <f>IF(H274=1,NA(),D274)</f>
        <v/>
      </c>
      <c r="J274">
        <f>IF(AND(ISNUMBER(D274),D274&gt;=$O$4,OR($O$11=0,B274&gt;=$O$12)),1,0)</f>
        <v/>
      </c>
      <c r="K274">
        <f>B274-$O$14</f>
        <v/>
      </c>
    </row>
    <row r="275">
      <c r="A275" t="n">
        <v>819</v>
      </c>
      <c r="B275" t="n">
        <v>27.3</v>
      </c>
      <c r="C275" t="inlineStr">
        <is>
          <t>247</t>
        </is>
      </c>
      <c r="D275" t="n">
        <v>2.47</v>
      </c>
      <c r="E275">
        <f>MEDIAN(D255:D295)</f>
        <v/>
      </c>
      <c r="F275">
        <f>E255</f>
        <v/>
      </c>
      <c r="G275">
        <f>F275-E275</f>
        <v/>
      </c>
      <c r="H275">
        <f>IF(OR(NOT(ISNUMBER(D275)),ABS(D275-E275)&gt;$O$3,AND($O$11=1,B275&lt;$O$12)),1,0)</f>
        <v/>
      </c>
      <c r="I275">
        <f>IF(H275=1,NA(),D275)</f>
        <v/>
      </c>
      <c r="J275">
        <f>IF(AND(ISNUMBER(D275),D275&gt;=$O$4,OR($O$11=0,B275&gt;=$O$12)),1,0)</f>
        <v/>
      </c>
      <c r="K275">
        <f>B275-$O$14</f>
        <v/>
      </c>
    </row>
    <row r="276">
      <c r="A276" t="n">
        <v>822</v>
      </c>
      <c r="B276" t="n">
        <v>27.4</v>
      </c>
      <c r="C276" t="inlineStr">
        <is>
          <t>297</t>
        </is>
      </c>
      <c r="D276" t="n">
        <v>2.97</v>
      </c>
      <c r="E276">
        <f>MEDIAN(D256:D296)</f>
        <v/>
      </c>
      <c r="F276">
        <f>E256</f>
        <v/>
      </c>
      <c r="G276">
        <f>F276-E276</f>
        <v/>
      </c>
      <c r="H276">
        <f>IF(OR(NOT(ISNUMBER(D276)),ABS(D276-E276)&gt;$O$3,AND($O$11=1,B276&lt;$O$12)),1,0)</f>
        <v/>
      </c>
      <c r="I276">
        <f>IF(H276=1,NA(),D276)</f>
        <v/>
      </c>
      <c r="J276">
        <f>IF(AND(ISNUMBER(D276),D276&gt;=$O$4,OR($O$11=0,B276&gt;=$O$12)),1,0)</f>
        <v/>
      </c>
      <c r="K276">
        <f>B276-$O$14</f>
        <v/>
      </c>
    </row>
    <row r="277">
      <c r="A277" t="n">
        <v>825</v>
      </c>
      <c r="B277" t="n">
        <v>27.5</v>
      </c>
      <c r="C277" t="inlineStr">
        <is>
          <t>247</t>
        </is>
      </c>
      <c r="D277" t="n">
        <v>2.47</v>
      </c>
      <c r="E277">
        <f>MEDIAN(D257:D297)</f>
        <v/>
      </c>
      <c r="F277">
        <f>E257</f>
        <v/>
      </c>
      <c r="G277">
        <f>F277-E277</f>
        <v/>
      </c>
      <c r="H277">
        <f>IF(OR(NOT(ISNUMBER(D277)),ABS(D277-E277)&gt;$O$3,AND($O$11=1,B277&lt;$O$12)),1,0)</f>
        <v/>
      </c>
      <c r="I277">
        <f>IF(H277=1,NA(),D277)</f>
        <v/>
      </c>
      <c r="J277">
        <f>IF(AND(ISNUMBER(D277),D277&gt;=$O$4,OR($O$11=0,B277&gt;=$O$12)),1,0)</f>
        <v/>
      </c>
      <c r="K277">
        <f>B277-$O$14</f>
        <v/>
      </c>
    </row>
    <row r="278">
      <c r="A278" t="n">
        <v>828</v>
      </c>
      <c r="B278" t="n">
        <v>27.6</v>
      </c>
      <c r="C278" t="inlineStr">
        <is>
          <t>277</t>
        </is>
      </c>
      <c r="D278" t="n">
        <v>2.77</v>
      </c>
      <c r="E278">
        <f>MEDIAN(D258:D298)</f>
        <v/>
      </c>
      <c r="F278">
        <f>E258</f>
        <v/>
      </c>
      <c r="G278">
        <f>F278-E278</f>
        <v/>
      </c>
      <c r="H278">
        <f>IF(OR(NOT(ISNUMBER(D278)),ABS(D278-E278)&gt;$O$3,AND($O$11=1,B278&lt;$O$12)),1,0)</f>
        <v/>
      </c>
      <c r="I278">
        <f>IF(H278=1,NA(),D278)</f>
        <v/>
      </c>
      <c r="J278">
        <f>IF(AND(ISNUMBER(D278),D278&gt;=$O$4,OR($O$11=0,B278&gt;=$O$12)),1,0)</f>
        <v/>
      </c>
      <c r="K278">
        <f>B278-$O$14</f>
        <v/>
      </c>
    </row>
    <row r="279">
      <c r="A279" t="n">
        <v>831</v>
      </c>
      <c r="B279" t="n">
        <v>27.7</v>
      </c>
      <c r="C279" t="inlineStr">
        <is>
          <t>247</t>
        </is>
      </c>
      <c r="D279" t="n">
        <v>2.47</v>
      </c>
      <c r="E279">
        <f>MEDIAN(D259:D299)</f>
        <v/>
      </c>
      <c r="F279">
        <f>E259</f>
        <v/>
      </c>
      <c r="G279">
        <f>F279-E279</f>
        <v/>
      </c>
      <c r="H279">
        <f>IF(OR(NOT(ISNUMBER(D279)),ABS(D279-E279)&gt;$O$3,AND($O$11=1,B279&lt;$O$12)),1,0)</f>
        <v/>
      </c>
      <c r="I279">
        <f>IF(H279=1,NA(),D279)</f>
        <v/>
      </c>
      <c r="J279">
        <f>IF(AND(ISNUMBER(D279),D279&gt;=$O$4,OR($O$11=0,B279&gt;=$O$12)),1,0)</f>
        <v/>
      </c>
      <c r="K279">
        <f>B279-$O$14</f>
        <v/>
      </c>
    </row>
    <row r="280">
      <c r="A280" t="n">
        <v>834</v>
      </c>
      <c r="B280" t="n">
        <v>27.8</v>
      </c>
      <c r="C280" t="inlineStr">
        <is>
          <t>247</t>
        </is>
      </c>
      <c r="D280" t="n">
        <v>2.47</v>
      </c>
      <c r="E280">
        <f>MEDIAN(D260:D300)</f>
        <v/>
      </c>
      <c r="F280">
        <f>E260</f>
        <v/>
      </c>
      <c r="G280">
        <f>F280-E280</f>
        <v/>
      </c>
      <c r="H280">
        <f>IF(OR(NOT(ISNUMBER(D280)),ABS(D280-E280)&gt;$O$3,AND($O$11=1,B280&lt;$O$12)),1,0)</f>
        <v/>
      </c>
      <c r="I280">
        <f>IF(H280=1,NA(),D280)</f>
        <v/>
      </c>
      <c r="J280">
        <f>IF(AND(ISNUMBER(D280),D280&gt;=$O$4,OR($O$11=0,B280&gt;=$O$12)),1,0)</f>
        <v/>
      </c>
      <c r="K280">
        <f>B280-$O$14</f>
        <v/>
      </c>
    </row>
    <row r="281">
      <c r="A281" t="n">
        <v>837</v>
      </c>
      <c r="B281" t="n">
        <v>27.9</v>
      </c>
      <c r="C281" t="inlineStr">
        <is>
          <t>6</t>
        </is>
      </c>
      <c r="D281" t="n">
        <v>0.06</v>
      </c>
      <c r="E281">
        <f>MEDIAN(D261:D301)</f>
        <v/>
      </c>
      <c r="F281">
        <f>E261</f>
        <v/>
      </c>
      <c r="G281">
        <f>F281-E281</f>
        <v/>
      </c>
      <c r="H281">
        <f>IF(OR(NOT(ISNUMBER(D281)),ABS(D281-E281)&gt;$O$3,AND($O$11=1,B281&lt;$O$12)),1,0)</f>
        <v/>
      </c>
      <c r="I281">
        <f>IF(H281=1,NA(),D281)</f>
        <v/>
      </c>
      <c r="J281">
        <f>IF(AND(ISNUMBER(D281),D281&gt;=$O$4,OR($O$11=0,B281&gt;=$O$12)),1,0)</f>
        <v/>
      </c>
      <c r="K281">
        <f>B281-$O$14</f>
        <v/>
      </c>
    </row>
    <row r="282">
      <c r="A282" t="n">
        <v>840</v>
      </c>
      <c r="B282" t="n">
        <v>28</v>
      </c>
      <c r="C282" t="inlineStr">
        <is>
          <t>296</t>
        </is>
      </c>
      <c r="D282" t="n">
        <v>2.96</v>
      </c>
      <c r="E282">
        <f>MEDIAN(D262:D302)</f>
        <v/>
      </c>
      <c r="F282">
        <f>E262</f>
        <v/>
      </c>
      <c r="G282">
        <f>F282-E282</f>
        <v/>
      </c>
      <c r="H282">
        <f>IF(OR(NOT(ISNUMBER(D282)),ABS(D282-E282)&gt;$O$3,AND($O$11=1,B282&lt;$O$12)),1,0)</f>
        <v/>
      </c>
      <c r="I282">
        <f>IF(H282=1,NA(),D282)</f>
        <v/>
      </c>
      <c r="J282">
        <f>IF(AND(ISNUMBER(D282),D282&gt;=$O$4,OR($O$11=0,B282&gt;=$O$12)),1,0)</f>
        <v/>
      </c>
      <c r="K282">
        <f>B282-$O$14</f>
        <v/>
      </c>
    </row>
    <row r="283">
      <c r="A283" t="n">
        <v>843</v>
      </c>
      <c r="B283" t="n">
        <v>28.1</v>
      </c>
      <c r="C283" t="inlineStr">
        <is>
          <t>255</t>
        </is>
      </c>
      <c r="D283" t="n">
        <v>2.55</v>
      </c>
      <c r="E283">
        <f>MEDIAN(D263:D303)</f>
        <v/>
      </c>
      <c r="F283">
        <f>E263</f>
        <v/>
      </c>
      <c r="G283">
        <f>F283-E283</f>
        <v/>
      </c>
      <c r="H283">
        <f>IF(OR(NOT(ISNUMBER(D283)),ABS(D283-E283)&gt;$O$3,AND($O$11=1,B283&lt;$O$12)),1,0)</f>
        <v/>
      </c>
      <c r="I283">
        <f>IF(H283=1,NA(),D283)</f>
        <v/>
      </c>
      <c r="J283">
        <f>IF(AND(ISNUMBER(D283),D283&gt;=$O$4,OR($O$11=0,B283&gt;=$O$12)),1,0)</f>
        <v/>
      </c>
      <c r="K283">
        <f>B283-$O$14</f>
        <v/>
      </c>
    </row>
    <row r="284">
      <c r="A284" t="n">
        <v>846</v>
      </c>
      <c r="B284" t="n">
        <v>28.2</v>
      </c>
      <c r="C284" t="inlineStr">
        <is>
          <t>295</t>
        </is>
      </c>
      <c r="D284" t="n">
        <v>2.95</v>
      </c>
      <c r="E284">
        <f>MEDIAN(D264:D304)</f>
        <v/>
      </c>
      <c r="F284">
        <f>E264</f>
        <v/>
      </c>
      <c r="G284">
        <f>F284-E284</f>
        <v/>
      </c>
      <c r="H284">
        <f>IF(OR(NOT(ISNUMBER(D284)),ABS(D284-E284)&gt;$O$3,AND($O$11=1,B284&lt;$O$12)),1,0)</f>
        <v/>
      </c>
      <c r="I284">
        <f>IF(H284=1,NA(),D284)</f>
        <v/>
      </c>
      <c r="J284">
        <f>IF(AND(ISNUMBER(D284),D284&gt;=$O$4,OR($O$11=0,B284&gt;=$O$12)),1,0)</f>
        <v/>
      </c>
      <c r="K284">
        <f>B284-$O$14</f>
        <v/>
      </c>
    </row>
    <row r="285">
      <c r="A285" t="n">
        <v>849</v>
      </c>
      <c r="B285" t="n">
        <v>28.3</v>
      </c>
      <c r="C285" t="inlineStr">
        <is>
          <t>245</t>
        </is>
      </c>
      <c r="D285" t="n">
        <v>2.45</v>
      </c>
      <c r="E285">
        <f>MEDIAN(D265:D305)</f>
        <v/>
      </c>
      <c r="F285">
        <f>E265</f>
        <v/>
      </c>
      <c r="G285">
        <f>F285-E285</f>
        <v/>
      </c>
      <c r="H285">
        <f>IF(OR(NOT(ISNUMBER(D285)),ABS(D285-E285)&gt;$O$3,AND($O$11=1,B285&lt;$O$12)),1,0)</f>
        <v/>
      </c>
      <c r="I285">
        <f>IF(H285=1,NA(),D285)</f>
        <v/>
      </c>
      <c r="J285">
        <f>IF(AND(ISNUMBER(D285),D285&gt;=$O$4,OR($O$11=0,B285&gt;=$O$12)),1,0)</f>
        <v/>
      </c>
      <c r="K285">
        <f>B285-$O$14</f>
        <v/>
      </c>
    </row>
    <row r="286">
      <c r="A286" t="n">
        <v>852</v>
      </c>
      <c r="B286" t="n">
        <v>28.4</v>
      </c>
      <c r="C286" t="inlineStr">
        <is>
          <t>?95</t>
        </is>
      </c>
      <c r="E286">
        <f>MEDIAN(D266:D306)</f>
        <v/>
      </c>
      <c r="F286">
        <f>E266</f>
        <v/>
      </c>
      <c r="G286">
        <f>F286-E286</f>
        <v/>
      </c>
      <c r="H286">
        <f>IF(OR(NOT(ISNUMBER(D286)),ABS(D286-E286)&gt;$O$3,AND($O$11=1,B286&lt;$O$12)),1,0)</f>
        <v/>
      </c>
      <c r="I286">
        <f>IF(H286=1,NA(),D286)</f>
        <v/>
      </c>
      <c r="J286">
        <f>IF(AND(ISNUMBER(D286),D286&gt;=$O$4,OR($O$11=0,B286&gt;=$O$12)),1,0)</f>
        <v/>
      </c>
      <c r="K286">
        <f>B286-$O$14</f>
        <v/>
      </c>
    </row>
    <row r="287">
      <c r="A287" t="n">
        <v>855</v>
      </c>
      <c r="B287" t="n">
        <v>28.5</v>
      </c>
      <c r="C287" t="inlineStr">
        <is>
          <t>5</t>
        </is>
      </c>
      <c r="D287" t="n">
        <v>0.05</v>
      </c>
      <c r="E287">
        <f>MEDIAN(D267:D307)</f>
        <v/>
      </c>
      <c r="F287">
        <f>E267</f>
        <v/>
      </c>
      <c r="G287">
        <f>F287-E287</f>
        <v/>
      </c>
      <c r="H287">
        <f>IF(OR(NOT(ISNUMBER(D287)),ABS(D287-E287)&gt;$O$3,AND($O$11=1,B287&lt;$O$12)),1,0)</f>
        <v/>
      </c>
      <c r="I287">
        <f>IF(H287=1,NA(),D287)</f>
        <v/>
      </c>
      <c r="J287">
        <f>IF(AND(ISNUMBER(D287),D287&gt;=$O$4,OR($O$11=0,B287&gt;=$O$12)),1,0)</f>
        <v/>
      </c>
      <c r="K287">
        <f>B287-$O$14</f>
        <v/>
      </c>
    </row>
    <row r="288">
      <c r="A288" t="n">
        <v>858</v>
      </c>
      <c r="B288" t="n">
        <v>28.6</v>
      </c>
      <c r="C288" t="inlineStr">
        <is>
          <t>295</t>
        </is>
      </c>
      <c r="D288" t="n">
        <v>2.95</v>
      </c>
      <c r="E288">
        <f>MEDIAN(D268:D308)</f>
        <v/>
      </c>
      <c r="F288">
        <f>E268</f>
        <v/>
      </c>
      <c r="G288">
        <f>F288-E288</f>
        <v/>
      </c>
      <c r="H288">
        <f>IF(OR(NOT(ISNUMBER(D288)),ABS(D288-E288)&gt;$O$3,AND($O$11=1,B288&lt;$O$12)),1,0)</f>
        <v/>
      </c>
      <c r="I288">
        <f>IF(H288=1,NA(),D288)</f>
        <v/>
      </c>
      <c r="J288">
        <f>IF(AND(ISNUMBER(D288),D288&gt;=$O$4,OR($O$11=0,B288&gt;=$O$12)),1,0)</f>
        <v/>
      </c>
      <c r="K288">
        <f>B288-$O$14</f>
        <v/>
      </c>
    </row>
    <row r="289">
      <c r="A289" t="n">
        <v>861</v>
      </c>
      <c r="B289" t="n">
        <v>28.7</v>
      </c>
      <c r="C289" t="inlineStr">
        <is>
          <t>300</t>
        </is>
      </c>
      <c r="D289" t="n">
        <v>3</v>
      </c>
      <c r="E289">
        <f>MEDIAN(D269:D309)</f>
        <v/>
      </c>
      <c r="F289">
        <f>E269</f>
        <v/>
      </c>
      <c r="G289">
        <f>F289-E289</f>
        <v/>
      </c>
      <c r="H289">
        <f>IF(OR(NOT(ISNUMBER(D289)),ABS(D289-E289)&gt;$O$3,AND($O$11=1,B289&lt;$O$12)),1,0)</f>
        <v/>
      </c>
      <c r="I289">
        <f>IF(H289=1,NA(),D289)</f>
        <v/>
      </c>
      <c r="J289">
        <f>IF(AND(ISNUMBER(D289),D289&gt;=$O$4,OR($O$11=0,B289&gt;=$O$12)),1,0)</f>
        <v/>
      </c>
      <c r="K289">
        <f>B289-$O$14</f>
        <v/>
      </c>
    </row>
    <row r="290">
      <c r="A290" t="n">
        <v>864</v>
      </c>
      <c r="B290" t="n">
        <v>28.8</v>
      </c>
      <c r="C290" t="inlineStr">
        <is>
          <t>?00</t>
        </is>
      </c>
      <c r="E290">
        <f>MEDIAN(D270:D310)</f>
        <v/>
      </c>
      <c r="F290">
        <f>E270</f>
        <v/>
      </c>
      <c r="G290">
        <f>F290-E290</f>
        <v/>
      </c>
      <c r="H290">
        <f>IF(OR(NOT(ISNUMBER(D290)),ABS(D290-E290)&gt;$O$3,AND($O$11=1,B290&lt;$O$12)),1,0)</f>
        <v/>
      </c>
      <c r="I290">
        <f>IF(H290=1,NA(),D290)</f>
        <v/>
      </c>
      <c r="J290">
        <f>IF(AND(ISNUMBER(D290),D290&gt;=$O$4,OR($O$11=0,B290&gt;=$O$12)),1,0)</f>
        <v/>
      </c>
      <c r="K290">
        <f>B290-$O$14</f>
        <v/>
      </c>
    </row>
    <row r="291">
      <c r="A291" t="n">
        <v>867</v>
      </c>
      <c r="B291" t="n">
        <v>28.9</v>
      </c>
      <c r="C291" t="inlineStr">
        <is>
          <t>380</t>
        </is>
      </c>
      <c r="D291" t="n">
        <v>3.8</v>
      </c>
      <c r="E291">
        <f>MEDIAN(D271:D311)</f>
        <v/>
      </c>
      <c r="F291">
        <f>E271</f>
        <v/>
      </c>
      <c r="G291">
        <f>F291-E291</f>
        <v/>
      </c>
      <c r="H291">
        <f>IF(OR(NOT(ISNUMBER(D291)),ABS(D291-E291)&gt;$O$3,AND($O$11=1,B291&lt;$O$12)),1,0)</f>
        <v/>
      </c>
      <c r="I291">
        <f>IF(H291=1,NA(),D291)</f>
        <v/>
      </c>
      <c r="J291">
        <f>IF(AND(ISNUMBER(D291),D291&gt;=$O$4,OR($O$11=0,B291&gt;=$O$12)),1,0)</f>
        <v/>
      </c>
      <c r="K291">
        <f>B291-$O$14</f>
        <v/>
      </c>
    </row>
    <row r="292">
      <c r="A292" t="n">
        <v>870</v>
      </c>
      <c r="B292" t="n">
        <v>29</v>
      </c>
      <c r="C292" t="inlineStr">
        <is>
          <t>30?</t>
        </is>
      </c>
      <c r="E292">
        <f>MEDIAN(D272:D312)</f>
        <v/>
      </c>
      <c r="F292">
        <f>E272</f>
        <v/>
      </c>
      <c r="G292">
        <f>F292-E292</f>
        <v/>
      </c>
      <c r="H292">
        <f>IF(OR(NOT(ISNUMBER(D292)),ABS(D292-E292)&gt;$O$3,AND($O$11=1,B292&lt;$O$12)),1,0)</f>
        <v/>
      </c>
      <c r="I292">
        <f>IF(H292=1,NA(),D292)</f>
        <v/>
      </c>
      <c r="J292">
        <f>IF(AND(ISNUMBER(D292),D292&gt;=$O$4,OR($O$11=0,B292&gt;=$O$12)),1,0)</f>
        <v/>
      </c>
      <c r="K292">
        <f>B292-$O$14</f>
        <v/>
      </c>
    </row>
    <row r="293">
      <c r="A293" t="n">
        <v>873</v>
      </c>
      <c r="B293" t="n">
        <v>29.1</v>
      </c>
      <c r="C293" t="inlineStr">
        <is>
          <t>3?1</t>
        </is>
      </c>
      <c r="E293">
        <f>MEDIAN(D273:D313)</f>
        <v/>
      </c>
      <c r="F293">
        <f>E273</f>
        <v/>
      </c>
      <c r="G293">
        <f>F293-E293</f>
        <v/>
      </c>
      <c r="H293">
        <f>IF(OR(NOT(ISNUMBER(D293)),ABS(D293-E293)&gt;$O$3,AND($O$11=1,B293&lt;$O$12)),1,0)</f>
        <v/>
      </c>
      <c r="I293">
        <f>IF(H293=1,NA(),D293)</f>
        <v/>
      </c>
      <c r="J293">
        <f>IF(AND(ISNUMBER(D293),D293&gt;=$O$4,OR($O$11=0,B293&gt;=$O$12)),1,0)</f>
        <v/>
      </c>
      <c r="K293">
        <f>B293-$O$14</f>
        <v/>
      </c>
    </row>
    <row r="294">
      <c r="A294" t="n">
        <v>876</v>
      </c>
      <c r="B294" t="n">
        <v>29.2</v>
      </c>
      <c r="C294" t="inlineStr">
        <is>
          <t>301</t>
        </is>
      </c>
      <c r="D294" t="n">
        <v>3.01</v>
      </c>
      <c r="E294">
        <f>MEDIAN(D274:D314)</f>
        <v/>
      </c>
      <c r="F294">
        <f>E274</f>
        <v/>
      </c>
      <c r="G294">
        <f>F294-E294</f>
        <v/>
      </c>
      <c r="H294">
        <f>IF(OR(NOT(ISNUMBER(D294)),ABS(D294-E294)&gt;$O$3,AND($O$11=1,B294&lt;$O$12)),1,0)</f>
        <v/>
      </c>
      <c r="I294">
        <f>IF(H294=1,NA(),D294)</f>
        <v/>
      </c>
      <c r="J294">
        <f>IF(AND(ISNUMBER(D294),D294&gt;=$O$4,OR($O$11=0,B294&gt;=$O$12)),1,0)</f>
        <v/>
      </c>
      <c r="K294">
        <f>B294-$O$14</f>
        <v/>
      </c>
    </row>
    <row r="295">
      <c r="A295" t="n">
        <v>879</v>
      </c>
      <c r="B295" t="n">
        <v>29.3</v>
      </c>
      <c r="C295" t="inlineStr">
        <is>
          <t>1</t>
        </is>
      </c>
      <c r="D295" t="n">
        <v>0.01</v>
      </c>
      <c r="E295">
        <f>MEDIAN(D275:D315)</f>
        <v/>
      </c>
      <c r="F295">
        <f>E275</f>
        <v/>
      </c>
      <c r="G295">
        <f>F295-E295</f>
        <v/>
      </c>
      <c r="H295">
        <f>IF(OR(NOT(ISNUMBER(D295)),ABS(D295-E295)&gt;$O$3,AND($O$11=1,B295&lt;$O$12)),1,0)</f>
        <v/>
      </c>
      <c r="I295">
        <f>IF(H295=1,NA(),D295)</f>
        <v/>
      </c>
      <c r="J295">
        <f>IF(AND(ISNUMBER(D295),D295&gt;=$O$4,OR($O$11=0,B295&gt;=$O$12)),1,0)</f>
        <v/>
      </c>
      <c r="K295">
        <f>B295-$O$14</f>
        <v/>
      </c>
    </row>
    <row r="296">
      <c r="A296" t="n">
        <v>882</v>
      </c>
      <c r="B296" t="n">
        <v>29.4</v>
      </c>
      <c r="C296" t="inlineStr">
        <is>
          <t>302</t>
        </is>
      </c>
      <c r="D296" t="n">
        <v>3.02</v>
      </c>
      <c r="E296">
        <f>MEDIAN(D276:D316)</f>
        <v/>
      </c>
      <c r="F296">
        <f>E276</f>
        <v/>
      </c>
      <c r="G296">
        <f>F296-E296</f>
        <v/>
      </c>
      <c r="H296">
        <f>IF(OR(NOT(ISNUMBER(D296)),ABS(D296-E296)&gt;$O$3,AND($O$11=1,B296&lt;$O$12)),1,0)</f>
        <v/>
      </c>
      <c r="I296">
        <f>IF(H296=1,NA(),D296)</f>
        <v/>
      </c>
      <c r="J296">
        <f>IF(AND(ISNUMBER(D296),D296&gt;=$O$4,OR($O$11=0,B296&gt;=$O$12)),1,0)</f>
        <v/>
      </c>
      <c r="K296">
        <f>B296-$O$14</f>
        <v/>
      </c>
    </row>
    <row r="297">
      <c r="A297" t="n">
        <v>885</v>
      </c>
      <c r="B297" t="n">
        <v>29.5</v>
      </c>
      <c r="C297" t="inlineStr">
        <is>
          <t>382</t>
        </is>
      </c>
      <c r="D297" t="n">
        <v>3.82</v>
      </c>
      <c r="E297">
        <f>MEDIAN(D277:D317)</f>
        <v/>
      </c>
      <c r="F297">
        <f>E277</f>
        <v/>
      </c>
      <c r="G297">
        <f>F297-E297</f>
        <v/>
      </c>
      <c r="H297">
        <f>IF(OR(NOT(ISNUMBER(D297)),ABS(D297-E297)&gt;$O$3,AND($O$11=1,B297&lt;$O$12)),1,0)</f>
        <v/>
      </c>
      <c r="I297">
        <f>IF(H297=1,NA(),D297)</f>
        <v/>
      </c>
      <c r="J297">
        <f>IF(AND(ISNUMBER(D297),D297&gt;=$O$4,OR($O$11=0,B297&gt;=$O$12)),1,0)</f>
        <v/>
      </c>
      <c r="K297">
        <f>B297-$O$14</f>
        <v/>
      </c>
    </row>
    <row r="298">
      <c r="A298" t="n">
        <v>888</v>
      </c>
      <c r="B298" t="n">
        <v>29.6</v>
      </c>
      <c r="C298" t="inlineStr">
        <is>
          <t>302</t>
        </is>
      </c>
      <c r="D298" t="n">
        <v>3.02</v>
      </c>
      <c r="E298">
        <f>MEDIAN(D278:D318)</f>
        <v/>
      </c>
      <c r="F298">
        <f>E278</f>
        <v/>
      </c>
      <c r="G298">
        <f>F298-E298</f>
        <v/>
      </c>
      <c r="H298">
        <f>IF(OR(NOT(ISNUMBER(D298)),ABS(D298-E298)&gt;$O$3,AND($O$11=1,B298&lt;$O$12)),1,0)</f>
        <v/>
      </c>
      <c r="I298">
        <f>IF(H298=1,NA(),D298)</f>
        <v/>
      </c>
      <c r="J298">
        <f>IF(AND(ISNUMBER(D298),D298&gt;=$O$4,OR($O$11=0,B298&gt;=$O$12)),1,0)</f>
        <v/>
      </c>
      <c r="K298">
        <f>B298-$O$14</f>
        <v/>
      </c>
    </row>
    <row r="299">
      <c r="A299" t="n">
        <v>891</v>
      </c>
      <c r="B299" t="n">
        <v>29.7</v>
      </c>
      <c r="C299" t="inlineStr">
        <is>
          <t>382</t>
        </is>
      </c>
      <c r="D299" t="n">
        <v>3.82</v>
      </c>
      <c r="E299">
        <f>MEDIAN(D279:D319)</f>
        <v/>
      </c>
      <c r="F299">
        <f>E279</f>
        <v/>
      </c>
      <c r="G299">
        <f>F299-E299</f>
        <v/>
      </c>
      <c r="H299">
        <f>IF(OR(NOT(ISNUMBER(D299)),ABS(D299-E299)&gt;$O$3,AND($O$11=1,B299&lt;$O$12)),1,0)</f>
        <v/>
      </c>
      <c r="I299">
        <f>IF(H299=1,NA(),D299)</f>
        <v/>
      </c>
      <c r="J299">
        <f>IF(AND(ISNUMBER(D299),D299&gt;=$O$4,OR($O$11=0,B299&gt;=$O$12)),1,0)</f>
        <v/>
      </c>
      <c r="K299">
        <f>B299-$O$14</f>
        <v/>
      </c>
    </row>
    <row r="300">
      <c r="A300" t="n">
        <v>894</v>
      </c>
      <c r="B300" t="n">
        <v>29.8</v>
      </c>
      <c r="C300" t="inlineStr">
        <is>
          <t>302</t>
        </is>
      </c>
      <c r="D300" t="n">
        <v>3.02</v>
      </c>
      <c r="E300">
        <f>MEDIAN(D280:D320)</f>
        <v/>
      </c>
      <c r="F300">
        <f>E280</f>
        <v/>
      </c>
      <c r="G300">
        <f>F300-E300</f>
        <v/>
      </c>
      <c r="H300">
        <f>IF(OR(NOT(ISNUMBER(D300)),ABS(D300-E300)&gt;$O$3,AND($O$11=1,B300&lt;$O$12)),1,0)</f>
        <v/>
      </c>
      <c r="I300">
        <f>IF(H300=1,NA(),D300)</f>
        <v/>
      </c>
      <c r="J300">
        <f>IF(AND(ISNUMBER(D300),D300&gt;=$O$4,OR($O$11=0,B300&gt;=$O$12)),1,0)</f>
        <v/>
      </c>
      <c r="K300">
        <f>B300-$O$14</f>
        <v/>
      </c>
    </row>
    <row r="301">
      <c r="A301" t="n">
        <v>897</v>
      </c>
      <c r="B301" t="n">
        <v>29.9</v>
      </c>
      <c r="C301" t="inlineStr">
        <is>
          <t>381</t>
        </is>
      </c>
      <c r="D301" t="n">
        <v>3.81</v>
      </c>
      <c r="E301">
        <f>MEDIAN(D281:D321)</f>
        <v/>
      </c>
      <c r="F301">
        <f>E281</f>
        <v/>
      </c>
      <c r="G301">
        <f>F301-E301</f>
        <v/>
      </c>
      <c r="H301">
        <f>IF(OR(NOT(ISNUMBER(D301)),ABS(D301-E301)&gt;$O$3,AND($O$11=1,B301&lt;$O$12)),1,0)</f>
        <v/>
      </c>
      <c r="I301">
        <f>IF(H301=1,NA(),D301)</f>
        <v/>
      </c>
      <c r="J301">
        <f>IF(AND(ISNUMBER(D301),D301&gt;=$O$4,OR($O$11=0,B301&gt;=$O$12)),1,0)</f>
        <v/>
      </c>
      <c r="K301">
        <f>B301-$O$14</f>
        <v/>
      </c>
    </row>
    <row r="302">
      <c r="A302" t="n">
        <v>900</v>
      </c>
      <c r="B302" t="n">
        <v>30</v>
      </c>
      <c r="C302" t="inlineStr">
        <is>
          <t>301</t>
        </is>
      </c>
      <c r="D302" t="n">
        <v>3.01</v>
      </c>
      <c r="E302">
        <f>MEDIAN(D282:D322)</f>
        <v/>
      </c>
      <c r="F302">
        <f>E282</f>
        <v/>
      </c>
      <c r="G302">
        <f>F302-E302</f>
        <v/>
      </c>
      <c r="H302">
        <f>IF(OR(NOT(ISNUMBER(D302)),ABS(D302-E302)&gt;$O$3,AND($O$11=1,B302&lt;$O$12)),1,0)</f>
        <v/>
      </c>
      <c r="I302">
        <f>IF(H302=1,NA(),D302)</f>
        <v/>
      </c>
      <c r="J302">
        <f>IF(AND(ISNUMBER(D302),D302&gt;=$O$4,OR($O$11=0,B302&gt;=$O$12)),1,0)</f>
        <v/>
      </c>
      <c r="K302">
        <f>B302-$O$14</f>
        <v/>
      </c>
    </row>
    <row r="303">
      <c r="A303" t="n">
        <v>903</v>
      </c>
      <c r="B303" t="n">
        <v>30.1</v>
      </c>
      <c r="C303" t="inlineStr">
        <is>
          <t>3?1</t>
        </is>
      </c>
      <c r="E303">
        <f>MEDIAN(D283:D323)</f>
        <v/>
      </c>
      <c r="F303">
        <f>E283</f>
        <v/>
      </c>
      <c r="G303">
        <f>F303-E303</f>
        <v/>
      </c>
      <c r="H303">
        <f>IF(OR(NOT(ISNUMBER(D303)),ABS(D303-E303)&gt;$O$3,AND($O$11=1,B303&lt;$O$12)),1,0)</f>
        <v/>
      </c>
      <c r="I303">
        <f>IF(H303=1,NA(),D303)</f>
        <v/>
      </c>
      <c r="J303">
        <f>IF(AND(ISNUMBER(D303),D303&gt;=$O$4,OR($O$11=0,B303&gt;=$O$12)),1,0)</f>
        <v/>
      </c>
      <c r="K303">
        <f>B303-$O$14</f>
        <v/>
      </c>
    </row>
    <row r="304">
      <c r="A304" t="n">
        <v>906</v>
      </c>
      <c r="B304" t="n">
        <v>30.2</v>
      </c>
      <c r="C304" t="inlineStr">
        <is>
          <t>3?1</t>
        </is>
      </c>
      <c r="E304">
        <f>MEDIAN(D284:D324)</f>
        <v/>
      </c>
      <c r="F304">
        <f>E284</f>
        <v/>
      </c>
      <c r="G304">
        <f>F304-E304</f>
        <v/>
      </c>
      <c r="H304">
        <f>IF(OR(NOT(ISNUMBER(D304)),ABS(D304-E304)&gt;$O$3,AND($O$11=1,B304&lt;$O$12)),1,0)</f>
        <v/>
      </c>
      <c r="I304">
        <f>IF(H304=1,NA(),D304)</f>
        <v/>
      </c>
      <c r="J304">
        <f>IF(AND(ISNUMBER(D304),D304&gt;=$O$4,OR($O$11=0,B304&gt;=$O$12)),1,0)</f>
        <v/>
      </c>
      <c r="K304">
        <f>B304-$O$14</f>
        <v/>
      </c>
    </row>
    <row r="305">
      <c r="A305" t="n">
        <v>909</v>
      </c>
      <c r="B305" t="n">
        <v>30.3</v>
      </c>
      <c r="C305" t="inlineStr">
        <is>
          <t>361</t>
        </is>
      </c>
      <c r="D305" t="n">
        <v>3.61</v>
      </c>
      <c r="E305">
        <f>MEDIAN(D285:D325)</f>
        <v/>
      </c>
      <c r="F305">
        <f>E285</f>
        <v/>
      </c>
      <c r="G305">
        <f>F305-E305</f>
        <v/>
      </c>
      <c r="H305">
        <f>IF(OR(NOT(ISNUMBER(D305)),ABS(D305-E305)&gt;$O$3,AND($O$11=1,B305&lt;$O$12)),1,0)</f>
        <v/>
      </c>
      <c r="I305">
        <f>IF(H305=1,NA(),D305)</f>
        <v/>
      </c>
      <c r="J305">
        <f>IF(AND(ISNUMBER(D305),D305&gt;=$O$4,OR($O$11=0,B305&gt;=$O$12)),1,0)</f>
        <v/>
      </c>
      <c r="K305">
        <f>B305-$O$14</f>
        <v/>
      </c>
    </row>
    <row r="306">
      <c r="A306" t="n">
        <v>912</v>
      </c>
      <c r="B306" t="n">
        <v>30.4</v>
      </c>
      <c r="C306" t="inlineStr">
        <is>
          <t>301</t>
        </is>
      </c>
      <c r="D306" t="n">
        <v>3.01</v>
      </c>
      <c r="E306">
        <f>MEDIAN(D286:D326)</f>
        <v/>
      </c>
      <c r="F306">
        <f>E286</f>
        <v/>
      </c>
      <c r="G306">
        <f>F306-E306</f>
        <v/>
      </c>
      <c r="H306">
        <f>IF(OR(NOT(ISNUMBER(D306)),ABS(D306-E306)&gt;$O$3,AND($O$11=1,B306&lt;$O$12)),1,0)</f>
        <v/>
      </c>
      <c r="I306">
        <f>IF(H306=1,NA(),D306)</f>
        <v/>
      </c>
      <c r="J306">
        <f>IF(AND(ISNUMBER(D306),D306&gt;=$O$4,OR($O$11=0,B306&gt;=$O$12)),1,0)</f>
        <v/>
      </c>
      <c r="K306">
        <f>B306-$O$14</f>
        <v/>
      </c>
    </row>
    <row r="307">
      <c r="A307" t="n">
        <v>915</v>
      </c>
      <c r="B307" t="n">
        <v>30.5</v>
      </c>
      <c r="C307" t="inlineStr">
        <is>
          <t>381</t>
        </is>
      </c>
      <c r="D307" t="n">
        <v>3.81</v>
      </c>
      <c r="E307">
        <f>MEDIAN(D287:D327)</f>
        <v/>
      </c>
      <c r="F307">
        <f>E287</f>
        <v/>
      </c>
      <c r="G307">
        <f>F307-E307</f>
        <v/>
      </c>
      <c r="H307">
        <f>IF(OR(NOT(ISNUMBER(D307)),ABS(D307-E307)&gt;$O$3,AND($O$11=1,B307&lt;$O$12)),1,0)</f>
        <v/>
      </c>
      <c r="I307">
        <f>IF(H307=1,NA(),D307)</f>
        <v/>
      </c>
      <c r="J307">
        <f>IF(AND(ISNUMBER(D307),D307&gt;=$O$4,OR($O$11=0,B307&gt;=$O$12)),1,0)</f>
        <v/>
      </c>
      <c r="K307">
        <f>B307-$O$14</f>
        <v/>
      </c>
    </row>
    <row r="308">
      <c r="A308" t="n">
        <v>918</v>
      </c>
      <c r="B308" t="n">
        <v>30.6</v>
      </c>
      <c r="C308" t="inlineStr">
        <is>
          <t>302</t>
        </is>
      </c>
      <c r="D308" t="n">
        <v>3.02</v>
      </c>
      <c r="E308">
        <f>MEDIAN(D288:D328)</f>
        <v/>
      </c>
      <c r="F308">
        <f>E288</f>
        <v/>
      </c>
      <c r="G308">
        <f>F308-E308</f>
        <v/>
      </c>
      <c r="H308">
        <f>IF(OR(NOT(ISNUMBER(D308)),ABS(D308-E308)&gt;$O$3,AND($O$11=1,B308&lt;$O$12)),1,0)</f>
        <v/>
      </c>
      <c r="I308">
        <f>IF(H308=1,NA(),D308)</f>
        <v/>
      </c>
      <c r="J308">
        <f>IF(AND(ISNUMBER(D308),D308&gt;=$O$4,OR($O$11=0,B308&gt;=$O$12)),1,0)</f>
        <v/>
      </c>
      <c r="K308">
        <f>B308-$O$14</f>
        <v/>
      </c>
    </row>
    <row r="309">
      <c r="A309" t="n">
        <v>921</v>
      </c>
      <c r="B309" t="n">
        <v>30.7</v>
      </c>
      <c r="C309" t="inlineStr">
        <is>
          <t>382</t>
        </is>
      </c>
      <c r="D309" t="n">
        <v>3.82</v>
      </c>
      <c r="E309">
        <f>MEDIAN(D289:D329)</f>
        <v/>
      </c>
      <c r="F309">
        <f>E289</f>
        <v/>
      </c>
      <c r="G309">
        <f>F309-E309</f>
        <v/>
      </c>
      <c r="H309">
        <f>IF(OR(NOT(ISNUMBER(D309)),ABS(D309-E309)&gt;$O$3,AND($O$11=1,B309&lt;$O$12)),1,0)</f>
        <v/>
      </c>
      <c r="I309">
        <f>IF(H309=1,NA(),D309)</f>
        <v/>
      </c>
      <c r="J309">
        <f>IF(AND(ISNUMBER(D309),D309&gt;=$O$4,OR($O$11=0,B309&gt;=$O$12)),1,0)</f>
        <v/>
      </c>
      <c r="K309">
        <f>B309-$O$14</f>
        <v/>
      </c>
    </row>
    <row r="310">
      <c r="A310" t="n">
        <v>924</v>
      </c>
      <c r="B310" t="n">
        <v>30.8</v>
      </c>
      <c r="C310" t="inlineStr">
        <is>
          <t>2</t>
        </is>
      </c>
      <c r="D310" t="n">
        <v>0.02</v>
      </c>
      <c r="E310">
        <f>MEDIAN(D290:D330)</f>
        <v/>
      </c>
      <c r="F310">
        <f>E290</f>
        <v/>
      </c>
      <c r="G310">
        <f>F310-E310</f>
        <v/>
      </c>
      <c r="H310">
        <f>IF(OR(NOT(ISNUMBER(D310)),ABS(D310-E310)&gt;$O$3,AND($O$11=1,B310&lt;$O$12)),1,0)</f>
        <v/>
      </c>
      <c r="I310">
        <f>IF(H310=1,NA(),D310)</f>
        <v/>
      </c>
      <c r="J310">
        <f>IF(AND(ISNUMBER(D310),D310&gt;=$O$4,OR($O$11=0,B310&gt;=$O$12)),1,0)</f>
        <v/>
      </c>
      <c r="K310">
        <f>B310-$O$14</f>
        <v/>
      </c>
    </row>
    <row r="311">
      <c r="A311" t="n">
        <v>927</v>
      </c>
      <c r="B311" t="n">
        <v>30.9</v>
      </c>
      <c r="C311" t="inlineStr">
        <is>
          <t>302</t>
        </is>
      </c>
      <c r="D311" t="n">
        <v>3.02</v>
      </c>
      <c r="E311">
        <f>MEDIAN(D291:D331)</f>
        <v/>
      </c>
      <c r="F311">
        <f>E291</f>
        <v/>
      </c>
      <c r="G311">
        <f>F311-E311</f>
        <v/>
      </c>
      <c r="H311">
        <f>IF(OR(NOT(ISNUMBER(D311)),ABS(D311-E311)&gt;$O$3,AND($O$11=1,B311&lt;$O$12)),1,0)</f>
        <v/>
      </c>
      <c r="I311">
        <f>IF(H311=1,NA(),D311)</f>
        <v/>
      </c>
      <c r="J311">
        <f>IF(AND(ISNUMBER(D311),D311&gt;=$O$4,OR($O$11=0,B311&gt;=$O$12)),1,0)</f>
        <v/>
      </c>
      <c r="K311">
        <f>B311-$O$14</f>
        <v/>
      </c>
    </row>
    <row r="312">
      <c r="A312" t="n">
        <v>930</v>
      </c>
      <c r="B312" t="n">
        <v>31</v>
      </c>
      <c r="C312" t="inlineStr">
        <is>
          <t>382</t>
        </is>
      </c>
      <c r="D312" t="n">
        <v>3.82</v>
      </c>
      <c r="E312">
        <f>MEDIAN(D292:D332)</f>
        <v/>
      </c>
      <c r="F312">
        <f>E292</f>
        <v/>
      </c>
      <c r="G312">
        <f>F312-E312</f>
        <v/>
      </c>
      <c r="H312">
        <f>IF(OR(NOT(ISNUMBER(D312)),ABS(D312-E312)&gt;$O$3,AND($O$11=1,B312&lt;$O$12)),1,0)</f>
        <v/>
      </c>
      <c r="I312">
        <f>IF(H312=1,NA(),D312)</f>
        <v/>
      </c>
      <c r="J312">
        <f>IF(AND(ISNUMBER(D312),D312&gt;=$O$4,OR($O$11=0,B312&gt;=$O$12)),1,0)</f>
        <v/>
      </c>
      <c r="K312">
        <f>B312-$O$14</f>
        <v/>
      </c>
    </row>
    <row r="313">
      <c r="A313" t="n">
        <v>933</v>
      </c>
      <c r="B313" t="n">
        <v>31.1</v>
      </c>
      <c r="C313" t="inlineStr">
        <is>
          <t>302</t>
        </is>
      </c>
      <c r="D313" t="n">
        <v>3.02</v>
      </c>
      <c r="E313">
        <f>MEDIAN(D293:D333)</f>
        <v/>
      </c>
      <c r="F313">
        <f>E293</f>
        <v/>
      </c>
      <c r="G313">
        <f>F313-E313</f>
        <v/>
      </c>
      <c r="H313">
        <f>IF(OR(NOT(ISNUMBER(D313)),ABS(D313-E313)&gt;$O$3,AND($O$11=1,B313&lt;$O$12)),1,0)</f>
        <v/>
      </c>
      <c r="I313">
        <f>IF(H313=1,NA(),D313)</f>
        <v/>
      </c>
      <c r="J313">
        <f>IF(AND(ISNUMBER(D313),D313&gt;=$O$4,OR($O$11=0,B313&gt;=$O$12)),1,0)</f>
        <v/>
      </c>
      <c r="K313">
        <f>B313-$O$14</f>
        <v/>
      </c>
    </row>
    <row r="314">
      <c r="A314" t="n">
        <v>936</v>
      </c>
      <c r="B314" t="n">
        <v>31.2</v>
      </c>
      <c r="C314" t="inlineStr">
        <is>
          <t>3?2</t>
        </is>
      </c>
      <c r="E314">
        <f>MEDIAN(D294:D334)</f>
        <v/>
      </c>
      <c r="F314">
        <f>E294</f>
        <v/>
      </c>
      <c r="G314">
        <f>F314-E314</f>
        <v/>
      </c>
      <c r="H314">
        <f>IF(OR(NOT(ISNUMBER(D314)),ABS(D314-E314)&gt;$O$3,AND($O$11=1,B314&lt;$O$12)),1,0)</f>
        <v/>
      </c>
      <c r="I314">
        <f>IF(H314=1,NA(),D314)</f>
        <v/>
      </c>
      <c r="J314">
        <f>IF(AND(ISNUMBER(D314),D314&gt;=$O$4,OR($O$11=0,B314&gt;=$O$12)),1,0)</f>
        <v/>
      </c>
      <c r="K314">
        <f>B314-$O$14</f>
        <v/>
      </c>
    </row>
    <row r="315">
      <c r="A315" t="n">
        <v>939</v>
      </c>
      <c r="B315" t="n">
        <v>31.3</v>
      </c>
      <c r="C315" t="inlineStr">
        <is>
          <t>302</t>
        </is>
      </c>
      <c r="D315" t="n">
        <v>3.02</v>
      </c>
      <c r="E315">
        <f>MEDIAN(D295:D335)</f>
        <v/>
      </c>
      <c r="F315">
        <f>E295</f>
        <v/>
      </c>
      <c r="G315">
        <f>F315-E315</f>
        <v/>
      </c>
      <c r="H315">
        <f>IF(OR(NOT(ISNUMBER(D315)),ABS(D315-E315)&gt;$O$3,AND($O$11=1,B315&lt;$O$12)),1,0)</f>
        <v/>
      </c>
      <c r="I315">
        <f>IF(H315=1,NA(),D315)</f>
        <v/>
      </c>
      <c r="J315">
        <f>IF(AND(ISNUMBER(D315),D315&gt;=$O$4,OR($O$11=0,B315&gt;=$O$12)),1,0)</f>
        <v/>
      </c>
      <c r="K315">
        <f>B315-$O$14</f>
        <v/>
      </c>
    </row>
    <row r="316">
      <c r="A316" t="n">
        <v>942</v>
      </c>
      <c r="B316" t="n">
        <v>31.4</v>
      </c>
      <c r="C316" t="inlineStr">
        <is>
          <t>382</t>
        </is>
      </c>
      <c r="D316" t="n">
        <v>3.82</v>
      </c>
      <c r="E316">
        <f>MEDIAN(D296:D336)</f>
        <v/>
      </c>
      <c r="F316">
        <f>E296</f>
        <v/>
      </c>
      <c r="G316">
        <f>F316-E316</f>
        <v/>
      </c>
      <c r="H316">
        <f>IF(OR(NOT(ISNUMBER(D316)),ABS(D316-E316)&gt;$O$3,AND($O$11=1,B316&lt;$O$12)),1,0)</f>
        <v/>
      </c>
      <c r="I316">
        <f>IF(H316=1,NA(),D316)</f>
        <v/>
      </c>
      <c r="J316">
        <f>IF(AND(ISNUMBER(D316),D316&gt;=$O$4,OR($O$11=0,B316&gt;=$O$12)),1,0)</f>
        <v/>
      </c>
      <c r="K316">
        <f>B316-$O$14</f>
        <v/>
      </c>
    </row>
    <row r="317">
      <c r="A317" t="n">
        <v>945</v>
      </c>
      <c r="B317" t="n">
        <v>31.5</v>
      </c>
      <c r="C317" t="inlineStr">
        <is>
          <t>302</t>
        </is>
      </c>
      <c r="D317" t="n">
        <v>3.02</v>
      </c>
      <c r="E317">
        <f>MEDIAN(D297:D337)</f>
        <v/>
      </c>
      <c r="F317">
        <f>E297</f>
        <v/>
      </c>
      <c r="G317">
        <f>F317-E317</f>
        <v/>
      </c>
      <c r="H317">
        <f>IF(OR(NOT(ISNUMBER(D317)),ABS(D317-E317)&gt;$O$3,AND($O$11=1,B317&lt;$O$12)),1,0)</f>
        <v/>
      </c>
      <c r="I317">
        <f>IF(H317=1,NA(),D317)</f>
        <v/>
      </c>
      <c r="J317">
        <f>IF(AND(ISNUMBER(D317),D317&gt;=$O$4,OR($O$11=0,B317&gt;=$O$12)),1,0)</f>
        <v/>
      </c>
      <c r="K317">
        <f>B317-$O$14</f>
        <v/>
      </c>
    </row>
    <row r="318">
      <c r="A318" t="n">
        <v>948</v>
      </c>
      <c r="B318" t="n">
        <v>31.6</v>
      </c>
      <c r="C318" t="inlineStr">
        <is>
          <t>2</t>
        </is>
      </c>
      <c r="D318" t="n">
        <v>0.02</v>
      </c>
      <c r="E318">
        <f>MEDIAN(D298:D338)</f>
        <v/>
      </c>
      <c r="F318">
        <f>E298</f>
        <v/>
      </c>
      <c r="G318">
        <f>F318-E318</f>
        <v/>
      </c>
      <c r="H318">
        <f>IF(OR(NOT(ISNUMBER(D318)),ABS(D318-E318)&gt;$O$3,AND($O$11=1,B318&lt;$O$12)),1,0)</f>
        <v/>
      </c>
      <c r="I318">
        <f>IF(H318=1,NA(),D318)</f>
        <v/>
      </c>
      <c r="J318">
        <f>IF(AND(ISNUMBER(D318),D318&gt;=$O$4,OR($O$11=0,B318&gt;=$O$12)),1,0)</f>
        <v/>
      </c>
      <c r="K318">
        <f>B318-$O$14</f>
        <v/>
      </c>
    </row>
    <row r="319">
      <c r="A319" t="n">
        <v>951</v>
      </c>
      <c r="B319" t="n">
        <v>31.7</v>
      </c>
      <c r="C319" t="inlineStr">
        <is>
          <t>302</t>
        </is>
      </c>
      <c r="D319" t="n">
        <v>3.02</v>
      </c>
      <c r="E319">
        <f>MEDIAN(D299:D339)</f>
        <v/>
      </c>
      <c r="F319">
        <f>E299</f>
        <v/>
      </c>
      <c r="G319">
        <f>F319-E319</f>
        <v/>
      </c>
      <c r="H319">
        <f>IF(OR(NOT(ISNUMBER(D319)),ABS(D319-E319)&gt;$O$3,AND($O$11=1,B319&lt;$O$12)),1,0)</f>
        <v/>
      </c>
      <c r="I319">
        <f>IF(H319=1,NA(),D319)</f>
        <v/>
      </c>
      <c r="J319">
        <f>IF(AND(ISNUMBER(D319),D319&gt;=$O$4,OR($O$11=0,B319&gt;=$O$12)),1,0)</f>
        <v/>
      </c>
      <c r="K319">
        <f>B319-$O$14</f>
        <v/>
      </c>
    </row>
    <row r="320">
      <c r="A320" t="n">
        <v>954</v>
      </c>
      <c r="B320" t="n">
        <v>31.8</v>
      </c>
      <c r="C320" t="inlineStr">
        <is>
          <t>302</t>
        </is>
      </c>
      <c r="D320" t="n">
        <v>3.02</v>
      </c>
      <c r="E320">
        <f>MEDIAN(D300:D340)</f>
        <v/>
      </c>
      <c r="F320">
        <f>E300</f>
        <v/>
      </c>
      <c r="G320">
        <f>F320-E320</f>
        <v/>
      </c>
      <c r="H320">
        <f>IF(OR(NOT(ISNUMBER(D320)),ABS(D320-E320)&gt;$O$3,AND($O$11=1,B320&lt;$O$12)),1,0)</f>
        <v/>
      </c>
      <c r="I320">
        <f>IF(H320=1,NA(),D320)</f>
        <v/>
      </c>
      <c r="J320">
        <f>IF(AND(ISNUMBER(D320),D320&gt;=$O$4,OR($O$11=0,B320&gt;=$O$12)),1,0)</f>
        <v/>
      </c>
      <c r="K320">
        <f>B320-$O$14</f>
        <v/>
      </c>
    </row>
    <row r="321">
      <c r="A321" t="n">
        <v>957</v>
      </c>
      <c r="B321" t="n">
        <v>31.9</v>
      </c>
      <c r="C321" t="inlineStr">
        <is>
          <t>2</t>
        </is>
      </c>
      <c r="D321" t="n">
        <v>0.02</v>
      </c>
      <c r="E321">
        <f>MEDIAN(D301:D341)</f>
        <v/>
      </c>
      <c r="F321">
        <f>E301</f>
        <v/>
      </c>
      <c r="G321">
        <f>F321-E321</f>
        <v/>
      </c>
      <c r="H321">
        <f>IF(OR(NOT(ISNUMBER(D321)),ABS(D321-E321)&gt;$O$3,AND($O$11=1,B321&lt;$O$12)),1,0)</f>
        <v/>
      </c>
      <c r="I321">
        <f>IF(H321=1,NA(),D321)</f>
        <v/>
      </c>
      <c r="J321">
        <f>IF(AND(ISNUMBER(D321),D321&gt;=$O$4,OR($O$11=0,B321&gt;=$O$12)),1,0)</f>
        <v/>
      </c>
      <c r="K321">
        <f>B321-$O$14</f>
        <v/>
      </c>
    </row>
    <row r="322">
      <c r="A322" t="n">
        <v>960</v>
      </c>
      <c r="B322" t="n">
        <v>32</v>
      </c>
      <c r="C322" t="inlineStr">
        <is>
          <t>302</t>
        </is>
      </c>
      <c r="D322" t="n">
        <v>3.02</v>
      </c>
      <c r="E322">
        <f>MEDIAN(D302:D342)</f>
        <v/>
      </c>
      <c r="F322">
        <f>E302</f>
        <v/>
      </c>
      <c r="G322">
        <f>F322-E322</f>
        <v/>
      </c>
      <c r="H322">
        <f>IF(OR(NOT(ISNUMBER(D322)),ABS(D322-E322)&gt;$O$3,AND($O$11=1,B322&lt;$O$12)),1,0)</f>
        <v/>
      </c>
      <c r="I322">
        <f>IF(H322=1,NA(),D322)</f>
        <v/>
      </c>
      <c r="J322">
        <f>IF(AND(ISNUMBER(D322),D322&gt;=$O$4,OR($O$11=0,B322&gt;=$O$12)),1,0)</f>
        <v/>
      </c>
      <c r="K322">
        <f>B322-$O$14</f>
        <v/>
      </c>
    </row>
    <row r="323">
      <c r="A323" t="n">
        <v>963</v>
      </c>
      <c r="B323" t="n">
        <v>32.1</v>
      </c>
      <c r="C323" t="inlineStr">
        <is>
          <t>382</t>
        </is>
      </c>
      <c r="D323" t="n">
        <v>3.82</v>
      </c>
      <c r="E323">
        <f>MEDIAN(D303:D343)</f>
        <v/>
      </c>
      <c r="F323">
        <f>E303</f>
        <v/>
      </c>
      <c r="G323">
        <f>F323-E323</f>
        <v/>
      </c>
      <c r="H323">
        <f>IF(OR(NOT(ISNUMBER(D323)),ABS(D323-E323)&gt;$O$3,AND($O$11=1,B323&lt;$O$12)),1,0)</f>
        <v/>
      </c>
      <c r="I323">
        <f>IF(H323=1,NA(),D323)</f>
        <v/>
      </c>
      <c r="J323">
        <f>IF(AND(ISNUMBER(D323),D323&gt;=$O$4,OR($O$11=0,B323&gt;=$O$12)),1,0)</f>
        <v/>
      </c>
      <c r="K323">
        <f>B323-$O$14</f>
        <v/>
      </c>
    </row>
    <row r="324">
      <c r="A324" t="n">
        <v>966</v>
      </c>
      <c r="B324" t="n">
        <v>32.2</v>
      </c>
      <c r="C324" t="inlineStr">
        <is>
          <t>302</t>
        </is>
      </c>
      <c r="D324" t="n">
        <v>3.02</v>
      </c>
      <c r="E324">
        <f>MEDIAN(D304:D344)</f>
        <v/>
      </c>
      <c r="F324">
        <f>E304</f>
        <v/>
      </c>
      <c r="G324">
        <f>F324-E324</f>
        <v/>
      </c>
      <c r="H324">
        <f>IF(OR(NOT(ISNUMBER(D324)),ABS(D324-E324)&gt;$O$3,AND($O$11=1,B324&lt;$O$12)),1,0)</f>
        <v/>
      </c>
      <c r="I324">
        <f>IF(H324=1,NA(),D324)</f>
        <v/>
      </c>
      <c r="J324">
        <f>IF(AND(ISNUMBER(D324),D324&gt;=$O$4,OR($O$11=0,B324&gt;=$O$12)),1,0)</f>
        <v/>
      </c>
      <c r="K324">
        <f>B324-$O$14</f>
        <v/>
      </c>
    </row>
    <row r="325">
      <c r="A325" t="n">
        <v>969</v>
      </c>
      <c r="B325" t="n">
        <v>32.3</v>
      </c>
      <c r="C325" t="inlineStr">
        <is>
          <t>382</t>
        </is>
      </c>
      <c r="D325" t="n">
        <v>3.82</v>
      </c>
      <c r="E325">
        <f>MEDIAN(D305:D345)</f>
        <v/>
      </c>
      <c r="F325">
        <f>E305</f>
        <v/>
      </c>
      <c r="G325">
        <f>F325-E325</f>
        <v/>
      </c>
      <c r="H325">
        <f>IF(OR(NOT(ISNUMBER(D325)),ABS(D325-E325)&gt;$O$3,AND($O$11=1,B325&lt;$O$12)),1,0)</f>
        <v/>
      </c>
      <c r="I325">
        <f>IF(H325=1,NA(),D325)</f>
        <v/>
      </c>
      <c r="J325">
        <f>IF(AND(ISNUMBER(D325),D325&gt;=$O$4,OR($O$11=0,B325&gt;=$O$12)),1,0)</f>
        <v/>
      </c>
      <c r="K325">
        <f>B325-$O$14</f>
        <v/>
      </c>
    </row>
    <row r="326">
      <c r="A326" t="n">
        <v>972</v>
      </c>
      <c r="B326" t="n">
        <v>32.4</v>
      </c>
      <c r="C326" t="inlineStr">
        <is>
          <t>302</t>
        </is>
      </c>
      <c r="D326" t="n">
        <v>3.02</v>
      </c>
      <c r="E326">
        <f>MEDIAN(D306:D346)</f>
        <v/>
      </c>
      <c r="F326">
        <f>E306</f>
        <v/>
      </c>
      <c r="G326">
        <f>F326-E326</f>
        <v/>
      </c>
      <c r="H326">
        <f>IF(OR(NOT(ISNUMBER(D326)),ABS(D326-E326)&gt;$O$3,AND($O$11=1,B326&lt;$O$12)),1,0)</f>
        <v/>
      </c>
      <c r="I326">
        <f>IF(H326=1,NA(),D326)</f>
        <v/>
      </c>
      <c r="J326">
        <f>IF(AND(ISNUMBER(D326),D326&gt;=$O$4,OR($O$11=0,B326&gt;=$O$12)),1,0)</f>
        <v/>
      </c>
      <c r="K326">
        <f>B326-$O$14</f>
        <v/>
      </c>
    </row>
    <row r="327">
      <c r="A327" t="n">
        <v>975</v>
      </c>
      <c r="B327" t="n">
        <v>32.5</v>
      </c>
      <c r="C327" t="inlineStr">
        <is>
          <t>2</t>
        </is>
      </c>
      <c r="D327" t="n">
        <v>0.02</v>
      </c>
      <c r="E327">
        <f>MEDIAN(D307:D347)</f>
        <v/>
      </c>
      <c r="F327">
        <f>E307</f>
        <v/>
      </c>
      <c r="G327">
        <f>F327-E327</f>
        <v/>
      </c>
      <c r="H327">
        <f>IF(OR(NOT(ISNUMBER(D327)),ABS(D327-E327)&gt;$O$3,AND($O$11=1,B327&lt;$O$12)),1,0)</f>
        <v/>
      </c>
      <c r="I327">
        <f>IF(H327=1,NA(),D327)</f>
        <v/>
      </c>
      <c r="J327">
        <f>IF(AND(ISNUMBER(D327),D327&gt;=$O$4,OR($O$11=0,B327&gt;=$O$12)),1,0)</f>
        <v/>
      </c>
      <c r="K327">
        <f>B327-$O$14</f>
        <v/>
      </c>
    </row>
    <row r="328">
      <c r="A328" t="n">
        <v>978</v>
      </c>
      <c r="B328" t="n">
        <v>32.6</v>
      </c>
      <c r="C328" t="inlineStr">
        <is>
          <t>302</t>
        </is>
      </c>
      <c r="D328" t="n">
        <v>3.02</v>
      </c>
      <c r="E328">
        <f>MEDIAN(D308:D348)</f>
        <v/>
      </c>
      <c r="F328">
        <f>E308</f>
        <v/>
      </c>
      <c r="G328">
        <f>F328-E328</f>
        <v/>
      </c>
      <c r="H328">
        <f>IF(OR(NOT(ISNUMBER(D328)),ABS(D328-E328)&gt;$O$3,AND($O$11=1,B328&lt;$O$12)),1,0)</f>
        <v/>
      </c>
      <c r="I328">
        <f>IF(H328=1,NA(),D328)</f>
        <v/>
      </c>
      <c r="J328">
        <f>IF(AND(ISNUMBER(D328),D328&gt;=$O$4,OR($O$11=0,B328&gt;=$O$12)),1,0)</f>
        <v/>
      </c>
      <c r="K328">
        <f>B328-$O$14</f>
        <v/>
      </c>
    </row>
    <row r="329">
      <c r="A329" t="n">
        <v>981</v>
      </c>
      <c r="B329" t="n">
        <v>32.7</v>
      </c>
      <c r="C329" t="inlineStr">
        <is>
          <t>2</t>
        </is>
      </c>
      <c r="D329" t="n">
        <v>0.02</v>
      </c>
      <c r="E329">
        <f>MEDIAN(D309:D349)</f>
        <v/>
      </c>
      <c r="F329">
        <f>E309</f>
        <v/>
      </c>
      <c r="G329">
        <f>F329-E329</f>
        <v/>
      </c>
      <c r="H329">
        <f>IF(OR(NOT(ISNUMBER(D329)),ABS(D329-E329)&gt;$O$3,AND($O$11=1,B329&lt;$O$12)),1,0)</f>
        <v/>
      </c>
      <c r="I329">
        <f>IF(H329=1,NA(),D329)</f>
        <v/>
      </c>
      <c r="J329">
        <f>IF(AND(ISNUMBER(D329),D329&gt;=$O$4,OR($O$11=0,B329&gt;=$O$12)),1,0)</f>
        <v/>
      </c>
      <c r="K329">
        <f>B329-$O$14</f>
        <v/>
      </c>
    </row>
    <row r="330">
      <c r="A330" t="n">
        <v>984</v>
      </c>
      <c r="B330" t="n">
        <v>32.8</v>
      </c>
      <c r="C330" t="inlineStr">
        <is>
          <t>302</t>
        </is>
      </c>
      <c r="D330" t="n">
        <v>3.02</v>
      </c>
      <c r="E330">
        <f>MEDIAN(D310:D350)</f>
        <v/>
      </c>
      <c r="F330">
        <f>E310</f>
        <v/>
      </c>
      <c r="G330">
        <f>F330-E330</f>
        <v/>
      </c>
      <c r="H330">
        <f>IF(OR(NOT(ISNUMBER(D330)),ABS(D330-E330)&gt;$O$3,AND($O$11=1,B330&lt;$O$12)),1,0)</f>
        <v/>
      </c>
      <c r="I330">
        <f>IF(H330=1,NA(),D330)</f>
        <v/>
      </c>
      <c r="J330">
        <f>IF(AND(ISNUMBER(D330),D330&gt;=$O$4,OR($O$11=0,B330&gt;=$O$12)),1,0)</f>
        <v/>
      </c>
      <c r="K330">
        <f>B330-$O$14</f>
        <v/>
      </c>
    </row>
    <row r="331">
      <c r="A331" t="n">
        <v>987</v>
      </c>
      <c r="B331" t="n">
        <v>32.9</v>
      </c>
      <c r="C331" t="inlineStr">
        <is>
          <t>2</t>
        </is>
      </c>
      <c r="D331" t="n">
        <v>0.02</v>
      </c>
      <c r="E331">
        <f>MEDIAN(D311:D351)</f>
        <v/>
      </c>
      <c r="F331">
        <f>E311</f>
        <v/>
      </c>
      <c r="G331">
        <f>F331-E331</f>
        <v/>
      </c>
      <c r="H331">
        <f>IF(OR(NOT(ISNUMBER(D331)),ABS(D331-E331)&gt;$O$3,AND($O$11=1,B331&lt;$O$12)),1,0)</f>
        <v/>
      </c>
      <c r="I331">
        <f>IF(H331=1,NA(),D331)</f>
        <v/>
      </c>
      <c r="J331">
        <f>IF(AND(ISNUMBER(D331),D331&gt;=$O$4,OR($O$11=0,B331&gt;=$O$12)),1,0)</f>
        <v/>
      </c>
      <c r="K331">
        <f>B331-$O$14</f>
        <v/>
      </c>
    </row>
    <row r="332">
      <c r="A332" t="n">
        <v>990</v>
      </c>
      <c r="B332" t="n">
        <v>33</v>
      </c>
      <c r="C332" t="inlineStr">
        <is>
          <t>302</t>
        </is>
      </c>
      <c r="D332" t="n">
        <v>3.02</v>
      </c>
      <c r="E332">
        <f>MEDIAN(D312:D352)</f>
        <v/>
      </c>
      <c r="F332">
        <f>E312</f>
        <v/>
      </c>
      <c r="G332">
        <f>F332-E332</f>
        <v/>
      </c>
      <c r="H332">
        <f>IF(OR(NOT(ISNUMBER(D332)),ABS(D332-E332)&gt;$O$3,AND($O$11=1,B332&lt;$O$12)),1,0)</f>
        <v/>
      </c>
      <c r="I332">
        <f>IF(H332=1,NA(),D332)</f>
        <v/>
      </c>
      <c r="J332">
        <f>IF(AND(ISNUMBER(D332),D332&gt;=$O$4,OR($O$11=0,B332&gt;=$O$12)),1,0)</f>
        <v/>
      </c>
      <c r="K332">
        <f>B332-$O$14</f>
        <v/>
      </c>
    </row>
    <row r="333">
      <c r="A333" t="n">
        <v>993</v>
      </c>
      <c r="B333" t="n">
        <v>33.1</v>
      </c>
      <c r="C333" t="inlineStr">
        <is>
          <t>362</t>
        </is>
      </c>
      <c r="D333" t="n">
        <v>3.62</v>
      </c>
      <c r="E333">
        <f>MEDIAN(D313:D353)</f>
        <v/>
      </c>
      <c r="F333">
        <f>E313</f>
        <v/>
      </c>
      <c r="G333">
        <f>F333-E333</f>
        <v/>
      </c>
      <c r="H333">
        <f>IF(OR(NOT(ISNUMBER(D333)),ABS(D333-E333)&gt;$O$3,AND($O$11=1,B333&lt;$O$12)),1,0)</f>
        <v/>
      </c>
      <c r="I333">
        <f>IF(H333=1,NA(),D333)</f>
        <v/>
      </c>
      <c r="J333">
        <f>IF(AND(ISNUMBER(D333),D333&gt;=$O$4,OR($O$11=0,B333&gt;=$O$12)),1,0)</f>
        <v/>
      </c>
      <c r="K333">
        <f>B333-$O$14</f>
        <v/>
      </c>
    </row>
    <row r="334">
      <c r="A334" t="n">
        <v>996</v>
      </c>
      <c r="B334" t="n">
        <v>33.2</v>
      </c>
      <c r="C334" t="inlineStr">
        <is>
          <t>302</t>
        </is>
      </c>
      <c r="D334" t="n">
        <v>3.02</v>
      </c>
      <c r="E334">
        <f>MEDIAN(D314:D354)</f>
        <v/>
      </c>
      <c r="F334">
        <f>E314</f>
        <v/>
      </c>
      <c r="G334">
        <f>F334-E334</f>
        <v/>
      </c>
      <c r="H334">
        <f>IF(OR(NOT(ISNUMBER(D334)),ABS(D334-E334)&gt;$O$3,AND($O$11=1,B334&lt;$O$12)),1,0)</f>
        <v/>
      </c>
      <c r="I334">
        <f>IF(H334=1,NA(),D334)</f>
        <v/>
      </c>
      <c r="J334">
        <f>IF(AND(ISNUMBER(D334),D334&gt;=$O$4,OR($O$11=0,B334&gt;=$O$12)),1,0)</f>
        <v/>
      </c>
      <c r="K334">
        <f>B334-$O$14</f>
        <v/>
      </c>
    </row>
    <row r="335">
      <c r="A335" t="n">
        <v>999</v>
      </c>
      <c r="B335" t="n">
        <v>33.3</v>
      </c>
      <c r="C335" t="inlineStr">
        <is>
          <t>382</t>
        </is>
      </c>
      <c r="D335" t="n">
        <v>3.82</v>
      </c>
      <c r="E335">
        <f>MEDIAN(D315:D355)</f>
        <v/>
      </c>
      <c r="F335">
        <f>E315</f>
        <v/>
      </c>
      <c r="G335">
        <f>F335-E335</f>
        <v/>
      </c>
      <c r="H335">
        <f>IF(OR(NOT(ISNUMBER(D335)),ABS(D335-E335)&gt;$O$3,AND($O$11=1,B335&lt;$O$12)),1,0)</f>
        <v/>
      </c>
      <c r="I335">
        <f>IF(H335=1,NA(),D335)</f>
        <v/>
      </c>
      <c r="J335">
        <f>IF(AND(ISNUMBER(D335),D335&gt;=$O$4,OR($O$11=0,B335&gt;=$O$12)),1,0)</f>
        <v/>
      </c>
      <c r="K335">
        <f>B335-$O$14</f>
        <v/>
      </c>
    </row>
    <row r="336">
      <c r="A336" t="n">
        <v>1002</v>
      </c>
      <c r="B336" t="n">
        <v>33.4</v>
      </c>
      <c r="C336" t="inlineStr">
        <is>
          <t>302</t>
        </is>
      </c>
      <c r="D336" t="n">
        <v>3.02</v>
      </c>
      <c r="E336">
        <f>MEDIAN(D316:D356)</f>
        <v/>
      </c>
      <c r="F336">
        <f>E316</f>
        <v/>
      </c>
      <c r="G336">
        <f>F336-E336</f>
        <v/>
      </c>
      <c r="H336">
        <f>IF(OR(NOT(ISNUMBER(D336)),ABS(D336-E336)&gt;$O$3,AND($O$11=1,B336&lt;$O$12)),1,0)</f>
        <v/>
      </c>
      <c r="I336">
        <f>IF(H336=1,NA(),D336)</f>
        <v/>
      </c>
      <c r="J336">
        <f>IF(AND(ISNUMBER(D336),D336&gt;=$O$4,OR($O$11=0,B336&gt;=$O$12)),1,0)</f>
        <v/>
      </c>
      <c r="K336">
        <f>B336-$O$14</f>
        <v/>
      </c>
    </row>
    <row r="337">
      <c r="A337" t="n">
        <v>1005</v>
      </c>
      <c r="B337" t="n">
        <v>33.5</v>
      </c>
      <c r="C337" t="inlineStr">
        <is>
          <t>2</t>
        </is>
      </c>
      <c r="D337" t="n">
        <v>0.02</v>
      </c>
      <c r="E337">
        <f>MEDIAN(D317:D357)</f>
        <v/>
      </c>
      <c r="F337">
        <f>E317</f>
        <v/>
      </c>
      <c r="G337">
        <f>F337-E337</f>
        <v/>
      </c>
      <c r="H337">
        <f>IF(OR(NOT(ISNUMBER(D337)),ABS(D337-E337)&gt;$O$3,AND($O$11=1,B337&lt;$O$12)),1,0)</f>
        <v/>
      </c>
      <c r="I337">
        <f>IF(H337=1,NA(),D337)</f>
        <v/>
      </c>
      <c r="J337">
        <f>IF(AND(ISNUMBER(D337),D337&gt;=$O$4,OR($O$11=0,B337&gt;=$O$12)),1,0)</f>
        <v/>
      </c>
      <c r="K337">
        <f>B337-$O$14</f>
        <v/>
      </c>
    </row>
    <row r="338">
      <c r="A338" t="n">
        <v>1008</v>
      </c>
      <c r="B338" t="n">
        <v>33.6</v>
      </c>
      <c r="C338" t="inlineStr">
        <is>
          <t>302</t>
        </is>
      </c>
      <c r="D338" t="n">
        <v>3.02</v>
      </c>
      <c r="E338">
        <f>MEDIAN(D318:D358)</f>
        <v/>
      </c>
      <c r="F338">
        <f>E318</f>
        <v/>
      </c>
      <c r="G338">
        <f>F338-E338</f>
        <v/>
      </c>
      <c r="H338">
        <f>IF(OR(NOT(ISNUMBER(D338)),ABS(D338-E338)&gt;$O$3,AND($O$11=1,B338&lt;$O$12)),1,0)</f>
        <v/>
      </c>
      <c r="I338">
        <f>IF(H338=1,NA(),D338)</f>
        <v/>
      </c>
      <c r="J338">
        <f>IF(AND(ISNUMBER(D338),D338&gt;=$O$4,OR($O$11=0,B338&gt;=$O$12)),1,0)</f>
        <v/>
      </c>
      <c r="K338">
        <f>B338-$O$14</f>
        <v/>
      </c>
    </row>
    <row r="339">
      <c r="A339" t="n">
        <v>1011</v>
      </c>
      <c r="B339" t="n">
        <v>33.7</v>
      </c>
      <c r="C339" t="inlineStr">
        <is>
          <t>382</t>
        </is>
      </c>
      <c r="D339" t="n">
        <v>3.82</v>
      </c>
      <c r="E339">
        <f>MEDIAN(D319:D359)</f>
        <v/>
      </c>
      <c r="F339">
        <f>E319</f>
        <v/>
      </c>
      <c r="G339">
        <f>F339-E339</f>
        <v/>
      </c>
      <c r="H339">
        <f>IF(OR(NOT(ISNUMBER(D339)),ABS(D339-E339)&gt;$O$3,AND($O$11=1,B339&lt;$O$12)),1,0)</f>
        <v/>
      </c>
      <c r="I339">
        <f>IF(H339=1,NA(),D339)</f>
        <v/>
      </c>
      <c r="J339">
        <f>IF(AND(ISNUMBER(D339),D339&gt;=$O$4,OR($O$11=0,B339&gt;=$O$12)),1,0)</f>
        <v/>
      </c>
      <c r="K339">
        <f>B339-$O$14</f>
        <v/>
      </c>
    </row>
    <row r="340">
      <c r="A340" t="n">
        <v>1014</v>
      </c>
      <c r="B340" t="n">
        <v>33.8</v>
      </c>
      <c r="C340" t="inlineStr">
        <is>
          <t>302</t>
        </is>
      </c>
      <c r="D340" t="n">
        <v>3.02</v>
      </c>
      <c r="E340">
        <f>MEDIAN(D320:D360)</f>
        <v/>
      </c>
      <c r="F340">
        <f>E320</f>
        <v/>
      </c>
      <c r="G340">
        <f>F340-E340</f>
        <v/>
      </c>
      <c r="H340">
        <f>IF(OR(NOT(ISNUMBER(D340)),ABS(D340-E340)&gt;$O$3,AND($O$11=1,B340&lt;$O$12)),1,0)</f>
        <v/>
      </c>
      <c r="I340">
        <f>IF(H340=1,NA(),D340)</f>
        <v/>
      </c>
      <c r="J340">
        <f>IF(AND(ISNUMBER(D340),D340&gt;=$O$4,OR($O$11=0,B340&gt;=$O$12)),1,0)</f>
        <v/>
      </c>
      <c r="K340">
        <f>B340-$O$14</f>
        <v/>
      </c>
    </row>
    <row r="341">
      <c r="A341" t="n">
        <v>1017</v>
      </c>
      <c r="B341" t="n">
        <v>33.9</v>
      </c>
      <c r="C341" t="inlineStr">
        <is>
          <t>362</t>
        </is>
      </c>
      <c r="D341" t="n">
        <v>3.62</v>
      </c>
      <c r="E341">
        <f>MEDIAN(D321:D361)</f>
        <v/>
      </c>
      <c r="F341">
        <f>E321</f>
        <v/>
      </c>
      <c r="G341">
        <f>F341-E341</f>
        <v/>
      </c>
      <c r="H341">
        <f>IF(OR(NOT(ISNUMBER(D341)),ABS(D341-E341)&gt;$O$3,AND($O$11=1,B341&lt;$O$12)),1,0)</f>
        <v/>
      </c>
      <c r="I341">
        <f>IF(H341=1,NA(),D341)</f>
        <v/>
      </c>
      <c r="J341">
        <f>IF(AND(ISNUMBER(D341),D341&gt;=$O$4,OR($O$11=0,B341&gt;=$O$12)),1,0)</f>
        <v/>
      </c>
      <c r="K341">
        <f>B341-$O$14</f>
        <v/>
      </c>
    </row>
    <row r="342">
      <c r="A342" t="n">
        <v>1020</v>
      </c>
      <c r="B342" t="n">
        <v>34</v>
      </c>
      <c r="C342" t="inlineStr">
        <is>
          <t>302</t>
        </is>
      </c>
      <c r="D342" t="n">
        <v>3.02</v>
      </c>
      <c r="E342">
        <f>MEDIAN(D322:D362)</f>
        <v/>
      </c>
      <c r="F342">
        <f>E322</f>
        <v/>
      </c>
      <c r="G342">
        <f>F342-E342</f>
        <v/>
      </c>
      <c r="H342">
        <f>IF(OR(NOT(ISNUMBER(D342)),ABS(D342-E342)&gt;$O$3,AND($O$11=1,B342&lt;$O$12)),1,0)</f>
        <v/>
      </c>
      <c r="I342">
        <f>IF(H342=1,NA(),D342)</f>
        <v/>
      </c>
      <c r="J342">
        <f>IF(AND(ISNUMBER(D342),D342&gt;=$O$4,OR($O$11=0,B342&gt;=$O$12)),1,0)</f>
        <v/>
      </c>
      <c r="K342">
        <f>B342-$O$14</f>
        <v/>
      </c>
    </row>
    <row r="343">
      <c r="A343" t="n">
        <v>1023</v>
      </c>
      <c r="B343" t="n">
        <v>34.1</v>
      </c>
      <c r="C343" t="inlineStr">
        <is>
          <t>2</t>
        </is>
      </c>
      <c r="D343" t="n">
        <v>0.02</v>
      </c>
      <c r="E343">
        <f>MEDIAN(D323:D363)</f>
        <v/>
      </c>
      <c r="F343">
        <f>E323</f>
        <v/>
      </c>
      <c r="G343">
        <f>F343-E343</f>
        <v/>
      </c>
      <c r="H343">
        <f>IF(OR(NOT(ISNUMBER(D343)),ABS(D343-E343)&gt;$O$3,AND($O$11=1,B343&lt;$O$12)),1,0)</f>
        <v/>
      </c>
      <c r="I343">
        <f>IF(H343=1,NA(),D343)</f>
        <v/>
      </c>
      <c r="J343">
        <f>IF(AND(ISNUMBER(D343),D343&gt;=$O$4,OR($O$11=0,B343&gt;=$O$12)),1,0)</f>
        <v/>
      </c>
      <c r="K343">
        <f>B343-$O$14</f>
        <v/>
      </c>
    </row>
    <row r="344">
      <c r="A344" t="n">
        <v>1026</v>
      </c>
      <c r="B344" t="n">
        <v>34.2</v>
      </c>
      <c r="C344" t="inlineStr">
        <is>
          <t>302</t>
        </is>
      </c>
      <c r="D344" t="n">
        <v>3.02</v>
      </c>
      <c r="E344">
        <f>MEDIAN(D324:D364)</f>
        <v/>
      </c>
      <c r="F344">
        <f>E324</f>
        <v/>
      </c>
      <c r="G344">
        <f>F344-E344</f>
        <v/>
      </c>
      <c r="H344">
        <f>IF(OR(NOT(ISNUMBER(D344)),ABS(D344-E344)&gt;$O$3,AND($O$11=1,B344&lt;$O$12)),1,0)</f>
        <v/>
      </c>
      <c r="I344">
        <f>IF(H344=1,NA(),D344)</f>
        <v/>
      </c>
      <c r="J344">
        <f>IF(AND(ISNUMBER(D344),D344&gt;=$O$4,OR($O$11=0,B344&gt;=$O$12)),1,0)</f>
        <v/>
      </c>
      <c r="K344">
        <f>B344-$O$14</f>
        <v/>
      </c>
    </row>
    <row r="345">
      <c r="A345" t="n">
        <v>1029</v>
      </c>
      <c r="B345" t="n">
        <v>34.3</v>
      </c>
      <c r="C345" t="inlineStr">
        <is>
          <t>382</t>
        </is>
      </c>
      <c r="D345" t="n">
        <v>3.82</v>
      </c>
      <c r="E345">
        <f>MEDIAN(D325:D365)</f>
        <v/>
      </c>
      <c r="F345">
        <f>E325</f>
        <v/>
      </c>
      <c r="G345">
        <f>F345-E345</f>
        <v/>
      </c>
      <c r="H345">
        <f>IF(OR(NOT(ISNUMBER(D345)),ABS(D345-E345)&gt;$O$3,AND($O$11=1,B345&lt;$O$12)),1,0)</f>
        <v/>
      </c>
      <c r="I345">
        <f>IF(H345=1,NA(),D345)</f>
        <v/>
      </c>
      <c r="J345">
        <f>IF(AND(ISNUMBER(D345),D345&gt;=$O$4,OR($O$11=0,B345&gt;=$O$12)),1,0)</f>
        <v/>
      </c>
      <c r="K345">
        <f>B345-$O$14</f>
        <v/>
      </c>
    </row>
    <row r="346">
      <c r="A346" t="n">
        <v>1032</v>
      </c>
      <c r="B346" t="n">
        <v>34.4</v>
      </c>
      <c r="C346" t="inlineStr">
        <is>
          <t>302</t>
        </is>
      </c>
      <c r="D346" t="n">
        <v>3.02</v>
      </c>
      <c r="E346">
        <f>MEDIAN(D326:D366)</f>
        <v/>
      </c>
      <c r="F346">
        <f>E326</f>
        <v/>
      </c>
      <c r="G346">
        <f>F346-E346</f>
        <v/>
      </c>
      <c r="H346">
        <f>IF(OR(NOT(ISNUMBER(D346)),ABS(D346-E346)&gt;$O$3,AND($O$11=1,B346&lt;$O$12)),1,0)</f>
        <v/>
      </c>
      <c r="I346">
        <f>IF(H346=1,NA(),D346)</f>
        <v/>
      </c>
      <c r="J346">
        <f>IF(AND(ISNUMBER(D346),D346&gt;=$O$4,OR($O$11=0,B346&gt;=$O$12)),1,0)</f>
        <v/>
      </c>
      <c r="K346">
        <f>B346-$O$14</f>
        <v/>
      </c>
    </row>
    <row r="347">
      <c r="A347" t="n">
        <v>1035</v>
      </c>
      <c r="B347" t="n">
        <v>34.5</v>
      </c>
      <c r="C347" t="inlineStr">
        <is>
          <t>362</t>
        </is>
      </c>
      <c r="D347" t="n">
        <v>3.62</v>
      </c>
      <c r="E347">
        <f>MEDIAN(D327:D367)</f>
        <v/>
      </c>
      <c r="F347">
        <f>E327</f>
        <v/>
      </c>
      <c r="G347">
        <f>F347-E347</f>
        <v/>
      </c>
      <c r="H347">
        <f>IF(OR(NOT(ISNUMBER(D347)),ABS(D347-E347)&gt;$O$3,AND($O$11=1,B347&lt;$O$12)),1,0)</f>
        <v/>
      </c>
      <c r="I347">
        <f>IF(H347=1,NA(),D347)</f>
        <v/>
      </c>
      <c r="J347">
        <f>IF(AND(ISNUMBER(D347),D347&gt;=$O$4,OR($O$11=0,B347&gt;=$O$12)),1,0)</f>
        <v/>
      </c>
      <c r="K347">
        <f>B347-$O$14</f>
        <v/>
      </c>
    </row>
    <row r="348">
      <c r="A348" t="n">
        <v>1038</v>
      </c>
      <c r="B348" t="n">
        <v>34.6</v>
      </c>
      <c r="C348" t="inlineStr">
        <is>
          <t>302</t>
        </is>
      </c>
      <c r="D348" t="n">
        <v>3.02</v>
      </c>
      <c r="E348">
        <f>MEDIAN(D328:D368)</f>
        <v/>
      </c>
      <c r="F348">
        <f>E328</f>
        <v/>
      </c>
      <c r="G348">
        <f>F348-E348</f>
        <v/>
      </c>
      <c r="H348">
        <f>IF(OR(NOT(ISNUMBER(D348)),ABS(D348-E348)&gt;$O$3,AND($O$11=1,B348&lt;$O$12)),1,0)</f>
        <v/>
      </c>
      <c r="I348">
        <f>IF(H348=1,NA(),D348)</f>
        <v/>
      </c>
      <c r="J348">
        <f>IF(AND(ISNUMBER(D348),D348&gt;=$O$4,OR($O$11=0,B348&gt;=$O$12)),1,0)</f>
        <v/>
      </c>
      <c r="K348">
        <f>B348-$O$14</f>
        <v/>
      </c>
    </row>
    <row r="349">
      <c r="A349" t="n">
        <v>1041</v>
      </c>
      <c r="B349" t="n">
        <v>34.7</v>
      </c>
      <c r="C349" t="inlineStr">
        <is>
          <t>382</t>
        </is>
      </c>
      <c r="D349" t="n">
        <v>3.82</v>
      </c>
      <c r="E349">
        <f>MEDIAN(D329:D369)</f>
        <v/>
      </c>
      <c r="F349">
        <f>E329</f>
        <v/>
      </c>
      <c r="G349">
        <f>F349-E349</f>
        <v/>
      </c>
      <c r="H349">
        <f>IF(OR(NOT(ISNUMBER(D349)),ABS(D349-E349)&gt;$O$3,AND($O$11=1,B349&lt;$O$12)),1,0)</f>
        <v/>
      </c>
      <c r="I349">
        <f>IF(H349=1,NA(),D349)</f>
        <v/>
      </c>
      <c r="J349">
        <f>IF(AND(ISNUMBER(D349),D349&gt;=$O$4,OR($O$11=0,B349&gt;=$O$12)),1,0)</f>
        <v/>
      </c>
      <c r="K349">
        <f>B349-$O$14</f>
        <v/>
      </c>
    </row>
    <row r="350">
      <c r="A350" t="n">
        <v>1044</v>
      </c>
      <c r="B350" t="n">
        <v>34.8</v>
      </c>
      <c r="C350" t="inlineStr">
        <is>
          <t>3?2</t>
        </is>
      </c>
      <c r="E350">
        <f>MEDIAN(D330:D370)</f>
        <v/>
      </c>
      <c r="F350">
        <f>E330</f>
        <v/>
      </c>
      <c r="G350">
        <f>F350-E350</f>
        <v/>
      </c>
      <c r="H350">
        <f>IF(OR(NOT(ISNUMBER(D350)),ABS(D350-E350)&gt;$O$3,AND($O$11=1,B350&lt;$O$12)),1,0)</f>
        <v/>
      </c>
      <c r="I350">
        <f>IF(H350=1,NA(),D350)</f>
        <v/>
      </c>
      <c r="J350">
        <f>IF(AND(ISNUMBER(D350),D350&gt;=$O$4,OR($O$11=0,B350&gt;=$O$12)),1,0)</f>
        <v/>
      </c>
      <c r="K350">
        <f>B350-$O$14</f>
        <v/>
      </c>
    </row>
    <row r="351">
      <c r="A351" t="n">
        <v>1047</v>
      </c>
      <c r="B351" t="n">
        <v>34.9</v>
      </c>
      <c r="C351" t="inlineStr">
        <is>
          <t>382</t>
        </is>
      </c>
      <c r="D351" t="n">
        <v>3.82</v>
      </c>
      <c r="E351">
        <f>MEDIAN(D331:D371)</f>
        <v/>
      </c>
      <c r="F351">
        <f>E331</f>
        <v/>
      </c>
      <c r="G351">
        <f>F351-E351</f>
        <v/>
      </c>
      <c r="H351">
        <f>IF(OR(NOT(ISNUMBER(D351)),ABS(D351-E351)&gt;$O$3,AND($O$11=1,B351&lt;$O$12)),1,0)</f>
        <v/>
      </c>
      <c r="I351">
        <f>IF(H351=1,NA(),D351)</f>
        <v/>
      </c>
      <c r="J351">
        <f>IF(AND(ISNUMBER(D351),D351&gt;=$O$4,OR($O$11=0,B351&gt;=$O$12)),1,0)</f>
        <v/>
      </c>
      <c r="K351">
        <f>B351-$O$14</f>
        <v/>
      </c>
    </row>
    <row r="352">
      <c r="A352" t="n">
        <v>1050</v>
      </c>
      <c r="B352" t="n">
        <v>35</v>
      </c>
      <c r="C352" t="inlineStr">
        <is>
          <t>3?2</t>
        </is>
      </c>
      <c r="E352">
        <f>MEDIAN(D332:D372)</f>
        <v/>
      </c>
      <c r="F352">
        <f>E332</f>
        <v/>
      </c>
      <c r="G352">
        <f>F352-E352</f>
        <v/>
      </c>
      <c r="H352">
        <f>IF(OR(NOT(ISNUMBER(D352)),ABS(D352-E352)&gt;$O$3,AND($O$11=1,B352&lt;$O$12)),1,0)</f>
        <v/>
      </c>
      <c r="I352">
        <f>IF(H352=1,NA(),D352)</f>
        <v/>
      </c>
      <c r="J352">
        <f>IF(AND(ISNUMBER(D352),D352&gt;=$O$4,OR($O$11=0,B352&gt;=$O$12)),1,0)</f>
        <v/>
      </c>
      <c r="K352">
        <f>B352-$O$14</f>
        <v/>
      </c>
    </row>
    <row r="353">
      <c r="A353" t="n">
        <v>1053</v>
      </c>
      <c r="B353" t="n">
        <v>35.1</v>
      </c>
      <c r="C353" t="inlineStr">
        <is>
          <t>2</t>
        </is>
      </c>
      <c r="D353" t="n">
        <v>0.02</v>
      </c>
      <c r="E353">
        <f>MEDIAN(D333:D373)</f>
        <v/>
      </c>
      <c r="F353">
        <f>E333</f>
        <v/>
      </c>
      <c r="G353">
        <f>F353-E353</f>
        <v/>
      </c>
      <c r="H353">
        <f>IF(OR(NOT(ISNUMBER(D353)),ABS(D353-E353)&gt;$O$3,AND($O$11=1,B353&lt;$O$12)),1,0)</f>
        <v/>
      </c>
      <c r="I353">
        <f>IF(H353=1,NA(),D353)</f>
        <v/>
      </c>
      <c r="J353">
        <f>IF(AND(ISNUMBER(D353),D353&gt;=$O$4,OR($O$11=0,B353&gt;=$O$12)),1,0)</f>
        <v/>
      </c>
      <c r="K353">
        <f>B353-$O$14</f>
        <v/>
      </c>
    </row>
    <row r="354">
      <c r="A354" t="n">
        <v>1056</v>
      </c>
      <c r="B354" t="n">
        <v>35.2</v>
      </c>
      <c r="C354" t="inlineStr">
        <is>
          <t>302</t>
        </is>
      </c>
      <c r="D354" t="n">
        <v>3.02</v>
      </c>
      <c r="E354">
        <f>MEDIAN(D334:D374)</f>
        <v/>
      </c>
      <c r="F354">
        <f>E334</f>
        <v/>
      </c>
      <c r="G354">
        <f>F354-E354</f>
        <v/>
      </c>
      <c r="H354">
        <f>IF(OR(NOT(ISNUMBER(D354)),ABS(D354-E354)&gt;$O$3,AND($O$11=1,B354&lt;$O$12)),1,0)</f>
        <v/>
      </c>
      <c r="I354">
        <f>IF(H354=1,NA(),D354)</f>
        <v/>
      </c>
      <c r="J354">
        <f>IF(AND(ISNUMBER(D354),D354&gt;=$O$4,OR($O$11=0,B354&gt;=$O$12)),1,0)</f>
        <v/>
      </c>
      <c r="K354">
        <f>B354-$O$14</f>
        <v/>
      </c>
    </row>
    <row r="355">
      <c r="A355" t="n">
        <v>1059</v>
      </c>
      <c r="B355" t="n">
        <v>35.3</v>
      </c>
      <c r="C355" t="inlineStr">
        <is>
          <t>2</t>
        </is>
      </c>
      <c r="D355" t="n">
        <v>0.02</v>
      </c>
      <c r="E355">
        <f>MEDIAN(D335:D375)</f>
        <v/>
      </c>
      <c r="F355">
        <f>E335</f>
        <v/>
      </c>
      <c r="G355">
        <f>F355-E355</f>
        <v/>
      </c>
      <c r="H355">
        <f>IF(OR(NOT(ISNUMBER(D355)),ABS(D355-E355)&gt;$O$3,AND($O$11=1,B355&lt;$O$12)),1,0)</f>
        <v/>
      </c>
      <c r="I355">
        <f>IF(H355=1,NA(),D355)</f>
        <v/>
      </c>
      <c r="J355">
        <f>IF(AND(ISNUMBER(D355),D355&gt;=$O$4,OR($O$11=0,B355&gt;=$O$12)),1,0)</f>
        <v/>
      </c>
      <c r="K355">
        <f>B355-$O$14</f>
        <v/>
      </c>
    </row>
    <row r="356">
      <c r="A356" t="n">
        <v>1062</v>
      </c>
      <c r="B356" t="n">
        <v>35.4</v>
      </c>
      <c r="C356" t="inlineStr">
        <is>
          <t>302</t>
        </is>
      </c>
      <c r="D356" t="n">
        <v>3.02</v>
      </c>
      <c r="E356">
        <f>MEDIAN(D336:D376)</f>
        <v/>
      </c>
      <c r="F356">
        <f>E336</f>
        <v/>
      </c>
      <c r="G356">
        <f>F356-E356</f>
        <v/>
      </c>
      <c r="H356">
        <f>IF(OR(NOT(ISNUMBER(D356)),ABS(D356-E356)&gt;$O$3,AND($O$11=1,B356&lt;$O$12)),1,0)</f>
        <v/>
      </c>
      <c r="I356">
        <f>IF(H356=1,NA(),D356)</f>
        <v/>
      </c>
      <c r="J356">
        <f>IF(AND(ISNUMBER(D356),D356&gt;=$O$4,OR($O$11=0,B356&gt;=$O$12)),1,0)</f>
        <v/>
      </c>
      <c r="K356">
        <f>B356-$O$14</f>
        <v/>
      </c>
    </row>
    <row r="357">
      <c r="A357" t="n">
        <v>1065</v>
      </c>
      <c r="B357" t="n">
        <v>35.5</v>
      </c>
      <c r="C357" t="inlineStr">
        <is>
          <t>382</t>
        </is>
      </c>
      <c r="D357" t="n">
        <v>3.82</v>
      </c>
      <c r="E357">
        <f>MEDIAN(D337:D377)</f>
        <v/>
      </c>
      <c r="F357">
        <f>E337</f>
        <v/>
      </c>
      <c r="G357">
        <f>F357-E357</f>
        <v/>
      </c>
      <c r="H357">
        <f>IF(OR(NOT(ISNUMBER(D357)),ABS(D357-E357)&gt;$O$3,AND($O$11=1,B357&lt;$O$12)),1,0)</f>
        <v/>
      </c>
      <c r="I357">
        <f>IF(H357=1,NA(),D357)</f>
        <v/>
      </c>
      <c r="J357">
        <f>IF(AND(ISNUMBER(D357),D357&gt;=$O$4,OR($O$11=0,B357&gt;=$O$12)),1,0)</f>
        <v/>
      </c>
      <c r="K357">
        <f>B357-$O$14</f>
        <v/>
      </c>
    </row>
    <row r="358">
      <c r="A358" t="n">
        <v>1068</v>
      </c>
      <c r="B358" t="n">
        <v>35.6</v>
      </c>
      <c r="C358" t="inlineStr">
        <is>
          <t>302</t>
        </is>
      </c>
      <c r="D358" t="n">
        <v>3.02</v>
      </c>
      <c r="E358">
        <f>MEDIAN(D338:D378)</f>
        <v/>
      </c>
      <c r="F358">
        <f>E338</f>
        <v/>
      </c>
      <c r="G358">
        <f>F358-E358</f>
        <v/>
      </c>
      <c r="H358">
        <f>IF(OR(NOT(ISNUMBER(D358)),ABS(D358-E358)&gt;$O$3,AND($O$11=1,B358&lt;$O$12)),1,0)</f>
        <v/>
      </c>
      <c r="I358">
        <f>IF(H358=1,NA(),D358)</f>
        <v/>
      </c>
      <c r="J358">
        <f>IF(AND(ISNUMBER(D358),D358&gt;=$O$4,OR($O$11=0,B358&gt;=$O$12)),1,0)</f>
        <v/>
      </c>
      <c r="K358">
        <f>B358-$O$14</f>
        <v/>
      </c>
    </row>
    <row r="359">
      <c r="A359" t="n">
        <v>1071</v>
      </c>
      <c r="B359" t="n">
        <v>35.7</v>
      </c>
      <c r="C359" t="inlineStr">
        <is>
          <t>2</t>
        </is>
      </c>
      <c r="D359" t="n">
        <v>0.02</v>
      </c>
      <c r="E359">
        <f>MEDIAN(D339:D379)</f>
        <v/>
      </c>
      <c r="F359">
        <f>E339</f>
        <v/>
      </c>
      <c r="G359">
        <f>F359-E359</f>
        <v/>
      </c>
      <c r="H359">
        <f>IF(OR(NOT(ISNUMBER(D359)),ABS(D359-E359)&gt;$O$3,AND($O$11=1,B359&lt;$O$12)),1,0)</f>
        <v/>
      </c>
      <c r="I359">
        <f>IF(H359=1,NA(),D359)</f>
        <v/>
      </c>
      <c r="J359">
        <f>IF(AND(ISNUMBER(D359),D359&gt;=$O$4,OR($O$11=0,B359&gt;=$O$12)),1,0)</f>
        <v/>
      </c>
      <c r="K359">
        <f>B359-$O$14</f>
        <v/>
      </c>
    </row>
    <row r="360">
      <c r="A360" t="n">
        <v>1074</v>
      </c>
      <c r="B360" t="n">
        <v>35.8</v>
      </c>
      <c r="C360" t="inlineStr">
        <is>
          <t>302</t>
        </is>
      </c>
      <c r="D360" t="n">
        <v>3.02</v>
      </c>
      <c r="E360">
        <f>MEDIAN(D340:D380)</f>
        <v/>
      </c>
      <c r="F360">
        <f>E340</f>
        <v/>
      </c>
      <c r="G360">
        <f>F360-E360</f>
        <v/>
      </c>
      <c r="H360">
        <f>IF(OR(NOT(ISNUMBER(D360)),ABS(D360-E360)&gt;$O$3,AND($O$11=1,B360&lt;$O$12)),1,0)</f>
        <v/>
      </c>
      <c r="I360">
        <f>IF(H360=1,NA(),D360)</f>
        <v/>
      </c>
      <c r="J360">
        <f>IF(AND(ISNUMBER(D360),D360&gt;=$O$4,OR($O$11=0,B360&gt;=$O$12)),1,0)</f>
        <v/>
      </c>
      <c r="K360">
        <f>B360-$O$14</f>
        <v/>
      </c>
    </row>
    <row r="361">
      <c r="A361" t="n">
        <v>1077</v>
      </c>
      <c r="B361" t="n">
        <v>35.9</v>
      </c>
      <c r="C361" t="inlineStr">
        <is>
          <t>382</t>
        </is>
      </c>
      <c r="D361" t="n">
        <v>3.82</v>
      </c>
      <c r="E361">
        <f>MEDIAN(D341:D381)</f>
        <v/>
      </c>
      <c r="F361">
        <f>E341</f>
        <v/>
      </c>
      <c r="G361">
        <f>F361-E361</f>
        <v/>
      </c>
      <c r="H361">
        <f>IF(OR(NOT(ISNUMBER(D361)),ABS(D361-E361)&gt;$O$3,AND($O$11=1,B361&lt;$O$12)),1,0)</f>
        <v/>
      </c>
      <c r="I361">
        <f>IF(H361=1,NA(),D361)</f>
        <v/>
      </c>
      <c r="J361">
        <f>IF(AND(ISNUMBER(D361),D361&gt;=$O$4,OR($O$11=0,B361&gt;=$O$12)),1,0)</f>
        <v/>
      </c>
      <c r="K361">
        <f>B361-$O$14</f>
        <v/>
      </c>
    </row>
    <row r="362">
      <c r="A362" t="n">
        <v>1080</v>
      </c>
      <c r="B362" t="n">
        <v>36</v>
      </c>
      <c r="C362" t="inlineStr">
        <is>
          <t>302</t>
        </is>
      </c>
      <c r="D362" t="n">
        <v>3.02</v>
      </c>
      <c r="E362">
        <f>MEDIAN(D342:D382)</f>
        <v/>
      </c>
      <c r="F362">
        <f>E342</f>
        <v/>
      </c>
      <c r="G362">
        <f>F362-E362</f>
        <v/>
      </c>
      <c r="H362">
        <f>IF(OR(NOT(ISNUMBER(D362)),ABS(D362-E362)&gt;$O$3,AND($O$11=1,B362&lt;$O$12)),1,0)</f>
        <v/>
      </c>
      <c r="I362">
        <f>IF(H362=1,NA(),D362)</f>
        <v/>
      </c>
      <c r="J362">
        <f>IF(AND(ISNUMBER(D362),D362&gt;=$O$4,OR($O$11=0,B362&gt;=$O$12)),1,0)</f>
        <v/>
      </c>
      <c r="K362">
        <f>B362-$O$14</f>
        <v/>
      </c>
    </row>
    <row r="363">
      <c r="A363" t="n">
        <v>1083</v>
      </c>
      <c r="B363" t="n">
        <v>36.1</v>
      </c>
      <c r="C363" t="inlineStr">
        <is>
          <t>382</t>
        </is>
      </c>
      <c r="D363" t="n">
        <v>3.82</v>
      </c>
      <c r="E363">
        <f>MEDIAN(D343:D383)</f>
        <v/>
      </c>
      <c r="F363">
        <f>E343</f>
        <v/>
      </c>
      <c r="G363">
        <f>F363-E363</f>
        <v/>
      </c>
      <c r="H363">
        <f>IF(OR(NOT(ISNUMBER(D363)),ABS(D363-E363)&gt;$O$3,AND($O$11=1,B363&lt;$O$12)),1,0)</f>
        <v/>
      </c>
      <c r="I363">
        <f>IF(H363=1,NA(),D363)</f>
        <v/>
      </c>
      <c r="J363">
        <f>IF(AND(ISNUMBER(D363),D363&gt;=$O$4,OR($O$11=0,B363&gt;=$O$12)),1,0)</f>
        <v/>
      </c>
      <c r="K363">
        <f>B363-$O$14</f>
        <v/>
      </c>
    </row>
    <row r="364">
      <c r="A364" t="n">
        <v>1086</v>
      </c>
      <c r="B364" t="n">
        <v>36.2</v>
      </c>
      <c r="C364" t="inlineStr">
        <is>
          <t>302</t>
        </is>
      </c>
      <c r="D364" t="n">
        <v>3.02</v>
      </c>
      <c r="E364">
        <f>MEDIAN(D344:D384)</f>
        <v/>
      </c>
      <c r="F364">
        <f>E344</f>
        <v/>
      </c>
      <c r="G364">
        <f>F364-E364</f>
        <v/>
      </c>
      <c r="H364">
        <f>IF(OR(NOT(ISNUMBER(D364)),ABS(D364-E364)&gt;$O$3,AND($O$11=1,B364&lt;$O$12)),1,0)</f>
        <v/>
      </c>
      <c r="I364">
        <f>IF(H364=1,NA(),D364)</f>
        <v/>
      </c>
      <c r="J364">
        <f>IF(AND(ISNUMBER(D364),D364&gt;=$O$4,OR($O$11=0,B364&gt;=$O$12)),1,0)</f>
        <v/>
      </c>
      <c r="K364">
        <f>B364-$O$14</f>
        <v/>
      </c>
    </row>
    <row r="365">
      <c r="A365" t="n">
        <v>1089</v>
      </c>
      <c r="B365" t="n">
        <v>36.3</v>
      </c>
      <c r="C365" t="inlineStr">
        <is>
          <t>3?2</t>
        </is>
      </c>
      <c r="E365">
        <f>MEDIAN(D345:D385)</f>
        <v/>
      </c>
      <c r="F365">
        <f>E345</f>
        <v/>
      </c>
      <c r="G365">
        <f>F365-E365</f>
        <v/>
      </c>
      <c r="H365">
        <f>IF(OR(NOT(ISNUMBER(D365)),ABS(D365-E365)&gt;$O$3,AND($O$11=1,B365&lt;$O$12)),1,0)</f>
        <v/>
      </c>
      <c r="I365">
        <f>IF(H365=1,NA(),D365)</f>
        <v/>
      </c>
      <c r="J365">
        <f>IF(AND(ISNUMBER(D365),D365&gt;=$O$4,OR($O$11=0,B365&gt;=$O$12)),1,0)</f>
        <v/>
      </c>
      <c r="K365">
        <f>B365-$O$14</f>
        <v/>
      </c>
    </row>
    <row r="366">
      <c r="A366" t="n">
        <v>1092</v>
      </c>
      <c r="B366" t="n">
        <v>36.4</v>
      </c>
      <c r="C366" t="inlineStr">
        <is>
          <t>302</t>
        </is>
      </c>
      <c r="D366" t="n">
        <v>3.02</v>
      </c>
      <c r="E366">
        <f>MEDIAN(D346:D386)</f>
        <v/>
      </c>
      <c r="F366">
        <f>E346</f>
        <v/>
      </c>
      <c r="G366">
        <f>F366-E366</f>
        <v/>
      </c>
      <c r="H366">
        <f>IF(OR(NOT(ISNUMBER(D366)),ABS(D366-E366)&gt;$O$3,AND($O$11=1,B366&lt;$O$12)),1,0)</f>
        <v/>
      </c>
      <c r="I366">
        <f>IF(H366=1,NA(),D366)</f>
        <v/>
      </c>
      <c r="J366">
        <f>IF(AND(ISNUMBER(D366),D366&gt;=$O$4,OR($O$11=0,B366&gt;=$O$12)),1,0)</f>
        <v/>
      </c>
      <c r="K366">
        <f>B366-$O$14</f>
        <v/>
      </c>
    </row>
    <row r="367">
      <c r="A367" t="n">
        <v>1095</v>
      </c>
      <c r="B367" t="n">
        <v>36.5</v>
      </c>
      <c r="C367" t="inlineStr">
        <is>
          <t>2</t>
        </is>
      </c>
      <c r="D367" t="n">
        <v>0.02</v>
      </c>
      <c r="E367">
        <f>MEDIAN(D347:D387)</f>
        <v/>
      </c>
      <c r="F367">
        <f>E347</f>
        <v/>
      </c>
      <c r="G367">
        <f>F367-E367</f>
        <v/>
      </c>
      <c r="H367">
        <f>IF(OR(NOT(ISNUMBER(D367)),ABS(D367-E367)&gt;$O$3,AND($O$11=1,B367&lt;$O$12)),1,0)</f>
        <v/>
      </c>
      <c r="I367">
        <f>IF(H367=1,NA(),D367)</f>
        <v/>
      </c>
      <c r="J367">
        <f>IF(AND(ISNUMBER(D367),D367&gt;=$O$4,OR($O$11=0,B367&gt;=$O$12)),1,0)</f>
        <v/>
      </c>
      <c r="K367">
        <f>B367-$O$14</f>
        <v/>
      </c>
    </row>
    <row r="368">
      <c r="A368" t="n">
        <v>1098</v>
      </c>
      <c r="B368" t="n">
        <v>36.6</v>
      </c>
      <c r="C368" t="inlineStr">
        <is>
          <t>302</t>
        </is>
      </c>
      <c r="D368" t="n">
        <v>3.02</v>
      </c>
      <c r="E368">
        <f>MEDIAN(D348:D388)</f>
        <v/>
      </c>
      <c r="F368">
        <f>E348</f>
        <v/>
      </c>
      <c r="G368">
        <f>F368-E368</f>
        <v/>
      </c>
      <c r="H368">
        <f>IF(OR(NOT(ISNUMBER(D368)),ABS(D368-E368)&gt;$O$3,AND($O$11=1,B368&lt;$O$12)),1,0)</f>
        <v/>
      </c>
      <c r="I368">
        <f>IF(H368=1,NA(),D368)</f>
        <v/>
      </c>
      <c r="J368">
        <f>IF(AND(ISNUMBER(D368),D368&gt;=$O$4,OR($O$11=0,B368&gt;=$O$12)),1,0)</f>
        <v/>
      </c>
      <c r="K368">
        <f>B368-$O$14</f>
        <v/>
      </c>
    </row>
    <row r="369">
      <c r="A369" t="n">
        <v>1101</v>
      </c>
      <c r="B369" t="n">
        <v>36.7</v>
      </c>
      <c r="C369" t="inlineStr">
        <is>
          <t>2</t>
        </is>
      </c>
      <c r="D369" t="n">
        <v>0.02</v>
      </c>
      <c r="E369">
        <f>MEDIAN(D349:D389)</f>
        <v/>
      </c>
      <c r="F369">
        <f>E349</f>
        <v/>
      </c>
      <c r="G369">
        <f>F369-E369</f>
        <v/>
      </c>
      <c r="H369">
        <f>IF(OR(NOT(ISNUMBER(D369)),ABS(D369-E369)&gt;$O$3,AND($O$11=1,B369&lt;$O$12)),1,0)</f>
        <v/>
      </c>
      <c r="I369">
        <f>IF(H369=1,NA(),D369)</f>
        <v/>
      </c>
      <c r="J369">
        <f>IF(AND(ISNUMBER(D369),D369&gt;=$O$4,OR($O$11=0,B369&gt;=$O$12)),1,0)</f>
        <v/>
      </c>
      <c r="K369">
        <f>B369-$O$14</f>
        <v/>
      </c>
    </row>
    <row r="370">
      <c r="A370" t="n">
        <v>1104</v>
      </c>
      <c r="B370" t="n">
        <v>36.8</v>
      </c>
      <c r="C370" t="inlineStr">
        <is>
          <t>3?2</t>
        </is>
      </c>
      <c r="E370">
        <f>MEDIAN(D350:D390)</f>
        <v/>
      </c>
      <c r="F370">
        <f>E350</f>
        <v/>
      </c>
      <c r="G370">
        <f>F370-E370</f>
        <v/>
      </c>
      <c r="H370">
        <f>IF(OR(NOT(ISNUMBER(D370)),ABS(D370-E370)&gt;$O$3,AND($O$11=1,B370&lt;$O$12)),1,0)</f>
        <v/>
      </c>
      <c r="I370">
        <f>IF(H370=1,NA(),D370)</f>
        <v/>
      </c>
      <c r="J370">
        <f>IF(AND(ISNUMBER(D370),D370&gt;=$O$4,OR($O$11=0,B370&gt;=$O$12)),1,0)</f>
        <v/>
      </c>
      <c r="K370">
        <f>B370-$O$14</f>
        <v/>
      </c>
    </row>
    <row r="371">
      <c r="A371" t="n">
        <v>1107</v>
      </c>
      <c r="B371" t="n">
        <v>36.9</v>
      </c>
      <c r="C371" t="inlineStr">
        <is>
          <t>302</t>
        </is>
      </c>
      <c r="D371" t="n">
        <v>3.02</v>
      </c>
      <c r="E371">
        <f>MEDIAN(D351:D391)</f>
        <v/>
      </c>
      <c r="F371">
        <f>E351</f>
        <v/>
      </c>
      <c r="G371">
        <f>F371-E371</f>
        <v/>
      </c>
      <c r="H371">
        <f>IF(OR(NOT(ISNUMBER(D371)),ABS(D371-E371)&gt;$O$3,AND($O$11=1,B371&lt;$O$12)),1,0)</f>
        <v/>
      </c>
      <c r="I371">
        <f>IF(H371=1,NA(),D371)</f>
        <v/>
      </c>
      <c r="J371">
        <f>IF(AND(ISNUMBER(D371),D371&gt;=$O$4,OR($O$11=0,B371&gt;=$O$12)),1,0)</f>
        <v/>
      </c>
      <c r="K371">
        <f>B371-$O$14</f>
        <v/>
      </c>
    </row>
    <row r="372">
      <c r="A372" t="n">
        <v>1110</v>
      </c>
      <c r="B372" t="n">
        <v>37</v>
      </c>
      <c r="C372" t="inlineStr">
        <is>
          <t>3?2</t>
        </is>
      </c>
      <c r="E372">
        <f>MEDIAN(D352:D392)</f>
        <v/>
      </c>
      <c r="F372">
        <f>E352</f>
        <v/>
      </c>
      <c r="G372">
        <f>F372-E372</f>
        <v/>
      </c>
      <c r="H372">
        <f>IF(OR(NOT(ISNUMBER(D372)),ABS(D372-E372)&gt;$O$3,AND($O$11=1,B372&lt;$O$12)),1,0)</f>
        <v/>
      </c>
      <c r="I372">
        <f>IF(H372=1,NA(),D372)</f>
        <v/>
      </c>
      <c r="J372">
        <f>IF(AND(ISNUMBER(D372),D372&gt;=$O$4,OR($O$11=0,B372&gt;=$O$12)),1,0)</f>
        <v/>
      </c>
      <c r="K372">
        <f>B372-$O$14</f>
        <v/>
      </c>
    </row>
    <row r="373">
      <c r="A373" t="n">
        <v>1113</v>
      </c>
      <c r="B373" t="n">
        <v>37.1</v>
      </c>
      <c r="C373" t="inlineStr">
        <is>
          <t>2</t>
        </is>
      </c>
      <c r="D373" t="n">
        <v>0.02</v>
      </c>
      <c r="E373">
        <f>MEDIAN(D353:D393)</f>
        <v/>
      </c>
      <c r="F373">
        <f>E353</f>
        <v/>
      </c>
      <c r="G373">
        <f>F373-E373</f>
        <v/>
      </c>
      <c r="H373">
        <f>IF(OR(NOT(ISNUMBER(D373)),ABS(D373-E373)&gt;$O$3,AND($O$11=1,B373&lt;$O$12)),1,0)</f>
        <v/>
      </c>
      <c r="I373">
        <f>IF(H373=1,NA(),D373)</f>
        <v/>
      </c>
      <c r="J373">
        <f>IF(AND(ISNUMBER(D373),D373&gt;=$O$4,OR($O$11=0,B373&gt;=$O$12)),1,0)</f>
        <v/>
      </c>
      <c r="K373">
        <f>B373-$O$14</f>
        <v/>
      </c>
    </row>
    <row r="374">
      <c r="A374" t="n">
        <v>1116</v>
      </c>
      <c r="B374" t="n">
        <v>37.2</v>
      </c>
      <c r="C374" t="inlineStr">
        <is>
          <t>303</t>
        </is>
      </c>
      <c r="D374" t="n">
        <v>3.03</v>
      </c>
      <c r="E374">
        <f>MEDIAN(D354:D394)</f>
        <v/>
      </c>
      <c r="F374">
        <f>E354</f>
        <v/>
      </c>
      <c r="G374">
        <f>F374-E374</f>
        <v/>
      </c>
      <c r="H374">
        <f>IF(OR(NOT(ISNUMBER(D374)),ABS(D374-E374)&gt;$O$3,AND($O$11=1,B374&lt;$O$12)),1,0)</f>
        <v/>
      </c>
      <c r="I374">
        <f>IF(H374=1,NA(),D374)</f>
        <v/>
      </c>
      <c r="J374">
        <f>IF(AND(ISNUMBER(D374),D374&gt;=$O$4,OR($O$11=0,B374&gt;=$O$12)),1,0)</f>
        <v/>
      </c>
      <c r="K374">
        <f>B374-$O$14</f>
        <v/>
      </c>
    </row>
    <row r="375">
      <c r="A375" t="n">
        <v>1119</v>
      </c>
      <c r="B375" t="n">
        <v>37.3</v>
      </c>
      <c r="C375" t="inlineStr">
        <is>
          <t>383</t>
        </is>
      </c>
      <c r="D375" t="n">
        <v>3.83</v>
      </c>
      <c r="E375">
        <f>MEDIAN(D355:D395)</f>
        <v/>
      </c>
      <c r="F375">
        <f>E355</f>
        <v/>
      </c>
      <c r="G375">
        <f>F375-E375</f>
        <v/>
      </c>
      <c r="H375">
        <f>IF(OR(NOT(ISNUMBER(D375)),ABS(D375-E375)&gt;$O$3,AND($O$11=1,B375&lt;$O$12)),1,0)</f>
        <v/>
      </c>
      <c r="I375">
        <f>IF(H375=1,NA(),D375)</f>
        <v/>
      </c>
      <c r="J375">
        <f>IF(AND(ISNUMBER(D375),D375&gt;=$O$4,OR($O$11=0,B375&gt;=$O$12)),1,0)</f>
        <v/>
      </c>
      <c r="K375">
        <f>B375-$O$14</f>
        <v/>
      </c>
    </row>
    <row r="376">
      <c r="A376" t="n">
        <v>1122</v>
      </c>
      <c r="B376" t="n">
        <v>37.4</v>
      </c>
      <c r="C376" t="inlineStr">
        <is>
          <t>303</t>
        </is>
      </c>
      <c r="D376" t="n">
        <v>3.03</v>
      </c>
      <c r="E376">
        <f>MEDIAN(D356:D396)</f>
        <v/>
      </c>
      <c r="F376">
        <f>E356</f>
        <v/>
      </c>
      <c r="G376">
        <f>F376-E376</f>
        <v/>
      </c>
      <c r="H376">
        <f>IF(OR(NOT(ISNUMBER(D376)),ABS(D376-E376)&gt;$O$3,AND($O$11=1,B376&lt;$O$12)),1,0)</f>
        <v/>
      </c>
      <c r="I376">
        <f>IF(H376=1,NA(),D376)</f>
        <v/>
      </c>
      <c r="J376">
        <f>IF(AND(ISNUMBER(D376),D376&gt;=$O$4,OR($O$11=0,B376&gt;=$O$12)),1,0)</f>
        <v/>
      </c>
      <c r="K376">
        <f>B376-$O$14</f>
        <v/>
      </c>
    </row>
    <row r="377">
      <c r="A377" t="n">
        <v>1125</v>
      </c>
      <c r="B377" t="n">
        <v>37.5</v>
      </c>
      <c r="C377" t="inlineStr">
        <is>
          <t>3</t>
        </is>
      </c>
      <c r="D377" t="n">
        <v>0.03</v>
      </c>
      <c r="E377">
        <f>MEDIAN(D357:D397)</f>
        <v/>
      </c>
      <c r="F377">
        <f>E357</f>
        <v/>
      </c>
      <c r="G377">
        <f>F377-E377</f>
        <v/>
      </c>
      <c r="H377">
        <f>IF(OR(NOT(ISNUMBER(D377)),ABS(D377-E377)&gt;$O$3,AND($O$11=1,B377&lt;$O$12)),1,0)</f>
        <v/>
      </c>
      <c r="I377">
        <f>IF(H377=1,NA(),D377)</f>
        <v/>
      </c>
      <c r="J377">
        <f>IF(AND(ISNUMBER(D377),D377&gt;=$O$4,OR($O$11=0,B377&gt;=$O$12)),1,0)</f>
        <v/>
      </c>
      <c r="K377">
        <f>B377-$O$14</f>
        <v/>
      </c>
    </row>
    <row r="378">
      <c r="A378" t="n">
        <v>1128</v>
      </c>
      <c r="B378" t="n">
        <v>37.6</v>
      </c>
      <c r="C378" t="inlineStr">
        <is>
          <t>304</t>
        </is>
      </c>
      <c r="D378" t="n">
        <v>3.04</v>
      </c>
      <c r="E378">
        <f>MEDIAN(D358:D398)</f>
        <v/>
      </c>
      <c r="F378">
        <f>E358</f>
        <v/>
      </c>
      <c r="G378">
        <f>F378-E378</f>
        <v/>
      </c>
      <c r="H378">
        <f>IF(OR(NOT(ISNUMBER(D378)),ABS(D378-E378)&gt;$O$3,AND($O$11=1,B378&lt;$O$12)),1,0)</f>
        <v/>
      </c>
      <c r="I378">
        <f>IF(H378=1,NA(),D378)</f>
        <v/>
      </c>
      <c r="J378">
        <f>IF(AND(ISNUMBER(D378),D378&gt;=$O$4,OR($O$11=0,B378&gt;=$O$12)),1,0)</f>
        <v/>
      </c>
      <c r="K378">
        <f>B378-$O$14</f>
        <v/>
      </c>
    </row>
    <row r="379">
      <c r="A379" t="n">
        <v>1131</v>
      </c>
      <c r="B379" t="n">
        <v>37.7</v>
      </c>
      <c r="C379" t="inlineStr">
        <is>
          <t>384</t>
        </is>
      </c>
      <c r="D379" t="n">
        <v>3.84</v>
      </c>
      <c r="E379">
        <f>MEDIAN(D359:D399)</f>
        <v/>
      </c>
      <c r="F379">
        <f>E359</f>
        <v/>
      </c>
      <c r="G379">
        <f>F379-E379</f>
        <v/>
      </c>
      <c r="H379">
        <f>IF(OR(NOT(ISNUMBER(D379)),ABS(D379-E379)&gt;$O$3,AND($O$11=1,B379&lt;$O$12)),1,0)</f>
        <v/>
      </c>
      <c r="I379">
        <f>IF(H379=1,NA(),D379)</f>
        <v/>
      </c>
      <c r="J379">
        <f>IF(AND(ISNUMBER(D379),D379&gt;=$O$4,OR($O$11=0,B379&gt;=$O$12)),1,0)</f>
        <v/>
      </c>
      <c r="K379">
        <f>B379-$O$14</f>
        <v/>
      </c>
    </row>
    <row r="380">
      <c r="A380" t="n">
        <v>1134</v>
      </c>
      <c r="B380" t="n">
        <v>37.8</v>
      </c>
      <c r="C380" t="inlineStr">
        <is>
          <t>304</t>
        </is>
      </c>
      <c r="D380" t="n">
        <v>3.04</v>
      </c>
      <c r="E380">
        <f>MEDIAN(D360:D400)</f>
        <v/>
      </c>
      <c r="F380">
        <f>E360</f>
        <v/>
      </c>
      <c r="G380">
        <f>F380-E380</f>
        <v/>
      </c>
      <c r="H380">
        <f>IF(OR(NOT(ISNUMBER(D380)),ABS(D380-E380)&gt;$O$3,AND($O$11=1,B380&lt;$O$12)),1,0)</f>
        <v/>
      </c>
      <c r="I380">
        <f>IF(H380=1,NA(),D380)</f>
        <v/>
      </c>
      <c r="J380">
        <f>IF(AND(ISNUMBER(D380),D380&gt;=$O$4,OR($O$11=0,B380&gt;=$O$12)),1,0)</f>
        <v/>
      </c>
      <c r="K380">
        <f>B380-$O$14</f>
        <v/>
      </c>
    </row>
    <row r="381">
      <c r="A381" t="n">
        <v>1137</v>
      </c>
      <c r="B381" t="n">
        <v>37.9</v>
      </c>
      <c r="C381" t="inlineStr">
        <is>
          <t>384</t>
        </is>
      </c>
      <c r="D381" t="n">
        <v>3.84</v>
      </c>
      <c r="E381">
        <f>MEDIAN(D361:D401)</f>
        <v/>
      </c>
      <c r="F381">
        <f>E361</f>
        <v/>
      </c>
      <c r="G381">
        <f>F381-E381</f>
        <v/>
      </c>
      <c r="H381">
        <f>IF(OR(NOT(ISNUMBER(D381)),ABS(D381-E381)&gt;$O$3,AND($O$11=1,B381&lt;$O$12)),1,0)</f>
        <v/>
      </c>
      <c r="I381">
        <f>IF(H381=1,NA(),D381)</f>
        <v/>
      </c>
      <c r="J381">
        <f>IF(AND(ISNUMBER(D381),D381&gt;=$O$4,OR($O$11=0,B381&gt;=$O$12)),1,0)</f>
        <v/>
      </c>
      <c r="K381">
        <f>B381-$O$14</f>
        <v/>
      </c>
    </row>
    <row r="382">
      <c r="A382" t="n">
        <v>1140</v>
      </c>
      <c r="B382" t="n">
        <v>38</v>
      </c>
      <c r="C382" t="inlineStr">
        <is>
          <t>304</t>
        </is>
      </c>
      <c r="D382" t="n">
        <v>3.04</v>
      </c>
      <c r="E382">
        <f>MEDIAN(D362:D402)</f>
        <v/>
      </c>
      <c r="F382">
        <f>E362</f>
        <v/>
      </c>
      <c r="G382">
        <f>F382-E382</f>
        <v/>
      </c>
      <c r="H382">
        <f>IF(OR(NOT(ISNUMBER(D382)),ABS(D382-E382)&gt;$O$3,AND($O$11=1,B382&lt;$O$12)),1,0)</f>
        <v/>
      </c>
      <c r="I382">
        <f>IF(H382=1,NA(),D382)</f>
        <v/>
      </c>
      <c r="J382">
        <f>IF(AND(ISNUMBER(D382),D382&gt;=$O$4,OR($O$11=0,B382&gt;=$O$12)),1,0)</f>
        <v/>
      </c>
      <c r="K382">
        <f>B382-$O$14</f>
        <v/>
      </c>
    </row>
    <row r="383">
      <c r="A383" t="n">
        <v>1143</v>
      </c>
      <c r="B383" t="n">
        <v>38.1</v>
      </c>
      <c r="C383" t="inlineStr">
        <is>
          <t>4</t>
        </is>
      </c>
      <c r="D383" t="n">
        <v>0.04</v>
      </c>
      <c r="E383">
        <f>MEDIAN(D363:D403)</f>
        <v/>
      </c>
      <c r="F383">
        <f>E363</f>
        <v/>
      </c>
      <c r="G383">
        <f>F383-E383</f>
        <v/>
      </c>
      <c r="H383">
        <f>IF(OR(NOT(ISNUMBER(D383)),ABS(D383-E383)&gt;$O$3,AND($O$11=1,B383&lt;$O$12)),1,0)</f>
        <v/>
      </c>
      <c r="I383">
        <f>IF(H383=1,NA(),D383)</f>
        <v/>
      </c>
      <c r="J383">
        <f>IF(AND(ISNUMBER(D383),D383&gt;=$O$4,OR($O$11=0,B383&gt;=$O$12)),1,0)</f>
        <v/>
      </c>
      <c r="K383">
        <f>B383-$O$14</f>
        <v/>
      </c>
    </row>
    <row r="384">
      <c r="A384" t="n">
        <v>1146</v>
      </c>
      <c r="B384" t="n">
        <v>38.2</v>
      </c>
      <c r="C384" t="inlineStr">
        <is>
          <t>304</t>
        </is>
      </c>
      <c r="D384" t="n">
        <v>3.04</v>
      </c>
      <c r="E384">
        <f>MEDIAN(D364:D404)</f>
        <v/>
      </c>
      <c r="F384">
        <f>E364</f>
        <v/>
      </c>
      <c r="G384">
        <f>F384-E384</f>
        <v/>
      </c>
      <c r="H384">
        <f>IF(OR(NOT(ISNUMBER(D384)),ABS(D384-E384)&gt;$O$3,AND($O$11=1,B384&lt;$O$12)),1,0)</f>
        <v/>
      </c>
      <c r="I384">
        <f>IF(H384=1,NA(),D384)</f>
        <v/>
      </c>
      <c r="J384">
        <f>IF(AND(ISNUMBER(D384),D384&gt;=$O$4,OR($O$11=0,B384&gt;=$O$12)),1,0)</f>
        <v/>
      </c>
      <c r="K384">
        <f>B384-$O$14</f>
        <v/>
      </c>
    </row>
    <row r="385">
      <c r="A385" t="n">
        <v>1149</v>
      </c>
      <c r="B385" t="n">
        <v>38.3</v>
      </c>
      <c r="C385" t="inlineStr">
        <is>
          <t>384</t>
        </is>
      </c>
      <c r="D385" t="n">
        <v>3.84</v>
      </c>
      <c r="E385">
        <f>MEDIAN(D365:D405)</f>
        <v/>
      </c>
      <c r="F385">
        <f>E365</f>
        <v/>
      </c>
      <c r="G385">
        <f>F385-E385</f>
        <v/>
      </c>
      <c r="H385">
        <f>IF(OR(NOT(ISNUMBER(D385)),ABS(D385-E385)&gt;$O$3,AND($O$11=1,B385&lt;$O$12)),1,0)</f>
        <v/>
      </c>
      <c r="I385">
        <f>IF(H385=1,NA(),D385)</f>
        <v/>
      </c>
      <c r="J385">
        <f>IF(AND(ISNUMBER(D385),D385&gt;=$O$4,OR($O$11=0,B385&gt;=$O$12)),1,0)</f>
        <v/>
      </c>
      <c r="K385">
        <f>B385-$O$14</f>
        <v/>
      </c>
    </row>
    <row r="386">
      <c r="A386" t="n">
        <v>1152</v>
      </c>
      <c r="B386" t="n">
        <v>38.4</v>
      </c>
      <c r="C386" t="inlineStr">
        <is>
          <t>304</t>
        </is>
      </c>
      <c r="D386" t="n">
        <v>3.04</v>
      </c>
      <c r="E386">
        <f>MEDIAN(D366:D406)</f>
        <v/>
      </c>
      <c r="F386">
        <f>E366</f>
        <v/>
      </c>
      <c r="G386">
        <f>F386-E386</f>
        <v/>
      </c>
      <c r="H386">
        <f>IF(OR(NOT(ISNUMBER(D386)),ABS(D386-E386)&gt;$O$3,AND($O$11=1,B386&lt;$O$12)),1,0)</f>
        <v/>
      </c>
      <c r="I386">
        <f>IF(H386=1,NA(),D386)</f>
        <v/>
      </c>
      <c r="J386">
        <f>IF(AND(ISNUMBER(D386),D386&gt;=$O$4,OR($O$11=0,B386&gt;=$O$12)),1,0)</f>
        <v/>
      </c>
      <c r="K386">
        <f>B386-$O$14</f>
        <v/>
      </c>
    </row>
    <row r="387">
      <c r="A387" t="n">
        <v>1155</v>
      </c>
      <c r="B387" t="n">
        <v>38.5</v>
      </c>
      <c r="C387" t="inlineStr">
        <is>
          <t>387</t>
        </is>
      </c>
      <c r="D387" t="n">
        <v>3.87</v>
      </c>
      <c r="E387">
        <f>MEDIAN(D367:D407)</f>
        <v/>
      </c>
      <c r="F387">
        <f>E367</f>
        <v/>
      </c>
      <c r="G387">
        <f>F387-E387</f>
        <v/>
      </c>
      <c r="H387">
        <f>IF(OR(NOT(ISNUMBER(D387)),ABS(D387-E387)&gt;$O$3,AND($O$11=1,B387&lt;$O$12)),1,0)</f>
        <v/>
      </c>
      <c r="I387">
        <f>IF(H387=1,NA(),D387)</f>
        <v/>
      </c>
      <c r="J387">
        <f>IF(AND(ISNUMBER(D387),D387&gt;=$O$4,OR($O$11=0,B387&gt;=$O$12)),1,0)</f>
        <v/>
      </c>
      <c r="K387">
        <f>B387-$O$14</f>
        <v/>
      </c>
    </row>
    <row r="388">
      <c r="A388" t="n">
        <v>1158</v>
      </c>
      <c r="B388" t="n">
        <v>38.6</v>
      </c>
      <c r="C388" t="inlineStr">
        <is>
          <t>307</t>
        </is>
      </c>
      <c r="D388" t="n">
        <v>3.07</v>
      </c>
      <c r="E388">
        <f>MEDIAN(D368:D408)</f>
        <v/>
      </c>
      <c r="F388">
        <f>E368</f>
        <v/>
      </c>
      <c r="G388">
        <f>F388-E388</f>
        <v/>
      </c>
      <c r="H388">
        <f>IF(OR(NOT(ISNUMBER(D388)),ABS(D388-E388)&gt;$O$3,AND($O$11=1,B388&lt;$O$12)),1,0)</f>
        <v/>
      </c>
      <c r="I388">
        <f>IF(H388=1,NA(),D388)</f>
        <v/>
      </c>
      <c r="J388">
        <f>IF(AND(ISNUMBER(D388),D388&gt;=$O$4,OR($O$11=0,B388&gt;=$O$12)),1,0)</f>
        <v/>
      </c>
      <c r="K388">
        <f>B388-$O$14</f>
        <v/>
      </c>
    </row>
    <row r="389">
      <c r="A389" t="n">
        <v>1161</v>
      </c>
      <c r="B389" t="n">
        <v>38.7</v>
      </c>
      <c r="C389" t="inlineStr">
        <is>
          <t>387</t>
        </is>
      </c>
      <c r="D389" t="n">
        <v>3.87</v>
      </c>
      <c r="E389">
        <f>MEDIAN(D369:D409)</f>
        <v/>
      </c>
      <c r="F389">
        <f>E369</f>
        <v/>
      </c>
      <c r="G389">
        <f>F389-E389</f>
        <v/>
      </c>
      <c r="H389">
        <f>IF(OR(NOT(ISNUMBER(D389)),ABS(D389-E389)&gt;$O$3,AND($O$11=1,B389&lt;$O$12)),1,0)</f>
        <v/>
      </c>
      <c r="I389">
        <f>IF(H389=1,NA(),D389)</f>
        <v/>
      </c>
      <c r="J389">
        <f>IF(AND(ISNUMBER(D389),D389&gt;=$O$4,OR($O$11=0,B389&gt;=$O$12)),1,0)</f>
        <v/>
      </c>
      <c r="K389">
        <f>B389-$O$14</f>
        <v/>
      </c>
    </row>
    <row r="390">
      <c r="A390" t="n">
        <v>1164</v>
      </c>
      <c r="B390" t="n">
        <v>38.8</v>
      </c>
      <c r="C390" t="inlineStr">
        <is>
          <t>307</t>
        </is>
      </c>
      <c r="D390" t="n">
        <v>3.07</v>
      </c>
      <c r="E390">
        <f>MEDIAN(D370:D410)</f>
        <v/>
      </c>
      <c r="F390">
        <f>E370</f>
        <v/>
      </c>
      <c r="G390">
        <f>F390-E390</f>
        <v/>
      </c>
      <c r="H390">
        <f>IF(OR(NOT(ISNUMBER(D390)),ABS(D390-E390)&gt;$O$3,AND($O$11=1,B390&lt;$O$12)),1,0)</f>
        <v/>
      </c>
      <c r="I390">
        <f>IF(H390=1,NA(),D390)</f>
        <v/>
      </c>
      <c r="J390">
        <f>IF(AND(ISNUMBER(D390),D390&gt;=$O$4,OR($O$11=0,B390&gt;=$O$12)),1,0)</f>
        <v/>
      </c>
      <c r="K390">
        <f>B390-$O$14</f>
        <v/>
      </c>
    </row>
    <row r="391">
      <c r="A391" t="n">
        <v>1167</v>
      </c>
      <c r="B391" t="n">
        <v>38.9</v>
      </c>
      <c r="C391" t="inlineStr">
        <is>
          <t>387</t>
        </is>
      </c>
      <c r="D391" t="n">
        <v>3.87</v>
      </c>
      <c r="E391">
        <f>MEDIAN(D371:D411)</f>
        <v/>
      </c>
      <c r="F391">
        <f>E371</f>
        <v/>
      </c>
      <c r="G391">
        <f>F391-E391</f>
        <v/>
      </c>
      <c r="H391">
        <f>IF(OR(NOT(ISNUMBER(D391)),ABS(D391-E391)&gt;$O$3,AND($O$11=1,B391&lt;$O$12)),1,0)</f>
        <v/>
      </c>
      <c r="I391">
        <f>IF(H391=1,NA(),D391)</f>
        <v/>
      </c>
      <c r="J391">
        <f>IF(AND(ISNUMBER(D391),D391&gt;=$O$4,OR($O$11=0,B391&gt;=$O$12)),1,0)</f>
        <v/>
      </c>
      <c r="K391">
        <f>B391-$O$14</f>
        <v/>
      </c>
    </row>
    <row r="392">
      <c r="A392" t="n">
        <v>1170</v>
      </c>
      <c r="B392" t="n">
        <v>39</v>
      </c>
      <c r="C392" t="inlineStr">
        <is>
          <t>307</t>
        </is>
      </c>
      <c r="D392" t="n">
        <v>3.07</v>
      </c>
      <c r="E392">
        <f>MEDIAN(D372:D412)</f>
        <v/>
      </c>
      <c r="F392">
        <f>E372</f>
        <v/>
      </c>
      <c r="G392">
        <f>F392-E392</f>
        <v/>
      </c>
      <c r="H392">
        <f>IF(OR(NOT(ISNUMBER(D392)),ABS(D392-E392)&gt;$O$3,AND($O$11=1,B392&lt;$O$12)),1,0)</f>
        <v/>
      </c>
      <c r="I392">
        <f>IF(H392=1,NA(),D392)</f>
        <v/>
      </c>
      <c r="J392">
        <f>IF(AND(ISNUMBER(D392),D392&gt;=$O$4,OR($O$11=0,B392&gt;=$O$12)),1,0)</f>
        <v/>
      </c>
      <c r="K392">
        <f>B392-$O$14</f>
        <v/>
      </c>
    </row>
    <row r="393">
      <c r="A393" t="n">
        <v>1173</v>
      </c>
      <c r="B393" t="n">
        <v>39.1</v>
      </c>
      <c r="C393" t="inlineStr">
        <is>
          <t>3?7</t>
        </is>
      </c>
      <c r="E393">
        <f>MEDIAN(D373:D413)</f>
        <v/>
      </c>
      <c r="F393">
        <f>E373</f>
        <v/>
      </c>
      <c r="G393">
        <f>F393-E393</f>
        <v/>
      </c>
      <c r="H393">
        <f>IF(OR(NOT(ISNUMBER(D393)),ABS(D393-E393)&gt;$O$3,AND($O$11=1,B393&lt;$O$12)),1,0)</f>
        <v/>
      </c>
      <c r="I393">
        <f>IF(H393=1,NA(),D393)</f>
        <v/>
      </c>
      <c r="J393">
        <f>IF(AND(ISNUMBER(D393),D393&gt;=$O$4,OR($O$11=0,B393&gt;=$O$12)),1,0)</f>
        <v/>
      </c>
      <c r="K393">
        <f>B393-$O$14</f>
        <v/>
      </c>
    </row>
    <row r="394">
      <c r="A394" t="n">
        <v>1176</v>
      </c>
      <c r="B394" t="n">
        <v>39.2</v>
      </c>
      <c r="C394" t="inlineStr">
        <is>
          <t>387</t>
        </is>
      </c>
      <c r="D394" t="n">
        <v>3.87</v>
      </c>
      <c r="E394">
        <f>MEDIAN(D374:D414)</f>
        <v/>
      </c>
      <c r="F394">
        <f>E374</f>
        <v/>
      </c>
      <c r="G394">
        <f>F394-E394</f>
        <v/>
      </c>
      <c r="H394">
        <f>IF(OR(NOT(ISNUMBER(D394)),ABS(D394-E394)&gt;$O$3,AND($O$11=1,B394&lt;$O$12)),1,0)</f>
        <v/>
      </c>
      <c r="I394">
        <f>IF(H394=1,NA(),D394)</f>
        <v/>
      </c>
      <c r="J394">
        <f>IF(AND(ISNUMBER(D394),D394&gt;=$O$4,OR($O$11=0,B394&gt;=$O$12)),1,0)</f>
        <v/>
      </c>
      <c r="K394">
        <f>B394-$O$14</f>
        <v/>
      </c>
    </row>
    <row r="395">
      <c r="A395" t="n">
        <v>1179</v>
      </c>
      <c r="B395" t="n">
        <v>39.3</v>
      </c>
      <c r="C395" t="inlineStr">
        <is>
          <t>367</t>
        </is>
      </c>
      <c r="D395" t="n">
        <v>3.67</v>
      </c>
      <c r="E395">
        <f>MEDIAN(D375:D415)</f>
        <v/>
      </c>
      <c r="F395">
        <f>E375</f>
        <v/>
      </c>
      <c r="G395">
        <f>F395-E395</f>
        <v/>
      </c>
      <c r="H395">
        <f>IF(OR(NOT(ISNUMBER(D395)),ABS(D395-E395)&gt;$O$3,AND($O$11=1,B395&lt;$O$12)),1,0)</f>
        <v/>
      </c>
      <c r="I395">
        <f>IF(H395=1,NA(),D395)</f>
        <v/>
      </c>
      <c r="J395">
        <f>IF(AND(ISNUMBER(D395),D395&gt;=$O$4,OR($O$11=0,B395&gt;=$O$12)),1,0)</f>
        <v/>
      </c>
      <c r="K395">
        <f>B395-$O$14</f>
        <v/>
      </c>
    </row>
    <row r="396">
      <c r="A396" t="n">
        <v>1182</v>
      </c>
      <c r="B396" t="n">
        <v>39.4</v>
      </c>
      <c r="C396" t="inlineStr">
        <is>
          <t>307</t>
        </is>
      </c>
      <c r="D396" t="n">
        <v>3.07</v>
      </c>
      <c r="E396">
        <f>MEDIAN(D376:D416)</f>
        <v/>
      </c>
      <c r="F396">
        <f>E376</f>
        <v/>
      </c>
      <c r="G396">
        <f>F396-E396</f>
        <v/>
      </c>
      <c r="H396">
        <f>IF(OR(NOT(ISNUMBER(D396)),ABS(D396-E396)&gt;$O$3,AND($O$11=1,B396&lt;$O$12)),1,0)</f>
        <v/>
      </c>
      <c r="I396">
        <f>IF(H396=1,NA(),D396)</f>
        <v/>
      </c>
      <c r="J396">
        <f>IF(AND(ISNUMBER(D396),D396&gt;=$O$4,OR($O$11=0,B396&gt;=$O$12)),1,0)</f>
        <v/>
      </c>
      <c r="K396">
        <f>B396-$O$14</f>
        <v/>
      </c>
    </row>
    <row r="397">
      <c r="A397" t="n">
        <v>1185</v>
      </c>
      <c r="B397" t="n">
        <v>39.5</v>
      </c>
      <c r="C397" t="inlineStr">
        <is>
          <t>307</t>
        </is>
      </c>
      <c r="D397" t="n">
        <v>3.07</v>
      </c>
      <c r="E397">
        <f>MEDIAN(D377:D417)</f>
        <v/>
      </c>
      <c r="F397">
        <f>E377</f>
        <v/>
      </c>
      <c r="G397">
        <f>F397-E397</f>
        <v/>
      </c>
      <c r="H397">
        <f>IF(OR(NOT(ISNUMBER(D397)),ABS(D397-E397)&gt;$O$3,AND($O$11=1,B397&lt;$O$12)),1,0)</f>
        <v/>
      </c>
      <c r="I397">
        <f>IF(H397=1,NA(),D397)</f>
        <v/>
      </c>
      <c r="J397">
        <f>IF(AND(ISNUMBER(D397),D397&gt;=$O$4,OR($O$11=0,B397&gt;=$O$12)),1,0)</f>
        <v/>
      </c>
      <c r="K397">
        <f>B397-$O$14</f>
        <v/>
      </c>
    </row>
    <row r="398">
      <c r="A398" t="n">
        <v>1188</v>
      </c>
      <c r="B398" t="n">
        <v>39.6</v>
      </c>
      <c r="C398" t="inlineStr">
        <is>
          <t>387</t>
        </is>
      </c>
      <c r="D398" t="n">
        <v>3.87</v>
      </c>
      <c r="E398">
        <f>MEDIAN(D378:D418)</f>
        <v/>
      </c>
      <c r="F398">
        <f>E378</f>
        <v/>
      </c>
      <c r="G398">
        <f>F398-E398</f>
        <v/>
      </c>
      <c r="H398">
        <f>IF(OR(NOT(ISNUMBER(D398)),ABS(D398-E398)&gt;$O$3,AND($O$11=1,B398&lt;$O$12)),1,0)</f>
        <v/>
      </c>
      <c r="I398">
        <f>IF(H398=1,NA(),D398)</f>
        <v/>
      </c>
      <c r="J398">
        <f>IF(AND(ISNUMBER(D398),D398&gt;=$O$4,OR($O$11=0,B398&gt;=$O$12)),1,0)</f>
        <v/>
      </c>
      <c r="K398">
        <f>B398-$O$14</f>
        <v/>
      </c>
    </row>
    <row r="399">
      <c r="A399" t="n">
        <v>1191</v>
      </c>
      <c r="B399" t="n">
        <v>39.7</v>
      </c>
      <c r="C399" t="inlineStr">
        <is>
          <t>307</t>
        </is>
      </c>
      <c r="D399" t="n">
        <v>3.07</v>
      </c>
      <c r="E399">
        <f>MEDIAN(D379:D419)</f>
        <v/>
      </c>
      <c r="F399">
        <f>E379</f>
        <v/>
      </c>
      <c r="G399">
        <f>F399-E399</f>
        <v/>
      </c>
      <c r="H399">
        <f>IF(OR(NOT(ISNUMBER(D399)),ABS(D399-E399)&gt;$O$3,AND($O$11=1,B399&lt;$O$12)),1,0)</f>
        <v/>
      </c>
      <c r="I399">
        <f>IF(H399=1,NA(),D399)</f>
        <v/>
      </c>
      <c r="J399">
        <f>IF(AND(ISNUMBER(D399),D399&gt;=$O$4,OR($O$11=0,B399&gt;=$O$12)),1,0)</f>
        <v/>
      </c>
      <c r="K399">
        <f>B399-$O$14</f>
        <v/>
      </c>
    </row>
    <row r="400">
      <c r="A400" t="n">
        <v>1194</v>
      </c>
      <c r="B400" t="n">
        <v>39.8</v>
      </c>
      <c r="C400" t="inlineStr">
        <is>
          <t>307</t>
        </is>
      </c>
      <c r="D400" t="n">
        <v>3.07</v>
      </c>
      <c r="E400">
        <f>MEDIAN(D380:D420)</f>
        <v/>
      </c>
      <c r="F400">
        <f>E380</f>
        <v/>
      </c>
      <c r="G400">
        <f>F400-E400</f>
        <v/>
      </c>
      <c r="H400">
        <f>IF(OR(NOT(ISNUMBER(D400)),ABS(D400-E400)&gt;$O$3,AND($O$11=1,B400&lt;$O$12)),1,0)</f>
        <v/>
      </c>
      <c r="I400">
        <f>IF(H400=1,NA(),D400)</f>
        <v/>
      </c>
      <c r="J400">
        <f>IF(AND(ISNUMBER(D400),D400&gt;=$O$4,OR($O$11=0,B400&gt;=$O$12)),1,0)</f>
        <v/>
      </c>
      <c r="K400">
        <f>B400-$O$14</f>
        <v/>
      </c>
    </row>
    <row r="401">
      <c r="A401" t="n">
        <v>1197</v>
      </c>
      <c r="B401" t="n">
        <v>39.9</v>
      </c>
      <c r="C401" t="inlineStr">
        <is>
          <t>387</t>
        </is>
      </c>
      <c r="D401" t="n">
        <v>3.87</v>
      </c>
      <c r="E401">
        <f>MEDIAN(D381:D421)</f>
        <v/>
      </c>
      <c r="F401">
        <f>E381</f>
        <v/>
      </c>
      <c r="G401">
        <f>F401-E401</f>
        <v/>
      </c>
      <c r="H401">
        <f>IF(OR(NOT(ISNUMBER(D401)),ABS(D401-E401)&gt;$O$3,AND($O$11=1,B401&lt;$O$12)),1,0)</f>
        <v/>
      </c>
      <c r="I401">
        <f>IF(H401=1,NA(),D401)</f>
        <v/>
      </c>
      <c r="J401">
        <f>IF(AND(ISNUMBER(D401),D401&gt;=$O$4,OR($O$11=0,B401&gt;=$O$12)),1,0)</f>
        <v/>
      </c>
      <c r="K401">
        <f>B401-$O$14</f>
        <v/>
      </c>
    </row>
    <row r="402">
      <c r="A402" t="n">
        <v>1200</v>
      </c>
      <c r="B402" t="n">
        <v>40</v>
      </c>
      <c r="C402" t="inlineStr">
        <is>
          <t>?07</t>
        </is>
      </c>
      <c r="E402">
        <f>MEDIAN(D382:D422)</f>
        <v/>
      </c>
      <c r="F402">
        <f>E382</f>
        <v/>
      </c>
      <c r="G402">
        <f>F402-E402</f>
        <v/>
      </c>
      <c r="H402">
        <f>IF(OR(NOT(ISNUMBER(D402)),ABS(D402-E402)&gt;$O$3,AND($O$11=1,B402&lt;$O$12)),1,0)</f>
        <v/>
      </c>
      <c r="I402">
        <f>IF(H402=1,NA(),D402)</f>
        <v/>
      </c>
      <c r="J402">
        <f>IF(AND(ISNUMBER(D402),D402&gt;=$O$4,OR($O$11=0,B402&gt;=$O$12)),1,0)</f>
        <v/>
      </c>
      <c r="K402">
        <f>B402-$O$14</f>
        <v/>
      </c>
    </row>
    <row r="403">
      <c r="A403" t="n">
        <v>1203</v>
      </c>
      <c r="B403" t="n">
        <v>40.1</v>
      </c>
      <c r="C403" t="inlineStr">
        <is>
          <t>7</t>
        </is>
      </c>
      <c r="D403" t="n">
        <v>0.07000000000000001</v>
      </c>
      <c r="E403">
        <f>MEDIAN(D383:D423)</f>
        <v/>
      </c>
      <c r="F403">
        <f>E383</f>
        <v/>
      </c>
      <c r="G403">
        <f>F403-E403</f>
        <v/>
      </c>
      <c r="H403">
        <f>IF(OR(NOT(ISNUMBER(D403)),ABS(D403-E403)&gt;$O$3,AND($O$11=1,B403&lt;$O$12)),1,0)</f>
        <v/>
      </c>
      <c r="I403">
        <f>IF(H403=1,NA(),D403)</f>
        <v/>
      </c>
      <c r="J403">
        <f>IF(AND(ISNUMBER(D403),D403&gt;=$O$4,OR($O$11=0,B403&gt;=$O$12)),1,0)</f>
        <v/>
      </c>
      <c r="K403">
        <f>B403-$O$14</f>
        <v/>
      </c>
    </row>
    <row r="404">
      <c r="A404" t="n">
        <v>1206</v>
      </c>
      <c r="B404" t="n">
        <v>40.2</v>
      </c>
      <c r="C404" t="inlineStr">
        <is>
          <t>307</t>
        </is>
      </c>
      <c r="D404" t="n">
        <v>3.07</v>
      </c>
      <c r="E404">
        <f>MEDIAN(D384:D424)</f>
        <v/>
      </c>
      <c r="F404">
        <f>E384</f>
        <v/>
      </c>
      <c r="G404">
        <f>F404-E404</f>
        <v/>
      </c>
      <c r="H404">
        <f>IF(OR(NOT(ISNUMBER(D404)),ABS(D404-E404)&gt;$O$3,AND($O$11=1,B404&lt;$O$12)),1,0)</f>
        <v/>
      </c>
      <c r="I404">
        <f>IF(H404=1,NA(),D404)</f>
        <v/>
      </c>
      <c r="J404">
        <f>IF(AND(ISNUMBER(D404),D404&gt;=$O$4,OR($O$11=0,B404&gt;=$O$12)),1,0)</f>
        <v/>
      </c>
      <c r="K404">
        <f>B404-$O$14</f>
        <v/>
      </c>
    </row>
    <row r="405">
      <c r="A405" t="n">
        <v>1209</v>
      </c>
      <c r="B405" t="n">
        <v>40.3</v>
      </c>
      <c r="C405" t="inlineStr">
        <is>
          <t>387</t>
        </is>
      </c>
      <c r="D405" t="n">
        <v>3.87</v>
      </c>
      <c r="E405">
        <f>MEDIAN(D385:D425)</f>
        <v/>
      </c>
      <c r="F405">
        <f>E385</f>
        <v/>
      </c>
      <c r="G405">
        <f>F405-E405</f>
        <v/>
      </c>
      <c r="H405">
        <f>IF(OR(NOT(ISNUMBER(D405)),ABS(D405-E405)&gt;$O$3,AND($O$11=1,B405&lt;$O$12)),1,0)</f>
        <v/>
      </c>
      <c r="I405">
        <f>IF(H405=1,NA(),D405)</f>
        <v/>
      </c>
      <c r="J405">
        <f>IF(AND(ISNUMBER(D405),D405&gt;=$O$4,OR($O$11=0,B405&gt;=$O$12)),1,0)</f>
        <v/>
      </c>
      <c r="K405">
        <f>B405-$O$14</f>
        <v/>
      </c>
    </row>
    <row r="406">
      <c r="A406" t="n">
        <v>1212</v>
      </c>
      <c r="B406" t="n">
        <v>40.4</v>
      </c>
      <c r="C406" t="inlineStr">
        <is>
          <t>307</t>
        </is>
      </c>
      <c r="D406" t="n">
        <v>3.07</v>
      </c>
      <c r="E406">
        <f>MEDIAN(D386:D426)</f>
        <v/>
      </c>
      <c r="F406">
        <f>E386</f>
        <v/>
      </c>
      <c r="G406">
        <f>F406-E406</f>
        <v/>
      </c>
      <c r="H406">
        <f>IF(OR(NOT(ISNUMBER(D406)),ABS(D406-E406)&gt;$O$3,AND($O$11=1,B406&lt;$O$12)),1,0)</f>
        <v/>
      </c>
      <c r="I406">
        <f>IF(H406=1,NA(),D406)</f>
        <v/>
      </c>
      <c r="J406">
        <f>IF(AND(ISNUMBER(D406),D406&gt;=$O$4,OR($O$11=0,B406&gt;=$O$12)),1,0)</f>
        <v/>
      </c>
      <c r="K406">
        <f>B406-$O$14</f>
        <v/>
      </c>
    </row>
    <row r="407">
      <c r="A407" t="n">
        <v>1215</v>
      </c>
      <c r="B407" t="n">
        <v>40.5</v>
      </c>
      <c r="C407" t="inlineStr">
        <is>
          <t>387</t>
        </is>
      </c>
      <c r="D407" t="n">
        <v>3.87</v>
      </c>
      <c r="E407">
        <f>MEDIAN(D387:D427)</f>
        <v/>
      </c>
      <c r="F407">
        <f>E387</f>
        <v/>
      </c>
      <c r="G407">
        <f>F407-E407</f>
        <v/>
      </c>
      <c r="H407">
        <f>IF(OR(NOT(ISNUMBER(D407)),ABS(D407-E407)&gt;$O$3,AND($O$11=1,B407&lt;$O$12)),1,0)</f>
        <v/>
      </c>
      <c r="I407">
        <f>IF(H407=1,NA(),D407)</f>
        <v/>
      </c>
      <c r="J407">
        <f>IF(AND(ISNUMBER(D407),D407&gt;=$O$4,OR($O$11=0,B407&gt;=$O$12)),1,0)</f>
        <v/>
      </c>
      <c r="K407">
        <f>B407-$O$14</f>
        <v/>
      </c>
    </row>
    <row r="408">
      <c r="A408" t="n">
        <v>1218</v>
      </c>
      <c r="B408" t="n">
        <v>40.6</v>
      </c>
      <c r="C408" t="inlineStr">
        <is>
          <t>?0?</t>
        </is>
      </c>
      <c r="E408">
        <f>MEDIAN(D388:D428)</f>
        <v/>
      </c>
      <c r="F408">
        <f>E388</f>
        <v/>
      </c>
      <c r="G408">
        <f>F408-E408</f>
        <v/>
      </c>
      <c r="H408">
        <f>IF(OR(NOT(ISNUMBER(D408)),ABS(D408-E408)&gt;$O$3,AND($O$11=1,B408&lt;$O$12)),1,0)</f>
        <v/>
      </c>
      <c r="I408">
        <f>IF(H408=1,NA(),D408)</f>
        <v/>
      </c>
      <c r="J408">
        <f>IF(AND(ISNUMBER(D408),D408&gt;=$O$4,OR($O$11=0,B408&gt;=$O$12)),1,0)</f>
        <v/>
      </c>
      <c r="K408">
        <f>B408-$O$14</f>
        <v/>
      </c>
    </row>
    <row r="409">
      <c r="A409" t="n">
        <v>1221</v>
      </c>
      <c r="B409" t="n">
        <v>40.7</v>
      </c>
      <c r="C409" t="inlineStr">
        <is>
          <t>6</t>
        </is>
      </c>
      <c r="D409" t="n">
        <v>0.06</v>
      </c>
      <c r="E409">
        <f>MEDIAN(D389:D429)</f>
        <v/>
      </c>
      <c r="F409">
        <f>E389</f>
        <v/>
      </c>
      <c r="G409">
        <f>F409-E409</f>
        <v/>
      </c>
      <c r="H409">
        <f>IF(OR(NOT(ISNUMBER(D409)),ABS(D409-E409)&gt;$O$3,AND($O$11=1,B409&lt;$O$12)),1,0)</f>
        <v/>
      </c>
      <c r="I409">
        <f>IF(H409=1,NA(),D409)</f>
        <v/>
      </c>
      <c r="J409">
        <f>IF(AND(ISNUMBER(D409),D409&gt;=$O$4,OR($O$11=0,B409&gt;=$O$12)),1,0)</f>
        <v/>
      </c>
      <c r="K409">
        <f>B409-$O$14</f>
        <v/>
      </c>
    </row>
    <row r="410">
      <c r="A410" t="n">
        <v>1224</v>
      </c>
      <c r="B410" t="n">
        <v>40.8</v>
      </c>
      <c r="C410" t="inlineStr">
        <is>
          <t>?06</t>
        </is>
      </c>
      <c r="E410">
        <f>MEDIAN(D390:D430)</f>
        <v/>
      </c>
      <c r="F410">
        <f>E390</f>
        <v/>
      </c>
      <c r="G410">
        <f>F410-E410</f>
        <v/>
      </c>
      <c r="H410">
        <f>IF(OR(NOT(ISNUMBER(D410)),ABS(D410-E410)&gt;$O$3,AND($O$11=1,B410&lt;$O$12)),1,0)</f>
        <v/>
      </c>
      <c r="I410">
        <f>IF(H410=1,NA(),D410)</f>
        <v/>
      </c>
      <c r="J410">
        <f>IF(AND(ISNUMBER(D410),D410&gt;=$O$4,OR($O$11=0,B410&gt;=$O$12)),1,0)</f>
        <v/>
      </c>
      <c r="K410">
        <f>B410-$O$14</f>
        <v/>
      </c>
    </row>
    <row r="411">
      <c r="A411" t="n">
        <v>1227</v>
      </c>
      <c r="B411" t="n">
        <v>40.9</v>
      </c>
      <c r="C411" t="inlineStr">
        <is>
          <t>386</t>
        </is>
      </c>
      <c r="D411" t="n">
        <v>3.86</v>
      </c>
      <c r="E411">
        <f>MEDIAN(D391:D431)</f>
        <v/>
      </c>
      <c r="F411">
        <f>E391</f>
        <v/>
      </c>
      <c r="G411">
        <f>F411-E411</f>
        <v/>
      </c>
      <c r="H411">
        <f>IF(OR(NOT(ISNUMBER(D411)),ABS(D411-E411)&gt;$O$3,AND($O$11=1,B411&lt;$O$12)),1,0)</f>
        <v/>
      </c>
      <c r="I411">
        <f>IF(H411=1,NA(),D411)</f>
        <v/>
      </c>
      <c r="J411">
        <f>IF(AND(ISNUMBER(D411),D411&gt;=$O$4,OR($O$11=0,B411&gt;=$O$12)),1,0)</f>
        <v/>
      </c>
      <c r="K411">
        <f>B411-$O$14</f>
        <v/>
      </c>
    </row>
    <row r="412">
      <c r="A412" t="n">
        <v>1230</v>
      </c>
      <c r="B412" t="n">
        <v>41</v>
      </c>
      <c r="C412" t="inlineStr">
        <is>
          <t>?06</t>
        </is>
      </c>
      <c r="E412">
        <f>MEDIAN(D392:D432)</f>
        <v/>
      </c>
      <c r="F412">
        <f>E392</f>
        <v/>
      </c>
      <c r="G412">
        <f>F412-E412</f>
        <v/>
      </c>
      <c r="H412">
        <f>IF(OR(NOT(ISNUMBER(D412)),ABS(D412-E412)&gt;$O$3,AND($O$11=1,B412&lt;$O$12)),1,0)</f>
        <v/>
      </c>
      <c r="I412">
        <f>IF(H412=1,NA(),D412)</f>
        <v/>
      </c>
      <c r="J412">
        <f>IF(AND(ISNUMBER(D412),D412&gt;=$O$4,OR($O$11=0,B412&gt;=$O$12)),1,0)</f>
        <v/>
      </c>
      <c r="K412">
        <f>B412-$O$14</f>
        <v/>
      </c>
    </row>
    <row r="413">
      <c r="A413" t="n">
        <v>1233</v>
      </c>
      <c r="B413" t="n">
        <v>41.1</v>
      </c>
      <c r="C413" t="inlineStr">
        <is>
          <t>306</t>
        </is>
      </c>
      <c r="D413" t="n">
        <v>3.06</v>
      </c>
      <c r="E413">
        <f>MEDIAN(D393:D433)</f>
        <v/>
      </c>
      <c r="F413">
        <f>E393</f>
        <v/>
      </c>
      <c r="G413">
        <f>F413-E413</f>
        <v/>
      </c>
      <c r="H413">
        <f>IF(OR(NOT(ISNUMBER(D413)),ABS(D413-E413)&gt;$O$3,AND($O$11=1,B413&lt;$O$12)),1,0)</f>
        <v/>
      </c>
      <c r="I413">
        <f>IF(H413=1,NA(),D413)</f>
        <v/>
      </c>
      <c r="J413">
        <f>IF(AND(ISNUMBER(D413),D413&gt;=$O$4,OR($O$11=0,B413&gt;=$O$12)),1,0)</f>
        <v/>
      </c>
      <c r="K413">
        <f>B413-$O$14</f>
        <v/>
      </c>
    </row>
    <row r="414">
      <c r="A414" t="n">
        <v>1236</v>
      </c>
      <c r="B414" t="n">
        <v>41.2</v>
      </c>
      <c r="C414" t="inlineStr">
        <is>
          <t>6</t>
        </is>
      </c>
      <c r="D414" t="n">
        <v>0.06</v>
      </c>
      <c r="E414">
        <f>MEDIAN(D394:D434)</f>
        <v/>
      </c>
      <c r="F414">
        <f>E394</f>
        <v/>
      </c>
      <c r="G414">
        <f>F414-E414</f>
        <v/>
      </c>
      <c r="H414">
        <f>IF(OR(NOT(ISNUMBER(D414)),ABS(D414-E414)&gt;$O$3,AND($O$11=1,B414&lt;$O$12)),1,0)</f>
        <v/>
      </c>
      <c r="I414">
        <f>IF(H414=1,NA(),D414)</f>
        <v/>
      </c>
      <c r="J414">
        <f>IF(AND(ISNUMBER(D414),D414&gt;=$O$4,OR($O$11=0,B414&gt;=$O$12)),1,0)</f>
        <v/>
      </c>
      <c r="K414">
        <f>B414-$O$14</f>
        <v/>
      </c>
    </row>
    <row r="415">
      <c r="A415" t="n">
        <v>1239</v>
      </c>
      <c r="B415" t="n">
        <v>41.3</v>
      </c>
      <c r="C415" t="inlineStr">
        <is>
          <t>306</t>
        </is>
      </c>
      <c r="D415" t="n">
        <v>3.06</v>
      </c>
      <c r="E415">
        <f>MEDIAN(D395:D435)</f>
        <v/>
      </c>
      <c r="F415">
        <f>E395</f>
        <v/>
      </c>
      <c r="G415">
        <f>F415-E415</f>
        <v/>
      </c>
      <c r="H415">
        <f>IF(OR(NOT(ISNUMBER(D415)),ABS(D415-E415)&gt;$O$3,AND($O$11=1,B415&lt;$O$12)),1,0)</f>
        <v/>
      </c>
      <c r="I415">
        <f>IF(H415=1,NA(),D415)</f>
        <v/>
      </c>
      <c r="J415">
        <f>IF(AND(ISNUMBER(D415),D415&gt;=$O$4,OR($O$11=0,B415&gt;=$O$12)),1,0)</f>
        <v/>
      </c>
      <c r="K415">
        <f>B415-$O$14</f>
        <v/>
      </c>
    </row>
    <row r="416">
      <c r="A416" t="n">
        <v>1242</v>
      </c>
      <c r="B416" t="n">
        <v>41.4</v>
      </c>
      <c r="C416" t="inlineStr">
        <is>
          <t>6</t>
        </is>
      </c>
      <c r="D416" t="n">
        <v>0.06</v>
      </c>
      <c r="E416">
        <f>MEDIAN(D396:D436)</f>
        <v/>
      </c>
      <c r="F416">
        <f>E396</f>
        <v/>
      </c>
      <c r="G416">
        <f>F416-E416</f>
        <v/>
      </c>
      <c r="H416">
        <f>IF(OR(NOT(ISNUMBER(D416)),ABS(D416-E416)&gt;$O$3,AND($O$11=1,B416&lt;$O$12)),1,0)</f>
        <v/>
      </c>
      <c r="I416">
        <f>IF(H416=1,NA(),D416)</f>
        <v/>
      </c>
      <c r="J416">
        <f>IF(AND(ISNUMBER(D416),D416&gt;=$O$4,OR($O$11=0,B416&gt;=$O$12)),1,0)</f>
        <v/>
      </c>
      <c r="K416">
        <f>B416-$O$14</f>
        <v/>
      </c>
    </row>
    <row r="417">
      <c r="A417" t="n">
        <v>1245</v>
      </c>
      <c r="B417" t="n">
        <v>41.5</v>
      </c>
      <c r="C417" t="inlineStr">
        <is>
          <t>306</t>
        </is>
      </c>
      <c r="D417" t="n">
        <v>3.06</v>
      </c>
      <c r="E417">
        <f>MEDIAN(D397:D437)</f>
        <v/>
      </c>
      <c r="F417">
        <f>E397</f>
        <v/>
      </c>
      <c r="G417">
        <f>F417-E417</f>
        <v/>
      </c>
      <c r="H417">
        <f>IF(OR(NOT(ISNUMBER(D417)),ABS(D417-E417)&gt;$O$3,AND($O$11=1,B417&lt;$O$12)),1,0)</f>
        <v/>
      </c>
      <c r="I417">
        <f>IF(H417=1,NA(),D417)</f>
        <v/>
      </c>
      <c r="J417">
        <f>IF(AND(ISNUMBER(D417),D417&gt;=$O$4,OR($O$11=0,B417&gt;=$O$12)),1,0)</f>
        <v/>
      </c>
      <c r="K417">
        <f>B417-$O$14</f>
        <v/>
      </c>
    </row>
    <row r="418">
      <c r="A418" t="n">
        <v>1248</v>
      </c>
      <c r="B418" t="n">
        <v>41.6</v>
      </c>
      <c r="C418" t="inlineStr">
        <is>
          <t>386</t>
        </is>
      </c>
      <c r="D418" t="n">
        <v>3.86</v>
      </c>
      <c r="E418">
        <f>MEDIAN(D398:D438)</f>
        <v/>
      </c>
      <c r="F418">
        <f>E398</f>
        <v/>
      </c>
      <c r="G418">
        <f>F418-E418</f>
        <v/>
      </c>
      <c r="H418">
        <f>IF(OR(NOT(ISNUMBER(D418)),ABS(D418-E418)&gt;$O$3,AND($O$11=1,B418&lt;$O$12)),1,0)</f>
        <v/>
      </c>
      <c r="I418">
        <f>IF(H418=1,NA(),D418)</f>
        <v/>
      </c>
      <c r="J418">
        <f>IF(AND(ISNUMBER(D418),D418&gt;=$O$4,OR($O$11=0,B418&gt;=$O$12)),1,0)</f>
        <v/>
      </c>
      <c r="K418">
        <f>B418-$O$14</f>
        <v/>
      </c>
    </row>
    <row r="419">
      <c r="A419" t="n">
        <v>1251</v>
      </c>
      <c r="B419" t="n">
        <v>41.7</v>
      </c>
      <c r="C419" t="inlineStr">
        <is>
          <t>306</t>
        </is>
      </c>
      <c r="D419" t="n">
        <v>3.06</v>
      </c>
      <c r="E419">
        <f>MEDIAN(D399:D439)</f>
        <v/>
      </c>
      <c r="F419">
        <f>E399</f>
        <v/>
      </c>
      <c r="G419">
        <f>F419-E419</f>
        <v/>
      </c>
      <c r="H419">
        <f>IF(OR(NOT(ISNUMBER(D419)),ABS(D419-E419)&gt;$O$3,AND($O$11=1,B419&lt;$O$12)),1,0)</f>
        <v/>
      </c>
      <c r="I419">
        <f>IF(H419=1,NA(),D419)</f>
        <v/>
      </c>
      <c r="J419">
        <f>IF(AND(ISNUMBER(D419),D419&gt;=$O$4,OR($O$11=0,B419&gt;=$O$12)),1,0)</f>
        <v/>
      </c>
      <c r="K419">
        <f>B419-$O$14</f>
        <v/>
      </c>
    </row>
    <row r="420">
      <c r="A420" t="n">
        <v>1254</v>
      </c>
      <c r="B420" t="n">
        <v>41.8</v>
      </c>
      <c r="C420" t="inlineStr">
        <is>
          <t>366</t>
        </is>
      </c>
      <c r="D420" t="n">
        <v>3.66</v>
      </c>
      <c r="E420">
        <f>MEDIAN(D400:D440)</f>
        <v/>
      </c>
      <c r="F420">
        <f>E400</f>
        <v/>
      </c>
      <c r="G420">
        <f>F420-E420</f>
        <v/>
      </c>
      <c r="H420">
        <f>IF(OR(NOT(ISNUMBER(D420)),ABS(D420-E420)&gt;$O$3,AND($O$11=1,B420&lt;$O$12)),1,0)</f>
        <v/>
      </c>
      <c r="I420">
        <f>IF(H420=1,NA(),D420)</f>
        <v/>
      </c>
      <c r="J420">
        <f>IF(AND(ISNUMBER(D420),D420&gt;=$O$4,OR($O$11=0,B420&gt;=$O$12)),1,0)</f>
        <v/>
      </c>
      <c r="K420">
        <f>B420-$O$14</f>
        <v/>
      </c>
    </row>
    <row r="421">
      <c r="A421" t="n">
        <v>1257</v>
      </c>
      <c r="B421" t="n">
        <v>41.9</v>
      </c>
      <c r="C421" t="inlineStr">
        <is>
          <t>306</t>
        </is>
      </c>
      <c r="D421" t="n">
        <v>3.06</v>
      </c>
      <c r="E421">
        <f>MEDIAN(D401:D441)</f>
        <v/>
      </c>
      <c r="F421">
        <f>E401</f>
        <v/>
      </c>
      <c r="G421">
        <f>F421-E421</f>
        <v/>
      </c>
      <c r="H421">
        <f>IF(OR(NOT(ISNUMBER(D421)),ABS(D421-E421)&gt;$O$3,AND($O$11=1,B421&lt;$O$12)),1,0)</f>
        <v/>
      </c>
      <c r="I421">
        <f>IF(H421=1,NA(),D421)</f>
        <v/>
      </c>
      <c r="J421">
        <f>IF(AND(ISNUMBER(D421),D421&gt;=$O$4,OR($O$11=0,B421&gt;=$O$12)),1,0)</f>
        <v/>
      </c>
      <c r="K421">
        <f>B421-$O$14</f>
        <v/>
      </c>
    </row>
    <row r="422">
      <c r="A422" t="n">
        <v>1260</v>
      </c>
      <c r="B422" t="n">
        <v>42</v>
      </c>
      <c r="C422" t="inlineStr">
        <is>
          <t>386</t>
        </is>
      </c>
      <c r="D422" t="n">
        <v>3.86</v>
      </c>
      <c r="E422">
        <f>MEDIAN(D402:D442)</f>
        <v/>
      </c>
      <c r="F422">
        <f>E402</f>
        <v/>
      </c>
      <c r="G422">
        <f>F422-E422</f>
        <v/>
      </c>
      <c r="H422">
        <f>IF(OR(NOT(ISNUMBER(D422)),ABS(D422-E422)&gt;$O$3,AND($O$11=1,B422&lt;$O$12)),1,0)</f>
        <v/>
      </c>
      <c r="I422">
        <f>IF(H422=1,NA(),D422)</f>
        <v/>
      </c>
      <c r="J422">
        <f>IF(AND(ISNUMBER(D422),D422&gt;=$O$4,OR($O$11=0,B422&gt;=$O$12)),1,0)</f>
        <v/>
      </c>
      <c r="K422">
        <f>B422-$O$14</f>
        <v/>
      </c>
    </row>
    <row r="423">
      <c r="A423" t="n">
        <v>1263</v>
      </c>
      <c r="B423" t="n">
        <v>42.1</v>
      </c>
      <c r="C423" t="inlineStr">
        <is>
          <t>?06</t>
        </is>
      </c>
      <c r="E423">
        <f>MEDIAN(D403:D443)</f>
        <v/>
      </c>
      <c r="F423">
        <f>E403</f>
        <v/>
      </c>
      <c r="G423">
        <f>F423-E423</f>
        <v/>
      </c>
      <c r="H423">
        <f>IF(OR(NOT(ISNUMBER(D423)),ABS(D423-E423)&gt;$O$3,AND($O$11=1,B423&lt;$O$12)),1,0)</f>
        <v/>
      </c>
      <c r="I423">
        <f>IF(H423=1,NA(),D423)</f>
        <v/>
      </c>
      <c r="J423">
        <f>IF(AND(ISNUMBER(D423),D423&gt;=$O$4,OR($O$11=0,B423&gt;=$O$12)),1,0)</f>
        <v/>
      </c>
      <c r="K423">
        <f>B423-$O$14</f>
        <v/>
      </c>
    </row>
    <row r="424">
      <c r="A424" t="n">
        <v>1266</v>
      </c>
      <c r="B424" t="n">
        <v>42.2</v>
      </c>
      <c r="C424" t="inlineStr">
        <is>
          <t>6</t>
        </is>
      </c>
      <c r="D424" t="n">
        <v>0.06</v>
      </c>
      <c r="E424">
        <f>MEDIAN(D404:D444)</f>
        <v/>
      </c>
      <c r="F424">
        <f>E404</f>
        <v/>
      </c>
      <c r="G424">
        <f>F424-E424</f>
        <v/>
      </c>
      <c r="H424">
        <f>IF(OR(NOT(ISNUMBER(D424)),ABS(D424-E424)&gt;$O$3,AND($O$11=1,B424&lt;$O$12)),1,0)</f>
        <v/>
      </c>
      <c r="I424">
        <f>IF(H424=1,NA(),D424)</f>
        <v/>
      </c>
      <c r="J424">
        <f>IF(AND(ISNUMBER(D424),D424&gt;=$O$4,OR($O$11=0,B424&gt;=$O$12)),1,0)</f>
        <v/>
      </c>
      <c r="K424">
        <f>B424-$O$14</f>
        <v/>
      </c>
    </row>
    <row r="425">
      <c r="A425" t="n">
        <v>1269</v>
      </c>
      <c r="B425" t="n">
        <v>42.3</v>
      </c>
      <c r="C425" t="inlineStr">
        <is>
          <t>306</t>
        </is>
      </c>
      <c r="D425" t="n">
        <v>3.06</v>
      </c>
      <c r="E425">
        <f>MEDIAN(D405:D445)</f>
        <v/>
      </c>
      <c r="F425">
        <f>E405</f>
        <v/>
      </c>
      <c r="G425">
        <f>F425-E425</f>
        <v/>
      </c>
      <c r="H425">
        <f>IF(OR(NOT(ISNUMBER(D425)),ABS(D425-E425)&gt;$O$3,AND($O$11=1,B425&lt;$O$12)),1,0)</f>
        <v/>
      </c>
      <c r="I425">
        <f>IF(H425=1,NA(),D425)</f>
        <v/>
      </c>
      <c r="J425">
        <f>IF(AND(ISNUMBER(D425),D425&gt;=$O$4,OR($O$11=0,B425&gt;=$O$12)),1,0)</f>
        <v/>
      </c>
      <c r="K425">
        <f>B425-$O$14</f>
        <v/>
      </c>
    </row>
    <row r="426">
      <c r="A426" t="n">
        <v>1272</v>
      </c>
      <c r="B426" t="n">
        <v>42.4</v>
      </c>
      <c r="C426" t="inlineStr">
        <is>
          <t>306</t>
        </is>
      </c>
      <c r="D426" t="n">
        <v>3.06</v>
      </c>
      <c r="E426">
        <f>MEDIAN(D406:D446)</f>
        <v/>
      </c>
      <c r="F426">
        <f>E406</f>
        <v/>
      </c>
      <c r="G426">
        <f>F426-E426</f>
        <v/>
      </c>
      <c r="H426">
        <f>IF(OR(NOT(ISNUMBER(D426)),ABS(D426-E426)&gt;$O$3,AND($O$11=1,B426&lt;$O$12)),1,0)</f>
        <v/>
      </c>
      <c r="I426">
        <f>IF(H426=1,NA(),D426)</f>
        <v/>
      </c>
      <c r="J426">
        <f>IF(AND(ISNUMBER(D426),D426&gt;=$O$4,OR($O$11=0,B426&gt;=$O$12)),1,0)</f>
        <v/>
      </c>
      <c r="K426">
        <f>B426-$O$14</f>
        <v/>
      </c>
    </row>
    <row r="427">
      <c r="A427" t="n">
        <v>1275</v>
      </c>
      <c r="B427" t="n">
        <v>42.5</v>
      </c>
      <c r="C427" t="inlineStr">
        <is>
          <t>306</t>
        </is>
      </c>
      <c r="D427" t="n">
        <v>3.06</v>
      </c>
      <c r="E427">
        <f>MEDIAN(D407:D447)</f>
        <v/>
      </c>
      <c r="F427">
        <f>E407</f>
        <v/>
      </c>
      <c r="G427">
        <f>F427-E427</f>
        <v/>
      </c>
      <c r="H427">
        <f>IF(OR(NOT(ISNUMBER(D427)),ABS(D427-E427)&gt;$O$3,AND($O$11=1,B427&lt;$O$12)),1,0)</f>
        <v/>
      </c>
      <c r="I427">
        <f>IF(H427=1,NA(),D427)</f>
        <v/>
      </c>
      <c r="J427">
        <f>IF(AND(ISNUMBER(D427),D427&gt;=$O$4,OR($O$11=0,B427&gt;=$O$12)),1,0)</f>
        <v/>
      </c>
      <c r="K427">
        <f>B427-$O$14</f>
        <v/>
      </c>
    </row>
    <row r="428">
      <c r="A428" t="n">
        <v>1278</v>
      </c>
      <c r="B428" t="n">
        <v>42.6</v>
      </c>
      <c r="C428" t="inlineStr">
        <is>
          <t>386</t>
        </is>
      </c>
      <c r="D428" t="n">
        <v>3.86</v>
      </c>
      <c r="E428">
        <f>MEDIAN(D408:D448)</f>
        <v/>
      </c>
      <c r="F428">
        <f>E408</f>
        <v/>
      </c>
      <c r="G428">
        <f>F428-E428</f>
        <v/>
      </c>
      <c r="H428">
        <f>IF(OR(NOT(ISNUMBER(D428)),ABS(D428-E428)&gt;$O$3,AND($O$11=1,B428&lt;$O$12)),1,0)</f>
        <v/>
      </c>
      <c r="I428">
        <f>IF(H428=1,NA(),D428)</f>
        <v/>
      </c>
      <c r="J428">
        <f>IF(AND(ISNUMBER(D428),D428&gt;=$O$4,OR($O$11=0,B428&gt;=$O$12)),1,0)</f>
        <v/>
      </c>
      <c r="K428">
        <f>B428-$O$14</f>
        <v/>
      </c>
    </row>
    <row r="429">
      <c r="A429" t="n">
        <v>1281</v>
      </c>
      <c r="B429" t="n">
        <v>42.7</v>
      </c>
      <c r="C429" t="inlineStr">
        <is>
          <t>306</t>
        </is>
      </c>
      <c r="D429" t="n">
        <v>3.06</v>
      </c>
      <c r="E429">
        <f>MEDIAN(D409:D449)</f>
        <v/>
      </c>
      <c r="F429">
        <f>E409</f>
        <v/>
      </c>
      <c r="G429">
        <f>F429-E429</f>
        <v/>
      </c>
      <c r="H429">
        <f>IF(OR(NOT(ISNUMBER(D429)),ABS(D429-E429)&gt;$O$3,AND($O$11=1,B429&lt;$O$12)),1,0)</f>
        <v/>
      </c>
      <c r="I429">
        <f>IF(H429=1,NA(),D429)</f>
        <v/>
      </c>
      <c r="J429">
        <f>IF(AND(ISNUMBER(D429),D429&gt;=$O$4,OR($O$11=0,B429&gt;=$O$12)),1,0)</f>
        <v/>
      </c>
      <c r="K429">
        <f>B429-$O$14</f>
        <v/>
      </c>
    </row>
    <row r="430">
      <c r="A430" t="n">
        <v>1284</v>
      </c>
      <c r="B430" t="n">
        <v>42.8</v>
      </c>
      <c r="C430" t="inlineStr">
        <is>
          <t>386</t>
        </is>
      </c>
      <c r="D430" t="n">
        <v>3.86</v>
      </c>
      <c r="E430">
        <f>MEDIAN(D410:D450)</f>
        <v/>
      </c>
      <c r="F430">
        <f>E410</f>
        <v/>
      </c>
      <c r="G430">
        <f>F430-E430</f>
        <v/>
      </c>
      <c r="H430">
        <f>IF(OR(NOT(ISNUMBER(D430)),ABS(D430-E430)&gt;$O$3,AND($O$11=1,B430&lt;$O$12)),1,0)</f>
        <v/>
      </c>
      <c r="I430">
        <f>IF(H430=1,NA(),D430)</f>
        <v/>
      </c>
      <c r="J430">
        <f>IF(AND(ISNUMBER(D430),D430&gt;=$O$4,OR($O$11=0,B430&gt;=$O$12)),1,0)</f>
        <v/>
      </c>
      <c r="K430">
        <f>B430-$O$14</f>
        <v/>
      </c>
    </row>
    <row r="431">
      <c r="A431" t="n">
        <v>1287</v>
      </c>
      <c r="B431" t="n">
        <v>42.9</v>
      </c>
      <c r="C431" t="inlineStr">
        <is>
          <t>306</t>
        </is>
      </c>
      <c r="D431" t="n">
        <v>3.06</v>
      </c>
      <c r="E431">
        <f>MEDIAN(D411:D451)</f>
        <v/>
      </c>
      <c r="F431">
        <f>E411</f>
        <v/>
      </c>
      <c r="G431">
        <f>F431-E431</f>
        <v/>
      </c>
      <c r="H431">
        <f>IF(OR(NOT(ISNUMBER(D431)),ABS(D431-E431)&gt;$O$3,AND($O$11=1,B431&lt;$O$12)),1,0)</f>
        <v/>
      </c>
      <c r="I431">
        <f>IF(H431=1,NA(),D431)</f>
        <v/>
      </c>
      <c r="J431">
        <f>IF(AND(ISNUMBER(D431),D431&gt;=$O$4,OR($O$11=0,B431&gt;=$O$12)),1,0)</f>
        <v/>
      </c>
      <c r="K431">
        <f>B431-$O$14</f>
        <v/>
      </c>
    </row>
    <row r="432">
      <c r="A432" t="n">
        <v>1290</v>
      </c>
      <c r="B432" t="n">
        <v>43</v>
      </c>
      <c r="C432" t="inlineStr">
        <is>
          <t>30?</t>
        </is>
      </c>
      <c r="E432">
        <f>MEDIAN(D412:D452)</f>
        <v/>
      </c>
      <c r="F432">
        <f>E412</f>
        <v/>
      </c>
      <c r="G432">
        <f>F432-E432</f>
        <v/>
      </c>
      <c r="H432">
        <f>IF(OR(NOT(ISNUMBER(D432)),ABS(D432-E432)&gt;$O$3,AND($O$11=1,B432&lt;$O$12)),1,0)</f>
        <v/>
      </c>
      <c r="I432">
        <f>IF(H432=1,NA(),D432)</f>
        <v/>
      </c>
      <c r="J432">
        <f>IF(AND(ISNUMBER(D432),D432&gt;=$O$4,OR($O$11=0,B432&gt;=$O$12)),1,0)</f>
        <v/>
      </c>
      <c r="K432">
        <f>B432-$O$14</f>
        <v/>
      </c>
    </row>
    <row r="433">
      <c r="A433" t="n">
        <v>1293</v>
      </c>
      <c r="B433" t="n">
        <v>43.1</v>
      </c>
      <c r="C433" t="inlineStr">
        <is>
          <t>307</t>
        </is>
      </c>
      <c r="D433" t="n">
        <v>3.07</v>
      </c>
      <c r="E433">
        <f>MEDIAN(D413:D453)</f>
        <v/>
      </c>
      <c r="F433">
        <f>E413</f>
        <v/>
      </c>
      <c r="G433">
        <f>F433-E433</f>
        <v/>
      </c>
      <c r="H433">
        <f>IF(OR(NOT(ISNUMBER(D433)),ABS(D433-E433)&gt;$O$3,AND($O$11=1,B433&lt;$O$12)),1,0)</f>
        <v/>
      </c>
      <c r="I433">
        <f>IF(H433=1,NA(),D433)</f>
        <v/>
      </c>
      <c r="J433">
        <f>IF(AND(ISNUMBER(D433),D433&gt;=$O$4,OR($O$11=0,B433&gt;=$O$12)),1,0)</f>
        <v/>
      </c>
      <c r="K433">
        <f>B433-$O$14</f>
        <v/>
      </c>
    </row>
    <row r="434">
      <c r="A434" t="n">
        <v>1296</v>
      </c>
      <c r="B434" t="n">
        <v>43.2</v>
      </c>
      <c r="C434" t="inlineStr">
        <is>
          <t>7</t>
        </is>
      </c>
      <c r="D434" t="n">
        <v>0.07000000000000001</v>
      </c>
      <c r="E434">
        <f>MEDIAN(D414:D454)</f>
        <v/>
      </c>
      <c r="F434">
        <f>E414</f>
        <v/>
      </c>
      <c r="G434">
        <f>F434-E434</f>
        <v/>
      </c>
      <c r="H434">
        <f>IF(OR(NOT(ISNUMBER(D434)),ABS(D434-E434)&gt;$O$3,AND($O$11=1,B434&lt;$O$12)),1,0)</f>
        <v/>
      </c>
      <c r="I434">
        <f>IF(H434=1,NA(),D434)</f>
        <v/>
      </c>
      <c r="J434">
        <f>IF(AND(ISNUMBER(D434),D434&gt;=$O$4,OR($O$11=0,B434&gt;=$O$12)),1,0)</f>
        <v/>
      </c>
      <c r="K434">
        <f>B434-$O$14</f>
        <v/>
      </c>
    </row>
    <row r="435">
      <c r="A435" t="n">
        <v>1299</v>
      </c>
      <c r="B435" t="n">
        <v>43.3</v>
      </c>
      <c r="C435" t="inlineStr">
        <is>
          <t>307</t>
        </is>
      </c>
      <c r="D435" t="n">
        <v>3.07</v>
      </c>
      <c r="E435">
        <f>MEDIAN(D415:D455)</f>
        <v/>
      </c>
      <c r="F435">
        <f>E415</f>
        <v/>
      </c>
      <c r="G435">
        <f>F435-E435</f>
        <v/>
      </c>
      <c r="H435">
        <f>IF(OR(NOT(ISNUMBER(D435)),ABS(D435-E435)&gt;$O$3,AND($O$11=1,B435&lt;$O$12)),1,0)</f>
        <v/>
      </c>
      <c r="I435">
        <f>IF(H435=1,NA(),D435)</f>
        <v/>
      </c>
      <c r="J435">
        <f>IF(AND(ISNUMBER(D435),D435&gt;=$O$4,OR($O$11=0,B435&gt;=$O$12)),1,0)</f>
        <v/>
      </c>
      <c r="K435">
        <f>B435-$O$14</f>
        <v/>
      </c>
    </row>
    <row r="436">
      <c r="A436" t="n">
        <v>1302</v>
      </c>
      <c r="B436" t="n">
        <v>43.4</v>
      </c>
      <c r="C436" t="inlineStr">
        <is>
          <t>3?7</t>
        </is>
      </c>
      <c r="E436">
        <f>MEDIAN(D416:D456)</f>
        <v/>
      </c>
      <c r="F436">
        <f>E416</f>
        <v/>
      </c>
      <c r="G436">
        <f>F436-E436</f>
        <v/>
      </c>
      <c r="H436">
        <f>IF(OR(NOT(ISNUMBER(D436)),ABS(D436-E436)&gt;$O$3,AND($O$11=1,B436&lt;$O$12)),1,0)</f>
        <v/>
      </c>
      <c r="I436">
        <f>IF(H436=1,NA(),D436)</f>
        <v/>
      </c>
      <c r="J436">
        <f>IF(AND(ISNUMBER(D436),D436&gt;=$O$4,OR($O$11=0,B436&gt;=$O$12)),1,0)</f>
        <v/>
      </c>
      <c r="K436">
        <f>B436-$O$14</f>
        <v/>
      </c>
    </row>
    <row r="437">
      <c r="A437" t="n">
        <v>1305</v>
      </c>
      <c r="B437" t="n">
        <v>43.5</v>
      </c>
      <c r="C437" t="inlineStr">
        <is>
          <t>7</t>
        </is>
      </c>
      <c r="D437" t="n">
        <v>0.07000000000000001</v>
      </c>
      <c r="E437">
        <f>MEDIAN(D417:D457)</f>
        <v/>
      </c>
      <c r="F437">
        <f>E417</f>
        <v/>
      </c>
      <c r="G437">
        <f>F437-E437</f>
        <v/>
      </c>
      <c r="H437">
        <f>IF(OR(NOT(ISNUMBER(D437)),ABS(D437-E437)&gt;$O$3,AND($O$11=1,B437&lt;$O$12)),1,0)</f>
        <v/>
      </c>
      <c r="I437">
        <f>IF(H437=1,NA(),D437)</f>
        <v/>
      </c>
      <c r="J437">
        <f>IF(AND(ISNUMBER(D437),D437&gt;=$O$4,OR($O$11=0,B437&gt;=$O$12)),1,0)</f>
        <v/>
      </c>
      <c r="K437">
        <f>B437-$O$14</f>
        <v/>
      </c>
    </row>
    <row r="438">
      <c r="A438" t="n">
        <v>1308</v>
      </c>
      <c r="B438" t="n">
        <v>43.6</v>
      </c>
      <c r="C438" t="inlineStr">
        <is>
          <t>307</t>
        </is>
      </c>
      <c r="D438" t="n">
        <v>3.07</v>
      </c>
      <c r="E438">
        <f>MEDIAN(D418:D458)</f>
        <v/>
      </c>
      <c r="F438">
        <f>E418</f>
        <v/>
      </c>
      <c r="G438">
        <f>F438-E438</f>
        <v/>
      </c>
      <c r="H438">
        <f>IF(OR(NOT(ISNUMBER(D438)),ABS(D438-E438)&gt;$O$3,AND($O$11=1,B438&lt;$O$12)),1,0)</f>
        <v/>
      </c>
      <c r="I438">
        <f>IF(H438=1,NA(),D438)</f>
        <v/>
      </c>
      <c r="J438">
        <f>IF(AND(ISNUMBER(D438),D438&gt;=$O$4,OR($O$11=0,B438&gt;=$O$12)),1,0)</f>
        <v/>
      </c>
      <c r="K438">
        <f>B438-$O$14</f>
        <v/>
      </c>
    </row>
    <row r="439">
      <c r="A439" t="n">
        <v>1311</v>
      </c>
      <c r="B439" t="n">
        <v>43.7</v>
      </c>
      <c r="C439" t="inlineStr">
        <is>
          <t>7</t>
        </is>
      </c>
      <c r="D439" t="n">
        <v>0.07000000000000001</v>
      </c>
      <c r="E439">
        <f>MEDIAN(D419:D459)</f>
        <v/>
      </c>
      <c r="F439">
        <f>E419</f>
        <v/>
      </c>
      <c r="G439">
        <f>F439-E439</f>
        <v/>
      </c>
      <c r="H439">
        <f>IF(OR(NOT(ISNUMBER(D439)),ABS(D439-E439)&gt;$O$3,AND($O$11=1,B439&lt;$O$12)),1,0)</f>
        <v/>
      </c>
      <c r="I439">
        <f>IF(H439=1,NA(),D439)</f>
        <v/>
      </c>
      <c r="J439">
        <f>IF(AND(ISNUMBER(D439),D439&gt;=$O$4,OR($O$11=0,B439&gt;=$O$12)),1,0)</f>
        <v/>
      </c>
      <c r="K439">
        <f>B439-$O$14</f>
        <v/>
      </c>
    </row>
    <row r="440">
      <c r="A440" t="n">
        <v>1314</v>
      </c>
      <c r="B440" t="n">
        <v>43.8</v>
      </c>
      <c r="C440" t="inlineStr">
        <is>
          <t>387</t>
        </is>
      </c>
      <c r="D440" t="n">
        <v>3.87</v>
      </c>
      <c r="E440">
        <f>MEDIAN(D420:D460)</f>
        <v/>
      </c>
      <c r="F440">
        <f>E420</f>
        <v/>
      </c>
      <c r="G440">
        <f>F440-E440</f>
        <v/>
      </c>
      <c r="H440">
        <f>IF(OR(NOT(ISNUMBER(D440)),ABS(D440-E440)&gt;$O$3,AND($O$11=1,B440&lt;$O$12)),1,0)</f>
        <v/>
      </c>
      <c r="I440">
        <f>IF(H440=1,NA(),D440)</f>
        <v/>
      </c>
      <c r="J440">
        <f>IF(AND(ISNUMBER(D440),D440&gt;=$O$4,OR($O$11=0,B440&gt;=$O$12)),1,0)</f>
        <v/>
      </c>
      <c r="K440">
        <f>B440-$O$14</f>
        <v/>
      </c>
    </row>
    <row r="441">
      <c r="A441" t="n">
        <v>1317</v>
      </c>
      <c r="B441" t="n">
        <v>43.9</v>
      </c>
      <c r="C441" t="inlineStr">
        <is>
          <t>307</t>
        </is>
      </c>
      <c r="D441" t="n">
        <v>3.07</v>
      </c>
      <c r="E441">
        <f>MEDIAN(D421:D461)</f>
        <v/>
      </c>
      <c r="F441">
        <f>E421</f>
        <v/>
      </c>
      <c r="G441">
        <f>F441-E441</f>
        <v/>
      </c>
      <c r="H441">
        <f>IF(OR(NOT(ISNUMBER(D441)),ABS(D441-E441)&gt;$O$3,AND($O$11=1,B441&lt;$O$12)),1,0)</f>
        <v/>
      </c>
      <c r="I441">
        <f>IF(H441=1,NA(),D441)</f>
        <v/>
      </c>
      <c r="J441">
        <f>IF(AND(ISNUMBER(D441),D441&gt;=$O$4,OR($O$11=0,B441&gt;=$O$12)),1,0)</f>
        <v/>
      </c>
      <c r="K441">
        <f>B441-$O$14</f>
        <v/>
      </c>
    </row>
    <row r="442">
      <c r="A442" t="n">
        <v>1320</v>
      </c>
      <c r="B442" t="n">
        <v>44</v>
      </c>
      <c r="C442" t="inlineStr">
        <is>
          <t>387</t>
        </is>
      </c>
      <c r="D442" t="n">
        <v>3.87</v>
      </c>
      <c r="E442">
        <f>MEDIAN(D422:D462)</f>
        <v/>
      </c>
      <c r="F442">
        <f>E422</f>
        <v/>
      </c>
      <c r="G442">
        <f>F442-E442</f>
        <v/>
      </c>
      <c r="H442">
        <f>IF(OR(NOT(ISNUMBER(D442)),ABS(D442-E442)&gt;$O$3,AND($O$11=1,B442&lt;$O$12)),1,0)</f>
        <v/>
      </c>
      <c r="I442">
        <f>IF(H442=1,NA(),D442)</f>
        <v/>
      </c>
      <c r="J442">
        <f>IF(AND(ISNUMBER(D442),D442&gt;=$O$4,OR($O$11=0,B442&gt;=$O$12)),1,0)</f>
        <v/>
      </c>
      <c r="K442">
        <f>B442-$O$14</f>
        <v/>
      </c>
    </row>
    <row r="443">
      <c r="A443" t="n">
        <v>1323</v>
      </c>
      <c r="B443" t="n">
        <v>44.1</v>
      </c>
      <c r="C443" t="inlineStr">
        <is>
          <t>307</t>
        </is>
      </c>
      <c r="D443" t="n">
        <v>3.07</v>
      </c>
      <c r="E443">
        <f>MEDIAN(D423:D463)</f>
        <v/>
      </c>
      <c r="F443">
        <f>E423</f>
        <v/>
      </c>
      <c r="G443">
        <f>F443-E443</f>
        <v/>
      </c>
      <c r="H443">
        <f>IF(OR(NOT(ISNUMBER(D443)),ABS(D443-E443)&gt;$O$3,AND($O$11=1,B443&lt;$O$12)),1,0)</f>
        <v/>
      </c>
      <c r="I443">
        <f>IF(H443=1,NA(),D443)</f>
        <v/>
      </c>
      <c r="J443">
        <f>IF(AND(ISNUMBER(D443),D443&gt;=$O$4,OR($O$11=0,B443&gt;=$O$12)),1,0)</f>
        <v/>
      </c>
      <c r="K443">
        <f>B443-$O$14</f>
        <v/>
      </c>
    </row>
    <row r="444">
      <c r="A444" t="n">
        <v>1326</v>
      </c>
      <c r="B444" t="n">
        <v>44.2</v>
      </c>
      <c r="C444" t="inlineStr">
        <is>
          <t>387</t>
        </is>
      </c>
      <c r="D444" t="n">
        <v>3.87</v>
      </c>
      <c r="E444">
        <f>MEDIAN(D424:D464)</f>
        <v/>
      </c>
      <c r="F444">
        <f>E424</f>
        <v/>
      </c>
      <c r="G444">
        <f>F444-E444</f>
        <v/>
      </c>
      <c r="H444">
        <f>IF(OR(NOT(ISNUMBER(D444)),ABS(D444-E444)&gt;$O$3,AND($O$11=1,B444&lt;$O$12)),1,0)</f>
        <v/>
      </c>
      <c r="I444">
        <f>IF(H444=1,NA(),D444)</f>
        <v/>
      </c>
      <c r="J444">
        <f>IF(AND(ISNUMBER(D444),D444&gt;=$O$4,OR($O$11=0,B444&gt;=$O$12)),1,0)</f>
        <v/>
      </c>
      <c r="K444">
        <f>B444-$O$14</f>
        <v/>
      </c>
    </row>
    <row r="445">
      <c r="A445" t="n">
        <v>1329</v>
      </c>
      <c r="B445" t="n">
        <v>44.3</v>
      </c>
      <c r="C445" t="inlineStr">
        <is>
          <t>307</t>
        </is>
      </c>
      <c r="D445" t="n">
        <v>3.07</v>
      </c>
      <c r="E445">
        <f>MEDIAN(D425:D465)</f>
        <v/>
      </c>
      <c r="F445">
        <f>E425</f>
        <v/>
      </c>
      <c r="G445">
        <f>F445-E445</f>
        <v/>
      </c>
      <c r="H445">
        <f>IF(OR(NOT(ISNUMBER(D445)),ABS(D445-E445)&gt;$O$3,AND($O$11=1,B445&lt;$O$12)),1,0)</f>
        <v/>
      </c>
      <c r="I445">
        <f>IF(H445=1,NA(),D445)</f>
        <v/>
      </c>
      <c r="J445">
        <f>IF(AND(ISNUMBER(D445),D445&gt;=$O$4,OR($O$11=0,B445&gt;=$O$12)),1,0)</f>
        <v/>
      </c>
      <c r="K445">
        <f>B445-$O$14</f>
        <v/>
      </c>
    </row>
    <row r="446">
      <c r="A446" t="n">
        <v>1332</v>
      </c>
      <c r="B446" t="n">
        <v>44.4</v>
      </c>
      <c r="C446" t="inlineStr">
        <is>
          <t>387</t>
        </is>
      </c>
      <c r="D446" t="n">
        <v>3.87</v>
      </c>
      <c r="E446">
        <f>MEDIAN(D426:D466)</f>
        <v/>
      </c>
      <c r="F446">
        <f>E426</f>
        <v/>
      </c>
      <c r="G446">
        <f>F446-E446</f>
        <v/>
      </c>
      <c r="H446">
        <f>IF(OR(NOT(ISNUMBER(D446)),ABS(D446-E446)&gt;$O$3,AND($O$11=1,B446&lt;$O$12)),1,0)</f>
        <v/>
      </c>
      <c r="I446">
        <f>IF(H446=1,NA(),D446)</f>
        <v/>
      </c>
      <c r="J446">
        <f>IF(AND(ISNUMBER(D446),D446&gt;=$O$4,OR($O$11=0,B446&gt;=$O$12)),1,0)</f>
        <v/>
      </c>
      <c r="K446">
        <f>B446-$O$14</f>
        <v/>
      </c>
    </row>
    <row r="447">
      <c r="A447" t="n">
        <v>1335</v>
      </c>
      <c r="B447" t="n">
        <v>44.5</v>
      </c>
      <c r="C447" t="inlineStr">
        <is>
          <t>307</t>
        </is>
      </c>
      <c r="D447" t="n">
        <v>3.07</v>
      </c>
      <c r="E447">
        <f>MEDIAN(D427:D467)</f>
        <v/>
      </c>
      <c r="F447">
        <f>E427</f>
        <v/>
      </c>
      <c r="G447">
        <f>F447-E447</f>
        <v/>
      </c>
      <c r="H447">
        <f>IF(OR(NOT(ISNUMBER(D447)),ABS(D447-E447)&gt;$O$3,AND($O$11=1,B447&lt;$O$12)),1,0)</f>
        <v/>
      </c>
      <c r="I447">
        <f>IF(H447=1,NA(),D447)</f>
        <v/>
      </c>
      <c r="J447">
        <f>IF(AND(ISNUMBER(D447),D447&gt;=$O$4,OR($O$11=0,B447&gt;=$O$12)),1,0)</f>
        <v/>
      </c>
      <c r="K447">
        <f>B447-$O$14</f>
        <v/>
      </c>
    </row>
    <row r="448">
      <c r="A448" t="n">
        <v>1338</v>
      </c>
      <c r="B448" t="n">
        <v>44.6</v>
      </c>
      <c r="C448" t="inlineStr">
        <is>
          <t>387</t>
        </is>
      </c>
      <c r="D448" t="n">
        <v>3.87</v>
      </c>
      <c r="E448">
        <f>MEDIAN(D428:D468)</f>
        <v/>
      </c>
      <c r="F448">
        <f>E428</f>
        <v/>
      </c>
      <c r="G448">
        <f>F448-E448</f>
        <v/>
      </c>
      <c r="H448">
        <f>IF(OR(NOT(ISNUMBER(D448)),ABS(D448-E448)&gt;$O$3,AND($O$11=1,B448&lt;$O$12)),1,0)</f>
        <v/>
      </c>
      <c r="I448">
        <f>IF(H448=1,NA(),D448)</f>
        <v/>
      </c>
      <c r="J448">
        <f>IF(AND(ISNUMBER(D448),D448&gt;=$O$4,OR($O$11=0,B448&gt;=$O$12)),1,0)</f>
        <v/>
      </c>
      <c r="K448">
        <f>B448-$O$14</f>
        <v/>
      </c>
    </row>
    <row r="449">
      <c r="A449" t="n">
        <v>1341</v>
      </c>
      <c r="B449" t="n">
        <v>44.7</v>
      </c>
      <c r="C449" t="inlineStr">
        <is>
          <t>307</t>
        </is>
      </c>
      <c r="D449" t="n">
        <v>3.07</v>
      </c>
      <c r="E449">
        <f>MEDIAN(D429:D469)</f>
        <v/>
      </c>
      <c r="F449">
        <f>E429</f>
        <v/>
      </c>
      <c r="G449">
        <f>F449-E449</f>
        <v/>
      </c>
      <c r="H449">
        <f>IF(OR(NOT(ISNUMBER(D449)),ABS(D449-E449)&gt;$O$3,AND($O$11=1,B449&lt;$O$12)),1,0)</f>
        <v/>
      </c>
      <c r="I449">
        <f>IF(H449=1,NA(),D449)</f>
        <v/>
      </c>
      <c r="J449">
        <f>IF(AND(ISNUMBER(D449),D449&gt;=$O$4,OR($O$11=0,B449&gt;=$O$12)),1,0)</f>
        <v/>
      </c>
      <c r="K449">
        <f>B449-$O$14</f>
        <v/>
      </c>
    </row>
    <row r="450">
      <c r="A450" t="n">
        <v>1344</v>
      </c>
      <c r="B450" t="n">
        <v>44.8</v>
      </c>
      <c r="C450" t="inlineStr">
        <is>
          <t>387</t>
        </is>
      </c>
      <c r="D450" t="n">
        <v>3.87</v>
      </c>
      <c r="E450">
        <f>MEDIAN(D430:D470)</f>
        <v/>
      </c>
      <c r="F450">
        <f>E430</f>
        <v/>
      </c>
      <c r="G450">
        <f>F450-E450</f>
        <v/>
      </c>
      <c r="H450">
        <f>IF(OR(NOT(ISNUMBER(D450)),ABS(D450-E450)&gt;$O$3,AND($O$11=1,B450&lt;$O$12)),1,0)</f>
        <v/>
      </c>
      <c r="I450">
        <f>IF(H450=1,NA(),D450)</f>
        <v/>
      </c>
      <c r="J450">
        <f>IF(AND(ISNUMBER(D450),D450&gt;=$O$4,OR($O$11=0,B450&gt;=$O$12)),1,0)</f>
        <v/>
      </c>
      <c r="K450">
        <f>B450-$O$14</f>
        <v/>
      </c>
    </row>
    <row r="451">
      <c r="A451" t="n">
        <v>1347</v>
      </c>
      <c r="B451" t="n">
        <v>44.9</v>
      </c>
      <c r="C451" t="inlineStr">
        <is>
          <t>307</t>
        </is>
      </c>
      <c r="D451" t="n">
        <v>3.07</v>
      </c>
      <c r="E451">
        <f>MEDIAN(D431:D471)</f>
        <v/>
      </c>
      <c r="F451">
        <f>E431</f>
        <v/>
      </c>
      <c r="G451">
        <f>F451-E451</f>
        <v/>
      </c>
      <c r="H451">
        <f>IF(OR(NOT(ISNUMBER(D451)),ABS(D451-E451)&gt;$O$3,AND($O$11=1,B451&lt;$O$12)),1,0)</f>
        <v/>
      </c>
      <c r="I451">
        <f>IF(H451=1,NA(),D451)</f>
        <v/>
      </c>
      <c r="J451">
        <f>IF(AND(ISNUMBER(D451),D451&gt;=$O$4,OR($O$11=0,B451&gt;=$O$12)),1,0)</f>
        <v/>
      </c>
      <c r="K451">
        <f>B451-$O$14</f>
        <v/>
      </c>
    </row>
    <row r="452">
      <c r="A452" t="n">
        <v>1350</v>
      </c>
      <c r="B452" t="n">
        <v>45</v>
      </c>
      <c r="C452" t="inlineStr">
        <is>
          <t>387</t>
        </is>
      </c>
      <c r="D452" t="n">
        <v>3.87</v>
      </c>
      <c r="E452">
        <f>MEDIAN(D432:D472)</f>
        <v/>
      </c>
      <c r="F452">
        <f>E432</f>
        <v/>
      </c>
      <c r="G452">
        <f>F452-E452</f>
        <v/>
      </c>
      <c r="H452">
        <f>IF(OR(NOT(ISNUMBER(D452)),ABS(D452-E452)&gt;$O$3,AND($O$11=1,B452&lt;$O$12)),1,0)</f>
        <v/>
      </c>
      <c r="I452">
        <f>IF(H452=1,NA(),D452)</f>
        <v/>
      </c>
      <c r="J452">
        <f>IF(AND(ISNUMBER(D452),D452&gt;=$O$4,OR($O$11=0,B452&gt;=$O$12)),1,0)</f>
        <v/>
      </c>
      <c r="K452">
        <f>B452-$O$14</f>
        <v/>
      </c>
    </row>
    <row r="453">
      <c r="A453" t="n">
        <v>1353</v>
      </c>
      <c r="B453" t="n">
        <v>45.1</v>
      </c>
      <c r="C453" t="inlineStr">
        <is>
          <t>307</t>
        </is>
      </c>
      <c r="D453" t="n">
        <v>3.07</v>
      </c>
      <c r="E453">
        <f>MEDIAN(D433:D473)</f>
        <v/>
      </c>
      <c r="F453">
        <f>E433</f>
        <v/>
      </c>
      <c r="G453">
        <f>F453-E453</f>
        <v/>
      </c>
      <c r="H453">
        <f>IF(OR(NOT(ISNUMBER(D453)),ABS(D453-E453)&gt;$O$3,AND($O$11=1,B453&lt;$O$12)),1,0)</f>
        <v/>
      </c>
      <c r="I453">
        <f>IF(H453=1,NA(),D453)</f>
        <v/>
      </c>
      <c r="J453">
        <f>IF(AND(ISNUMBER(D453),D453&gt;=$O$4,OR($O$11=0,B453&gt;=$O$12)),1,0)</f>
        <v/>
      </c>
      <c r="K453">
        <f>B453-$O$14</f>
        <v/>
      </c>
    </row>
    <row r="454">
      <c r="A454" t="n">
        <v>1356</v>
      </c>
      <c r="B454" t="n">
        <v>45.2</v>
      </c>
      <c r="C454" t="inlineStr">
        <is>
          <t>7</t>
        </is>
      </c>
      <c r="D454" t="n">
        <v>0.07000000000000001</v>
      </c>
      <c r="E454">
        <f>MEDIAN(D434:D474)</f>
        <v/>
      </c>
      <c r="F454">
        <f>E434</f>
        <v/>
      </c>
      <c r="G454">
        <f>F454-E454</f>
        <v/>
      </c>
      <c r="H454">
        <f>IF(OR(NOT(ISNUMBER(D454)),ABS(D454-E454)&gt;$O$3,AND($O$11=1,B454&lt;$O$12)),1,0)</f>
        <v/>
      </c>
      <c r="I454">
        <f>IF(H454=1,NA(),D454)</f>
        <v/>
      </c>
      <c r="J454">
        <f>IF(AND(ISNUMBER(D454),D454&gt;=$O$4,OR($O$11=0,B454&gt;=$O$12)),1,0)</f>
        <v/>
      </c>
      <c r="K454">
        <f>B454-$O$14</f>
        <v/>
      </c>
    </row>
    <row r="455">
      <c r="A455" t="n">
        <v>1359</v>
      </c>
      <c r="B455" t="n">
        <v>45.3</v>
      </c>
      <c r="C455" t="inlineStr">
        <is>
          <t>307</t>
        </is>
      </c>
      <c r="D455" t="n">
        <v>3.07</v>
      </c>
      <c r="E455">
        <f>MEDIAN(D435:D475)</f>
        <v/>
      </c>
      <c r="F455">
        <f>E435</f>
        <v/>
      </c>
      <c r="G455">
        <f>F455-E455</f>
        <v/>
      </c>
      <c r="H455">
        <f>IF(OR(NOT(ISNUMBER(D455)),ABS(D455-E455)&gt;$O$3,AND($O$11=1,B455&lt;$O$12)),1,0)</f>
        <v/>
      </c>
      <c r="I455">
        <f>IF(H455=1,NA(),D455)</f>
        <v/>
      </c>
      <c r="J455">
        <f>IF(AND(ISNUMBER(D455),D455&gt;=$O$4,OR($O$11=0,B455&gt;=$O$12)),1,0)</f>
        <v/>
      </c>
      <c r="K455">
        <f>B455-$O$14</f>
        <v/>
      </c>
    </row>
    <row r="456">
      <c r="A456" t="n">
        <v>1362</v>
      </c>
      <c r="B456" t="n">
        <v>45.4</v>
      </c>
      <c r="C456" t="inlineStr">
        <is>
          <t>7</t>
        </is>
      </c>
      <c r="D456" t="n">
        <v>0.07000000000000001</v>
      </c>
      <c r="E456">
        <f>MEDIAN(D436:D476)</f>
        <v/>
      </c>
      <c r="F456">
        <f>E436</f>
        <v/>
      </c>
      <c r="G456">
        <f>F456-E456</f>
        <v/>
      </c>
      <c r="H456">
        <f>IF(OR(NOT(ISNUMBER(D456)),ABS(D456-E456)&gt;$O$3,AND($O$11=1,B456&lt;$O$12)),1,0)</f>
        <v/>
      </c>
      <c r="I456">
        <f>IF(H456=1,NA(),D456)</f>
        <v/>
      </c>
      <c r="J456">
        <f>IF(AND(ISNUMBER(D456),D456&gt;=$O$4,OR($O$11=0,B456&gt;=$O$12)),1,0)</f>
        <v/>
      </c>
      <c r="K456">
        <f>B456-$O$14</f>
        <v/>
      </c>
    </row>
    <row r="457">
      <c r="A457" t="n">
        <v>1365</v>
      </c>
      <c r="B457" t="n">
        <v>45.5</v>
      </c>
      <c r="C457" t="inlineStr">
        <is>
          <t>307</t>
        </is>
      </c>
      <c r="D457" t="n">
        <v>3.07</v>
      </c>
      <c r="E457">
        <f>MEDIAN(D437:D477)</f>
        <v/>
      </c>
      <c r="F457">
        <f>E437</f>
        <v/>
      </c>
      <c r="G457">
        <f>F457-E457</f>
        <v/>
      </c>
      <c r="H457">
        <f>IF(OR(NOT(ISNUMBER(D457)),ABS(D457-E457)&gt;$O$3,AND($O$11=1,B457&lt;$O$12)),1,0)</f>
        <v/>
      </c>
      <c r="I457">
        <f>IF(H457=1,NA(),D457)</f>
        <v/>
      </c>
      <c r="J457">
        <f>IF(AND(ISNUMBER(D457),D457&gt;=$O$4,OR($O$11=0,B457&gt;=$O$12)),1,0)</f>
        <v/>
      </c>
      <c r="K457">
        <f>B457-$O$14</f>
        <v/>
      </c>
    </row>
    <row r="458">
      <c r="A458" t="n">
        <v>1368</v>
      </c>
      <c r="B458" t="n">
        <v>45.6</v>
      </c>
      <c r="C458" t="inlineStr">
        <is>
          <t>387</t>
        </is>
      </c>
      <c r="D458" t="n">
        <v>3.87</v>
      </c>
      <c r="E458">
        <f>MEDIAN(D438:D478)</f>
        <v/>
      </c>
      <c r="F458">
        <f>E438</f>
        <v/>
      </c>
      <c r="G458">
        <f>F458-E458</f>
        <v/>
      </c>
      <c r="H458">
        <f>IF(OR(NOT(ISNUMBER(D458)),ABS(D458-E458)&gt;$O$3,AND($O$11=1,B458&lt;$O$12)),1,0)</f>
        <v/>
      </c>
      <c r="I458">
        <f>IF(H458=1,NA(),D458)</f>
        <v/>
      </c>
      <c r="J458">
        <f>IF(AND(ISNUMBER(D458),D458&gt;=$O$4,OR($O$11=0,B458&gt;=$O$12)),1,0)</f>
        <v/>
      </c>
      <c r="K458">
        <f>B458-$O$14</f>
        <v/>
      </c>
    </row>
    <row r="459">
      <c r="A459" t="n">
        <v>1371</v>
      </c>
      <c r="B459" t="n">
        <v>45.7</v>
      </c>
      <c r="C459" t="inlineStr">
        <is>
          <t>307</t>
        </is>
      </c>
      <c r="D459" t="n">
        <v>3.07</v>
      </c>
      <c r="E459">
        <f>MEDIAN(D439:D479)</f>
        <v/>
      </c>
      <c r="F459">
        <f>E439</f>
        <v/>
      </c>
      <c r="G459">
        <f>F459-E459</f>
        <v/>
      </c>
      <c r="H459">
        <f>IF(OR(NOT(ISNUMBER(D459)),ABS(D459-E459)&gt;$O$3,AND($O$11=1,B459&lt;$O$12)),1,0)</f>
        <v/>
      </c>
      <c r="I459">
        <f>IF(H459=1,NA(),D459)</f>
        <v/>
      </c>
      <c r="J459">
        <f>IF(AND(ISNUMBER(D459),D459&gt;=$O$4,OR($O$11=0,B459&gt;=$O$12)),1,0)</f>
        <v/>
      </c>
      <c r="K459">
        <f>B459-$O$14</f>
        <v/>
      </c>
    </row>
    <row r="460">
      <c r="A460" t="n">
        <v>1374</v>
      </c>
      <c r="B460" t="n">
        <v>45.8</v>
      </c>
      <c r="C460" t="inlineStr">
        <is>
          <t>387</t>
        </is>
      </c>
      <c r="D460" t="n">
        <v>3.87</v>
      </c>
      <c r="E460">
        <f>MEDIAN(D440:D480)</f>
        <v/>
      </c>
      <c r="F460">
        <f>E440</f>
        <v/>
      </c>
      <c r="G460">
        <f>F460-E460</f>
        <v/>
      </c>
      <c r="H460">
        <f>IF(OR(NOT(ISNUMBER(D460)),ABS(D460-E460)&gt;$O$3,AND($O$11=1,B460&lt;$O$12)),1,0)</f>
        <v/>
      </c>
      <c r="I460">
        <f>IF(H460=1,NA(),D460)</f>
        <v/>
      </c>
      <c r="J460">
        <f>IF(AND(ISNUMBER(D460),D460&gt;=$O$4,OR($O$11=0,B460&gt;=$O$12)),1,0)</f>
        <v/>
      </c>
      <c r="K460">
        <f>B460-$O$14</f>
        <v/>
      </c>
    </row>
    <row r="461">
      <c r="A461" t="n">
        <v>1377</v>
      </c>
      <c r="B461" t="n">
        <v>45.9</v>
      </c>
      <c r="C461" t="inlineStr">
        <is>
          <t>307</t>
        </is>
      </c>
      <c r="D461" t="n">
        <v>3.07</v>
      </c>
      <c r="E461">
        <f>MEDIAN(D441:D481)</f>
        <v/>
      </c>
      <c r="F461">
        <f>E441</f>
        <v/>
      </c>
      <c r="G461">
        <f>F461-E461</f>
        <v/>
      </c>
      <c r="H461">
        <f>IF(OR(NOT(ISNUMBER(D461)),ABS(D461-E461)&gt;$O$3,AND($O$11=1,B461&lt;$O$12)),1,0)</f>
        <v/>
      </c>
      <c r="I461">
        <f>IF(H461=1,NA(),D461)</f>
        <v/>
      </c>
      <c r="J461">
        <f>IF(AND(ISNUMBER(D461),D461&gt;=$O$4,OR($O$11=0,B461&gt;=$O$12)),1,0)</f>
        <v/>
      </c>
      <c r="K461">
        <f>B461-$O$14</f>
        <v/>
      </c>
    </row>
    <row r="462">
      <c r="A462" t="n">
        <v>1380</v>
      </c>
      <c r="B462" t="n">
        <v>46</v>
      </c>
      <c r="C462" t="inlineStr">
        <is>
          <t>7</t>
        </is>
      </c>
      <c r="D462" t="n">
        <v>0.07000000000000001</v>
      </c>
      <c r="E462">
        <f>MEDIAN(D442:D482)</f>
        <v/>
      </c>
      <c r="F462">
        <f>E442</f>
        <v/>
      </c>
      <c r="G462">
        <f>F462-E462</f>
        <v/>
      </c>
      <c r="H462">
        <f>IF(OR(NOT(ISNUMBER(D462)),ABS(D462-E462)&gt;$O$3,AND($O$11=1,B462&lt;$O$12)),1,0)</f>
        <v/>
      </c>
      <c r="I462">
        <f>IF(H462=1,NA(),D462)</f>
        <v/>
      </c>
      <c r="J462">
        <f>IF(AND(ISNUMBER(D462),D462&gt;=$O$4,OR($O$11=0,B462&gt;=$O$12)),1,0)</f>
        <v/>
      </c>
      <c r="K462">
        <f>B462-$O$14</f>
        <v/>
      </c>
    </row>
    <row r="463">
      <c r="A463" t="n">
        <v>1383</v>
      </c>
      <c r="B463" t="n">
        <v>46.1</v>
      </c>
      <c r="C463" t="inlineStr">
        <is>
          <t>307</t>
        </is>
      </c>
      <c r="D463" t="n">
        <v>3.07</v>
      </c>
      <c r="E463">
        <f>MEDIAN(D443:D483)</f>
        <v/>
      </c>
      <c r="F463">
        <f>E443</f>
        <v/>
      </c>
      <c r="G463">
        <f>F463-E463</f>
        <v/>
      </c>
      <c r="H463">
        <f>IF(OR(NOT(ISNUMBER(D463)),ABS(D463-E463)&gt;$O$3,AND($O$11=1,B463&lt;$O$12)),1,0)</f>
        <v/>
      </c>
      <c r="I463">
        <f>IF(H463=1,NA(),D463)</f>
        <v/>
      </c>
      <c r="J463">
        <f>IF(AND(ISNUMBER(D463),D463&gt;=$O$4,OR($O$11=0,B463&gt;=$O$12)),1,0)</f>
        <v/>
      </c>
      <c r="K463">
        <f>B463-$O$14</f>
        <v/>
      </c>
    </row>
    <row r="464">
      <c r="A464" t="n">
        <v>1386</v>
      </c>
      <c r="B464" t="n">
        <v>46.2</v>
      </c>
      <c r="C464" t="inlineStr">
        <is>
          <t>7</t>
        </is>
      </c>
      <c r="D464" t="n">
        <v>0.07000000000000001</v>
      </c>
      <c r="E464">
        <f>MEDIAN(D444:D484)</f>
        <v/>
      </c>
      <c r="F464">
        <f>E444</f>
        <v/>
      </c>
      <c r="G464">
        <f>F464-E464</f>
        <v/>
      </c>
      <c r="H464">
        <f>IF(OR(NOT(ISNUMBER(D464)),ABS(D464-E464)&gt;$O$3,AND($O$11=1,B464&lt;$O$12)),1,0)</f>
        <v/>
      </c>
      <c r="I464">
        <f>IF(H464=1,NA(),D464)</f>
        <v/>
      </c>
      <c r="J464">
        <f>IF(AND(ISNUMBER(D464),D464&gt;=$O$4,OR($O$11=0,B464&gt;=$O$12)),1,0)</f>
        <v/>
      </c>
      <c r="K464">
        <f>B464-$O$14</f>
        <v/>
      </c>
    </row>
    <row r="465">
      <c r="A465" t="n">
        <v>1389</v>
      </c>
      <c r="B465" t="n">
        <v>46.3</v>
      </c>
      <c r="C465" t="inlineStr">
        <is>
          <t>307</t>
        </is>
      </c>
      <c r="D465" t="n">
        <v>3.07</v>
      </c>
      <c r="E465">
        <f>MEDIAN(D445:D485)</f>
        <v/>
      </c>
      <c r="F465">
        <f>E445</f>
        <v/>
      </c>
      <c r="G465">
        <f>F465-E465</f>
        <v/>
      </c>
      <c r="H465">
        <f>IF(OR(NOT(ISNUMBER(D465)),ABS(D465-E465)&gt;$O$3,AND($O$11=1,B465&lt;$O$12)),1,0)</f>
        <v/>
      </c>
      <c r="I465">
        <f>IF(H465=1,NA(),D465)</f>
        <v/>
      </c>
      <c r="J465">
        <f>IF(AND(ISNUMBER(D465),D465&gt;=$O$4,OR($O$11=0,B465&gt;=$O$12)),1,0)</f>
        <v/>
      </c>
      <c r="K465">
        <f>B465-$O$14</f>
        <v/>
      </c>
    </row>
    <row r="466">
      <c r="A466" t="n">
        <v>1392</v>
      </c>
      <c r="B466" t="n">
        <v>46.4</v>
      </c>
      <c r="C466" t="inlineStr">
        <is>
          <t>367</t>
        </is>
      </c>
      <c r="D466" t="n">
        <v>3.67</v>
      </c>
      <c r="E466">
        <f>MEDIAN(D446:D486)</f>
        <v/>
      </c>
      <c r="F466">
        <f>E446</f>
        <v/>
      </c>
      <c r="G466">
        <f>F466-E466</f>
        <v/>
      </c>
      <c r="H466">
        <f>IF(OR(NOT(ISNUMBER(D466)),ABS(D466-E466)&gt;$O$3,AND($O$11=1,B466&lt;$O$12)),1,0)</f>
        <v/>
      </c>
      <c r="I466">
        <f>IF(H466=1,NA(),D466)</f>
        <v/>
      </c>
      <c r="J466">
        <f>IF(AND(ISNUMBER(D466),D466&gt;=$O$4,OR($O$11=0,B466&gt;=$O$12)),1,0)</f>
        <v/>
      </c>
      <c r="K466">
        <f>B466-$O$14</f>
        <v/>
      </c>
    </row>
    <row r="467">
      <c r="A467" t="n">
        <v>1395</v>
      </c>
      <c r="B467" t="n">
        <v>46.5</v>
      </c>
      <c r="C467" t="inlineStr">
        <is>
          <t>307</t>
        </is>
      </c>
      <c r="D467" t="n">
        <v>3.07</v>
      </c>
      <c r="E467">
        <f>MEDIAN(D447:D487)</f>
        <v/>
      </c>
      <c r="F467">
        <f>E447</f>
        <v/>
      </c>
      <c r="G467">
        <f>F467-E467</f>
        <v/>
      </c>
      <c r="H467">
        <f>IF(OR(NOT(ISNUMBER(D467)),ABS(D467-E467)&gt;$O$3,AND($O$11=1,B467&lt;$O$12)),1,0)</f>
        <v/>
      </c>
      <c r="I467">
        <f>IF(H467=1,NA(),D467)</f>
        <v/>
      </c>
      <c r="J467">
        <f>IF(AND(ISNUMBER(D467),D467&gt;=$O$4,OR($O$11=0,B467&gt;=$O$12)),1,0)</f>
        <v/>
      </c>
      <c r="K467">
        <f>B467-$O$14</f>
        <v/>
      </c>
    </row>
    <row r="468">
      <c r="A468" t="n">
        <v>1398</v>
      </c>
      <c r="B468" t="n">
        <v>46.6</v>
      </c>
      <c r="C468" t="inlineStr">
        <is>
          <t>387</t>
        </is>
      </c>
      <c r="D468" t="n">
        <v>3.87</v>
      </c>
      <c r="E468">
        <f>MEDIAN(D448:D488)</f>
        <v/>
      </c>
      <c r="F468">
        <f>E448</f>
        <v/>
      </c>
      <c r="G468">
        <f>F468-E468</f>
        <v/>
      </c>
      <c r="H468">
        <f>IF(OR(NOT(ISNUMBER(D468)),ABS(D468-E468)&gt;$O$3,AND($O$11=1,B468&lt;$O$12)),1,0)</f>
        <v/>
      </c>
      <c r="I468">
        <f>IF(H468=1,NA(),D468)</f>
        <v/>
      </c>
      <c r="J468">
        <f>IF(AND(ISNUMBER(D468),D468&gt;=$O$4,OR($O$11=0,B468&gt;=$O$12)),1,0)</f>
        <v/>
      </c>
      <c r="K468">
        <f>B468-$O$14</f>
        <v/>
      </c>
    </row>
    <row r="469">
      <c r="A469" t="n">
        <v>1401</v>
      </c>
      <c r="B469" t="n">
        <v>46.7</v>
      </c>
      <c r="C469" t="inlineStr">
        <is>
          <t>307</t>
        </is>
      </c>
      <c r="D469" t="n">
        <v>3.07</v>
      </c>
      <c r="E469">
        <f>MEDIAN(D449:D489)</f>
        <v/>
      </c>
      <c r="F469">
        <f>E449</f>
        <v/>
      </c>
      <c r="G469">
        <f>F469-E469</f>
        <v/>
      </c>
      <c r="H469">
        <f>IF(OR(NOT(ISNUMBER(D469)),ABS(D469-E469)&gt;$O$3,AND($O$11=1,B469&lt;$O$12)),1,0)</f>
        <v/>
      </c>
      <c r="I469">
        <f>IF(H469=1,NA(),D469)</f>
        <v/>
      </c>
      <c r="J469">
        <f>IF(AND(ISNUMBER(D469),D469&gt;=$O$4,OR($O$11=0,B469&gt;=$O$12)),1,0)</f>
        <v/>
      </c>
      <c r="K469">
        <f>B469-$O$14</f>
        <v/>
      </c>
    </row>
    <row r="470">
      <c r="A470" t="n">
        <v>1404</v>
      </c>
      <c r="B470" t="n">
        <v>46.8</v>
      </c>
      <c r="C470" t="inlineStr">
        <is>
          <t>387</t>
        </is>
      </c>
      <c r="D470" t="n">
        <v>3.87</v>
      </c>
      <c r="E470">
        <f>MEDIAN(D450:D490)</f>
        <v/>
      </c>
      <c r="F470">
        <f>E450</f>
        <v/>
      </c>
      <c r="G470">
        <f>F470-E470</f>
        <v/>
      </c>
      <c r="H470">
        <f>IF(OR(NOT(ISNUMBER(D470)),ABS(D470-E470)&gt;$O$3,AND($O$11=1,B470&lt;$O$12)),1,0)</f>
        <v/>
      </c>
      <c r="I470">
        <f>IF(H470=1,NA(),D470)</f>
        <v/>
      </c>
      <c r="J470">
        <f>IF(AND(ISNUMBER(D470),D470&gt;=$O$4,OR($O$11=0,B470&gt;=$O$12)),1,0)</f>
        <v/>
      </c>
      <c r="K470">
        <f>B470-$O$14</f>
        <v/>
      </c>
    </row>
    <row r="471">
      <c r="A471" t="n">
        <v>1407</v>
      </c>
      <c r="B471" t="n">
        <v>46.9</v>
      </c>
      <c r="C471" t="inlineStr">
        <is>
          <t>?07</t>
        </is>
      </c>
      <c r="E471">
        <f>MEDIAN(D451:D491)</f>
        <v/>
      </c>
      <c r="F471">
        <f>E451</f>
        <v/>
      </c>
      <c r="G471">
        <f>F471-E471</f>
        <v/>
      </c>
      <c r="H471">
        <f>IF(OR(NOT(ISNUMBER(D471)),ABS(D471-E471)&gt;$O$3,AND($O$11=1,B471&lt;$O$12)),1,0)</f>
        <v/>
      </c>
      <c r="I471">
        <f>IF(H471=1,NA(),D471)</f>
        <v/>
      </c>
      <c r="J471">
        <f>IF(AND(ISNUMBER(D471),D471&gt;=$O$4,OR($O$11=0,B471&gt;=$O$12)),1,0)</f>
        <v/>
      </c>
      <c r="K471">
        <f>B471-$O$14</f>
        <v/>
      </c>
    </row>
    <row r="472">
      <c r="A472" t="n">
        <v>1410</v>
      </c>
      <c r="B472" t="n">
        <v>47</v>
      </c>
      <c r="C472" t="inlineStr">
        <is>
          <t>7</t>
        </is>
      </c>
      <c r="D472" t="n">
        <v>0.07000000000000001</v>
      </c>
      <c r="E472">
        <f>MEDIAN(D452:D492)</f>
        <v/>
      </c>
      <c r="F472">
        <f>E452</f>
        <v/>
      </c>
      <c r="G472">
        <f>F472-E472</f>
        <v/>
      </c>
      <c r="H472">
        <f>IF(OR(NOT(ISNUMBER(D472)),ABS(D472-E472)&gt;$O$3,AND($O$11=1,B472&lt;$O$12)),1,0)</f>
        <v/>
      </c>
      <c r="I472">
        <f>IF(H472=1,NA(),D472)</f>
        <v/>
      </c>
      <c r="J472">
        <f>IF(AND(ISNUMBER(D472),D472&gt;=$O$4,OR($O$11=0,B472&gt;=$O$12)),1,0)</f>
        <v/>
      </c>
      <c r="K472">
        <f>B472-$O$14</f>
        <v/>
      </c>
    </row>
    <row r="473">
      <c r="A473" t="n">
        <v>1413</v>
      </c>
      <c r="B473" t="n">
        <v>47.1</v>
      </c>
      <c r="C473" t="inlineStr">
        <is>
          <t>387</t>
        </is>
      </c>
      <c r="D473" t="n">
        <v>3.87</v>
      </c>
      <c r="E473">
        <f>MEDIAN(D453:D493)</f>
        <v/>
      </c>
      <c r="F473">
        <f>E453</f>
        <v/>
      </c>
      <c r="G473">
        <f>F473-E473</f>
        <v/>
      </c>
      <c r="H473">
        <f>IF(OR(NOT(ISNUMBER(D473)),ABS(D473-E473)&gt;$O$3,AND($O$11=1,B473&lt;$O$12)),1,0)</f>
        <v/>
      </c>
      <c r="I473">
        <f>IF(H473=1,NA(),D473)</f>
        <v/>
      </c>
      <c r="J473">
        <f>IF(AND(ISNUMBER(D473),D473&gt;=$O$4,OR($O$11=0,B473&gt;=$O$12)),1,0)</f>
        <v/>
      </c>
      <c r="K473">
        <f>B473-$O$14</f>
        <v/>
      </c>
    </row>
    <row r="474">
      <c r="A474" t="n">
        <v>1416</v>
      </c>
      <c r="B474" t="n">
        <v>47.2</v>
      </c>
      <c r="C474" t="inlineStr">
        <is>
          <t>307</t>
        </is>
      </c>
      <c r="D474" t="n">
        <v>3.07</v>
      </c>
      <c r="E474">
        <f>MEDIAN(D454:D494)</f>
        <v/>
      </c>
      <c r="F474">
        <f>E454</f>
        <v/>
      </c>
      <c r="G474">
        <f>F474-E474</f>
        <v/>
      </c>
      <c r="H474">
        <f>IF(OR(NOT(ISNUMBER(D474)),ABS(D474-E474)&gt;$O$3,AND($O$11=1,B474&lt;$O$12)),1,0)</f>
        <v/>
      </c>
      <c r="I474">
        <f>IF(H474=1,NA(),D474)</f>
        <v/>
      </c>
      <c r="J474">
        <f>IF(AND(ISNUMBER(D474),D474&gt;=$O$4,OR($O$11=0,B474&gt;=$O$12)),1,0)</f>
        <v/>
      </c>
      <c r="K474">
        <f>B474-$O$14</f>
        <v/>
      </c>
    </row>
    <row r="475">
      <c r="A475" t="n">
        <v>1419</v>
      </c>
      <c r="B475" t="n">
        <v>47.3</v>
      </c>
      <c r="C475" t="inlineStr">
        <is>
          <t>307</t>
        </is>
      </c>
      <c r="D475" t="n">
        <v>3.07</v>
      </c>
      <c r="E475">
        <f>MEDIAN(D455:D495)</f>
        <v/>
      </c>
      <c r="F475">
        <f>E455</f>
        <v/>
      </c>
      <c r="G475">
        <f>F475-E475</f>
        <v/>
      </c>
      <c r="H475">
        <f>IF(OR(NOT(ISNUMBER(D475)),ABS(D475-E475)&gt;$O$3,AND($O$11=1,B475&lt;$O$12)),1,0)</f>
        <v/>
      </c>
      <c r="I475">
        <f>IF(H475=1,NA(),D475)</f>
        <v/>
      </c>
      <c r="J475">
        <f>IF(AND(ISNUMBER(D475),D475&gt;=$O$4,OR($O$11=0,B475&gt;=$O$12)),1,0)</f>
        <v/>
      </c>
      <c r="K475">
        <f>B475-$O$14</f>
        <v/>
      </c>
    </row>
    <row r="476">
      <c r="A476" t="n">
        <v>1422</v>
      </c>
      <c r="B476" t="n">
        <v>47.4</v>
      </c>
      <c r="C476" t="inlineStr">
        <is>
          <t>387</t>
        </is>
      </c>
      <c r="D476" t="n">
        <v>3.87</v>
      </c>
      <c r="E476">
        <f>MEDIAN(D456:D496)</f>
        <v/>
      </c>
      <c r="F476">
        <f>E456</f>
        <v/>
      </c>
      <c r="G476">
        <f>F476-E476</f>
        <v/>
      </c>
      <c r="H476">
        <f>IF(OR(NOT(ISNUMBER(D476)),ABS(D476-E476)&gt;$O$3,AND($O$11=1,B476&lt;$O$12)),1,0)</f>
        <v/>
      </c>
      <c r="I476">
        <f>IF(H476=1,NA(),D476)</f>
        <v/>
      </c>
      <c r="J476">
        <f>IF(AND(ISNUMBER(D476),D476&gt;=$O$4,OR($O$11=0,B476&gt;=$O$12)),1,0)</f>
        <v/>
      </c>
      <c r="K476">
        <f>B476-$O$14</f>
        <v/>
      </c>
    </row>
    <row r="477">
      <c r="A477" t="n">
        <v>1425</v>
      </c>
      <c r="B477" t="n">
        <v>47.5</v>
      </c>
      <c r="C477" t="inlineStr">
        <is>
          <t>307</t>
        </is>
      </c>
      <c r="D477" t="n">
        <v>3.07</v>
      </c>
      <c r="E477">
        <f>MEDIAN(D457:D497)</f>
        <v/>
      </c>
      <c r="F477">
        <f>E457</f>
        <v/>
      </c>
      <c r="G477">
        <f>F477-E477</f>
        <v/>
      </c>
      <c r="H477">
        <f>IF(OR(NOT(ISNUMBER(D477)),ABS(D477-E477)&gt;$O$3,AND($O$11=1,B477&lt;$O$12)),1,0)</f>
        <v/>
      </c>
      <c r="I477">
        <f>IF(H477=1,NA(),D477)</f>
        <v/>
      </c>
      <c r="J477">
        <f>IF(AND(ISNUMBER(D477),D477&gt;=$O$4,OR($O$11=0,B477&gt;=$O$12)),1,0)</f>
        <v/>
      </c>
      <c r="K477">
        <f>B477-$O$14</f>
        <v/>
      </c>
    </row>
    <row r="478">
      <c r="A478" t="n">
        <v>1428</v>
      </c>
      <c r="B478" t="n">
        <v>47.6</v>
      </c>
      <c r="C478" t="inlineStr">
        <is>
          <t>307</t>
        </is>
      </c>
      <c r="D478" t="n">
        <v>3.07</v>
      </c>
      <c r="E478">
        <f>MEDIAN(D458:D498)</f>
        <v/>
      </c>
      <c r="F478">
        <f>E458</f>
        <v/>
      </c>
      <c r="G478">
        <f>F478-E478</f>
        <v/>
      </c>
      <c r="H478">
        <f>IF(OR(NOT(ISNUMBER(D478)),ABS(D478-E478)&gt;$O$3,AND($O$11=1,B478&lt;$O$12)),1,0)</f>
        <v/>
      </c>
      <c r="I478">
        <f>IF(H478=1,NA(),D478)</f>
        <v/>
      </c>
      <c r="J478">
        <f>IF(AND(ISNUMBER(D478),D478&gt;=$O$4,OR($O$11=0,B478&gt;=$O$12)),1,0)</f>
        <v/>
      </c>
      <c r="K478">
        <f>B478-$O$14</f>
        <v/>
      </c>
    </row>
    <row r="479">
      <c r="A479" t="n">
        <v>1431</v>
      </c>
      <c r="B479" t="n">
        <v>47.7</v>
      </c>
      <c r="C479" t="inlineStr">
        <is>
          <t>3?7</t>
        </is>
      </c>
      <c r="E479">
        <f>MEDIAN(D459:D499)</f>
        <v/>
      </c>
      <c r="F479">
        <f>E459</f>
        <v/>
      </c>
      <c r="G479">
        <f>F479-E479</f>
        <v/>
      </c>
      <c r="H479">
        <f>IF(OR(NOT(ISNUMBER(D479)),ABS(D479-E479)&gt;$O$3,AND($O$11=1,B479&lt;$O$12)),1,0)</f>
        <v/>
      </c>
      <c r="I479">
        <f>IF(H479=1,NA(),D479)</f>
        <v/>
      </c>
      <c r="J479">
        <f>IF(AND(ISNUMBER(D479),D479&gt;=$O$4,OR($O$11=0,B479&gt;=$O$12)),1,0)</f>
        <v/>
      </c>
      <c r="K479">
        <f>B479-$O$14</f>
        <v/>
      </c>
    </row>
    <row r="480">
      <c r="A480" t="n">
        <v>1434</v>
      </c>
      <c r="B480" t="n">
        <v>47.8</v>
      </c>
      <c r="C480" t="inlineStr">
        <is>
          <t>387</t>
        </is>
      </c>
      <c r="D480" t="n">
        <v>3.87</v>
      </c>
      <c r="E480">
        <f>MEDIAN(D460:D500)</f>
        <v/>
      </c>
      <c r="F480">
        <f>E460</f>
        <v/>
      </c>
      <c r="G480">
        <f>F480-E480</f>
        <v/>
      </c>
      <c r="H480">
        <f>IF(OR(NOT(ISNUMBER(D480)),ABS(D480-E480)&gt;$O$3,AND($O$11=1,B480&lt;$O$12)),1,0)</f>
        <v/>
      </c>
      <c r="I480">
        <f>IF(H480=1,NA(),D480)</f>
        <v/>
      </c>
      <c r="J480">
        <f>IF(AND(ISNUMBER(D480),D480&gt;=$O$4,OR($O$11=0,B480&gt;=$O$12)),1,0)</f>
        <v/>
      </c>
      <c r="K480">
        <f>B480-$O$14</f>
        <v/>
      </c>
    </row>
    <row r="481">
      <c r="A481" t="n">
        <v>1437</v>
      </c>
      <c r="B481" t="n">
        <v>47.9</v>
      </c>
      <c r="C481" t="inlineStr">
        <is>
          <t>307</t>
        </is>
      </c>
      <c r="D481" t="n">
        <v>3.07</v>
      </c>
      <c r="E481">
        <f>MEDIAN(D461:D501)</f>
        <v/>
      </c>
      <c r="F481">
        <f>E461</f>
        <v/>
      </c>
      <c r="G481">
        <f>F481-E481</f>
        <v/>
      </c>
      <c r="H481">
        <f>IF(OR(NOT(ISNUMBER(D481)),ABS(D481-E481)&gt;$O$3,AND($O$11=1,B481&lt;$O$12)),1,0)</f>
        <v/>
      </c>
      <c r="I481">
        <f>IF(H481=1,NA(),D481)</f>
        <v/>
      </c>
      <c r="J481">
        <f>IF(AND(ISNUMBER(D481),D481&gt;=$O$4,OR($O$11=0,B481&gt;=$O$12)),1,0)</f>
        <v/>
      </c>
      <c r="K481">
        <f>B481-$O$14</f>
        <v/>
      </c>
    </row>
    <row r="482">
      <c r="A482" t="n">
        <v>1440</v>
      </c>
      <c r="B482" t="n">
        <v>48</v>
      </c>
      <c r="C482" t="inlineStr">
        <is>
          <t>7</t>
        </is>
      </c>
      <c r="D482" t="n">
        <v>0.07000000000000001</v>
      </c>
      <c r="E482">
        <f>MEDIAN(D462:D502)</f>
        <v/>
      </c>
      <c r="F482">
        <f>E462</f>
        <v/>
      </c>
      <c r="G482">
        <f>F482-E482</f>
        <v/>
      </c>
      <c r="H482">
        <f>IF(OR(NOT(ISNUMBER(D482)),ABS(D482-E482)&gt;$O$3,AND($O$11=1,B482&lt;$O$12)),1,0)</f>
        <v/>
      </c>
      <c r="I482">
        <f>IF(H482=1,NA(),D482)</f>
        <v/>
      </c>
      <c r="J482">
        <f>IF(AND(ISNUMBER(D482),D482&gt;=$O$4,OR($O$11=0,B482&gt;=$O$12)),1,0)</f>
        <v/>
      </c>
      <c r="K482">
        <f>B482-$O$14</f>
        <v/>
      </c>
    </row>
    <row r="483">
      <c r="A483" t="n">
        <v>1443</v>
      </c>
      <c r="B483" t="n">
        <v>48.1</v>
      </c>
      <c r="C483" t="inlineStr">
        <is>
          <t>307</t>
        </is>
      </c>
      <c r="D483" t="n">
        <v>3.07</v>
      </c>
      <c r="E483">
        <f>MEDIAN(D463:D503)</f>
        <v/>
      </c>
      <c r="F483">
        <f>E463</f>
        <v/>
      </c>
      <c r="G483">
        <f>F483-E483</f>
        <v/>
      </c>
      <c r="H483">
        <f>IF(OR(NOT(ISNUMBER(D483)),ABS(D483-E483)&gt;$O$3,AND($O$11=1,B483&lt;$O$12)),1,0)</f>
        <v/>
      </c>
      <c r="I483">
        <f>IF(H483=1,NA(),D483)</f>
        <v/>
      </c>
      <c r="J483">
        <f>IF(AND(ISNUMBER(D483),D483&gt;=$O$4,OR($O$11=0,B483&gt;=$O$12)),1,0)</f>
        <v/>
      </c>
      <c r="K483">
        <f>B483-$O$14</f>
        <v/>
      </c>
    </row>
    <row r="484">
      <c r="A484" t="n">
        <v>1446</v>
      </c>
      <c r="B484" t="n">
        <v>48.2</v>
      </c>
      <c r="C484" t="inlineStr">
        <is>
          <t>3?7</t>
        </is>
      </c>
      <c r="E484">
        <f>MEDIAN(D464:D504)</f>
        <v/>
      </c>
      <c r="F484">
        <f>E464</f>
        <v/>
      </c>
      <c r="G484">
        <f>F484-E484</f>
        <v/>
      </c>
      <c r="H484">
        <f>IF(OR(NOT(ISNUMBER(D484)),ABS(D484-E484)&gt;$O$3,AND($O$11=1,B484&lt;$O$12)),1,0)</f>
        <v/>
      </c>
      <c r="I484">
        <f>IF(H484=1,NA(),D484)</f>
        <v/>
      </c>
      <c r="J484">
        <f>IF(AND(ISNUMBER(D484),D484&gt;=$O$4,OR($O$11=0,B484&gt;=$O$12)),1,0)</f>
        <v/>
      </c>
      <c r="K484">
        <f>B484-$O$14</f>
        <v/>
      </c>
    </row>
    <row r="485">
      <c r="A485" t="n">
        <v>1449</v>
      </c>
      <c r="B485" t="n">
        <v>48.3</v>
      </c>
      <c r="C485" t="inlineStr">
        <is>
          <t>307</t>
        </is>
      </c>
      <c r="D485" t="n">
        <v>3.07</v>
      </c>
      <c r="E485">
        <f>MEDIAN(D465:D505)</f>
        <v/>
      </c>
      <c r="F485">
        <f>E465</f>
        <v/>
      </c>
      <c r="G485">
        <f>F485-E485</f>
        <v/>
      </c>
      <c r="H485">
        <f>IF(OR(NOT(ISNUMBER(D485)),ABS(D485-E485)&gt;$O$3,AND($O$11=1,B485&lt;$O$12)),1,0)</f>
        <v/>
      </c>
      <c r="I485">
        <f>IF(H485=1,NA(),D485)</f>
        <v/>
      </c>
      <c r="J485">
        <f>IF(AND(ISNUMBER(D485),D485&gt;=$O$4,OR($O$11=0,B485&gt;=$O$12)),1,0)</f>
        <v/>
      </c>
      <c r="K485">
        <f>B485-$O$14</f>
        <v/>
      </c>
    </row>
    <row r="486">
      <c r="A486" t="n">
        <v>1452</v>
      </c>
      <c r="B486" t="n">
        <v>48.4</v>
      </c>
      <c r="C486" t="inlineStr">
        <is>
          <t>7</t>
        </is>
      </c>
      <c r="D486" t="n">
        <v>0.07000000000000001</v>
      </c>
      <c r="E486">
        <f>MEDIAN(D466:D506)</f>
        <v/>
      </c>
      <c r="F486">
        <f>E466</f>
        <v/>
      </c>
      <c r="G486">
        <f>F486-E486</f>
        <v/>
      </c>
      <c r="H486">
        <f>IF(OR(NOT(ISNUMBER(D486)),ABS(D486-E486)&gt;$O$3,AND($O$11=1,B486&lt;$O$12)),1,0)</f>
        <v/>
      </c>
      <c r="I486">
        <f>IF(H486=1,NA(),D486)</f>
        <v/>
      </c>
      <c r="J486">
        <f>IF(AND(ISNUMBER(D486),D486&gt;=$O$4,OR($O$11=0,B486&gt;=$O$12)),1,0)</f>
        <v/>
      </c>
      <c r="K486">
        <f>B486-$O$14</f>
        <v/>
      </c>
    </row>
    <row r="487">
      <c r="A487" t="n">
        <v>1455</v>
      </c>
      <c r="B487" t="n">
        <v>48.5</v>
      </c>
      <c r="C487" t="inlineStr">
        <is>
          <t>7</t>
        </is>
      </c>
      <c r="D487" t="n">
        <v>0.07000000000000001</v>
      </c>
      <c r="E487">
        <f>MEDIAN(D467:D507)</f>
        <v/>
      </c>
      <c r="F487">
        <f>E467</f>
        <v/>
      </c>
      <c r="G487">
        <f>F487-E487</f>
        <v/>
      </c>
      <c r="H487">
        <f>IF(OR(NOT(ISNUMBER(D487)),ABS(D487-E487)&gt;$O$3,AND($O$11=1,B487&lt;$O$12)),1,0)</f>
        <v/>
      </c>
      <c r="I487">
        <f>IF(H487=1,NA(),D487)</f>
        <v/>
      </c>
      <c r="J487">
        <f>IF(AND(ISNUMBER(D487),D487&gt;=$O$4,OR($O$11=0,B487&gt;=$O$12)),1,0)</f>
        <v/>
      </c>
      <c r="K487">
        <f>B487-$O$14</f>
        <v/>
      </c>
    </row>
    <row r="488">
      <c r="A488" t="n">
        <v>1458</v>
      </c>
      <c r="B488" t="n">
        <v>48.6</v>
      </c>
      <c r="C488" t="inlineStr">
        <is>
          <t>307</t>
        </is>
      </c>
      <c r="D488" t="n">
        <v>3.07</v>
      </c>
      <c r="E488">
        <f>MEDIAN(D468:D508)</f>
        <v/>
      </c>
      <c r="F488">
        <f>E468</f>
        <v/>
      </c>
      <c r="G488">
        <f>F488-E488</f>
        <v/>
      </c>
      <c r="H488">
        <f>IF(OR(NOT(ISNUMBER(D488)),ABS(D488-E488)&gt;$O$3,AND($O$11=1,B488&lt;$O$12)),1,0)</f>
        <v/>
      </c>
      <c r="I488">
        <f>IF(H488=1,NA(),D488)</f>
        <v/>
      </c>
      <c r="J488">
        <f>IF(AND(ISNUMBER(D488),D488&gt;=$O$4,OR($O$11=0,B488&gt;=$O$12)),1,0)</f>
        <v/>
      </c>
      <c r="K488">
        <f>B488-$O$14</f>
        <v/>
      </c>
    </row>
    <row r="489">
      <c r="A489" t="n">
        <v>1461</v>
      </c>
      <c r="B489" t="n">
        <v>48.7</v>
      </c>
      <c r="C489" t="inlineStr">
        <is>
          <t>3?7</t>
        </is>
      </c>
      <c r="E489">
        <f>MEDIAN(D469:D509)</f>
        <v/>
      </c>
      <c r="F489">
        <f>E469</f>
        <v/>
      </c>
      <c r="G489">
        <f>F489-E489</f>
        <v/>
      </c>
      <c r="H489">
        <f>IF(OR(NOT(ISNUMBER(D489)),ABS(D489-E489)&gt;$O$3,AND($O$11=1,B489&lt;$O$12)),1,0)</f>
        <v/>
      </c>
      <c r="I489">
        <f>IF(H489=1,NA(),D489)</f>
        <v/>
      </c>
      <c r="J489">
        <f>IF(AND(ISNUMBER(D489),D489&gt;=$O$4,OR($O$11=0,B489&gt;=$O$12)),1,0)</f>
        <v/>
      </c>
      <c r="K489">
        <f>B489-$O$14</f>
        <v/>
      </c>
    </row>
    <row r="490">
      <c r="A490" t="n">
        <v>1464</v>
      </c>
      <c r="B490" t="n">
        <v>48.8</v>
      </c>
      <c r="C490" t="inlineStr">
        <is>
          <t>307</t>
        </is>
      </c>
      <c r="D490" t="n">
        <v>3.07</v>
      </c>
      <c r="E490">
        <f>MEDIAN(D470:D510)</f>
        <v/>
      </c>
      <c r="F490">
        <f>E470</f>
        <v/>
      </c>
      <c r="G490">
        <f>F490-E490</f>
        <v/>
      </c>
      <c r="H490">
        <f>IF(OR(NOT(ISNUMBER(D490)),ABS(D490-E490)&gt;$O$3,AND($O$11=1,B490&lt;$O$12)),1,0)</f>
        <v/>
      </c>
      <c r="I490">
        <f>IF(H490=1,NA(),D490)</f>
        <v/>
      </c>
      <c r="J490">
        <f>IF(AND(ISNUMBER(D490),D490&gt;=$O$4,OR($O$11=0,B490&gt;=$O$12)),1,0)</f>
        <v/>
      </c>
      <c r="K490">
        <f>B490-$O$14</f>
        <v/>
      </c>
    </row>
    <row r="491">
      <c r="A491" t="n">
        <v>1467</v>
      </c>
      <c r="B491" t="n">
        <v>48.9</v>
      </c>
      <c r="C491" t="inlineStr">
        <is>
          <t>307</t>
        </is>
      </c>
      <c r="D491" t="n">
        <v>3.07</v>
      </c>
      <c r="E491">
        <f>MEDIAN(D471:D511)</f>
        <v/>
      </c>
      <c r="F491">
        <f>E471</f>
        <v/>
      </c>
      <c r="G491">
        <f>F491-E491</f>
        <v/>
      </c>
      <c r="H491">
        <f>IF(OR(NOT(ISNUMBER(D491)),ABS(D491-E491)&gt;$O$3,AND($O$11=1,B491&lt;$O$12)),1,0)</f>
        <v/>
      </c>
      <c r="I491">
        <f>IF(H491=1,NA(),D491)</f>
        <v/>
      </c>
      <c r="J491">
        <f>IF(AND(ISNUMBER(D491),D491&gt;=$O$4,OR($O$11=0,B491&gt;=$O$12)),1,0)</f>
        <v/>
      </c>
      <c r="K491">
        <f>B491-$O$14</f>
        <v/>
      </c>
    </row>
    <row r="492">
      <c r="A492" t="n">
        <v>1470</v>
      </c>
      <c r="B492" t="n">
        <v>49</v>
      </c>
      <c r="C492" t="inlineStr">
        <is>
          <t>387</t>
        </is>
      </c>
      <c r="D492" t="n">
        <v>3.87</v>
      </c>
      <c r="E492">
        <f>MEDIAN(D472:D512)</f>
        <v/>
      </c>
      <c r="F492">
        <f>E472</f>
        <v/>
      </c>
      <c r="G492">
        <f>F492-E492</f>
        <v/>
      </c>
      <c r="H492">
        <f>IF(OR(NOT(ISNUMBER(D492)),ABS(D492-E492)&gt;$O$3,AND($O$11=1,B492&lt;$O$12)),1,0)</f>
        <v/>
      </c>
      <c r="I492">
        <f>IF(H492=1,NA(),D492)</f>
        <v/>
      </c>
      <c r="J492">
        <f>IF(AND(ISNUMBER(D492),D492&gt;=$O$4,OR($O$11=0,B492&gt;=$O$12)),1,0)</f>
        <v/>
      </c>
      <c r="K492">
        <f>B492-$O$14</f>
        <v/>
      </c>
    </row>
    <row r="493">
      <c r="A493" t="n">
        <v>1473</v>
      </c>
      <c r="B493" t="n">
        <v>49.1</v>
      </c>
      <c r="C493" t="inlineStr">
        <is>
          <t>307</t>
        </is>
      </c>
      <c r="D493" t="n">
        <v>3.07</v>
      </c>
      <c r="E493">
        <f>MEDIAN(D473:D513)</f>
        <v/>
      </c>
      <c r="F493">
        <f>E473</f>
        <v/>
      </c>
      <c r="G493">
        <f>F493-E493</f>
        <v/>
      </c>
      <c r="H493">
        <f>IF(OR(NOT(ISNUMBER(D493)),ABS(D493-E493)&gt;$O$3,AND($O$11=1,B493&lt;$O$12)),1,0)</f>
        <v/>
      </c>
      <c r="I493">
        <f>IF(H493=1,NA(),D493)</f>
        <v/>
      </c>
      <c r="J493">
        <f>IF(AND(ISNUMBER(D493),D493&gt;=$O$4,OR($O$11=0,B493&gt;=$O$12)),1,0)</f>
        <v/>
      </c>
      <c r="K493">
        <f>B493-$O$14</f>
        <v/>
      </c>
    </row>
    <row r="494">
      <c r="A494" t="n">
        <v>1476</v>
      </c>
      <c r="B494" t="n">
        <v>49.2</v>
      </c>
      <c r="C494" t="inlineStr">
        <is>
          <t>387</t>
        </is>
      </c>
      <c r="D494" t="n">
        <v>3.87</v>
      </c>
      <c r="E494">
        <f>MEDIAN(D474:D514)</f>
        <v/>
      </c>
      <c r="F494">
        <f>E474</f>
        <v/>
      </c>
      <c r="G494">
        <f>F494-E494</f>
        <v/>
      </c>
      <c r="H494">
        <f>IF(OR(NOT(ISNUMBER(D494)),ABS(D494-E494)&gt;$O$3,AND($O$11=1,B494&lt;$O$12)),1,0)</f>
        <v/>
      </c>
      <c r="I494">
        <f>IF(H494=1,NA(),D494)</f>
        <v/>
      </c>
      <c r="J494">
        <f>IF(AND(ISNUMBER(D494),D494&gt;=$O$4,OR($O$11=0,B494&gt;=$O$12)),1,0)</f>
        <v/>
      </c>
      <c r="K494">
        <f>B494-$O$14</f>
        <v/>
      </c>
    </row>
    <row r="495">
      <c r="A495" t="n">
        <v>1479</v>
      </c>
      <c r="B495" t="n">
        <v>49.3</v>
      </c>
      <c r="C495" t="inlineStr">
        <is>
          <t>307</t>
        </is>
      </c>
      <c r="D495" t="n">
        <v>3.07</v>
      </c>
      <c r="E495">
        <f>MEDIAN(D475:D515)</f>
        <v/>
      </c>
      <c r="F495">
        <f>E475</f>
        <v/>
      </c>
      <c r="G495">
        <f>F495-E495</f>
        <v/>
      </c>
      <c r="H495">
        <f>IF(OR(NOT(ISNUMBER(D495)),ABS(D495-E495)&gt;$O$3,AND($O$11=1,B495&lt;$O$12)),1,0)</f>
        <v/>
      </c>
      <c r="I495">
        <f>IF(H495=1,NA(),D495)</f>
        <v/>
      </c>
      <c r="J495">
        <f>IF(AND(ISNUMBER(D495),D495&gt;=$O$4,OR($O$11=0,B495&gt;=$O$12)),1,0)</f>
        <v/>
      </c>
      <c r="K495">
        <f>B495-$O$14</f>
        <v/>
      </c>
    </row>
    <row r="496">
      <c r="A496" t="n">
        <v>1482</v>
      </c>
      <c r="B496" t="n">
        <v>49.4</v>
      </c>
      <c r="C496" t="inlineStr">
        <is>
          <t>367</t>
        </is>
      </c>
      <c r="D496" t="n">
        <v>3.67</v>
      </c>
      <c r="E496">
        <f>MEDIAN(D476:D516)</f>
        <v/>
      </c>
      <c r="F496">
        <f>E476</f>
        <v/>
      </c>
      <c r="G496">
        <f>F496-E496</f>
        <v/>
      </c>
      <c r="H496">
        <f>IF(OR(NOT(ISNUMBER(D496)),ABS(D496-E496)&gt;$O$3,AND($O$11=1,B496&lt;$O$12)),1,0)</f>
        <v/>
      </c>
      <c r="I496">
        <f>IF(H496=1,NA(),D496)</f>
        <v/>
      </c>
      <c r="J496">
        <f>IF(AND(ISNUMBER(D496),D496&gt;=$O$4,OR($O$11=0,B496&gt;=$O$12)),1,0)</f>
        <v/>
      </c>
      <c r="K496">
        <f>B496-$O$14</f>
        <v/>
      </c>
    </row>
    <row r="497">
      <c r="A497" t="n">
        <v>1485</v>
      </c>
      <c r="B497" t="n">
        <v>49.5</v>
      </c>
      <c r="C497" t="inlineStr">
        <is>
          <t>307</t>
        </is>
      </c>
      <c r="D497" t="n">
        <v>3.07</v>
      </c>
      <c r="E497">
        <f>MEDIAN(D477:D517)</f>
        <v/>
      </c>
      <c r="F497">
        <f>E477</f>
        <v/>
      </c>
      <c r="G497">
        <f>F497-E497</f>
        <v/>
      </c>
      <c r="H497">
        <f>IF(OR(NOT(ISNUMBER(D497)),ABS(D497-E497)&gt;$O$3,AND($O$11=1,B497&lt;$O$12)),1,0)</f>
        <v/>
      </c>
      <c r="I497">
        <f>IF(H497=1,NA(),D497)</f>
        <v/>
      </c>
      <c r="J497">
        <f>IF(AND(ISNUMBER(D497),D497&gt;=$O$4,OR($O$11=0,B497&gt;=$O$12)),1,0)</f>
        <v/>
      </c>
      <c r="K497">
        <f>B497-$O$14</f>
        <v/>
      </c>
    </row>
    <row r="498">
      <c r="A498" t="n">
        <v>1488</v>
      </c>
      <c r="B498" t="n">
        <v>49.6</v>
      </c>
      <c r="C498" t="inlineStr">
        <is>
          <t>387</t>
        </is>
      </c>
      <c r="D498" t="n">
        <v>3.87</v>
      </c>
      <c r="E498">
        <f>MEDIAN(D478:D518)</f>
        <v/>
      </c>
      <c r="F498">
        <f>E478</f>
        <v/>
      </c>
      <c r="G498">
        <f>F498-E498</f>
        <v/>
      </c>
      <c r="H498">
        <f>IF(OR(NOT(ISNUMBER(D498)),ABS(D498-E498)&gt;$O$3,AND($O$11=1,B498&lt;$O$12)),1,0)</f>
        <v/>
      </c>
      <c r="I498">
        <f>IF(H498=1,NA(),D498)</f>
        <v/>
      </c>
      <c r="J498">
        <f>IF(AND(ISNUMBER(D498),D498&gt;=$O$4,OR($O$11=0,B498&gt;=$O$12)),1,0)</f>
        <v/>
      </c>
      <c r="K498">
        <f>B498-$O$14</f>
        <v/>
      </c>
    </row>
    <row r="499">
      <c r="A499" t="n">
        <v>1491</v>
      </c>
      <c r="B499" t="n">
        <v>49.7</v>
      </c>
      <c r="C499" t="inlineStr">
        <is>
          <t>307</t>
        </is>
      </c>
      <c r="D499" t="n">
        <v>3.07</v>
      </c>
      <c r="E499">
        <f>MEDIAN(D479:D519)</f>
        <v/>
      </c>
      <c r="F499">
        <f>E479</f>
        <v/>
      </c>
      <c r="G499">
        <f>F499-E499</f>
        <v/>
      </c>
      <c r="H499">
        <f>IF(OR(NOT(ISNUMBER(D499)),ABS(D499-E499)&gt;$O$3,AND($O$11=1,B499&lt;$O$12)),1,0)</f>
        <v/>
      </c>
      <c r="I499">
        <f>IF(H499=1,NA(),D499)</f>
        <v/>
      </c>
      <c r="J499">
        <f>IF(AND(ISNUMBER(D499),D499&gt;=$O$4,OR($O$11=0,B499&gt;=$O$12)),1,0)</f>
        <v/>
      </c>
      <c r="K499">
        <f>B499-$O$14</f>
        <v/>
      </c>
    </row>
    <row r="500">
      <c r="A500" t="n">
        <v>1494</v>
      </c>
      <c r="B500" t="n">
        <v>49.8</v>
      </c>
      <c r="C500" t="inlineStr">
        <is>
          <t>7</t>
        </is>
      </c>
      <c r="D500" t="n">
        <v>0.07000000000000001</v>
      </c>
      <c r="E500">
        <f>MEDIAN(D480:D520)</f>
        <v/>
      </c>
      <c r="F500">
        <f>E480</f>
        <v/>
      </c>
      <c r="G500">
        <f>F500-E500</f>
        <v/>
      </c>
      <c r="H500">
        <f>IF(OR(NOT(ISNUMBER(D500)),ABS(D500-E500)&gt;$O$3,AND($O$11=1,B500&lt;$O$12)),1,0)</f>
        <v/>
      </c>
      <c r="I500">
        <f>IF(H500=1,NA(),D500)</f>
        <v/>
      </c>
      <c r="J500">
        <f>IF(AND(ISNUMBER(D500),D500&gt;=$O$4,OR($O$11=0,B500&gt;=$O$12)),1,0)</f>
        <v/>
      </c>
      <c r="K500">
        <f>B500-$O$14</f>
        <v/>
      </c>
    </row>
    <row r="501">
      <c r="A501" t="n">
        <v>1497</v>
      </c>
      <c r="B501" t="n">
        <v>49.9</v>
      </c>
      <c r="C501" t="inlineStr">
        <is>
          <t>367</t>
        </is>
      </c>
      <c r="D501" t="n">
        <v>3.67</v>
      </c>
      <c r="E501">
        <f>MEDIAN(D481:D521)</f>
        <v/>
      </c>
      <c r="F501">
        <f>E481</f>
        <v/>
      </c>
      <c r="G501">
        <f>F501-E501</f>
        <v/>
      </c>
      <c r="H501">
        <f>IF(OR(NOT(ISNUMBER(D501)),ABS(D501-E501)&gt;$O$3,AND($O$11=1,B501&lt;$O$12)),1,0)</f>
        <v/>
      </c>
      <c r="I501">
        <f>IF(H501=1,NA(),D501)</f>
        <v/>
      </c>
      <c r="J501">
        <f>IF(AND(ISNUMBER(D501),D501&gt;=$O$4,OR($O$11=0,B501&gt;=$O$12)),1,0)</f>
        <v/>
      </c>
      <c r="K501">
        <f>B501-$O$14</f>
        <v/>
      </c>
    </row>
    <row r="502">
      <c r="A502" t="n">
        <v>1500</v>
      </c>
      <c r="B502" t="n">
        <v>50</v>
      </c>
      <c r="C502" t="inlineStr">
        <is>
          <t>387</t>
        </is>
      </c>
      <c r="D502" t="n">
        <v>3.87</v>
      </c>
      <c r="E502">
        <f>MEDIAN(D482:D522)</f>
        <v/>
      </c>
      <c r="F502">
        <f>E482</f>
        <v/>
      </c>
      <c r="G502">
        <f>F502-E502</f>
        <v/>
      </c>
      <c r="H502">
        <f>IF(OR(NOT(ISNUMBER(D502)),ABS(D502-E502)&gt;$O$3,AND($O$11=1,B502&lt;$O$12)),1,0)</f>
        <v/>
      </c>
      <c r="I502">
        <f>IF(H502=1,NA(),D502)</f>
        <v/>
      </c>
      <c r="J502">
        <f>IF(AND(ISNUMBER(D502),D502&gt;=$O$4,OR($O$11=0,B502&gt;=$O$12)),1,0)</f>
        <v/>
      </c>
      <c r="K502">
        <f>B502-$O$14</f>
        <v/>
      </c>
    </row>
    <row r="503">
      <c r="A503" t="n">
        <v>1503</v>
      </c>
      <c r="B503" t="n">
        <v>50.1</v>
      </c>
      <c r="C503" t="inlineStr">
        <is>
          <t>307</t>
        </is>
      </c>
      <c r="D503" t="n">
        <v>3.07</v>
      </c>
      <c r="E503">
        <f>MEDIAN(D483:D523)</f>
        <v/>
      </c>
      <c r="F503">
        <f>E483</f>
        <v/>
      </c>
      <c r="G503">
        <f>F503-E503</f>
        <v/>
      </c>
      <c r="H503">
        <f>IF(OR(NOT(ISNUMBER(D503)),ABS(D503-E503)&gt;$O$3,AND($O$11=1,B503&lt;$O$12)),1,0)</f>
        <v/>
      </c>
      <c r="I503">
        <f>IF(H503=1,NA(),D503)</f>
        <v/>
      </c>
      <c r="J503">
        <f>IF(AND(ISNUMBER(D503),D503&gt;=$O$4,OR($O$11=0,B503&gt;=$O$12)),1,0)</f>
        <v/>
      </c>
      <c r="K503">
        <f>B503-$O$14</f>
        <v/>
      </c>
    </row>
    <row r="504">
      <c r="A504" t="n">
        <v>1506</v>
      </c>
      <c r="B504" t="n">
        <v>50.2</v>
      </c>
      <c r="C504" t="inlineStr">
        <is>
          <t>387</t>
        </is>
      </c>
      <c r="D504" t="n">
        <v>3.87</v>
      </c>
      <c r="E504">
        <f>MEDIAN(D484:D524)</f>
        <v/>
      </c>
      <c r="F504">
        <f>E484</f>
        <v/>
      </c>
      <c r="G504">
        <f>F504-E504</f>
        <v/>
      </c>
      <c r="H504">
        <f>IF(OR(NOT(ISNUMBER(D504)),ABS(D504-E504)&gt;$O$3,AND($O$11=1,B504&lt;$O$12)),1,0)</f>
        <v/>
      </c>
      <c r="I504">
        <f>IF(H504=1,NA(),D504)</f>
        <v/>
      </c>
      <c r="J504">
        <f>IF(AND(ISNUMBER(D504),D504&gt;=$O$4,OR($O$11=0,B504&gt;=$O$12)),1,0)</f>
        <v/>
      </c>
      <c r="K504">
        <f>B504-$O$14</f>
        <v/>
      </c>
    </row>
    <row r="505">
      <c r="A505" t="n">
        <v>1509</v>
      </c>
      <c r="B505" t="n">
        <v>50.3</v>
      </c>
      <c r="C505" t="inlineStr">
        <is>
          <t>307</t>
        </is>
      </c>
      <c r="D505" t="n">
        <v>3.07</v>
      </c>
      <c r="E505">
        <f>MEDIAN(D485:D525)</f>
        <v/>
      </c>
      <c r="F505">
        <f>E485</f>
        <v/>
      </c>
      <c r="G505">
        <f>F505-E505</f>
        <v/>
      </c>
      <c r="H505">
        <f>IF(OR(NOT(ISNUMBER(D505)),ABS(D505-E505)&gt;$O$3,AND($O$11=1,B505&lt;$O$12)),1,0)</f>
        <v/>
      </c>
      <c r="I505">
        <f>IF(H505=1,NA(),D505)</f>
        <v/>
      </c>
      <c r="J505">
        <f>IF(AND(ISNUMBER(D505),D505&gt;=$O$4,OR($O$11=0,B505&gt;=$O$12)),1,0)</f>
        <v/>
      </c>
      <c r="K505">
        <f>B505-$O$14</f>
        <v/>
      </c>
    </row>
    <row r="506">
      <c r="A506" t="n">
        <v>1512</v>
      </c>
      <c r="B506" t="n">
        <v>50.4</v>
      </c>
      <c r="C506" t="inlineStr">
        <is>
          <t>387</t>
        </is>
      </c>
      <c r="D506" t="n">
        <v>3.87</v>
      </c>
      <c r="E506">
        <f>MEDIAN(D486:D526)</f>
        <v/>
      </c>
      <c r="F506">
        <f>E486</f>
        <v/>
      </c>
      <c r="G506">
        <f>F506-E506</f>
        <v/>
      </c>
      <c r="H506">
        <f>IF(OR(NOT(ISNUMBER(D506)),ABS(D506-E506)&gt;$O$3,AND($O$11=1,B506&lt;$O$12)),1,0)</f>
        <v/>
      </c>
      <c r="I506">
        <f>IF(H506=1,NA(),D506)</f>
        <v/>
      </c>
      <c r="J506">
        <f>IF(AND(ISNUMBER(D506),D506&gt;=$O$4,OR($O$11=0,B506&gt;=$O$12)),1,0)</f>
        <v/>
      </c>
      <c r="K506">
        <f>B506-$O$14</f>
        <v/>
      </c>
    </row>
    <row r="507">
      <c r="A507" t="n">
        <v>1515</v>
      </c>
      <c r="B507" t="n">
        <v>50.5</v>
      </c>
      <c r="C507" t="inlineStr">
        <is>
          <t>307</t>
        </is>
      </c>
      <c r="D507" t="n">
        <v>3.07</v>
      </c>
      <c r="E507">
        <f>MEDIAN(D487:D527)</f>
        <v/>
      </c>
      <c r="F507">
        <f>E487</f>
        <v/>
      </c>
      <c r="G507">
        <f>F507-E507</f>
        <v/>
      </c>
      <c r="H507">
        <f>IF(OR(NOT(ISNUMBER(D507)),ABS(D507-E507)&gt;$O$3,AND($O$11=1,B507&lt;$O$12)),1,0)</f>
        <v/>
      </c>
      <c r="I507">
        <f>IF(H507=1,NA(),D507)</f>
        <v/>
      </c>
      <c r="J507">
        <f>IF(AND(ISNUMBER(D507),D507&gt;=$O$4,OR($O$11=0,B507&gt;=$O$12)),1,0)</f>
        <v/>
      </c>
      <c r="K507">
        <f>B507-$O$14</f>
        <v/>
      </c>
    </row>
    <row r="508">
      <c r="A508" t="n">
        <v>1518</v>
      </c>
      <c r="B508" t="n">
        <v>50.6</v>
      </c>
      <c r="C508" t="inlineStr">
        <is>
          <t>7</t>
        </is>
      </c>
      <c r="D508" t="n">
        <v>0.07000000000000001</v>
      </c>
      <c r="E508">
        <f>MEDIAN(D488:D528)</f>
        <v/>
      </c>
      <c r="F508">
        <f>E488</f>
        <v/>
      </c>
      <c r="G508">
        <f>F508-E508</f>
        <v/>
      </c>
      <c r="H508">
        <f>IF(OR(NOT(ISNUMBER(D508)),ABS(D508-E508)&gt;$O$3,AND($O$11=1,B508&lt;$O$12)),1,0)</f>
        <v/>
      </c>
      <c r="I508">
        <f>IF(H508=1,NA(),D508)</f>
        <v/>
      </c>
      <c r="J508">
        <f>IF(AND(ISNUMBER(D508),D508&gt;=$O$4,OR($O$11=0,B508&gt;=$O$12)),1,0)</f>
        <v/>
      </c>
      <c r="K508">
        <f>B508-$O$14</f>
        <v/>
      </c>
    </row>
    <row r="509">
      <c r="A509" t="n">
        <v>1521</v>
      </c>
      <c r="B509" t="n">
        <v>50.7</v>
      </c>
      <c r="C509" t="inlineStr">
        <is>
          <t>307</t>
        </is>
      </c>
      <c r="D509" t="n">
        <v>3.07</v>
      </c>
      <c r="E509">
        <f>MEDIAN(D489:D529)</f>
        <v/>
      </c>
      <c r="F509">
        <f>E489</f>
        <v/>
      </c>
      <c r="G509">
        <f>F509-E509</f>
        <v/>
      </c>
      <c r="H509">
        <f>IF(OR(NOT(ISNUMBER(D509)),ABS(D509-E509)&gt;$O$3,AND($O$11=1,B509&lt;$O$12)),1,0)</f>
        <v/>
      </c>
      <c r="I509">
        <f>IF(H509=1,NA(),D509)</f>
        <v/>
      </c>
      <c r="J509">
        <f>IF(AND(ISNUMBER(D509),D509&gt;=$O$4,OR($O$11=0,B509&gt;=$O$12)),1,0)</f>
        <v/>
      </c>
      <c r="K509">
        <f>B509-$O$14</f>
        <v/>
      </c>
    </row>
    <row r="510">
      <c r="A510" t="n">
        <v>1524</v>
      </c>
      <c r="B510" t="n">
        <v>50.8</v>
      </c>
      <c r="C510" t="inlineStr">
        <is>
          <t>7</t>
        </is>
      </c>
      <c r="D510" t="n">
        <v>0.07000000000000001</v>
      </c>
      <c r="E510">
        <f>MEDIAN(D490:D530)</f>
        <v/>
      </c>
      <c r="F510">
        <f>E490</f>
        <v/>
      </c>
      <c r="G510">
        <f>F510-E510</f>
        <v/>
      </c>
      <c r="H510">
        <f>IF(OR(NOT(ISNUMBER(D510)),ABS(D510-E510)&gt;$O$3,AND($O$11=1,B510&lt;$O$12)),1,0)</f>
        <v/>
      </c>
      <c r="I510">
        <f>IF(H510=1,NA(),D510)</f>
        <v/>
      </c>
      <c r="J510">
        <f>IF(AND(ISNUMBER(D510),D510&gt;=$O$4,OR($O$11=0,B510&gt;=$O$12)),1,0)</f>
        <v/>
      </c>
      <c r="K510">
        <f>B510-$O$14</f>
        <v/>
      </c>
    </row>
    <row r="511">
      <c r="A511" t="n">
        <v>1527</v>
      </c>
      <c r="B511" t="n">
        <v>50.9</v>
      </c>
      <c r="C511" t="inlineStr">
        <is>
          <t>7</t>
        </is>
      </c>
      <c r="D511" t="n">
        <v>0.07000000000000001</v>
      </c>
      <c r="E511">
        <f>MEDIAN(D491:D531)</f>
        <v/>
      </c>
      <c r="F511">
        <f>E491</f>
        <v/>
      </c>
      <c r="G511">
        <f>F511-E511</f>
        <v/>
      </c>
      <c r="H511">
        <f>IF(OR(NOT(ISNUMBER(D511)),ABS(D511-E511)&gt;$O$3,AND($O$11=1,B511&lt;$O$12)),1,0)</f>
        <v/>
      </c>
      <c r="I511">
        <f>IF(H511=1,NA(),D511)</f>
        <v/>
      </c>
      <c r="J511">
        <f>IF(AND(ISNUMBER(D511),D511&gt;=$O$4,OR($O$11=0,B511&gt;=$O$12)),1,0)</f>
        <v/>
      </c>
      <c r="K511">
        <f>B511-$O$14</f>
        <v/>
      </c>
    </row>
    <row r="512">
      <c r="A512" t="n">
        <v>1530</v>
      </c>
      <c r="B512" t="n">
        <v>51</v>
      </c>
      <c r="C512" t="inlineStr">
        <is>
          <t>307</t>
        </is>
      </c>
      <c r="D512" t="n">
        <v>3.07</v>
      </c>
      <c r="E512">
        <f>MEDIAN(D492:D532)</f>
        <v/>
      </c>
      <c r="F512">
        <f>E492</f>
        <v/>
      </c>
      <c r="G512">
        <f>F512-E512</f>
        <v/>
      </c>
      <c r="H512">
        <f>IF(OR(NOT(ISNUMBER(D512)),ABS(D512-E512)&gt;$O$3,AND($O$11=1,B512&lt;$O$12)),1,0)</f>
        <v/>
      </c>
      <c r="I512">
        <f>IF(H512=1,NA(),D512)</f>
        <v/>
      </c>
      <c r="J512">
        <f>IF(AND(ISNUMBER(D512),D512&gt;=$O$4,OR($O$11=0,B512&gt;=$O$12)),1,0)</f>
        <v/>
      </c>
      <c r="K512">
        <f>B512-$O$14</f>
        <v/>
      </c>
    </row>
    <row r="513">
      <c r="A513" t="n">
        <v>1533</v>
      </c>
      <c r="B513" t="n">
        <v>51.1</v>
      </c>
      <c r="C513" t="inlineStr">
        <is>
          <t>307</t>
        </is>
      </c>
      <c r="D513" t="n">
        <v>3.07</v>
      </c>
      <c r="E513">
        <f>MEDIAN(D493:D533)</f>
        <v/>
      </c>
      <c r="F513">
        <f>E493</f>
        <v/>
      </c>
      <c r="G513">
        <f>F513-E513</f>
        <v/>
      </c>
      <c r="H513">
        <f>IF(OR(NOT(ISNUMBER(D513)),ABS(D513-E513)&gt;$O$3,AND($O$11=1,B513&lt;$O$12)),1,0)</f>
        <v/>
      </c>
      <c r="I513">
        <f>IF(H513=1,NA(),D513)</f>
        <v/>
      </c>
      <c r="J513">
        <f>IF(AND(ISNUMBER(D513),D513&gt;=$O$4,OR($O$11=0,B513&gt;=$O$12)),1,0)</f>
        <v/>
      </c>
      <c r="K513">
        <f>B513-$O$14</f>
        <v/>
      </c>
    </row>
    <row r="514">
      <c r="A514" t="n">
        <v>1536</v>
      </c>
      <c r="B514" t="n">
        <v>51.2</v>
      </c>
      <c r="C514" t="inlineStr">
        <is>
          <t>7</t>
        </is>
      </c>
      <c r="D514" t="n">
        <v>0.07000000000000001</v>
      </c>
      <c r="E514">
        <f>MEDIAN(D494:D534)</f>
        <v/>
      </c>
      <c r="F514">
        <f>E494</f>
        <v/>
      </c>
      <c r="G514">
        <f>F514-E514</f>
        <v/>
      </c>
      <c r="H514">
        <f>IF(OR(NOT(ISNUMBER(D514)),ABS(D514-E514)&gt;$O$3,AND($O$11=1,B514&lt;$O$12)),1,0)</f>
        <v/>
      </c>
      <c r="I514">
        <f>IF(H514=1,NA(),D514)</f>
        <v/>
      </c>
      <c r="J514">
        <f>IF(AND(ISNUMBER(D514),D514&gt;=$O$4,OR($O$11=0,B514&gt;=$O$12)),1,0)</f>
        <v/>
      </c>
      <c r="K514">
        <f>B514-$O$14</f>
        <v/>
      </c>
    </row>
    <row r="515">
      <c r="A515" t="n">
        <v>1539</v>
      </c>
      <c r="B515" t="n">
        <v>51.3</v>
      </c>
      <c r="C515" t="inlineStr">
        <is>
          <t>387</t>
        </is>
      </c>
      <c r="D515" t="n">
        <v>3.87</v>
      </c>
      <c r="E515">
        <f>MEDIAN(D495:D535)</f>
        <v/>
      </c>
      <c r="F515">
        <f>E495</f>
        <v/>
      </c>
      <c r="G515">
        <f>F515-E515</f>
        <v/>
      </c>
      <c r="H515">
        <f>IF(OR(NOT(ISNUMBER(D515)),ABS(D515-E515)&gt;$O$3,AND($O$11=1,B515&lt;$O$12)),1,0)</f>
        <v/>
      </c>
      <c r="I515">
        <f>IF(H515=1,NA(),D515)</f>
        <v/>
      </c>
      <c r="J515">
        <f>IF(AND(ISNUMBER(D515),D515&gt;=$O$4,OR($O$11=0,B515&gt;=$O$12)),1,0)</f>
        <v/>
      </c>
      <c r="K515">
        <f>B515-$O$14</f>
        <v/>
      </c>
    </row>
    <row r="516">
      <c r="A516" t="n">
        <v>1542</v>
      </c>
      <c r="B516" t="n">
        <v>51.4</v>
      </c>
      <c r="C516" t="inlineStr">
        <is>
          <t>307</t>
        </is>
      </c>
      <c r="D516" t="n">
        <v>3.07</v>
      </c>
      <c r="E516">
        <f>MEDIAN(D496:D536)</f>
        <v/>
      </c>
      <c r="F516">
        <f>E496</f>
        <v/>
      </c>
      <c r="G516">
        <f>F516-E516</f>
        <v/>
      </c>
      <c r="H516">
        <f>IF(OR(NOT(ISNUMBER(D516)),ABS(D516-E516)&gt;$O$3,AND($O$11=1,B516&lt;$O$12)),1,0)</f>
        <v/>
      </c>
      <c r="I516">
        <f>IF(H516=1,NA(),D516)</f>
        <v/>
      </c>
      <c r="J516">
        <f>IF(AND(ISNUMBER(D516),D516&gt;=$O$4,OR($O$11=0,B516&gt;=$O$12)),1,0)</f>
        <v/>
      </c>
      <c r="K516">
        <f>B516-$O$14</f>
        <v/>
      </c>
    </row>
    <row r="517">
      <c r="A517" t="n">
        <v>1545</v>
      </c>
      <c r="B517" t="n">
        <v>51.5</v>
      </c>
      <c r="C517" t="inlineStr">
        <is>
          <t>367</t>
        </is>
      </c>
      <c r="D517" t="n">
        <v>3.67</v>
      </c>
      <c r="E517">
        <f>MEDIAN(D497:D537)</f>
        <v/>
      </c>
      <c r="F517">
        <f>E497</f>
        <v/>
      </c>
      <c r="G517">
        <f>F517-E517</f>
        <v/>
      </c>
      <c r="H517">
        <f>IF(OR(NOT(ISNUMBER(D517)),ABS(D517-E517)&gt;$O$3,AND($O$11=1,B517&lt;$O$12)),1,0)</f>
        <v/>
      </c>
      <c r="I517">
        <f>IF(H517=1,NA(),D517)</f>
        <v/>
      </c>
      <c r="J517">
        <f>IF(AND(ISNUMBER(D517),D517&gt;=$O$4,OR($O$11=0,B517&gt;=$O$12)),1,0)</f>
        <v/>
      </c>
      <c r="K517">
        <f>B517-$O$14</f>
        <v/>
      </c>
    </row>
    <row r="518">
      <c r="A518" t="n">
        <v>1548</v>
      </c>
      <c r="B518" t="n">
        <v>51.6</v>
      </c>
      <c r="C518" t="inlineStr">
        <is>
          <t>3?7</t>
        </is>
      </c>
      <c r="E518">
        <f>MEDIAN(D498:D538)</f>
        <v/>
      </c>
      <c r="F518">
        <f>E498</f>
        <v/>
      </c>
      <c r="G518">
        <f>F518-E518</f>
        <v/>
      </c>
      <c r="H518">
        <f>IF(OR(NOT(ISNUMBER(D518)),ABS(D518-E518)&gt;$O$3,AND($O$11=1,B518&lt;$O$12)),1,0)</f>
        <v/>
      </c>
      <c r="I518">
        <f>IF(H518=1,NA(),D518)</f>
        <v/>
      </c>
      <c r="J518">
        <f>IF(AND(ISNUMBER(D518),D518&gt;=$O$4,OR($O$11=0,B518&gt;=$O$12)),1,0)</f>
        <v/>
      </c>
      <c r="K518">
        <f>B518-$O$14</f>
        <v/>
      </c>
    </row>
    <row r="519">
      <c r="A519" t="n">
        <v>1551</v>
      </c>
      <c r="B519" t="n">
        <v>51.7</v>
      </c>
      <c r="C519" t="inlineStr">
        <is>
          <t>307</t>
        </is>
      </c>
      <c r="D519" t="n">
        <v>3.07</v>
      </c>
      <c r="E519">
        <f>MEDIAN(D499:D539)</f>
        <v/>
      </c>
      <c r="F519">
        <f>E499</f>
        <v/>
      </c>
      <c r="G519">
        <f>F519-E519</f>
        <v/>
      </c>
      <c r="H519">
        <f>IF(OR(NOT(ISNUMBER(D519)),ABS(D519-E519)&gt;$O$3,AND($O$11=1,B519&lt;$O$12)),1,0)</f>
        <v/>
      </c>
      <c r="I519">
        <f>IF(H519=1,NA(),D519)</f>
        <v/>
      </c>
      <c r="J519">
        <f>IF(AND(ISNUMBER(D519),D519&gt;=$O$4,OR($O$11=0,B519&gt;=$O$12)),1,0)</f>
        <v/>
      </c>
      <c r="K519">
        <f>B519-$O$14</f>
        <v/>
      </c>
    </row>
    <row r="520">
      <c r="A520" t="n">
        <v>1554</v>
      </c>
      <c r="B520" t="n">
        <v>51.8</v>
      </c>
      <c r="C520" t="inlineStr">
        <is>
          <t>387</t>
        </is>
      </c>
      <c r="D520" t="n">
        <v>3.87</v>
      </c>
      <c r="E520">
        <f>MEDIAN(D500:D540)</f>
        <v/>
      </c>
      <c r="F520">
        <f>E500</f>
        <v/>
      </c>
      <c r="G520">
        <f>F520-E520</f>
        <v/>
      </c>
      <c r="H520">
        <f>IF(OR(NOT(ISNUMBER(D520)),ABS(D520-E520)&gt;$O$3,AND($O$11=1,B520&lt;$O$12)),1,0)</f>
        <v/>
      </c>
      <c r="I520">
        <f>IF(H520=1,NA(),D520)</f>
        <v/>
      </c>
      <c r="J520">
        <f>IF(AND(ISNUMBER(D520),D520&gt;=$O$4,OR($O$11=0,B520&gt;=$O$12)),1,0)</f>
        <v/>
      </c>
      <c r="K520">
        <f>B520-$O$14</f>
        <v/>
      </c>
    </row>
    <row r="521">
      <c r="A521" t="n">
        <v>1557</v>
      </c>
      <c r="B521" t="n">
        <v>51.9</v>
      </c>
      <c r="C521" t="inlineStr">
        <is>
          <t>307</t>
        </is>
      </c>
      <c r="D521" t="n">
        <v>3.07</v>
      </c>
      <c r="E521">
        <f>MEDIAN(D501:D541)</f>
        <v/>
      </c>
      <c r="F521">
        <f>E501</f>
        <v/>
      </c>
      <c r="G521">
        <f>F521-E521</f>
        <v/>
      </c>
      <c r="H521">
        <f>IF(OR(NOT(ISNUMBER(D521)),ABS(D521-E521)&gt;$O$3,AND($O$11=1,B521&lt;$O$12)),1,0)</f>
        <v/>
      </c>
      <c r="I521">
        <f>IF(H521=1,NA(),D521)</f>
        <v/>
      </c>
      <c r="J521">
        <f>IF(AND(ISNUMBER(D521),D521&gt;=$O$4,OR($O$11=0,B521&gt;=$O$12)),1,0)</f>
        <v/>
      </c>
      <c r="K521">
        <f>B521-$O$14</f>
        <v/>
      </c>
    </row>
    <row r="522">
      <c r="A522" t="n">
        <v>1560</v>
      </c>
      <c r="B522" t="n">
        <v>52</v>
      </c>
      <c r="C522" t="inlineStr">
        <is>
          <t>387</t>
        </is>
      </c>
      <c r="D522" t="n">
        <v>3.87</v>
      </c>
      <c r="E522">
        <f>MEDIAN(D502:D542)</f>
        <v/>
      </c>
      <c r="F522">
        <f>E502</f>
        <v/>
      </c>
      <c r="G522">
        <f>F522-E522</f>
        <v/>
      </c>
      <c r="H522">
        <f>IF(OR(NOT(ISNUMBER(D522)),ABS(D522-E522)&gt;$O$3,AND($O$11=1,B522&lt;$O$12)),1,0)</f>
        <v/>
      </c>
      <c r="I522">
        <f>IF(H522=1,NA(),D522)</f>
        <v/>
      </c>
      <c r="J522">
        <f>IF(AND(ISNUMBER(D522),D522&gt;=$O$4,OR($O$11=0,B522&gt;=$O$12)),1,0)</f>
        <v/>
      </c>
      <c r="K522">
        <f>B522-$O$14</f>
        <v/>
      </c>
    </row>
    <row r="523">
      <c r="A523" t="n">
        <v>1563</v>
      </c>
      <c r="B523" t="n">
        <v>52.1</v>
      </c>
      <c r="C523" t="inlineStr">
        <is>
          <t>307</t>
        </is>
      </c>
      <c r="D523" t="n">
        <v>3.07</v>
      </c>
      <c r="E523">
        <f>MEDIAN(D503:D543)</f>
        <v/>
      </c>
      <c r="F523">
        <f>E503</f>
        <v/>
      </c>
      <c r="G523">
        <f>F523-E523</f>
        <v/>
      </c>
      <c r="H523">
        <f>IF(OR(NOT(ISNUMBER(D523)),ABS(D523-E523)&gt;$O$3,AND($O$11=1,B523&lt;$O$12)),1,0)</f>
        <v/>
      </c>
      <c r="I523">
        <f>IF(H523=1,NA(),D523)</f>
        <v/>
      </c>
      <c r="J523">
        <f>IF(AND(ISNUMBER(D523),D523&gt;=$O$4,OR($O$11=0,B523&gt;=$O$12)),1,0)</f>
        <v/>
      </c>
      <c r="K523">
        <f>B523-$O$14</f>
        <v/>
      </c>
    </row>
    <row r="524">
      <c r="A524" t="n">
        <v>1566</v>
      </c>
      <c r="B524" t="n">
        <v>52.2</v>
      </c>
      <c r="C524" t="inlineStr">
        <is>
          <t>387</t>
        </is>
      </c>
      <c r="D524" t="n">
        <v>3.87</v>
      </c>
      <c r="E524">
        <f>MEDIAN(D504:D544)</f>
        <v/>
      </c>
      <c r="F524">
        <f>E504</f>
        <v/>
      </c>
      <c r="G524">
        <f>F524-E524</f>
        <v/>
      </c>
      <c r="H524">
        <f>IF(OR(NOT(ISNUMBER(D524)),ABS(D524-E524)&gt;$O$3,AND($O$11=1,B524&lt;$O$12)),1,0)</f>
        <v/>
      </c>
      <c r="I524">
        <f>IF(H524=1,NA(),D524)</f>
        <v/>
      </c>
      <c r="J524">
        <f>IF(AND(ISNUMBER(D524),D524&gt;=$O$4,OR($O$11=0,B524&gt;=$O$12)),1,0)</f>
        <v/>
      </c>
      <c r="K524">
        <f>B524-$O$14</f>
        <v/>
      </c>
    </row>
    <row r="525">
      <c r="A525" t="n">
        <v>1569</v>
      </c>
      <c r="B525" t="n">
        <v>52.3</v>
      </c>
      <c r="C525" t="inlineStr">
        <is>
          <t>307</t>
        </is>
      </c>
      <c r="D525" t="n">
        <v>3.07</v>
      </c>
      <c r="E525">
        <f>MEDIAN(D505:D545)</f>
        <v/>
      </c>
      <c r="F525">
        <f>E505</f>
        <v/>
      </c>
      <c r="G525">
        <f>F525-E525</f>
        <v/>
      </c>
      <c r="H525">
        <f>IF(OR(NOT(ISNUMBER(D525)),ABS(D525-E525)&gt;$O$3,AND($O$11=1,B525&lt;$O$12)),1,0)</f>
        <v/>
      </c>
      <c r="I525">
        <f>IF(H525=1,NA(),D525)</f>
        <v/>
      </c>
      <c r="J525">
        <f>IF(AND(ISNUMBER(D525),D525&gt;=$O$4,OR($O$11=0,B525&gt;=$O$12)),1,0)</f>
        <v/>
      </c>
      <c r="K525">
        <f>B525-$O$14</f>
        <v/>
      </c>
    </row>
    <row r="526">
      <c r="A526" t="n">
        <v>1572</v>
      </c>
      <c r="B526" t="n">
        <v>52.4</v>
      </c>
      <c r="C526" t="inlineStr">
        <is>
          <t>3?7</t>
        </is>
      </c>
      <c r="E526">
        <f>MEDIAN(D506:D546)</f>
        <v/>
      </c>
      <c r="F526">
        <f>E506</f>
        <v/>
      </c>
      <c r="G526">
        <f>F526-E526</f>
        <v/>
      </c>
      <c r="H526">
        <f>IF(OR(NOT(ISNUMBER(D526)),ABS(D526-E526)&gt;$O$3,AND($O$11=1,B526&lt;$O$12)),1,0)</f>
        <v/>
      </c>
      <c r="I526">
        <f>IF(H526=1,NA(),D526)</f>
        <v/>
      </c>
      <c r="J526">
        <f>IF(AND(ISNUMBER(D526),D526&gt;=$O$4,OR($O$11=0,B526&gt;=$O$12)),1,0)</f>
        <v/>
      </c>
      <c r="K526">
        <f>B526-$O$14</f>
        <v/>
      </c>
    </row>
    <row r="527">
      <c r="A527" t="n">
        <v>1575</v>
      </c>
      <c r="B527" t="n">
        <v>52.5</v>
      </c>
      <c r="C527" t="inlineStr">
        <is>
          <t>307</t>
        </is>
      </c>
      <c r="D527" t="n">
        <v>3.07</v>
      </c>
      <c r="E527">
        <f>MEDIAN(D507:D547)</f>
        <v/>
      </c>
      <c r="F527">
        <f>E507</f>
        <v/>
      </c>
      <c r="G527">
        <f>F527-E527</f>
        <v/>
      </c>
      <c r="H527">
        <f>IF(OR(NOT(ISNUMBER(D527)),ABS(D527-E527)&gt;$O$3,AND($O$11=1,B527&lt;$O$12)),1,0)</f>
        <v/>
      </c>
      <c r="I527">
        <f>IF(H527=1,NA(),D527)</f>
        <v/>
      </c>
      <c r="J527">
        <f>IF(AND(ISNUMBER(D527),D527&gt;=$O$4,OR($O$11=0,B527&gt;=$O$12)),1,0)</f>
        <v/>
      </c>
      <c r="K527">
        <f>B527-$O$14</f>
        <v/>
      </c>
    </row>
    <row r="528">
      <c r="A528" t="n">
        <v>1578</v>
      </c>
      <c r="B528" t="n">
        <v>52.6</v>
      </c>
      <c r="C528" t="inlineStr">
        <is>
          <t>387</t>
        </is>
      </c>
      <c r="D528" t="n">
        <v>3.87</v>
      </c>
      <c r="E528">
        <f>MEDIAN(D508:D548)</f>
        <v/>
      </c>
      <c r="F528">
        <f>E508</f>
        <v/>
      </c>
      <c r="G528">
        <f>F528-E528</f>
        <v/>
      </c>
      <c r="H528">
        <f>IF(OR(NOT(ISNUMBER(D528)),ABS(D528-E528)&gt;$O$3,AND($O$11=1,B528&lt;$O$12)),1,0)</f>
        <v/>
      </c>
      <c r="I528">
        <f>IF(H528=1,NA(),D528)</f>
        <v/>
      </c>
      <c r="J528">
        <f>IF(AND(ISNUMBER(D528),D528&gt;=$O$4,OR($O$11=0,B528&gt;=$O$12)),1,0)</f>
        <v/>
      </c>
      <c r="K528">
        <f>B528-$O$14</f>
        <v/>
      </c>
    </row>
    <row r="529">
      <c r="A529" t="n">
        <v>1581</v>
      </c>
      <c r="B529" t="n">
        <v>52.7</v>
      </c>
      <c r="C529" t="inlineStr">
        <is>
          <t>307</t>
        </is>
      </c>
      <c r="D529" t="n">
        <v>3.07</v>
      </c>
      <c r="E529">
        <f>MEDIAN(D509:D549)</f>
        <v/>
      </c>
      <c r="F529">
        <f>E509</f>
        <v/>
      </c>
      <c r="G529">
        <f>F529-E529</f>
        <v/>
      </c>
      <c r="H529">
        <f>IF(OR(NOT(ISNUMBER(D529)),ABS(D529-E529)&gt;$O$3,AND($O$11=1,B529&lt;$O$12)),1,0)</f>
        <v/>
      </c>
      <c r="I529">
        <f>IF(H529=1,NA(),D529)</f>
        <v/>
      </c>
      <c r="J529">
        <f>IF(AND(ISNUMBER(D529),D529&gt;=$O$4,OR($O$11=0,B529&gt;=$O$12)),1,0)</f>
        <v/>
      </c>
      <c r="K529">
        <f>B529-$O$14</f>
        <v/>
      </c>
    </row>
    <row r="530">
      <c r="A530" t="n">
        <v>1584</v>
      </c>
      <c r="B530" t="n">
        <v>52.8</v>
      </c>
      <c r="C530" t="inlineStr">
        <is>
          <t>387</t>
        </is>
      </c>
      <c r="D530" t="n">
        <v>3.87</v>
      </c>
      <c r="E530">
        <f>MEDIAN(D510:D550)</f>
        <v/>
      </c>
      <c r="F530">
        <f>E510</f>
        <v/>
      </c>
      <c r="G530">
        <f>F530-E530</f>
        <v/>
      </c>
      <c r="H530">
        <f>IF(OR(NOT(ISNUMBER(D530)),ABS(D530-E530)&gt;$O$3,AND($O$11=1,B530&lt;$O$12)),1,0)</f>
        <v/>
      </c>
      <c r="I530">
        <f>IF(H530=1,NA(),D530)</f>
        <v/>
      </c>
      <c r="J530">
        <f>IF(AND(ISNUMBER(D530),D530&gt;=$O$4,OR($O$11=0,B530&gt;=$O$12)),1,0)</f>
        <v/>
      </c>
      <c r="K530">
        <f>B530-$O$14</f>
        <v/>
      </c>
    </row>
    <row r="531">
      <c r="A531" t="n">
        <v>1587</v>
      </c>
      <c r="B531" t="n">
        <v>52.9</v>
      </c>
      <c r="C531" t="inlineStr">
        <is>
          <t>307</t>
        </is>
      </c>
      <c r="D531" t="n">
        <v>3.07</v>
      </c>
      <c r="E531">
        <f>MEDIAN(D511:D551)</f>
        <v/>
      </c>
      <c r="F531">
        <f>E511</f>
        <v/>
      </c>
      <c r="G531">
        <f>F531-E531</f>
        <v/>
      </c>
      <c r="H531">
        <f>IF(OR(NOT(ISNUMBER(D531)),ABS(D531-E531)&gt;$O$3,AND($O$11=1,B531&lt;$O$12)),1,0)</f>
        <v/>
      </c>
      <c r="I531">
        <f>IF(H531=1,NA(),D531)</f>
        <v/>
      </c>
      <c r="J531">
        <f>IF(AND(ISNUMBER(D531),D531&gt;=$O$4,OR($O$11=0,B531&gt;=$O$12)),1,0)</f>
        <v/>
      </c>
      <c r="K531">
        <f>B531-$O$14</f>
        <v/>
      </c>
    </row>
    <row r="532">
      <c r="A532" t="n">
        <v>1590</v>
      </c>
      <c r="B532" t="n">
        <v>53</v>
      </c>
      <c r="C532" t="inlineStr">
        <is>
          <t>387</t>
        </is>
      </c>
      <c r="D532" t="n">
        <v>3.87</v>
      </c>
      <c r="E532">
        <f>MEDIAN(D512:D552)</f>
        <v/>
      </c>
      <c r="F532">
        <f>E512</f>
        <v/>
      </c>
      <c r="G532">
        <f>F532-E532</f>
        <v/>
      </c>
      <c r="H532">
        <f>IF(OR(NOT(ISNUMBER(D532)),ABS(D532-E532)&gt;$O$3,AND($O$11=1,B532&lt;$O$12)),1,0)</f>
        <v/>
      </c>
      <c r="I532">
        <f>IF(H532=1,NA(),D532)</f>
        <v/>
      </c>
      <c r="J532">
        <f>IF(AND(ISNUMBER(D532),D532&gt;=$O$4,OR($O$11=0,B532&gt;=$O$12)),1,0)</f>
        <v/>
      </c>
      <c r="K532">
        <f>B532-$O$14</f>
        <v/>
      </c>
    </row>
    <row r="533">
      <c r="A533" t="n">
        <v>1593</v>
      </c>
      <c r="B533" t="n">
        <v>53.1</v>
      </c>
      <c r="C533" t="inlineStr">
        <is>
          <t>367</t>
        </is>
      </c>
      <c r="D533" t="n">
        <v>3.67</v>
      </c>
      <c r="E533">
        <f>MEDIAN(D513:D553)</f>
        <v/>
      </c>
      <c r="F533">
        <f>E513</f>
        <v/>
      </c>
      <c r="G533">
        <f>F533-E533</f>
        <v/>
      </c>
      <c r="H533">
        <f>IF(OR(NOT(ISNUMBER(D533)),ABS(D533-E533)&gt;$O$3,AND($O$11=1,B533&lt;$O$12)),1,0)</f>
        <v/>
      </c>
      <c r="I533">
        <f>IF(H533=1,NA(),D533)</f>
        <v/>
      </c>
      <c r="J533">
        <f>IF(AND(ISNUMBER(D533),D533&gt;=$O$4,OR($O$11=0,B533&gt;=$O$12)),1,0)</f>
        <v/>
      </c>
      <c r="K533">
        <f>B533-$O$14</f>
        <v/>
      </c>
    </row>
    <row r="534">
      <c r="A534" t="n">
        <v>1596</v>
      </c>
      <c r="B534" t="n">
        <v>53.2</v>
      </c>
      <c r="C534" t="inlineStr">
        <is>
          <t>7</t>
        </is>
      </c>
      <c r="D534" t="n">
        <v>0.07000000000000001</v>
      </c>
      <c r="E534">
        <f>MEDIAN(D514:D554)</f>
        <v/>
      </c>
      <c r="F534">
        <f>E514</f>
        <v/>
      </c>
      <c r="G534">
        <f>F534-E534</f>
        <v/>
      </c>
      <c r="H534">
        <f>IF(OR(NOT(ISNUMBER(D534)),ABS(D534-E534)&gt;$O$3,AND($O$11=1,B534&lt;$O$12)),1,0)</f>
        <v/>
      </c>
      <c r="I534">
        <f>IF(H534=1,NA(),D534)</f>
        <v/>
      </c>
      <c r="J534">
        <f>IF(AND(ISNUMBER(D534),D534&gt;=$O$4,OR($O$11=0,B534&gt;=$O$12)),1,0)</f>
        <v/>
      </c>
      <c r="K534">
        <f>B534-$O$14</f>
        <v/>
      </c>
    </row>
    <row r="535">
      <c r="A535" t="n">
        <v>1599</v>
      </c>
      <c r="B535" t="n">
        <v>53.3</v>
      </c>
      <c r="C535" t="inlineStr">
        <is>
          <t>387</t>
        </is>
      </c>
      <c r="D535" t="n">
        <v>3.87</v>
      </c>
      <c r="E535">
        <f>MEDIAN(D515:D555)</f>
        <v/>
      </c>
      <c r="F535">
        <f>E515</f>
        <v/>
      </c>
      <c r="G535">
        <f>F535-E535</f>
        <v/>
      </c>
      <c r="H535">
        <f>IF(OR(NOT(ISNUMBER(D535)),ABS(D535-E535)&gt;$O$3,AND($O$11=1,B535&lt;$O$12)),1,0)</f>
        <v/>
      </c>
      <c r="I535">
        <f>IF(H535=1,NA(),D535)</f>
        <v/>
      </c>
      <c r="J535">
        <f>IF(AND(ISNUMBER(D535),D535&gt;=$O$4,OR($O$11=0,B535&gt;=$O$12)),1,0)</f>
        <v/>
      </c>
      <c r="K535">
        <f>B535-$O$14</f>
        <v/>
      </c>
    </row>
    <row r="536">
      <c r="A536" t="n">
        <v>1602</v>
      </c>
      <c r="B536" t="n">
        <v>53.4</v>
      </c>
      <c r="C536" t="inlineStr">
        <is>
          <t>307</t>
        </is>
      </c>
      <c r="D536" t="n">
        <v>3.07</v>
      </c>
      <c r="E536">
        <f>MEDIAN(D516:D556)</f>
        <v/>
      </c>
      <c r="F536">
        <f>E516</f>
        <v/>
      </c>
      <c r="G536">
        <f>F536-E536</f>
        <v/>
      </c>
      <c r="H536">
        <f>IF(OR(NOT(ISNUMBER(D536)),ABS(D536-E536)&gt;$O$3,AND($O$11=1,B536&lt;$O$12)),1,0)</f>
        <v/>
      </c>
      <c r="I536">
        <f>IF(H536=1,NA(),D536)</f>
        <v/>
      </c>
      <c r="J536">
        <f>IF(AND(ISNUMBER(D536),D536&gt;=$O$4,OR($O$11=0,B536&gt;=$O$12)),1,0)</f>
        <v/>
      </c>
      <c r="K536">
        <f>B536-$O$14</f>
        <v/>
      </c>
    </row>
    <row r="537">
      <c r="A537" t="n">
        <v>1605</v>
      </c>
      <c r="B537" t="n">
        <v>53.5</v>
      </c>
      <c r="C537" t="inlineStr">
        <is>
          <t>7</t>
        </is>
      </c>
      <c r="D537" t="n">
        <v>0.07000000000000001</v>
      </c>
      <c r="E537">
        <f>MEDIAN(D517:D557)</f>
        <v/>
      </c>
      <c r="F537">
        <f>E517</f>
        <v/>
      </c>
      <c r="G537">
        <f>F537-E537</f>
        <v/>
      </c>
      <c r="H537">
        <f>IF(OR(NOT(ISNUMBER(D537)),ABS(D537-E537)&gt;$O$3,AND($O$11=1,B537&lt;$O$12)),1,0)</f>
        <v/>
      </c>
      <c r="I537">
        <f>IF(H537=1,NA(),D537)</f>
        <v/>
      </c>
      <c r="J537">
        <f>IF(AND(ISNUMBER(D537),D537&gt;=$O$4,OR($O$11=0,B537&gt;=$O$12)),1,0)</f>
        <v/>
      </c>
      <c r="K537">
        <f>B537-$O$14</f>
        <v/>
      </c>
    </row>
    <row r="538">
      <c r="A538" t="n">
        <v>1608</v>
      </c>
      <c r="B538" t="n">
        <v>53.6</v>
      </c>
      <c r="C538" t="inlineStr">
        <is>
          <t>307</t>
        </is>
      </c>
      <c r="D538" t="n">
        <v>3.07</v>
      </c>
      <c r="E538">
        <f>MEDIAN(D518:D558)</f>
        <v/>
      </c>
      <c r="F538">
        <f>E518</f>
        <v/>
      </c>
      <c r="G538">
        <f>F538-E538</f>
        <v/>
      </c>
      <c r="H538">
        <f>IF(OR(NOT(ISNUMBER(D538)),ABS(D538-E538)&gt;$O$3,AND($O$11=1,B538&lt;$O$12)),1,0)</f>
        <v/>
      </c>
      <c r="I538">
        <f>IF(H538=1,NA(),D538)</f>
        <v/>
      </c>
      <c r="J538">
        <f>IF(AND(ISNUMBER(D538),D538&gt;=$O$4,OR($O$11=0,B538&gt;=$O$12)),1,0)</f>
        <v/>
      </c>
      <c r="K538">
        <f>B538-$O$14</f>
        <v/>
      </c>
    </row>
    <row r="539">
      <c r="A539" t="n">
        <v>1611</v>
      </c>
      <c r="B539" t="n">
        <v>53.7</v>
      </c>
      <c r="C539" t="inlineStr">
        <is>
          <t>387</t>
        </is>
      </c>
      <c r="D539" t="n">
        <v>3.87</v>
      </c>
      <c r="E539">
        <f>MEDIAN(D519:D559)</f>
        <v/>
      </c>
      <c r="F539">
        <f>E519</f>
        <v/>
      </c>
      <c r="G539">
        <f>F539-E539</f>
        <v/>
      </c>
      <c r="H539">
        <f>IF(OR(NOT(ISNUMBER(D539)),ABS(D539-E539)&gt;$O$3,AND($O$11=1,B539&lt;$O$12)),1,0)</f>
        <v/>
      </c>
      <c r="I539">
        <f>IF(H539=1,NA(),D539)</f>
        <v/>
      </c>
      <c r="J539">
        <f>IF(AND(ISNUMBER(D539),D539&gt;=$O$4,OR($O$11=0,B539&gt;=$O$12)),1,0)</f>
        <v/>
      </c>
      <c r="K539">
        <f>B539-$O$14</f>
        <v/>
      </c>
    </row>
    <row r="540">
      <c r="A540" t="n">
        <v>1614</v>
      </c>
      <c r="B540" t="n">
        <v>53.8</v>
      </c>
      <c r="C540" t="inlineStr">
        <is>
          <t>307</t>
        </is>
      </c>
      <c r="D540" t="n">
        <v>3.07</v>
      </c>
      <c r="E540">
        <f>MEDIAN(D520:D560)</f>
        <v/>
      </c>
      <c r="F540">
        <f>E520</f>
        <v/>
      </c>
      <c r="G540">
        <f>F540-E540</f>
        <v/>
      </c>
      <c r="H540">
        <f>IF(OR(NOT(ISNUMBER(D540)),ABS(D540-E540)&gt;$O$3,AND($O$11=1,B540&lt;$O$12)),1,0)</f>
        <v/>
      </c>
      <c r="I540">
        <f>IF(H540=1,NA(),D540)</f>
        <v/>
      </c>
      <c r="J540">
        <f>IF(AND(ISNUMBER(D540),D540&gt;=$O$4,OR($O$11=0,B540&gt;=$O$12)),1,0)</f>
        <v/>
      </c>
      <c r="K540">
        <f>B540-$O$14</f>
        <v/>
      </c>
    </row>
    <row r="541">
      <c r="A541" t="n">
        <v>1617</v>
      </c>
      <c r="B541" t="n">
        <v>53.9</v>
      </c>
      <c r="C541" t="inlineStr">
        <is>
          <t>387</t>
        </is>
      </c>
      <c r="D541" t="n">
        <v>3.87</v>
      </c>
      <c r="E541">
        <f>MEDIAN(D521:D561)</f>
        <v/>
      </c>
      <c r="F541">
        <f>E521</f>
        <v/>
      </c>
      <c r="G541">
        <f>F541-E541</f>
        <v/>
      </c>
      <c r="H541">
        <f>IF(OR(NOT(ISNUMBER(D541)),ABS(D541-E541)&gt;$O$3,AND($O$11=1,B541&lt;$O$12)),1,0)</f>
        <v/>
      </c>
      <c r="I541">
        <f>IF(H541=1,NA(),D541)</f>
        <v/>
      </c>
      <c r="J541">
        <f>IF(AND(ISNUMBER(D541),D541&gt;=$O$4,OR($O$11=0,B541&gt;=$O$12)),1,0)</f>
        <v/>
      </c>
      <c r="K541">
        <f>B541-$O$14</f>
        <v/>
      </c>
    </row>
    <row r="542">
      <c r="A542" t="n">
        <v>1620</v>
      </c>
      <c r="B542" t="n">
        <v>54</v>
      </c>
      <c r="C542" t="inlineStr">
        <is>
          <t>307</t>
        </is>
      </c>
      <c r="D542" t="n">
        <v>3.07</v>
      </c>
      <c r="E542">
        <f>MEDIAN(D522:D562)</f>
        <v/>
      </c>
      <c r="F542">
        <f>E522</f>
        <v/>
      </c>
      <c r="G542">
        <f>F542-E542</f>
        <v/>
      </c>
      <c r="H542">
        <f>IF(OR(NOT(ISNUMBER(D542)),ABS(D542-E542)&gt;$O$3,AND($O$11=1,B542&lt;$O$12)),1,0)</f>
        <v/>
      </c>
      <c r="I542">
        <f>IF(H542=1,NA(),D542)</f>
        <v/>
      </c>
      <c r="J542">
        <f>IF(AND(ISNUMBER(D542),D542&gt;=$O$4,OR($O$11=0,B542&gt;=$O$12)),1,0)</f>
        <v/>
      </c>
      <c r="K542">
        <f>B542-$O$14</f>
        <v/>
      </c>
    </row>
    <row r="543">
      <c r="A543" t="n">
        <v>1623</v>
      </c>
      <c r="B543" t="n">
        <v>54.1</v>
      </c>
      <c r="C543" t="inlineStr">
        <is>
          <t>3?7</t>
        </is>
      </c>
      <c r="E543">
        <f>MEDIAN(D523:D563)</f>
        <v/>
      </c>
      <c r="F543">
        <f>E523</f>
        <v/>
      </c>
      <c r="G543">
        <f>F543-E543</f>
        <v/>
      </c>
      <c r="H543">
        <f>IF(OR(NOT(ISNUMBER(D543)),ABS(D543-E543)&gt;$O$3,AND($O$11=1,B543&lt;$O$12)),1,0)</f>
        <v/>
      </c>
      <c r="I543">
        <f>IF(H543=1,NA(),D543)</f>
        <v/>
      </c>
      <c r="J543">
        <f>IF(AND(ISNUMBER(D543),D543&gt;=$O$4,OR($O$11=0,B543&gt;=$O$12)),1,0)</f>
        <v/>
      </c>
      <c r="K543">
        <f>B543-$O$14</f>
        <v/>
      </c>
    </row>
    <row r="544">
      <c r="A544" t="n">
        <v>1626</v>
      </c>
      <c r="B544" t="n">
        <v>54.2</v>
      </c>
      <c r="C544" t="inlineStr">
        <is>
          <t>307</t>
        </is>
      </c>
      <c r="D544" t="n">
        <v>3.07</v>
      </c>
      <c r="E544">
        <f>MEDIAN(D524:D564)</f>
        <v/>
      </c>
      <c r="F544">
        <f>E524</f>
        <v/>
      </c>
      <c r="G544">
        <f>F544-E544</f>
        <v/>
      </c>
      <c r="H544">
        <f>IF(OR(NOT(ISNUMBER(D544)),ABS(D544-E544)&gt;$O$3,AND($O$11=1,B544&lt;$O$12)),1,0)</f>
        <v/>
      </c>
      <c r="I544">
        <f>IF(H544=1,NA(),D544)</f>
        <v/>
      </c>
      <c r="J544">
        <f>IF(AND(ISNUMBER(D544),D544&gt;=$O$4,OR($O$11=0,B544&gt;=$O$12)),1,0)</f>
        <v/>
      </c>
      <c r="K544">
        <f>B544-$O$14</f>
        <v/>
      </c>
    </row>
    <row r="545">
      <c r="A545" t="n">
        <v>1629</v>
      </c>
      <c r="B545" t="n">
        <v>54.3</v>
      </c>
      <c r="C545" t="inlineStr">
        <is>
          <t>387</t>
        </is>
      </c>
      <c r="D545" t="n">
        <v>3.87</v>
      </c>
      <c r="E545">
        <f>MEDIAN(D525:D565)</f>
        <v/>
      </c>
      <c r="F545">
        <f>E525</f>
        <v/>
      </c>
      <c r="G545">
        <f>F545-E545</f>
        <v/>
      </c>
      <c r="H545">
        <f>IF(OR(NOT(ISNUMBER(D545)),ABS(D545-E545)&gt;$O$3,AND($O$11=1,B545&lt;$O$12)),1,0)</f>
        <v/>
      </c>
      <c r="I545">
        <f>IF(H545=1,NA(),D545)</f>
        <v/>
      </c>
      <c r="J545">
        <f>IF(AND(ISNUMBER(D545),D545&gt;=$O$4,OR($O$11=0,B545&gt;=$O$12)),1,0)</f>
        <v/>
      </c>
      <c r="K545">
        <f>B545-$O$14</f>
        <v/>
      </c>
    </row>
    <row r="546">
      <c r="A546" t="n">
        <v>1632</v>
      </c>
      <c r="B546" t="n">
        <v>54.4</v>
      </c>
      <c r="C546" t="inlineStr">
        <is>
          <t>7</t>
        </is>
      </c>
      <c r="D546" t="n">
        <v>0.07000000000000001</v>
      </c>
      <c r="E546">
        <f>MEDIAN(D526:D566)</f>
        <v/>
      </c>
      <c r="F546">
        <f>E526</f>
        <v/>
      </c>
      <c r="G546">
        <f>F546-E546</f>
        <v/>
      </c>
      <c r="H546">
        <f>IF(OR(NOT(ISNUMBER(D546)),ABS(D546-E546)&gt;$O$3,AND($O$11=1,B546&lt;$O$12)),1,0)</f>
        <v/>
      </c>
      <c r="I546">
        <f>IF(H546=1,NA(),D546)</f>
        <v/>
      </c>
      <c r="J546">
        <f>IF(AND(ISNUMBER(D546),D546&gt;=$O$4,OR($O$11=0,B546&gt;=$O$12)),1,0)</f>
        <v/>
      </c>
      <c r="K546">
        <f>B546-$O$14</f>
        <v/>
      </c>
    </row>
    <row r="547">
      <c r="A547" t="n">
        <v>1635</v>
      </c>
      <c r="B547" t="n">
        <v>54.5</v>
      </c>
      <c r="C547" t="inlineStr">
        <is>
          <t>307</t>
        </is>
      </c>
      <c r="D547" t="n">
        <v>3.07</v>
      </c>
      <c r="E547">
        <f>MEDIAN(D527:D567)</f>
        <v/>
      </c>
      <c r="F547">
        <f>E527</f>
        <v/>
      </c>
      <c r="G547">
        <f>F547-E547</f>
        <v/>
      </c>
      <c r="H547">
        <f>IF(OR(NOT(ISNUMBER(D547)),ABS(D547-E547)&gt;$O$3,AND($O$11=1,B547&lt;$O$12)),1,0)</f>
        <v/>
      </c>
      <c r="I547">
        <f>IF(H547=1,NA(),D547)</f>
        <v/>
      </c>
      <c r="J547">
        <f>IF(AND(ISNUMBER(D547),D547&gt;=$O$4,OR($O$11=0,B547&gt;=$O$12)),1,0)</f>
        <v/>
      </c>
      <c r="K547">
        <f>B547-$O$14</f>
        <v/>
      </c>
    </row>
    <row r="548">
      <c r="A548" t="n">
        <v>1638</v>
      </c>
      <c r="B548" t="n">
        <v>54.6</v>
      </c>
      <c r="C548" t="inlineStr">
        <is>
          <t>367</t>
        </is>
      </c>
      <c r="D548" t="n">
        <v>3.67</v>
      </c>
      <c r="E548">
        <f>MEDIAN(D528:D568)</f>
        <v/>
      </c>
      <c r="F548">
        <f>E528</f>
        <v/>
      </c>
      <c r="G548">
        <f>F548-E548</f>
        <v/>
      </c>
      <c r="H548">
        <f>IF(OR(NOT(ISNUMBER(D548)),ABS(D548-E548)&gt;$O$3,AND($O$11=1,B548&lt;$O$12)),1,0)</f>
        <v/>
      </c>
      <c r="I548">
        <f>IF(H548=1,NA(),D548)</f>
        <v/>
      </c>
      <c r="J548">
        <f>IF(AND(ISNUMBER(D548),D548&gt;=$O$4,OR($O$11=0,B548&gt;=$O$12)),1,0)</f>
        <v/>
      </c>
      <c r="K548">
        <f>B548-$O$14</f>
        <v/>
      </c>
    </row>
    <row r="549">
      <c r="A549" t="n">
        <v>1641</v>
      </c>
      <c r="B549" t="n">
        <v>54.7</v>
      </c>
      <c r="C549" t="inlineStr">
        <is>
          <t>307</t>
        </is>
      </c>
      <c r="D549" t="n">
        <v>3.07</v>
      </c>
      <c r="E549">
        <f>MEDIAN(D529:D569)</f>
        <v/>
      </c>
      <c r="F549">
        <f>E529</f>
        <v/>
      </c>
      <c r="G549">
        <f>F549-E549</f>
        <v/>
      </c>
      <c r="H549">
        <f>IF(OR(NOT(ISNUMBER(D549)),ABS(D549-E549)&gt;$O$3,AND($O$11=1,B549&lt;$O$12)),1,0)</f>
        <v/>
      </c>
      <c r="I549">
        <f>IF(H549=1,NA(),D549)</f>
        <v/>
      </c>
      <c r="J549">
        <f>IF(AND(ISNUMBER(D549),D549&gt;=$O$4,OR($O$11=0,B549&gt;=$O$12)),1,0)</f>
        <v/>
      </c>
      <c r="K549">
        <f>B549-$O$14</f>
        <v/>
      </c>
    </row>
    <row r="550">
      <c r="A550" t="n">
        <v>1644</v>
      </c>
      <c r="B550" t="n">
        <v>54.8</v>
      </c>
      <c r="C550" t="inlineStr">
        <is>
          <t>387</t>
        </is>
      </c>
      <c r="D550" t="n">
        <v>3.87</v>
      </c>
      <c r="E550">
        <f>MEDIAN(D530:D570)</f>
        <v/>
      </c>
      <c r="F550">
        <f>E530</f>
        <v/>
      </c>
      <c r="G550">
        <f>F550-E550</f>
        <v/>
      </c>
      <c r="H550">
        <f>IF(OR(NOT(ISNUMBER(D550)),ABS(D550-E550)&gt;$O$3,AND($O$11=1,B550&lt;$O$12)),1,0)</f>
        <v/>
      </c>
      <c r="I550">
        <f>IF(H550=1,NA(),D550)</f>
        <v/>
      </c>
      <c r="J550">
        <f>IF(AND(ISNUMBER(D550),D550&gt;=$O$4,OR($O$11=0,B550&gt;=$O$12)),1,0)</f>
        <v/>
      </c>
      <c r="K550">
        <f>B550-$O$14</f>
        <v/>
      </c>
    </row>
    <row r="551">
      <c r="A551" t="n">
        <v>1647</v>
      </c>
      <c r="B551" t="n">
        <v>54.9</v>
      </c>
      <c r="C551" t="inlineStr">
        <is>
          <t>?07</t>
        </is>
      </c>
      <c r="E551">
        <f>MEDIAN(D531:D571)</f>
        <v/>
      </c>
      <c r="F551">
        <f>E531</f>
        <v/>
      </c>
      <c r="G551">
        <f>F551-E551</f>
        <v/>
      </c>
      <c r="H551">
        <f>IF(OR(NOT(ISNUMBER(D551)),ABS(D551-E551)&gt;$O$3,AND($O$11=1,B551&lt;$O$12)),1,0)</f>
        <v/>
      </c>
      <c r="I551">
        <f>IF(H551=1,NA(),D551)</f>
        <v/>
      </c>
      <c r="J551">
        <f>IF(AND(ISNUMBER(D551),D551&gt;=$O$4,OR($O$11=0,B551&gt;=$O$12)),1,0)</f>
        <v/>
      </c>
      <c r="K551">
        <f>B551-$O$14</f>
        <v/>
      </c>
    </row>
    <row r="552">
      <c r="A552" t="n">
        <v>1650</v>
      </c>
      <c r="B552" t="n">
        <v>55</v>
      </c>
      <c r="C552" t="inlineStr">
        <is>
          <t>387</t>
        </is>
      </c>
      <c r="D552" t="n">
        <v>3.87</v>
      </c>
      <c r="E552">
        <f>MEDIAN(D532:D572)</f>
        <v/>
      </c>
      <c r="F552">
        <f>E532</f>
        <v/>
      </c>
      <c r="G552">
        <f>F552-E552</f>
        <v/>
      </c>
      <c r="H552">
        <f>IF(OR(NOT(ISNUMBER(D552)),ABS(D552-E552)&gt;$O$3,AND($O$11=1,B552&lt;$O$12)),1,0)</f>
        <v/>
      </c>
      <c r="I552">
        <f>IF(H552=1,NA(),D552)</f>
        <v/>
      </c>
      <c r="J552">
        <f>IF(AND(ISNUMBER(D552),D552&gt;=$O$4,OR($O$11=0,B552&gt;=$O$12)),1,0)</f>
        <v/>
      </c>
      <c r="K552">
        <f>B552-$O$14</f>
        <v/>
      </c>
    </row>
    <row r="553">
      <c r="A553" t="n">
        <v>1653</v>
      </c>
      <c r="B553" t="n">
        <v>55.1</v>
      </c>
      <c r="C553" t="inlineStr">
        <is>
          <t>307</t>
        </is>
      </c>
      <c r="D553" t="n">
        <v>3.07</v>
      </c>
      <c r="E553">
        <f>MEDIAN(D533:D573)</f>
        <v/>
      </c>
      <c r="F553">
        <f>E533</f>
        <v/>
      </c>
      <c r="G553">
        <f>F553-E553</f>
        <v/>
      </c>
      <c r="H553">
        <f>IF(OR(NOT(ISNUMBER(D553)),ABS(D553-E553)&gt;$O$3,AND($O$11=1,B553&lt;$O$12)),1,0)</f>
        <v/>
      </c>
      <c r="I553">
        <f>IF(H553=1,NA(),D553)</f>
        <v/>
      </c>
      <c r="J553">
        <f>IF(AND(ISNUMBER(D553),D553&gt;=$O$4,OR($O$11=0,B553&gt;=$O$12)),1,0)</f>
        <v/>
      </c>
      <c r="K553">
        <f>B553-$O$14</f>
        <v/>
      </c>
    </row>
    <row r="554">
      <c r="A554" t="n">
        <v>1656</v>
      </c>
      <c r="B554" t="n">
        <v>55.2</v>
      </c>
      <c r="C554" t="inlineStr">
        <is>
          <t>387</t>
        </is>
      </c>
      <c r="D554" t="n">
        <v>3.87</v>
      </c>
      <c r="E554">
        <f>MEDIAN(D534:D574)</f>
        <v/>
      </c>
      <c r="F554">
        <f>E534</f>
        <v/>
      </c>
      <c r="G554">
        <f>F554-E554</f>
        <v/>
      </c>
      <c r="H554">
        <f>IF(OR(NOT(ISNUMBER(D554)),ABS(D554-E554)&gt;$O$3,AND($O$11=1,B554&lt;$O$12)),1,0)</f>
        <v/>
      </c>
      <c r="I554">
        <f>IF(H554=1,NA(),D554)</f>
        <v/>
      </c>
      <c r="J554">
        <f>IF(AND(ISNUMBER(D554),D554&gt;=$O$4,OR($O$11=0,B554&gt;=$O$12)),1,0)</f>
        <v/>
      </c>
      <c r="K554">
        <f>B554-$O$14</f>
        <v/>
      </c>
    </row>
    <row r="555">
      <c r="A555" t="n">
        <v>1659</v>
      </c>
      <c r="B555" t="n">
        <v>55.3</v>
      </c>
      <c r="C555" t="inlineStr">
        <is>
          <t>307</t>
        </is>
      </c>
      <c r="D555" t="n">
        <v>3.07</v>
      </c>
      <c r="E555">
        <f>MEDIAN(D535:D575)</f>
        <v/>
      </c>
      <c r="F555">
        <f>E535</f>
        <v/>
      </c>
      <c r="G555">
        <f>F555-E555</f>
        <v/>
      </c>
      <c r="H555">
        <f>IF(OR(NOT(ISNUMBER(D555)),ABS(D555-E555)&gt;$O$3,AND($O$11=1,B555&lt;$O$12)),1,0)</f>
        <v/>
      </c>
      <c r="I555">
        <f>IF(H555=1,NA(),D555)</f>
        <v/>
      </c>
      <c r="J555">
        <f>IF(AND(ISNUMBER(D555),D555&gt;=$O$4,OR($O$11=0,B555&gt;=$O$12)),1,0)</f>
        <v/>
      </c>
      <c r="K555">
        <f>B555-$O$14</f>
        <v/>
      </c>
    </row>
    <row r="556">
      <c r="A556" t="n">
        <v>1662</v>
      </c>
      <c r="B556" t="n">
        <v>55.4</v>
      </c>
      <c r="C556" t="inlineStr">
        <is>
          <t>7</t>
        </is>
      </c>
      <c r="D556" t="n">
        <v>0.07000000000000001</v>
      </c>
      <c r="E556">
        <f>MEDIAN(D536:D576)</f>
        <v/>
      </c>
      <c r="F556">
        <f>E536</f>
        <v/>
      </c>
      <c r="G556">
        <f>F556-E556</f>
        <v/>
      </c>
      <c r="H556">
        <f>IF(OR(NOT(ISNUMBER(D556)),ABS(D556-E556)&gt;$O$3,AND($O$11=1,B556&lt;$O$12)),1,0)</f>
        <v/>
      </c>
      <c r="I556">
        <f>IF(H556=1,NA(),D556)</f>
        <v/>
      </c>
      <c r="J556">
        <f>IF(AND(ISNUMBER(D556),D556&gt;=$O$4,OR($O$11=0,B556&gt;=$O$12)),1,0)</f>
        <v/>
      </c>
      <c r="K556">
        <f>B556-$O$14</f>
        <v/>
      </c>
    </row>
    <row r="557">
      <c r="A557" t="n">
        <v>1665</v>
      </c>
      <c r="B557" t="n">
        <v>55.5</v>
      </c>
      <c r="C557" t="inlineStr">
        <is>
          <t>307</t>
        </is>
      </c>
      <c r="D557" t="n">
        <v>3.07</v>
      </c>
      <c r="E557">
        <f>MEDIAN(D537:D577)</f>
        <v/>
      </c>
      <c r="F557">
        <f>E537</f>
        <v/>
      </c>
      <c r="G557">
        <f>F557-E557</f>
        <v/>
      </c>
      <c r="H557">
        <f>IF(OR(NOT(ISNUMBER(D557)),ABS(D557-E557)&gt;$O$3,AND($O$11=1,B557&lt;$O$12)),1,0)</f>
        <v/>
      </c>
      <c r="I557">
        <f>IF(H557=1,NA(),D557)</f>
        <v/>
      </c>
      <c r="J557">
        <f>IF(AND(ISNUMBER(D557),D557&gt;=$O$4,OR($O$11=0,B557&gt;=$O$12)),1,0)</f>
        <v/>
      </c>
      <c r="K557">
        <f>B557-$O$14</f>
        <v/>
      </c>
    </row>
    <row r="558">
      <c r="A558" t="n">
        <v>1668</v>
      </c>
      <c r="B558" t="n">
        <v>55.6</v>
      </c>
      <c r="C558" t="inlineStr">
        <is>
          <t>7</t>
        </is>
      </c>
      <c r="D558" t="n">
        <v>0.07000000000000001</v>
      </c>
      <c r="E558">
        <f>MEDIAN(D538:D578)</f>
        <v/>
      </c>
      <c r="F558">
        <f>E538</f>
        <v/>
      </c>
      <c r="G558">
        <f>F558-E558</f>
        <v/>
      </c>
      <c r="H558">
        <f>IF(OR(NOT(ISNUMBER(D558)),ABS(D558-E558)&gt;$O$3,AND($O$11=1,B558&lt;$O$12)),1,0)</f>
        <v/>
      </c>
      <c r="I558">
        <f>IF(H558=1,NA(),D558)</f>
        <v/>
      </c>
      <c r="J558">
        <f>IF(AND(ISNUMBER(D558),D558&gt;=$O$4,OR($O$11=0,B558&gt;=$O$12)),1,0)</f>
        <v/>
      </c>
      <c r="K558">
        <f>B558-$O$14</f>
        <v/>
      </c>
    </row>
    <row r="559">
      <c r="A559" t="n">
        <v>1671</v>
      </c>
      <c r="B559" t="n">
        <v>55.7</v>
      </c>
      <c r="C559" t="inlineStr">
        <is>
          <t>7</t>
        </is>
      </c>
      <c r="D559" t="n">
        <v>0.07000000000000001</v>
      </c>
      <c r="E559">
        <f>MEDIAN(D539:D579)</f>
        <v/>
      </c>
      <c r="F559">
        <f>E539</f>
        <v/>
      </c>
      <c r="G559">
        <f>F559-E559</f>
        <v/>
      </c>
      <c r="H559">
        <f>IF(OR(NOT(ISNUMBER(D559)),ABS(D559-E559)&gt;$O$3,AND($O$11=1,B559&lt;$O$12)),1,0)</f>
        <v/>
      </c>
      <c r="I559">
        <f>IF(H559=1,NA(),D559)</f>
        <v/>
      </c>
      <c r="J559">
        <f>IF(AND(ISNUMBER(D559),D559&gt;=$O$4,OR($O$11=0,B559&gt;=$O$12)),1,0)</f>
        <v/>
      </c>
      <c r="K559">
        <f>B559-$O$14</f>
        <v/>
      </c>
    </row>
    <row r="560">
      <c r="A560" t="n">
        <v>1674</v>
      </c>
      <c r="B560" t="n">
        <v>55.8</v>
      </c>
      <c r="C560" t="inlineStr">
        <is>
          <t>307</t>
        </is>
      </c>
      <c r="D560" t="n">
        <v>3.07</v>
      </c>
      <c r="E560">
        <f>MEDIAN(D540:D580)</f>
        <v/>
      </c>
      <c r="F560">
        <f>E540</f>
        <v/>
      </c>
      <c r="G560">
        <f>F560-E560</f>
        <v/>
      </c>
      <c r="H560">
        <f>IF(OR(NOT(ISNUMBER(D560)),ABS(D560-E560)&gt;$O$3,AND($O$11=1,B560&lt;$O$12)),1,0)</f>
        <v/>
      </c>
      <c r="I560">
        <f>IF(H560=1,NA(),D560)</f>
        <v/>
      </c>
      <c r="J560">
        <f>IF(AND(ISNUMBER(D560),D560&gt;=$O$4,OR($O$11=0,B560&gt;=$O$12)),1,0)</f>
        <v/>
      </c>
      <c r="K560">
        <f>B560-$O$14</f>
        <v/>
      </c>
    </row>
    <row r="561">
      <c r="A561" t="n">
        <v>1677</v>
      </c>
      <c r="B561" t="n">
        <v>55.9</v>
      </c>
      <c r="C561" t="inlineStr">
        <is>
          <t>387</t>
        </is>
      </c>
      <c r="D561" t="n">
        <v>3.87</v>
      </c>
      <c r="E561">
        <f>MEDIAN(D541:D581)</f>
        <v/>
      </c>
      <c r="F561">
        <f>E541</f>
        <v/>
      </c>
      <c r="G561">
        <f>F561-E561</f>
        <v/>
      </c>
      <c r="H561">
        <f>IF(OR(NOT(ISNUMBER(D561)),ABS(D561-E561)&gt;$O$3,AND($O$11=1,B561&lt;$O$12)),1,0)</f>
        <v/>
      </c>
      <c r="I561">
        <f>IF(H561=1,NA(),D561)</f>
        <v/>
      </c>
      <c r="J561">
        <f>IF(AND(ISNUMBER(D561),D561&gt;=$O$4,OR($O$11=0,B561&gt;=$O$12)),1,0)</f>
        <v/>
      </c>
      <c r="K561">
        <f>B561-$O$14</f>
        <v/>
      </c>
    </row>
    <row r="562">
      <c r="A562" t="n">
        <v>1680</v>
      </c>
      <c r="B562" t="n">
        <v>56</v>
      </c>
      <c r="C562" t="inlineStr">
        <is>
          <t>307</t>
        </is>
      </c>
      <c r="D562" t="n">
        <v>3.07</v>
      </c>
      <c r="E562">
        <f>MEDIAN(D542:D582)</f>
        <v/>
      </c>
      <c r="F562">
        <f>E542</f>
        <v/>
      </c>
      <c r="G562">
        <f>F562-E562</f>
        <v/>
      </c>
      <c r="H562">
        <f>IF(OR(NOT(ISNUMBER(D562)),ABS(D562-E562)&gt;$O$3,AND($O$11=1,B562&lt;$O$12)),1,0)</f>
        <v/>
      </c>
      <c r="I562">
        <f>IF(H562=1,NA(),D562)</f>
        <v/>
      </c>
      <c r="J562">
        <f>IF(AND(ISNUMBER(D562),D562&gt;=$O$4,OR($O$11=0,B562&gt;=$O$12)),1,0)</f>
        <v/>
      </c>
      <c r="K562">
        <f>B562-$O$14</f>
        <v/>
      </c>
    </row>
    <row r="563">
      <c r="A563" t="n">
        <v>1683</v>
      </c>
      <c r="B563" t="n">
        <v>56.1</v>
      </c>
      <c r="C563" t="inlineStr">
        <is>
          <t>3?7</t>
        </is>
      </c>
      <c r="E563">
        <f>MEDIAN(D543:D583)</f>
        <v/>
      </c>
      <c r="F563">
        <f>E543</f>
        <v/>
      </c>
      <c r="G563">
        <f>F563-E563</f>
        <v/>
      </c>
      <c r="H563">
        <f>IF(OR(NOT(ISNUMBER(D563)),ABS(D563-E563)&gt;$O$3,AND($O$11=1,B563&lt;$O$12)),1,0)</f>
        <v/>
      </c>
      <c r="I563">
        <f>IF(H563=1,NA(),D563)</f>
        <v/>
      </c>
      <c r="J563">
        <f>IF(AND(ISNUMBER(D563),D563&gt;=$O$4,OR($O$11=0,B563&gt;=$O$12)),1,0)</f>
        <v/>
      </c>
      <c r="K563">
        <f>B563-$O$14</f>
        <v/>
      </c>
    </row>
    <row r="564">
      <c r="A564" t="n">
        <v>1686</v>
      </c>
      <c r="B564" t="n">
        <v>56.2</v>
      </c>
      <c r="C564" t="inlineStr">
        <is>
          <t>307</t>
        </is>
      </c>
      <c r="D564" t="n">
        <v>3.07</v>
      </c>
      <c r="E564">
        <f>MEDIAN(D544:D584)</f>
        <v/>
      </c>
      <c r="F564">
        <f>E544</f>
        <v/>
      </c>
      <c r="G564">
        <f>F564-E564</f>
        <v/>
      </c>
      <c r="H564">
        <f>IF(OR(NOT(ISNUMBER(D564)),ABS(D564-E564)&gt;$O$3,AND($O$11=1,B564&lt;$O$12)),1,0)</f>
        <v/>
      </c>
      <c r="I564">
        <f>IF(H564=1,NA(),D564)</f>
        <v/>
      </c>
      <c r="J564">
        <f>IF(AND(ISNUMBER(D564),D564&gt;=$O$4,OR($O$11=0,B564&gt;=$O$12)),1,0)</f>
        <v/>
      </c>
      <c r="K564">
        <f>B564-$O$14</f>
        <v/>
      </c>
    </row>
    <row r="565">
      <c r="A565" t="n">
        <v>1689</v>
      </c>
      <c r="B565" t="n">
        <v>56.3</v>
      </c>
      <c r="C565" t="inlineStr">
        <is>
          <t>387</t>
        </is>
      </c>
      <c r="D565" t="n">
        <v>3.87</v>
      </c>
      <c r="E565">
        <f>MEDIAN(D545:D585)</f>
        <v/>
      </c>
      <c r="F565">
        <f>E545</f>
        <v/>
      </c>
      <c r="G565">
        <f>F565-E565</f>
        <v/>
      </c>
      <c r="H565">
        <f>IF(OR(NOT(ISNUMBER(D565)),ABS(D565-E565)&gt;$O$3,AND($O$11=1,B565&lt;$O$12)),1,0)</f>
        <v/>
      </c>
      <c r="I565">
        <f>IF(H565=1,NA(),D565)</f>
        <v/>
      </c>
      <c r="J565">
        <f>IF(AND(ISNUMBER(D565),D565&gt;=$O$4,OR($O$11=0,B565&gt;=$O$12)),1,0)</f>
        <v/>
      </c>
      <c r="K565">
        <f>B565-$O$14</f>
        <v/>
      </c>
    </row>
    <row r="566">
      <c r="A566" t="n">
        <v>1692</v>
      </c>
      <c r="B566" t="n">
        <v>56.4</v>
      </c>
      <c r="C566" t="inlineStr">
        <is>
          <t>367</t>
        </is>
      </c>
      <c r="D566" t="n">
        <v>3.67</v>
      </c>
      <c r="E566">
        <f>MEDIAN(D546:D586)</f>
        <v/>
      </c>
      <c r="F566">
        <f>E546</f>
        <v/>
      </c>
      <c r="G566">
        <f>F566-E566</f>
        <v/>
      </c>
      <c r="H566">
        <f>IF(OR(NOT(ISNUMBER(D566)),ABS(D566-E566)&gt;$O$3,AND($O$11=1,B566&lt;$O$12)),1,0)</f>
        <v/>
      </c>
      <c r="I566">
        <f>IF(H566=1,NA(),D566)</f>
        <v/>
      </c>
      <c r="J566">
        <f>IF(AND(ISNUMBER(D566),D566&gt;=$O$4,OR($O$11=0,B566&gt;=$O$12)),1,0)</f>
        <v/>
      </c>
      <c r="K566">
        <f>B566-$O$14</f>
        <v/>
      </c>
    </row>
    <row r="567">
      <c r="A567" t="n">
        <v>1695</v>
      </c>
      <c r="B567" t="n">
        <v>56.5</v>
      </c>
      <c r="C567" t="inlineStr">
        <is>
          <t>307</t>
        </is>
      </c>
      <c r="D567" t="n">
        <v>3.07</v>
      </c>
      <c r="E567">
        <f>MEDIAN(D547:D587)</f>
        <v/>
      </c>
      <c r="F567">
        <f>E547</f>
        <v/>
      </c>
      <c r="G567">
        <f>F567-E567</f>
        <v/>
      </c>
      <c r="H567">
        <f>IF(OR(NOT(ISNUMBER(D567)),ABS(D567-E567)&gt;$O$3,AND($O$11=1,B567&lt;$O$12)),1,0)</f>
        <v/>
      </c>
      <c r="I567">
        <f>IF(H567=1,NA(),D567)</f>
        <v/>
      </c>
      <c r="J567">
        <f>IF(AND(ISNUMBER(D567),D567&gt;=$O$4,OR($O$11=0,B567&gt;=$O$12)),1,0)</f>
        <v/>
      </c>
      <c r="K567">
        <f>B567-$O$14</f>
        <v/>
      </c>
    </row>
    <row r="568">
      <c r="A568" t="n">
        <v>1698</v>
      </c>
      <c r="B568" t="n">
        <v>56.6</v>
      </c>
      <c r="C568" t="inlineStr">
        <is>
          <t>387</t>
        </is>
      </c>
      <c r="D568" t="n">
        <v>3.87</v>
      </c>
      <c r="E568">
        <f>MEDIAN(D548:D588)</f>
        <v/>
      </c>
      <c r="F568">
        <f>E548</f>
        <v/>
      </c>
      <c r="G568">
        <f>F568-E568</f>
        <v/>
      </c>
      <c r="H568">
        <f>IF(OR(NOT(ISNUMBER(D568)),ABS(D568-E568)&gt;$O$3,AND($O$11=1,B568&lt;$O$12)),1,0)</f>
        <v/>
      </c>
      <c r="I568">
        <f>IF(H568=1,NA(),D568)</f>
        <v/>
      </c>
      <c r="J568">
        <f>IF(AND(ISNUMBER(D568),D568&gt;=$O$4,OR($O$11=0,B568&gt;=$O$12)),1,0)</f>
        <v/>
      </c>
      <c r="K568">
        <f>B568-$O$14</f>
        <v/>
      </c>
    </row>
    <row r="569">
      <c r="A569" t="n">
        <v>1701</v>
      </c>
      <c r="B569" t="n">
        <v>56.7</v>
      </c>
      <c r="C569" t="inlineStr">
        <is>
          <t>307</t>
        </is>
      </c>
      <c r="D569" t="n">
        <v>3.07</v>
      </c>
      <c r="E569">
        <f>MEDIAN(D549:D589)</f>
        <v/>
      </c>
      <c r="F569">
        <f>E549</f>
        <v/>
      </c>
      <c r="G569">
        <f>F569-E569</f>
        <v/>
      </c>
      <c r="H569">
        <f>IF(OR(NOT(ISNUMBER(D569)),ABS(D569-E569)&gt;$O$3,AND($O$11=1,B569&lt;$O$12)),1,0)</f>
        <v/>
      </c>
      <c r="I569">
        <f>IF(H569=1,NA(),D569)</f>
        <v/>
      </c>
      <c r="J569">
        <f>IF(AND(ISNUMBER(D569),D569&gt;=$O$4,OR($O$11=0,B569&gt;=$O$12)),1,0)</f>
        <v/>
      </c>
      <c r="K569">
        <f>B569-$O$14</f>
        <v/>
      </c>
    </row>
    <row r="570">
      <c r="A570" t="n">
        <v>1704</v>
      </c>
      <c r="B570" t="n">
        <v>56.8</v>
      </c>
      <c r="C570" t="inlineStr">
        <is>
          <t>367</t>
        </is>
      </c>
      <c r="D570" t="n">
        <v>3.67</v>
      </c>
      <c r="E570">
        <f>MEDIAN(D550:D590)</f>
        <v/>
      </c>
      <c r="F570">
        <f>E550</f>
        <v/>
      </c>
      <c r="G570">
        <f>F570-E570</f>
        <v/>
      </c>
      <c r="H570">
        <f>IF(OR(NOT(ISNUMBER(D570)),ABS(D570-E570)&gt;$O$3,AND($O$11=1,B570&lt;$O$12)),1,0)</f>
        <v/>
      </c>
      <c r="I570">
        <f>IF(H570=1,NA(),D570)</f>
        <v/>
      </c>
      <c r="J570">
        <f>IF(AND(ISNUMBER(D570),D570&gt;=$O$4,OR($O$11=0,B570&gt;=$O$12)),1,0)</f>
        <v/>
      </c>
      <c r="K570">
        <f>B570-$O$14</f>
        <v/>
      </c>
    </row>
    <row r="571">
      <c r="A571" t="n">
        <v>1707</v>
      </c>
      <c r="B571" t="n">
        <v>56.9</v>
      </c>
      <c r="C571" t="inlineStr">
        <is>
          <t>307</t>
        </is>
      </c>
      <c r="D571" t="n">
        <v>3.07</v>
      </c>
      <c r="E571">
        <f>MEDIAN(D551:D591)</f>
        <v/>
      </c>
      <c r="F571">
        <f>E551</f>
        <v/>
      </c>
      <c r="G571">
        <f>F571-E571</f>
        <v/>
      </c>
      <c r="H571">
        <f>IF(OR(NOT(ISNUMBER(D571)),ABS(D571-E571)&gt;$O$3,AND($O$11=1,B571&lt;$O$12)),1,0)</f>
        <v/>
      </c>
      <c r="I571">
        <f>IF(H571=1,NA(),D571)</f>
        <v/>
      </c>
      <c r="J571">
        <f>IF(AND(ISNUMBER(D571),D571&gt;=$O$4,OR($O$11=0,B571&gt;=$O$12)),1,0)</f>
        <v/>
      </c>
      <c r="K571">
        <f>B571-$O$14</f>
        <v/>
      </c>
    </row>
    <row r="572">
      <c r="A572" t="n">
        <v>1710</v>
      </c>
      <c r="B572" t="n">
        <v>57</v>
      </c>
      <c r="C572" t="inlineStr">
        <is>
          <t>3?7</t>
        </is>
      </c>
      <c r="E572">
        <f>MEDIAN(D552:D592)</f>
        <v/>
      </c>
      <c r="F572">
        <f>E552</f>
        <v/>
      </c>
      <c r="G572">
        <f>F572-E572</f>
        <v/>
      </c>
      <c r="H572">
        <f>IF(OR(NOT(ISNUMBER(D572)),ABS(D572-E572)&gt;$O$3,AND($O$11=1,B572&lt;$O$12)),1,0)</f>
        <v/>
      </c>
      <c r="I572">
        <f>IF(H572=1,NA(),D572)</f>
        <v/>
      </c>
      <c r="J572">
        <f>IF(AND(ISNUMBER(D572),D572&gt;=$O$4,OR($O$11=0,B572&gt;=$O$12)),1,0)</f>
        <v/>
      </c>
      <c r="K572">
        <f>B572-$O$14</f>
        <v/>
      </c>
    </row>
    <row r="573">
      <c r="A573" t="n">
        <v>1713</v>
      </c>
      <c r="B573" t="n">
        <v>57.1</v>
      </c>
      <c r="C573" t="inlineStr">
        <is>
          <t>?07</t>
        </is>
      </c>
      <c r="E573">
        <f>MEDIAN(D553:D593)</f>
        <v/>
      </c>
      <c r="F573">
        <f>E553</f>
        <v/>
      </c>
      <c r="G573">
        <f>F573-E573</f>
        <v/>
      </c>
      <c r="H573">
        <f>IF(OR(NOT(ISNUMBER(D573)),ABS(D573-E573)&gt;$O$3,AND($O$11=1,B573&lt;$O$12)),1,0)</f>
        <v/>
      </c>
      <c r="I573">
        <f>IF(H573=1,NA(),D573)</f>
        <v/>
      </c>
      <c r="J573">
        <f>IF(AND(ISNUMBER(D573),D573&gt;=$O$4,OR($O$11=0,B573&gt;=$O$12)),1,0)</f>
        <v/>
      </c>
      <c r="K573">
        <f>B573-$O$14</f>
        <v/>
      </c>
    </row>
    <row r="574">
      <c r="A574" t="n">
        <v>1716</v>
      </c>
      <c r="B574" t="n">
        <v>57.2</v>
      </c>
      <c r="C574" t="inlineStr">
        <is>
          <t>387</t>
        </is>
      </c>
      <c r="D574" t="n">
        <v>3.87</v>
      </c>
      <c r="E574">
        <f>MEDIAN(D554:D594)</f>
        <v/>
      </c>
      <c r="F574">
        <f>E554</f>
        <v/>
      </c>
      <c r="G574">
        <f>F574-E574</f>
        <v/>
      </c>
      <c r="H574">
        <f>IF(OR(NOT(ISNUMBER(D574)),ABS(D574-E574)&gt;$O$3,AND($O$11=1,B574&lt;$O$12)),1,0)</f>
        <v/>
      </c>
      <c r="I574">
        <f>IF(H574=1,NA(),D574)</f>
        <v/>
      </c>
      <c r="J574">
        <f>IF(AND(ISNUMBER(D574),D574&gt;=$O$4,OR($O$11=0,B574&gt;=$O$12)),1,0)</f>
        <v/>
      </c>
      <c r="K574">
        <f>B574-$O$14</f>
        <v/>
      </c>
    </row>
    <row r="575">
      <c r="A575" t="n">
        <v>1719</v>
      </c>
      <c r="B575" t="n">
        <v>57.3</v>
      </c>
      <c r="C575" t="inlineStr">
        <is>
          <t>307</t>
        </is>
      </c>
      <c r="D575" t="n">
        <v>3.07</v>
      </c>
      <c r="E575">
        <f>MEDIAN(D555:D595)</f>
        <v/>
      </c>
      <c r="F575">
        <f>E555</f>
        <v/>
      </c>
      <c r="G575">
        <f>F575-E575</f>
        <v/>
      </c>
      <c r="H575">
        <f>IF(OR(NOT(ISNUMBER(D575)),ABS(D575-E575)&gt;$O$3,AND($O$11=1,B575&lt;$O$12)),1,0)</f>
        <v/>
      </c>
      <c r="I575">
        <f>IF(H575=1,NA(),D575)</f>
        <v/>
      </c>
      <c r="J575">
        <f>IF(AND(ISNUMBER(D575),D575&gt;=$O$4,OR($O$11=0,B575&gt;=$O$12)),1,0)</f>
        <v/>
      </c>
      <c r="K575">
        <f>B575-$O$14</f>
        <v/>
      </c>
    </row>
    <row r="576">
      <c r="A576" t="n">
        <v>1722</v>
      </c>
      <c r="B576" t="n">
        <v>57.4</v>
      </c>
      <c r="C576" t="inlineStr">
        <is>
          <t>387</t>
        </is>
      </c>
      <c r="D576" t="n">
        <v>3.87</v>
      </c>
      <c r="E576">
        <f>MEDIAN(D556:D596)</f>
        <v/>
      </c>
      <c r="F576">
        <f>E556</f>
        <v/>
      </c>
      <c r="G576">
        <f>F576-E576</f>
        <v/>
      </c>
      <c r="H576">
        <f>IF(OR(NOT(ISNUMBER(D576)),ABS(D576-E576)&gt;$O$3,AND($O$11=1,B576&lt;$O$12)),1,0)</f>
        <v/>
      </c>
      <c r="I576">
        <f>IF(H576=1,NA(),D576)</f>
        <v/>
      </c>
      <c r="J576">
        <f>IF(AND(ISNUMBER(D576),D576&gt;=$O$4,OR($O$11=0,B576&gt;=$O$12)),1,0)</f>
        <v/>
      </c>
      <c r="K576">
        <f>B576-$O$14</f>
        <v/>
      </c>
    </row>
    <row r="577">
      <c r="A577" t="n">
        <v>1725</v>
      </c>
      <c r="B577" t="n">
        <v>57.5</v>
      </c>
      <c r="C577" t="inlineStr">
        <is>
          <t>367</t>
        </is>
      </c>
      <c r="D577" t="n">
        <v>3.67</v>
      </c>
      <c r="E577">
        <f>MEDIAN(D557:D597)</f>
        <v/>
      </c>
      <c r="F577">
        <f>E557</f>
        <v/>
      </c>
      <c r="G577">
        <f>F577-E577</f>
        <v/>
      </c>
      <c r="H577">
        <f>IF(OR(NOT(ISNUMBER(D577)),ABS(D577-E577)&gt;$O$3,AND($O$11=1,B577&lt;$O$12)),1,0)</f>
        <v/>
      </c>
      <c r="I577">
        <f>IF(H577=1,NA(),D577)</f>
        <v/>
      </c>
      <c r="J577">
        <f>IF(AND(ISNUMBER(D577),D577&gt;=$O$4,OR($O$11=0,B577&gt;=$O$12)),1,0)</f>
        <v/>
      </c>
      <c r="K577">
        <f>B577-$O$14</f>
        <v/>
      </c>
    </row>
    <row r="578">
      <c r="A578" t="n">
        <v>1728</v>
      </c>
      <c r="B578" t="n">
        <v>57.6</v>
      </c>
      <c r="C578" t="inlineStr">
        <is>
          <t>3?7</t>
        </is>
      </c>
      <c r="E578">
        <f>MEDIAN(D558:D598)</f>
        <v/>
      </c>
      <c r="F578">
        <f>E558</f>
        <v/>
      </c>
      <c r="G578">
        <f>F578-E578</f>
        <v/>
      </c>
      <c r="H578">
        <f>IF(OR(NOT(ISNUMBER(D578)),ABS(D578-E578)&gt;$O$3,AND($O$11=1,B578&lt;$O$12)),1,0)</f>
        <v/>
      </c>
      <c r="I578">
        <f>IF(H578=1,NA(),D578)</f>
        <v/>
      </c>
      <c r="J578">
        <f>IF(AND(ISNUMBER(D578),D578&gt;=$O$4,OR($O$11=0,B578&gt;=$O$12)),1,0)</f>
        <v/>
      </c>
      <c r="K578">
        <f>B578-$O$14</f>
        <v/>
      </c>
    </row>
    <row r="579">
      <c r="A579" t="n">
        <v>1731</v>
      </c>
      <c r="B579" t="n">
        <v>57.7</v>
      </c>
      <c r="C579" t="inlineStr">
        <is>
          <t>307</t>
        </is>
      </c>
      <c r="D579" t="n">
        <v>3.07</v>
      </c>
      <c r="E579">
        <f>MEDIAN(D559:D599)</f>
        <v/>
      </c>
      <c r="F579">
        <f>E559</f>
        <v/>
      </c>
      <c r="G579">
        <f>F579-E579</f>
        <v/>
      </c>
      <c r="H579">
        <f>IF(OR(NOT(ISNUMBER(D579)),ABS(D579-E579)&gt;$O$3,AND($O$11=1,B579&lt;$O$12)),1,0)</f>
        <v/>
      </c>
      <c r="I579">
        <f>IF(H579=1,NA(),D579)</f>
        <v/>
      </c>
      <c r="J579">
        <f>IF(AND(ISNUMBER(D579),D579&gt;=$O$4,OR($O$11=0,B579&gt;=$O$12)),1,0)</f>
        <v/>
      </c>
      <c r="K579">
        <f>B579-$O$14</f>
        <v/>
      </c>
    </row>
    <row r="580">
      <c r="A580" t="n">
        <v>1734</v>
      </c>
      <c r="B580" t="n">
        <v>57.8</v>
      </c>
      <c r="C580" t="inlineStr">
        <is>
          <t>367</t>
        </is>
      </c>
      <c r="D580" t="n">
        <v>3.67</v>
      </c>
      <c r="E580">
        <f>MEDIAN(D560:D600)</f>
        <v/>
      </c>
      <c r="F580">
        <f>E560</f>
        <v/>
      </c>
      <c r="G580">
        <f>F580-E580</f>
        <v/>
      </c>
      <c r="H580">
        <f>IF(OR(NOT(ISNUMBER(D580)),ABS(D580-E580)&gt;$O$3,AND($O$11=1,B580&lt;$O$12)),1,0)</f>
        <v/>
      </c>
      <c r="I580">
        <f>IF(H580=1,NA(),D580)</f>
        <v/>
      </c>
      <c r="J580">
        <f>IF(AND(ISNUMBER(D580),D580&gt;=$O$4,OR($O$11=0,B580&gt;=$O$12)),1,0)</f>
        <v/>
      </c>
      <c r="K580">
        <f>B580-$O$14</f>
        <v/>
      </c>
    </row>
    <row r="581">
      <c r="A581" t="n">
        <v>1737</v>
      </c>
      <c r="B581" t="n">
        <v>57.9</v>
      </c>
      <c r="C581" t="inlineStr">
        <is>
          <t>387</t>
        </is>
      </c>
      <c r="D581" t="n">
        <v>3.87</v>
      </c>
      <c r="E581">
        <f>MEDIAN(D561:D601)</f>
        <v/>
      </c>
      <c r="F581">
        <f>E561</f>
        <v/>
      </c>
      <c r="G581">
        <f>F581-E581</f>
        <v/>
      </c>
      <c r="H581">
        <f>IF(OR(NOT(ISNUMBER(D581)),ABS(D581-E581)&gt;$O$3,AND($O$11=1,B581&lt;$O$12)),1,0)</f>
        <v/>
      </c>
      <c r="I581">
        <f>IF(H581=1,NA(),D581)</f>
        <v/>
      </c>
      <c r="J581">
        <f>IF(AND(ISNUMBER(D581),D581&gt;=$O$4,OR($O$11=0,B581&gt;=$O$12)),1,0)</f>
        <v/>
      </c>
      <c r="K581">
        <f>B581-$O$14</f>
        <v/>
      </c>
    </row>
    <row r="582">
      <c r="A582" t="n">
        <v>1740</v>
      </c>
      <c r="B582" t="n">
        <v>58</v>
      </c>
      <c r="C582" t="inlineStr">
        <is>
          <t>307</t>
        </is>
      </c>
      <c r="D582" t="n">
        <v>3.07</v>
      </c>
      <c r="E582">
        <f>MEDIAN(D562:D602)</f>
        <v/>
      </c>
      <c r="F582">
        <f>E562</f>
        <v/>
      </c>
      <c r="G582">
        <f>F582-E582</f>
        <v/>
      </c>
      <c r="H582">
        <f>IF(OR(NOT(ISNUMBER(D582)),ABS(D582-E582)&gt;$O$3,AND($O$11=1,B582&lt;$O$12)),1,0)</f>
        <v/>
      </c>
      <c r="I582">
        <f>IF(H582=1,NA(),D582)</f>
        <v/>
      </c>
      <c r="J582">
        <f>IF(AND(ISNUMBER(D582),D582&gt;=$O$4,OR($O$11=0,B582&gt;=$O$12)),1,0)</f>
        <v/>
      </c>
      <c r="K582">
        <f>B582-$O$14</f>
        <v/>
      </c>
    </row>
    <row r="583">
      <c r="A583" t="n">
        <v>1743</v>
      </c>
      <c r="B583" t="n">
        <v>58.1</v>
      </c>
      <c r="C583" t="inlineStr">
        <is>
          <t>3?7</t>
        </is>
      </c>
      <c r="E583">
        <f>MEDIAN(D563:D603)</f>
        <v/>
      </c>
      <c r="F583">
        <f>E563</f>
        <v/>
      </c>
      <c r="G583">
        <f>F583-E583</f>
        <v/>
      </c>
      <c r="H583">
        <f>IF(OR(NOT(ISNUMBER(D583)),ABS(D583-E583)&gt;$O$3,AND($O$11=1,B583&lt;$O$12)),1,0)</f>
        <v/>
      </c>
      <c r="I583">
        <f>IF(H583=1,NA(),D583)</f>
        <v/>
      </c>
      <c r="J583">
        <f>IF(AND(ISNUMBER(D583),D583&gt;=$O$4,OR($O$11=0,B583&gt;=$O$12)),1,0)</f>
        <v/>
      </c>
      <c r="K583">
        <f>B583-$O$14</f>
        <v/>
      </c>
    </row>
    <row r="584">
      <c r="A584" t="n">
        <v>1746</v>
      </c>
      <c r="B584" t="n">
        <v>58.2</v>
      </c>
      <c r="C584" t="inlineStr">
        <is>
          <t>307</t>
        </is>
      </c>
      <c r="D584" t="n">
        <v>3.07</v>
      </c>
      <c r="E584">
        <f>MEDIAN(D564:D604)</f>
        <v/>
      </c>
      <c r="F584">
        <f>E564</f>
        <v/>
      </c>
      <c r="G584">
        <f>F584-E584</f>
        <v/>
      </c>
      <c r="H584">
        <f>IF(OR(NOT(ISNUMBER(D584)),ABS(D584-E584)&gt;$O$3,AND($O$11=1,B584&lt;$O$12)),1,0)</f>
        <v/>
      </c>
      <c r="I584">
        <f>IF(H584=1,NA(),D584)</f>
        <v/>
      </c>
      <c r="J584">
        <f>IF(AND(ISNUMBER(D584),D584&gt;=$O$4,OR($O$11=0,B584&gt;=$O$12)),1,0)</f>
        <v/>
      </c>
      <c r="K584">
        <f>B584-$O$14</f>
        <v/>
      </c>
    </row>
    <row r="585">
      <c r="A585" t="n">
        <v>1749</v>
      </c>
      <c r="B585" t="n">
        <v>58.3</v>
      </c>
      <c r="C585" t="inlineStr">
        <is>
          <t>3?7</t>
        </is>
      </c>
      <c r="E585">
        <f>MEDIAN(D565:D605)</f>
        <v/>
      </c>
      <c r="F585">
        <f>E565</f>
        <v/>
      </c>
      <c r="G585">
        <f>F585-E585</f>
        <v/>
      </c>
      <c r="H585">
        <f>IF(OR(NOT(ISNUMBER(D585)),ABS(D585-E585)&gt;$O$3,AND($O$11=1,B585&lt;$O$12)),1,0)</f>
        <v/>
      </c>
      <c r="I585">
        <f>IF(H585=1,NA(),D585)</f>
        <v/>
      </c>
      <c r="J585">
        <f>IF(AND(ISNUMBER(D585),D585&gt;=$O$4,OR($O$11=0,B585&gt;=$O$12)),1,0)</f>
        <v/>
      </c>
      <c r="K585">
        <f>B585-$O$14</f>
        <v/>
      </c>
    </row>
    <row r="586">
      <c r="A586" t="n">
        <v>1752</v>
      </c>
      <c r="B586" t="n">
        <v>58.4</v>
      </c>
      <c r="C586" t="inlineStr">
        <is>
          <t>?06</t>
        </is>
      </c>
      <c r="E586">
        <f>MEDIAN(D566:D606)</f>
        <v/>
      </c>
      <c r="F586">
        <f>E566</f>
        <v/>
      </c>
      <c r="G586">
        <f>F586-E586</f>
        <v/>
      </c>
      <c r="H586">
        <f>IF(OR(NOT(ISNUMBER(D586)),ABS(D586-E586)&gt;$O$3,AND($O$11=1,B586&lt;$O$12)),1,0)</f>
        <v/>
      </c>
      <c r="I586">
        <f>IF(H586=1,NA(),D586)</f>
        <v/>
      </c>
      <c r="J586">
        <f>IF(AND(ISNUMBER(D586),D586&gt;=$O$4,OR($O$11=0,B586&gt;=$O$12)),1,0)</f>
        <v/>
      </c>
      <c r="K586">
        <f>B586-$O$14</f>
        <v/>
      </c>
    </row>
    <row r="587">
      <c r="A587" t="n">
        <v>1755</v>
      </c>
      <c r="B587" t="n">
        <v>58.5</v>
      </c>
      <c r="C587" t="inlineStr">
        <is>
          <t>386</t>
        </is>
      </c>
      <c r="D587" t="n">
        <v>3.86</v>
      </c>
      <c r="E587">
        <f>MEDIAN(D567:D607)</f>
        <v/>
      </c>
      <c r="F587">
        <f>E567</f>
        <v/>
      </c>
      <c r="G587">
        <f>F587-E587</f>
        <v/>
      </c>
      <c r="H587">
        <f>IF(OR(NOT(ISNUMBER(D587)),ABS(D587-E587)&gt;$O$3,AND($O$11=1,B587&lt;$O$12)),1,0)</f>
        <v/>
      </c>
      <c r="I587">
        <f>IF(H587=1,NA(),D587)</f>
        <v/>
      </c>
      <c r="J587">
        <f>IF(AND(ISNUMBER(D587),D587&gt;=$O$4,OR($O$11=0,B587&gt;=$O$12)),1,0)</f>
        <v/>
      </c>
      <c r="K587">
        <f>B587-$O$14</f>
        <v/>
      </c>
    </row>
    <row r="588">
      <c r="A588" t="n">
        <v>1758</v>
      </c>
      <c r="B588" t="n">
        <v>58.6</v>
      </c>
      <c r="C588" t="inlineStr">
        <is>
          <t>306</t>
        </is>
      </c>
      <c r="D588" t="n">
        <v>3.06</v>
      </c>
      <c r="E588">
        <f>MEDIAN(D568:D608)</f>
        <v/>
      </c>
      <c r="F588">
        <f>E568</f>
        <v/>
      </c>
      <c r="G588">
        <f>F588-E588</f>
        <v/>
      </c>
      <c r="H588">
        <f>IF(OR(NOT(ISNUMBER(D588)),ABS(D588-E588)&gt;$O$3,AND($O$11=1,B588&lt;$O$12)),1,0)</f>
        <v/>
      </c>
      <c r="I588">
        <f>IF(H588=1,NA(),D588)</f>
        <v/>
      </c>
      <c r="J588">
        <f>IF(AND(ISNUMBER(D588),D588&gt;=$O$4,OR($O$11=0,B588&gt;=$O$12)),1,0)</f>
        <v/>
      </c>
      <c r="K588">
        <f>B588-$O$14</f>
        <v/>
      </c>
    </row>
    <row r="589">
      <c r="A589" t="n">
        <v>1761</v>
      </c>
      <c r="B589" t="n">
        <v>58.7</v>
      </c>
      <c r="C589" t="inlineStr">
        <is>
          <t>3?6</t>
        </is>
      </c>
      <c r="E589">
        <f>MEDIAN(D569:D609)</f>
        <v/>
      </c>
      <c r="F589">
        <f>E569</f>
        <v/>
      </c>
      <c r="G589">
        <f>F589-E589</f>
        <v/>
      </c>
      <c r="H589">
        <f>IF(OR(NOT(ISNUMBER(D589)),ABS(D589-E589)&gt;$O$3,AND($O$11=1,B589&lt;$O$12)),1,0)</f>
        <v/>
      </c>
      <c r="I589">
        <f>IF(H589=1,NA(),D589)</f>
        <v/>
      </c>
      <c r="J589">
        <f>IF(AND(ISNUMBER(D589),D589&gt;=$O$4,OR($O$11=0,B589&gt;=$O$12)),1,0)</f>
        <v/>
      </c>
      <c r="K589">
        <f>B589-$O$14</f>
        <v/>
      </c>
    </row>
    <row r="590">
      <c r="A590" t="n">
        <v>1764</v>
      </c>
      <c r="B590" t="n">
        <v>58.8</v>
      </c>
      <c r="C590" t="inlineStr">
        <is>
          <t>306</t>
        </is>
      </c>
      <c r="D590" t="n">
        <v>3.06</v>
      </c>
      <c r="E590">
        <f>MEDIAN(D570:D610)</f>
        <v/>
      </c>
      <c r="F590">
        <f>E570</f>
        <v/>
      </c>
      <c r="G590">
        <f>F590-E590</f>
        <v/>
      </c>
      <c r="H590">
        <f>IF(OR(NOT(ISNUMBER(D590)),ABS(D590-E590)&gt;$O$3,AND($O$11=1,B590&lt;$O$12)),1,0)</f>
        <v/>
      </c>
      <c r="I590">
        <f>IF(H590=1,NA(),D590)</f>
        <v/>
      </c>
      <c r="J590">
        <f>IF(AND(ISNUMBER(D590),D590&gt;=$O$4,OR($O$11=0,B590&gt;=$O$12)),1,0)</f>
        <v/>
      </c>
      <c r="K590">
        <f>B590-$O$14</f>
        <v/>
      </c>
    </row>
    <row r="591">
      <c r="A591" t="n">
        <v>1767</v>
      </c>
      <c r="B591" t="n">
        <v>58.9</v>
      </c>
      <c r="C591" t="inlineStr">
        <is>
          <t>3?7</t>
        </is>
      </c>
      <c r="E591">
        <f>MEDIAN(D571:D611)</f>
        <v/>
      </c>
      <c r="F591">
        <f>E571</f>
        <v/>
      </c>
      <c r="G591">
        <f>F591-E591</f>
        <v/>
      </c>
      <c r="H591">
        <f>IF(OR(NOT(ISNUMBER(D591)),ABS(D591-E591)&gt;$O$3,AND($O$11=1,B591&lt;$O$12)),1,0)</f>
        <v/>
      </c>
      <c r="I591">
        <f>IF(H591=1,NA(),D591)</f>
        <v/>
      </c>
      <c r="J591">
        <f>IF(AND(ISNUMBER(D591),D591&gt;=$O$4,OR($O$11=0,B591&gt;=$O$12)),1,0)</f>
        <v/>
      </c>
      <c r="K591">
        <f>B591-$O$14</f>
        <v/>
      </c>
    </row>
    <row r="592">
      <c r="A592" t="n">
        <v>1770</v>
      </c>
      <c r="B592" t="n">
        <v>59</v>
      </c>
      <c r="C592" t="inlineStr">
        <is>
          <t>307</t>
        </is>
      </c>
      <c r="D592" t="n">
        <v>3.07</v>
      </c>
      <c r="E592">
        <f>MEDIAN(D572:D612)</f>
        <v/>
      </c>
      <c r="F592">
        <f>E572</f>
        <v/>
      </c>
      <c r="G592">
        <f>F592-E592</f>
        <v/>
      </c>
      <c r="H592">
        <f>IF(OR(NOT(ISNUMBER(D592)),ABS(D592-E592)&gt;$O$3,AND($O$11=1,B592&lt;$O$12)),1,0)</f>
        <v/>
      </c>
      <c r="I592">
        <f>IF(H592=1,NA(),D592)</f>
        <v/>
      </c>
      <c r="J592">
        <f>IF(AND(ISNUMBER(D592),D592&gt;=$O$4,OR($O$11=0,B592&gt;=$O$12)),1,0)</f>
        <v/>
      </c>
      <c r="K592">
        <f>B592-$O$14</f>
        <v/>
      </c>
    </row>
    <row r="593">
      <c r="A593" t="n">
        <v>1773</v>
      </c>
      <c r="B593" t="n">
        <v>59.1</v>
      </c>
      <c r="C593" t="inlineStr">
        <is>
          <t>387</t>
        </is>
      </c>
      <c r="D593" t="n">
        <v>3.87</v>
      </c>
      <c r="E593">
        <f>MEDIAN(D573:D613)</f>
        <v/>
      </c>
      <c r="F593">
        <f>E573</f>
        <v/>
      </c>
      <c r="G593">
        <f>F593-E593</f>
        <v/>
      </c>
      <c r="H593">
        <f>IF(OR(NOT(ISNUMBER(D593)),ABS(D593-E593)&gt;$O$3,AND($O$11=1,B593&lt;$O$12)),1,0)</f>
        <v/>
      </c>
      <c r="I593">
        <f>IF(H593=1,NA(),D593)</f>
        <v/>
      </c>
      <c r="J593">
        <f>IF(AND(ISNUMBER(D593),D593&gt;=$O$4,OR($O$11=0,B593&gt;=$O$12)),1,0)</f>
        <v/>
      </c>
      <c r="K593">
        <f>B593-$O$14</f>
        <v/>
      </c>
    </row>
    <row r="594">
      <c r="A594" t="n">
        <v>1776</v>
      </c>
      <c r="B594" t="n">
        <v>59.2</v>
      </c>
      <c r="C594" t="inlineStr">
        <is>
          <t>307</t>
        </is>
      </c>
      <c r="D594" t="n">
        <v>3.07</v>
      </c>
      <c r="E594">
        <f>MEDIAN(D574:D614)</f>
        <v/>
      </c>
      <c r="F594">
        <f>E574</f>
        <v/>
      </c>
      <c r="G594">
        <f>F594-E594</f>
        <v/>
      </c>
      <c r="H594">
        <f>IF(OR(NOT(ISNUMBER(D594)),ABS(D594-E594)&gt;$O$3,AND($O$11=1,B594&lt;$O$12)),1,0)</f>
        <v/>
      </c>
      <c r="I594">
        <f>IF(H594=1,NA(),D594)</f>
        <v/>
      </c>
      <c r="J594">
        <f>IF(AND(ISNUMBER(D594),D594&gt;=$O$4,OR($O$11=0,B594&gt;=$O$12)),1,0)</f>
        <v/>
      </c>
      <c r="K594">
        <f>B594-$O$14</f>
        <v/>
      </c>
    </row>
    <row r="595">
      <c r="A595" t="n">
        <v>1779</v>
      </c>
      <c r="B595" t="n">
        <v>59.3</v>
      </c>
      <c r="C595" t="inlineStr">
        <is>
          <t>7</t>
        </is>
      </c>
      <c r="D595" t="n">
        <v>0.07000000000000001</v>
      </c>
      <c r="E595">
        <f>MEDIAN(D575:D615)</f>
        <v/>
      </c>
      <c r="F595">
        <f>E575</f>
        <v/>
      </c>
      <c r="G595">
        <f>F595-E595</f>
        <v/>
      </c>
      <c r="H595">
        <f>IF(OR(NOT(ISNUMBER(D595)),ABS(D595-E595)&gt;$O$3,AND($O$11=1,B595&lt;$O$12)),1,0)</f>
        <v/>
      </c>
      <c r="I595">
        <f>IF(H595=1,NA(),D595)</f>
        <v/>
      </c>
      <c r="J595">
        <f>IF(AND(ISNUMBER(D595),D595&gt;=$O$4,OR($O$11=0,B595&gt;=$O$12)),1,0)</f>
        <v/>
      </c>
      <c r="K595">
        <f>B595-$O$14</f>
        <v/>
      </c>
    </row>
    <row r="596">
      <c r="A596" t="n">
        <v>1782</v>
      </c>
      <c r="B596" t="n">
        <v>59.4</v>
      </c>
      <c r="C596" t="inlineStr">
        <is>
          <t>307</t>
        </is>
      </c>
      <c r="D596" t="n">
        <v>3.07</v>
      </c>
      <c r="E596">
        <f>MEDIAN(D576:D616)</f>
        <v/>
      </c>
      <c r="F596">
        <f>E576</f>
        <v/>
      </c>
      <c r="G596">
        <f>F596-E596</f>
        <v/>
      </c>
      <c r="H596">
        <f>IF(OR(NOT(ISNUMBER(D596)),ABS(D596-E596)&gt;$O$3,AND($O$11=1,B596&lt;$O$12)),1,0)</f>
        <v/>
      </c>
      <c r="I596">
        <f>IF(H596=1,NA(),D596)</f>
        <v/>
      </c>
      <c r="J596">
        <f>IF(AND(ISNUMBER(D596),D596&gt;=$O$4,OR($O$11=0,B596&gt;=$O$12)),1,0)</f>
        <v/>
      </c>
      <c r="K596">
        <f>B596-$O$14</f>
        <v/>
      </c>
    </row>
    <row r="597">
      <c r="A597" t="n">
        <v>1785</v>
      </c>
      <c r="B597" t="n">
        <v>59.5</v>
      </c>
      <c r="C597" t="inlineStr">
        <is>
          <t>367</t>
        </is>
      </c>
      <c r="D597" t="n">
        <v>3.67</v>
      </c>
      <c r="E597">
        <f>MEDIAN(D577:D617)</f>
        <v/>
      </c>
      <c r="F597">
        <f>E577</f>
        <v/>
      </c>
      <c r="G597">
        <f>F597-E597</f>
        <v/>
      </c>
      <c r="H597">
        <f>IF(OR(NOT(ISNUMBER(D597)),ABS(D597-E597)&gt;$O$3,AND($O$11=1,B597&lt;$O$12)),1,0)</f>
        <v/>
      </c>
      <c r="I597">
        <f>IF(H597=1,NA(),D597)</f>
        <v/>
      </c>
      <c r="J597">
        <f>IF(AND(ISNUMBER(D597),D597&gt;=$O$4,OR($O$11=0,B597&gt;=$O$12)),1,0)</f>
        <v/>
      </c>
      <c r="K597">
        <f>B597-$O$14</f>
        <v/>
      </c>
    </row>
    <row r="598">
      <c r="A598" t="n">
        <v>1788</v>
      </c>
      <c r="B598" t="n">
        <v>59.6</v>
      </c>
      <c r="C598" t="inlineStr">
        <is>
          <t>387</t>
        </is>
      </c>
      <c r="D598" t="n">
        <v>3.87</v>
      </c>
      <c r="E598">
        <f>MEDIAN(D578:D618)</f>
        <v/>
      </c>
      <c r="F598">
        <f>E578</f>
        <v/>
      </c>
      <c r="G598">
        <f>F598-E598</f>
        <v/>
      </c>
      <c r="H598">
        <f>IF(OR(NOT(ISNUMBER(D598)),ABS(D598-E598)&gt;$O$3,AND($O$11=1,B598&lt;$O$12)),1,0)</f>
        <v/>
      </c>
      <c r="I598">
        <f>IF(H598=1,NA(),D598)</f>
        <v/>
      </c>
      <c r="J598">
        <f>IF(AND(ISNUMBER(D598),D598&gt;=$O$4,OR($O$11=0,B598&gt;=$O$12)),1,0)</f>
        <v/>
      </c>
      <c r="K598">
        <f>B598-$O$14</f>
        <v/>
      </c>
    </row>
    <row r="599">
      <c r="A599" t="n">
        <v>1791</v>
      </c>
      <c r="B599" t="n">
        <v>59.7</v>
      </c>
      <c r="C599" t="inlineStr">
        <is>
          <t>307</t>
        </is>
      </c>
      <c r="D599" t="n">
        <v>3.07</v>
      </c>
      <c r="E599">
        <f>MEDIAN(D579:D619)</f>
        <v/>
      </c>
      <c r="F599">
        <f>E579</f>
        <v/>
      </c>
      <c r="G599">
        <f>F599-E599</f>
        <v/>
      </c>
      <c r="H599">
        <f>IF(OR(NOT(ISNUMBER(D599)),ABS(D599-E599)&gt;$O$3,AND($O$11=1,B599&lt;$O$12)),1,0)</f>
        <v/>
      </c>
      <c r="I599">
        <f>IF(H599=1,NA(),D599)</f>
        <v/>
      </c>
      <c r="J599">
        <f>IF(AND(ISNUMBER(D599),D599&gt;=$O$4,OR($O$11=0,B599&gt;=$O$12)),1,0)</f>
        <v/>
      </c>
      <c r="K599">
        <f>B599-$O$14</f>
        <v/>
      </c>
    </row>
    <row r="600">
      <c r="A600" t="n">
        <v>1794</v>
      </c>
      <c r="B600" t="n">
        <v>59.8</v>
      </c>
      <c r="C600" t="inlineStr">
        <is>
          <t>307</t>
        </is>
      </c>
      <c r="D600" t="n">
        <v>3.07</v>
      </c>
      <c r="E600">
        <f>MEDIAN(D580:D620)</f>
        <v/>
      </c>
      <c r="F600">
        <f>E580</f>
        <v/>
      </c>
      <c r="G600">
        <f>F600-E600</f>
        <v/>
      </c>
      <c r="H600">
        <f>IF(OR(NOT(ISNUMBER(D600)),ABS(D600-E600)&gt;$O$3,AND($O$11=1,B600&lt;$O$12)),1,0)</f>
        <v/>
      </c>
      <c r="I600">
        <f>IF(H600=1,NA(),D600)</f>
        <v/>
      </c>
      <c r="J600">
        <f>IF(AND(ISNUMBER(D600),D600&gt;=$O$4,OR($O$11=0,B600&gt;=$O$12)),1,0)</f>
        <v/>
      </c>
      <c r="K600">
        <f>B600-$O$14</f>
        <v/>
      </c>
    </row>
    <row r="601">
      <c r="A601" t="n">
        <v>1797</v>
      </c>
      <c r="B601" t="n">
        <v>59.9</v>
      </c>
      <c r="C601" t="inlineStr">
        <is>
          <t>387</t>
        </is>
      </c>
      <c r="D601" t="n">
        <v>3.87</v>
      </c>
      <c r="E601">
        <f>MEDIAN(D581:D621)</f>
        <v/>
      </c>
      <c r="F601">
        <f>E581</f>
        <v/>
      </c>
      <c r="G601">
        <f>F601-E601</f>
        <v/>
      </c>
      <c r="H601">
        <f>IF(OR(NOT(ISNUMBER(D601)),ABS(D601-E601)&gt;$O$3,AND($O$11=1,B601&lt;$O$12)),1,0)</f>
        <v/>
      </c>
      <c r="I601">
        <f>IF(H601=1,NA(),D601)</f>
        <v/>
      </c>
      <c r="J601">
        <f>IF(AND(ISNUMBER(D601),D601&gt;=$O$4,OR($O$11=0,B601&gt;=$O$12)),1,0)</f>
        <v/>
      </c>
      <c r="K601">
        <f>B601-$O$14</f>
        <v/>
      </c>
    </row>
    <row r="602">
      <c r="A602" t="n">
        <v>1800</v>
      </c>
      <c r="B602" t="n">
        <v>60</v>
      </c>
      <c r="C602" t="inlineStr">
        <is>
          <t>307</t>
        </is>
      </c>
      <c r="D602" t="n">
        <v>3.07</v>
      </c>
      <c r="E602">
        <f>MEDIAN(D582:D622)</f>
        <v/>
      </c>
      <c r="F602">
        <f>E582</f>
        <v/>
      </c>
      <c r="G602">
        <f>F602-E602</f>
        <v/>
      </c>
      <c r="H602">
        <f>IF(OR(NOT(ISNUMBER(D602)),ABS(D602-E602)&gt;$O$3,AND($O$11=1,B602&lt;$O$12)),1,0)</f>
        <v/>
      </c>
      <c r="I602">
        <f>IF(H602=1,NA(),D602)</f>
        <v/>
      </c>
      <c r="J602">
        <f>IF(AND(ISNUMBER(D602),D602&gt;=$O$4,OR($O$11=0,B602&gt;=$O$12)),1,0)</f>
        <v/>
      </c>
      <c r="K602">
        <f>B602-$O$14</f>
        <v/>
      </c>
    </row>
    <row r="603">
      <c r="A603" t="n">
        <v>1803</v>
      </c>
      <c r="B603" t="n">
        <v>60.1</v>
      </c>
      <c r="C603" t="inlineStr">
        <is>
          <t>367</t>
        </is>
      </c>
      <c r="D603" t="n">
        <v>3.67</v>
      </c>
      <c r="E603">
        <f>MEDIAN(D583:D623)</f>
        <v/>
      </c>
      <c r="F603">
        <f>E583</f>
        <v/>
      </c>
      <c r="G603">
        <f>F603-E603</f>
        <v/>
      </c>
      <c r="H603">
        <f>IF(OR(NOT(ISNUMBER(D603)),ABS(D603-E603)&gt;$O$3,AND($O$11=1,B603&lt;$O$12)),1,0)</f>
        <v/>
      </c>
      <c r="I603">
        <f>IF(H603=1,NA(),D603)</f>
        <v/>
      </c>
      <c r="J603">
        <f>IF(AND(ISNUMBER(D603),D603&gt;=$O$4,OR($O$11=0,B603&gt;=$O$12)),1,0)</f>
        <v/>
      </c>
      <c r="K603">
        <f>B603-$O$14</f>
        <v/>
      </c>
    </row>
    <row r="604">
      <c r="A604" t="n">
        <v>1806</v>
      </c>
      <c r="B604" t="n">
        <v>60.2</v>
      </c>
      <c r="C604" t="inlineStr">
        <is>
          <t>3?7</t>
        </is>
      </c>
      <c r="E604">
        <f>MEDIAN(D584:D624)</f>
        <v/>
      </c>
      <c r="F604">
        <f>E584</f>
        <v/>
      </c>
      <c r="G604">
        <f>F604-E604</f>
        <v/>
      </c>
      <c r="H604">
        <f>IF(OR(NOT(ISNUMBER(D604)),ABS(D604-E604)&gt;$O$3,AND($O$11=1,B604&lt;$O$12)),1,0)</f>
        <v/>
      </c>
      <c r="I604">
        <f>IF(H604=1,NA(),D604)</f>
        <v/>
      </c>
      <c r="J604">
        <f>IF(AND(ISNUMBER(D604),D604&gt;=$O$4,OR($O$11=0,B604&gt;=$O$12)),1,0)</f>
        <v/>
      </c>
      <c r="K604">
        <f>B604-$O$14</f>
        <v/>
      </c>
    </row>
    <row r="605">
      <c r="A605" t="n">
        <v>1809</v>
      </c>
      <c r="B605" t="n">
        <v>60.3</v>
      </c>
      <c r="C605" t="inlineStr">
        <is>
          <t>307</t>
        </is>
      </c>
      <c r="D605" t="n">
        <v>3.07</v>
      </c>
      <c r="E605">
        <f>MEDIAN(D585:D625)</f>
        <v/>
      </c>
      <c r="F605">
        <f>E585</f>
        <v/>
      </c>
      <c r="G605">
        <f>F605-E605</f>
        <v/>
      </c>
      <c r="H605">
        <f>IF(OR(NOT(ISNUMBER(D605)),ABS(D605-E605)&gt;$O$3,AND($O$11=1,B605&lt;$O$12)),1,0)</f>
        <v/>
      </c>
      <c r="I605">
        <f>IF(H605=1,NA(),D605)</f>
        <v/>
      </c>
      <c r="J605">
        <f>IF(AND(ISNUMBER(D605),D605&gt;=$O$4,OR($O$11=0,B605&gt;=$O$12)),1,0)</f>
        <v/>
      </c>
      <c r="K605">
        <f>B605-$O$14</f>
        <v/>
      </c>
    </row>
    <row r="606">
      <c r="A606" t="n">
        <v>1812</v>
      </c>
      <c r="B606" t="n">
        <v>60.4</v>
      </c>
      <c r="C606" t="inlineStr">
        <is>
          <t>3?7</t>
        </is>
      </c>
      <c r="E606">
        <f>MEDIAN(D586:D626)</f>
        <v/>
      </c>
      <c r="F606">
        <f>E586</f>
        <v/>
      </c>
      <c r="G606">
        <f>F606-E606</f>
        <v/>
      </c>
      <c r="H606">
        <f>IF(OR(NOT(ISNUMBER(D606)),ABS(D606-E606)&gt;$O$3,AND($O$11=1,B606&lt;$O$12)),1,0)</f>
        <v/>
      </c>
      <c r="I606">
        <f>IF(H606=1,NA(),D606)</f>
        <v/>
      </c>
      <c r="J606">
        <f>IF(AND(ISNUMBER(D606),D606&gt;=$O$4,OR($O$11=0,B606&gt;=$O$12)),1,0)</f>
        <v/>
      </c>
      <c r="K606">
        <f>B606-$O$14</f>
        <v/>
      </c>
    </row>
    <row r="607">
      <c r="A607" t="n">
        <v>1815</v>
      </c>
      <c r="B607" t="n">
        <v>60.5</v>
      </c>
      <c r="C607" t="inlineStr">
        <is>
          <t>307</t>
        </is>
      </c>
      <c r="D607" t="n">
        <v>3.07</v>
      </c>
      <c r="E607">
        <f>MEDIAN(D587:D627)</f>
        <v/>
      </c>
      <c r="F607">
        <f>E587</f>
        <v/>
      </c>
      <c r="G607">
        <f>F607-E607</f>
        <v/>
      </c>
      <c r="H607">
        <f>IF(OR(NOT(ISNUMBER(D607)),ABS(D607-E607)&gt;$O$3,AND($O$11=1,B607&lt;$O$12)),1,0)</f>
        <v/>
      </c>
      <c r="I607">
        <f>IF(H607=1,NA(),D607)</f>
        <v/>
      </c>
      <c r="J607">
        <f>IF(AND(ISNUMBER(D607),D607&gt;=$O$4,OR($O$11=0,B607&gt;=$O$12)),1,0)</f>
        <v/>
      </c>
      <c r="K607">
        <f>B607-$O$14</f>
        <v/>
      </c>
    </row>
    <row r="608">
      <c r="A608" t="n">
        <v>1818</v>
      </c>
      <c r="B608" t="n">
        <v>60.6</v>
      </c>
      <c r="C608" t="inlineStr">
        <is>
          <t>3?7</t>
        </is>
      </c>
      <c r="E608">
        <f>MEDIAN(D588:D628)</f>
        <v/>
      </c>
      <c r="F608">
        <f>E588</f>
        <v/>
      </c>
      <c r="G608">
        <f>F608-E608</f>
        <v/>
      </c>
      <c r="H608">
        <f>IF(OR(NOT(ISNUMBER(D608)),ABS(D608-E608)&gt;$O$3,AND($O$11=1,B608&lt;$O$12)),1,0)</f>
        <v/>
      </c>
      <c r="I608">
        <f>IF(H608=1,NA(),D608)</f>
        <v/>
      </c>
      <c r="J608">
        <f>IF(AND(ISNUMBER(D608),D608&gt;=$O$4,OR($O$11=0,B608&gt;=$O$12)),1,0)</f>
        <v/>
      </c>
      <c r="K608">
        <f>B608-$O$14</f>
        <v/>
      </c>
    </row>
    <row r="609">
      <c r="A609" t="n">
        <v>1821</v>
      </c>
      <c r="B609" t="n">
        <v>60.7</v>
      </c>
      <c r="C609" t="inlineStr">
        <is>
          <t>307</t>
        </is>
      </c>
      <c r="D609" t="n">
        <v>3.07</v>
      </c>
      <c r="E609">
        <f>MEDIAN(D589:D629)</f>
        <v/>
      </c>
      <c r="F609">
        <f>E589</f>
        <v/>
      </c>
      <c r="G609">
        <f>F609-E609</f>
        <v/>
      </c>
      <c r="H609">
        <f>IF(OR(NOT(ISNUMBER(D609)),ABS(D609-E609)&gt;$O$3,AND($O$11=1,B609&lt;$O$12)),1,0)</f>
        <v/>
      </c>
      <c r="I609">
        <f>IF(H609=1,NA(),D609)</f>
        <v/>
      </c>
      <c r="J609">
        <f>IF(AND(ISNUMBER(D609),D609&gt;=$O$4,OR($O$11=0,B609&gt;=$O$12)),1,0)</f>
        <v/>
      </c>
      <c r="K609">
        <f>B609-$O$14</f>
        <v/>
      </c>
    </row>
    <row r="610">
      <c r="A610" t="n">
        <v>1824</v>
      </c>
      <c r="B610" t="n">
        <v>60.8</v>
      </c>
      <c r="C610" t="inlineStr">
        <is>
          <t>367</t>
        </is>
      </c>
      <c r="D610" t="n">
        <v>3.67</v>
      </c>
      <c r="E610">
        <f>MEDIAN(D590:D630)</f>
        <v/>
      </c>
      <c r="F610">
        <f>E590</f>
        <v/>
      </c>
      <c r="G610">
        <f>F610-E610</f>
        <v/>
      </c>
      <c r="H610">
        <f>IF(OR(NOT(ISNUMBER(D610)),ABS(D610-E610)&gt;$O$3,AND($O$11=1,B610&lt;$O$12)),1,0)</f>
        <v/>
      </c>
      <c r="I610">
        <f>IF(H610=1,NA(),D610)</f>
        <v/>
      </c>
      <c r="J610">
        <f>IF(AND(ISNUMBER(D610),D610&gt;=$O$4,OR($O$11=0,B610&gt;=$O$12)),1,0)</f>
        <v/>
      </c>
      <c r="K610">
        <f>B610-$O$14</f>
        <v/>
      </c>
    </row>
    <row r="611">
      <c r="A611" t="n">
        <v>1827</v>
      </c>
      <c r="B611" t="n">
        <v>60.9</v>
      </c>
      <c r="C611" t="inlineStr">
        <is>
          <t>3?7</t>
        </is>
      </c>
      <c r="E611">
        <f>MEDIAN(D591:D631)</f>
        <v/>
      </c>
      <c r="F611">
        <f>E591</f>
        <v/>
      </c>
      <c r="G611">
        <f>F611-E611</f>
        <v/>
      </c>
      <c r="H611">
        <f>IF(OR(NOT(ISNUMBER(D611)),ABS(D611-E611)&gt;$O$3,AND($O$11=1,B611&lt;$O$12)),1,0)</f>
        <v/>
      </c>
      <c r="I611">
        <f>IF(H611=1,NA(),D611)</f>
        <v/>
      </c>
      <c r="J611">
        <f>IF(AND(ISNUMBER(D611),D611&gt;=$O$4,OR($O$11=0,B611&gt;=$O$12)),1,0)</f>
        <v/>
      </c>
      <c r="K611">
        <f>B611-$O$14</f>
        <v/>
      </c>
    </row>
    <row r="612">
      <c r="A612" t="n">
        <v>1830</v>
      </c>
      <c r="B612" t="n">
        <v>61</v>
      </c>
      <c r="C612" t="inlineStr">
        <is>
          <t>387</t>
        </is>
      </c>
      <c r="D612" t="n">
        <v>3.87</v>
      </c>
      <c r="E612">
        <f>MEDIAN(D592:D632)</f>
        <v/>
      </c>
      <c r="F612">
        <f>E592</f>
        <v/>
      </c>
      <c r="G612">
        <f>F612-E612</f>
        <v/>
      </c>
      <c r="H612">
        <f>IF(OR(NOT(ISNUMBER(D612)),ABS(D612-E612)&gt;$O$3,AND($O$11=1,B612&lt;$O$12)),1,0)</f>
        <v/>
      </c>
      <c r="I612">
        <f>IF(H612=1,NA(),D612)</f>
        <v/>
      </c>
      <c r="J612">
        <f>IF(AND(ISNUMBER(D612),D612&gt;=$O$4,OR($O$11=0,B612&gt;=$O$12)),1,0)</f>
        <v/>
      </c>
      <c r="K612">
        <f>B612-$O$14</f>
        <v/>
      </c>
    </row>
    <row r="613">
      <c r="A613" t="n">
        <v>1833</v>
      </c>
      <c r="B613" t="n">
        <v>61.1</v>
      </c>
      <c r="C613" t="inlineStr">
        <is>
          <t>387</t>
        </is>
      </c>
      <c r="D613" t="n">
        <v>3.87</v>
      </c>
      <c r="E613">
        <f>MEDIAN(D593:D633)</f>
        <v/>
      </c>
      <c r="F613">
        <f>E593</f>
        <v/>
      </c>
      <c r="G613">
        <f>F613-E613</f>
        <v/>
      </c>
      <c r="H613">
        <f>IF(OR(NOT(ISNUMBER(D613)),ABS(D613-E613)&gt;$O$3,AND($O$11=1,B613&lt;$O$12)),1,0)</f>
        <v/>
      </c>
      <c r="I613">
        <f>IF(H613=1,NA(),D613)</f>
        <v/>
      </c>
      <c r="J613">
        <f>IF(AND(ISNUMBER(D613),D613&gt;=$O$4,OR($O$11=0,B613&gt;=$O$12)),1,0)</f>
        <v/>
      </c>
      <c r="K613">
        <f>B613-$O$14</f>
        <v/>
      </c>
    </row>
    <row r="614">
      <c r="A614" t="n">
        <v>1836</v>
      </c>
      <c r="B614" t="n">
        <v>61.2</v>
      </c>
      <c r="C614" t="inlineStr">
        <is>
          <t>387</t>
        </is>
      </c>
      <c r="D614" t="n">
        <v>3.87</v>
      </c>
      <c r="E614">
        <f>MEDIAN(D594:D634)</f>
        <v/>
      </c>
      <c r="F614">
        <f>E594</f>
        <v/>
      </c>
      <c r="G614">
        <f>F614-E614</f>
        <v/>
      </c>
      <c r="H614">
        <f>IF(OR(NOT(ISNUMBER(D614)),ABS(D614-E614)&gt;$O$3,AND($O$11=1,B614&lt;$O$12)),1,0)</f>
        <v/>
      </c>
      <c r="I614">
        <f>IF(H614=1,NA(),D614)</f>
        <v/>
      </c>
      <c r="J614">
        <f>IF(AND(ISNUMBER(D614),D614&gt;=$O$4,OR($O$11=0,B614&gt;=$O$12)),1,0)</f>
        <v/>
      </c>
      <c r="K614">
        <f>B614-$O$14</f>
        <v/>
      </c>
    </row>
    <row r="615">
      <c r="A615" t="n">
        <v>1839</v>
      </c>
      <c r="B615" t="n">
        <v>61.3</v>
      </c>
      <c r="C615" t="inlineStr">
        <is>
          <t>307</t>
        </is>
      </c>
      <c r="D615" t="n">
        <v>3.07</v>
      </c>
      <c r="E615">
        <f>MEDIAN(D595:D635)</f>
        <v/>
      </c>
      <c r="F615">
        <f>E595</f>
        <v/>
      </c>
      <c r="G615">
        <f>F615-E615</f>
        <v/>
      </c>
      <c r="H615">
        <f>IF(OR(NOT(ISNUMBER(D615)),ABS(D615-E615)&gt;$O$3,AND($O$11=1,B615&lt;$O$12)),1,0)</f>
        <v/>
      </c>
      <c r="I615">
        <f>IF(H615=1,NA(),D615)</f>
        <v/>
      </c>
      <c r="J615">
        <f>IF(AND(ISNUMBER(D615),D615&gt;=$O$4,OR($O$11=0,B615&gt;=$O$12)),1,0)</f>
        <v/>
      </c>
      <c r="K615">
        <f>B615-$O$14</f>
        <v/>
      </c>
    </row>
    <row r="616">
      <c r="A616" t="n">
        <v>1842</v>
      </c>
      <c r="B616" t="n">
        <v>61.4</v>
      </c>
      <c r="C616" t="inlineStr">
        <is>
          <t>7</t>
        </is>
      </c>
      <c r="D616" t="n">
        <v>0.07000000000000001</v>
      </c>
      <c r="E616">
        <f>MEDIAN(D596:D636)</f>
        <v/>
      </c>
      <c r="F616">
        <f>E596</f>
        <v/>
      </c>
      <c r="G616">
        <f>F616-E616</f>
        <v/>
      </c>
      <c r="H616">
        <f>IF(OR(NOT(ISNUMBER(D616)),ABS(D616-E616)&gt;$O$3,AND($O$11=1,B616&lt;$O$12)),1,0)</f>
        <v/>
      </c>
      <c r="I616">
        <f>IF(H616=1,NA(),D616)</f>
        <v/>
      </c>
      <c r="J616">
        <f>IF(AND(ISNUMBER(D616),D616&gt;=$O$4,OR($O$11=0,B616&gt;=$O$12)),1,0)</f>
        <v/>
      </c>
      <c r="K616">
        <f>B616-$O$14</f>
        <v/>
      </c>
    </row>
    <row r="617">
      <c r="A617" t="n">
        <v>1845</v>
      </c>
      <c r="B617" t="n">
        <v>61.5</v>
      </c>
      <c r="C617" t="inlineStr">
        <is>
          <t>7</t>
        </is>
      </c>
      <c r="D617" t="n">
        <v>0.07000000000000001</v>
      </c>
      <c r="E617">
        <f>MEDIAN(D597:D637)</f>
        <v/>
      </c>
      <c r="F617">
        <f>E597</f>
        <v/>
      </c>
      <c r="G617">
        <f>F617-E617</f>
        <v/>
      </c>
      <c r="H617">
        <f>IF(OR(NOT(ISNUMBER(D617)),ABS(D617-E617)&gt;$O$3,AND($O$11=1,B617&lt;$O$12)),1,0)</f>
        <v/>
      </c>
      <c r="I617">
        <f>IF(H617=1,NA(),D617)</f>
        <v/>
      </c>
      <c r="J617">
        <f>IF(AND(ISNUMBER(D617),D617&gt;=$O$4,OR($O$11=0,B617&gt;=$O$12)),1,0)</f>
        <v/>
      </c>
      <c r="K617">
        <f>B617-$O$14</f>
        <v/>
      </c>
    </row>
    <row r="618">
      <c r="A618" t="n">
        <v>1848</v>
      </c>
      <c r="B618" t="n">
        <v>61.6</v>
      </c>
      <c r="C618" t="inlineStr">
        <is>
          <t>307</t>
        </is>
      </c>
      <c r="D618" t="n">
        <v>3.07</v>
      </c>
      <c r="E618">
        <f>MEDIAN(D598:D638)</f>
        <v/>
      </c>
      <c r="F618">
        <f>E598</f>
        <v/>
      </c>
      <c r="G618">
        <f>F618-E618</f>
        <v/>
      </c>
      <c r="H618">
        <f>IF(OR(NOT(ISNUMBER(D618)),ABS(D618-E618)&gt;$O$3,AND($O$11=1,B618&lt;$O$12)),1,0)</f>
        <v/>
      </c>
      <c r="I618">
        <f>IF(H618=1,NA(),D618)</f>
        <v/>
      </c>
      <c r="J618">
        <f>IF(AND(ISNUMBER(D618),D618&gt;=$O$4,OR($O$11=0,B618&gt;=$O$12)),1,0)</f>
        <v/>
      </c>
      <c r="K618">
        <f>B618-$O$14</f>
        <v/>
      </c>
    </row>
    <row r="619">
      <c r="A619" t="n">
        <v>1851</v>
      </c>
      <c r="B619" t="n">
        <v>61.7</v>
      </c>
      <c r="C619" t="inlineStr">
        <is>
          <t>3??</t>
        </is>
      </c>
      <c r="E619">
        <f>MEDIAN(D599:D639)</f>
        <v/>
      </c>
      <c r="F619">
        <f>E599</f>
        <v/>
      </c>
      <c r="G619">
        <f>F619-E619</f>
        <v/>
      </c>
      <c r="H619">
        <f>IF(OR(NOT(ISNUMBER(D619)),ABS(D619-E619)&gt;$O$3,AND($O$11=1,B619&lt;$O$12)),1,0)</f>
        <v/>
      </c>
      <c r="I619">
        <f>IF(H619=1,NA(),D619)</f>
        <v/>
      </c>
      <c r="J619">
        <f>IF(AND(ISNUMBER(D619),D619&gt;=$O$4,OR($O$11=0,B619&gt;=$O$12)),1,0)</f>
        <v/>
      </c>
      <c r="K619">
        <f>B619-$O$14</f>
        <v/>
      </c>
    </row>
    <row r="620">
      <c r="A620" t="n">
        <v>1854</v>
      </c>
      <c r="B620" t="n">
        <v>61.8</v>
      </c>
      <c r="C620" t="inlineStr">
        <is>
          <t>306</t>
        </is>
      </c>
      <c r="D620" t="n">
        <v>3.06</v>
      </c>
      <c r="E620">
        <f>MEDIAN(D600:D640)</f>
        <v/>
      </c>
      <c r="F620">
        <f>E600</f>
        <v/>
      </c>
      <c r="G620">
        <f>F620-E620</f>
        <v/>
      </c>
      <c r="H620">
        <f>IF(OR(NOT(ISNUMBER(D620)),ABS(D620-E620)&gt;$O$3,AND($O$11=1,B620&lt;$O$12)),1,0)</f>
        <v/>
      </c>
      <c r="I620">
        <f>IF(H620=1,NA(),D620)</f>
        <v/>
      </c>
      <c r="J620">
        <f>IF(AND(ISNUMBER(D620),D620&gt;=$O$4,OR($O$11=0,B620&gt;=$O$12)),1,0)</f>
        <v/>
      </c>
      <c r="K620">
        <f>B620-$O$14</f>
        <v/>
      </c>
    </row>
    <row r="621">
      <c r="A621" t="n">
        <v>1857</v>
      </c>
      <c r="B621" t="n">
        <v>61.9</v>
      </c>
      <c r="C621" t="inlineStr">
        <is>
          <t>366</t>
        </is>
      </c>
      <c r="D621" t="n">
        <v>3.66</v>
      </c>
      <c r="E621">
        <f>MEDIAN(D601:D641)</f>
        <v/>
      </c>
      <c r="F621">
        <f>E601</f>
        <v/>
      </c>
      <c r="G621">
        <f>F621-E621</f>
        <v/>
      </c>
      <c r="H621">
        <f>IF(OR(NOT(ISNUMBER(D621)),ABS(D621-E621)&gt;$O$3,AND($O$11=1,B621&lt;$O$12)),1,0)</f>
        <v/>
      </c>
      <c r="I621">
        <f>IF(H621=1,NA(),D621)</f>
        <v/>
      </c>
      <c r="J621">
        <f>IF(AND(ISNUMBER(D621),D621&gt;=$O$4,OR($O$11=0,B621&gt;=$O$12)),1,0)</f>
        <v/>
      </c>
      <c r="K621">
        <f>B621-$O$14</f>
        <v/>
      </c>
    </row>
    <row r="622">
      <c r="A622" t="n">
        <v>1860</v>
      </c>
      <c r="B622" t="n">
        <v>62</v>
      </c>
      <c r="C622" t="inlineStr">
        <is>
          <t>306</t>
        </is>
      </c>
      <c r="D622" t="n">
        <v>3.06</v>
      </c>
      <c r="E622">
        <f>MEDIAN(D602:D642)</f>
        <v/>
      </c>
      <c r="F622">
        <f>E602</f>
        <v/>
      </c>
      <c r="G622">
        <f>F622-E622</f>
        <v/>
      </c>
      <c r="H622">
        <f>IF(OR(NOT(ISNUMBER(D622)),ABS(D622-E622)&gt;$O$3,AND($O$11=1,B622&lt;$O$12)),1,0)</f>
        <v/>
      </c>
      <c r="I622">
        <f>IF(H622=1,NA(),D622)</f>
        <v/>
      </c>
      <c r="J622">
        <f>IF(AND(ISNUMBER(D622),D622&gt;=$O$4,OR($O$11=0,B622&gt;=$O$12)),1,0)</f>
        <v/>
      </c>
      <c r="K622">
        <f>B622-$O$14</f>
        <v/>
      </c>
    </row>
    <row r="623">
      <c r="A623" t="n">
        <v>1863</v>
      </c>
      <c r="B623" t="n">
        <v>62.1</v>
      </c>
      <c r="C623" t="inlineStr">
        <is>
          <t>305</t>
        </is>
      </c>
      <c r="D623" t="n">
        <v>3.05</v>
      </c>
      <c r="E623">
        <f>MEDIAN(D603:D643)</f>
        <v/>
      </c>
      <c r="F623">
        <f>E603</f>
        <v/>
      </c>
      <c r="G623">
        <f>F623-E623</f>
        <v/>
      </c>
      <c r="H623">
        <f>IF(OR(NOT(ISNUMBER(D623)),ABS(D623-E623)&gt;$O$3,AND($O$11=1,B623&lt;$O$12)),1,0)</f>
        <v/>
      </c>
      <c r="I623">
        <f>IF(H623=1,NA(),D623)</f>
        <v/>
      </c>
      <c r="J623">
        <f>IF(AND(ISNUMBER(D623),D623&gt;=$O$4,OR($O$11=0,B623&gt;=$O$12)),1,0)</f>
        <v/>
      </c>
      <c r="K623">
        <f>B623-$O$14</f>
        <v/>
      </c>
    </row>
    <row r="624">
      <c r="A624" t="n">
        <v>1866</v>
      </c>
      <c r="B624" t="n">
        <v>62.2</v>
      </c>
      <c r="C624" t="inlineStr">
        <is>
          <t>305</t>
        </is>
      </c>
      <c r="D624" t="n">
        <v>3.05</v>
      </c>
      <c r="E624">
        <f>MEDIAN(D604:D644)</f>
        <v/>
      </c>
      <c r="F624">
        <f>E604</f>
        <v/>
      </c>
      <c r="G624">
        <f>F624-E624</f>
        <v/>
      </c>
      <c r="H624">
        <f>IF(OR(NOT(ISNUMBER(D624)),ABS(D624-E624)&gt;$O$3,AND($O$11=1,B624&lt;$O$12)),1,0)</f>
        <v/>
      </c>
      <c r="I624">
        <f>IF(H624=1,NA(),D624)</f>
        <v/>
      </c>
      <c r="J624">
        <f>IF(AND(ISNUMBER(D624),D624&gt;=$O$4,OR($O$11=0,B624&gt;=$O$12)),1,0)</f>
        <v/>
      </c>
      <c r="K624">
        <f>B624-$O$14</f>
        <v/>
      </c>
    </row>
    <row r="625">
      <c r="A625" t="n">
        <v>1869</v>
      </c>
      <c r="B625" t="n">
        <v>62.3</v>
      </c>
      <c r="C625" t="inlineStr">
        <is>
          <t>305</t>
        </is>
      </c>
      <c r="D625" t="n">
        <v>3.05</v>
      </c>
      <c r="E625">
        <f>MEDIAN(D605:D645)</f>
        <v/>
      </c>
      <c r="F625">
        <f>E605</f>
        <v/>
      </c>
      <c r="G625">
        <f>F625-E625</f>
        <v/>
      </c>
      <c r="H625">
        <f>IF(OR(NOT(ISNUMBER(D625)),ABS(D625-E625)&gt;$O$3,AND($O$11=1,B625&lt;$O$12)),1,0)</f>
        <v/>
      </c>
      <c r="I625">
        <f>IF(H625=1,NA(),D625)</f>
        <v/>
      </c>
      <c r="J625">
        <f>IF(AND(ISNUMBER(D625),D625&gt;=$O$4,OR($O$11=0,B625&gt;=$O$12)),1,0)</f>
        <v/>
      </c>
      <c r="K625">
        <f>B625-$O$14</f>
        <v/>
      </c>
    </row>
    <row r="626">
      <c r="A626" t="n">
        <v>1872</v>
      </c>
      <c r="B626" t="n">
        <v>62.4</v>
      </c>
      <c r="C626" t="inlineStr">
        <is>
          <t>5</t>
        </is>
      </c>
      <c r="D626" t="n">
        <v>0.05</v>
      </c>
      <c r="E626">
        <f>MEDIAN(D606:D646)</f>
        <v/>
      </c>
      <c r="F626">
        <f>E606</f>
        <v/>
      </c>
      <c r="G626">
        <f>F626-E626</f>
        <v/>
      </c>
      <c r="H626">
        <f>IF(OR(NOT(ISNUMBER(D626)),ABS(D626-E626)&gt;$O$3,AND($O$11=1,B626&lt;$O$12)),1,0)</f>
        <v/>
      </c>
      <c r="I626">
        <f>IF(H626=1,NA(),D626)</f>
        <v/>
      </c>
      <c r="J626">
        <f>IF(AND(ISNUMBER(D626),D626&gt;=$O$4,OR($O$11=0,B626&gt;=$O$12)),1,0)</f>
        <v/>
      </c>
      <c r="K626">
        <f>B626-$O$14</f>
        <v/>
      </c>
    </row>
    <row r="627">
      <c r="A627" t="n">
        <v>1875</v>
      </c>
      <c r="B627" t="n">
        <v>62.5</v>
      </c>
      <c r="C627" t="inlineStr">
        <is>
          <t>305</t>
        </is>
      </c>
      <c r="D627" t="n">
        <v>3.05</v>
      </c>
      <c r="E627">
        <f>MEDIAN(D607:D647)</f>
        <v/>
      </c>
      <c r="F627">
        <f>E607</f>
        <v/>
      </c>
      <c r="G627">
        <f>F627-E627</f>
        <v/>
      </c>
      <c r="H627">
        <f>IF(OR(NOT(ISNUMBER(D627)),ABS(D627-E627)&gt;$O$3,AND($O$11=1,B627&lt;$O$12)),1,0)</f>
        <v/>
      </c>
      <c r="I627">
        <f>IF(H627=1,NA(),D627)</f>
        <v/>
      </c>
      <c r="J627">
        <f>IF(AND(ISNUMBER(D627),D627&gt;=$O$4,OR($O$11=0,B627&gt;=$O$12)),1,0)</f>
        <v/>
      </c>
      <c r="K627">
        <f>B627-$O$14</f>
        <v/>
      </c>
    </row>
    <row r="628">
      <c r="A628" t="n">
        <v>1878</v>
      </c>
      <c r="B628" t="n">
        <v>62.6</v>
      </c>
      <c r="C628" t="inlineStr">
        <is>
          <t>385</t>
        </is>
      </c>
      <c r="D628" t="n">
        <v>3.85</v>
      </c>
      <c r="E628">
        <f>MEDIAN(D608:D648)</f>
        <v/>
      </c>
      <c r="F628">
        <f>E608</f>
        <v/>
      </c>
      <c r="G628">
        <f>F628-E628</f>
        <v/>
      </c>
      <c r="H628">
        <f>IF(OR(NOT(ISNUMBER(D628)),ABS(D628-E628)&gt;$O$3,AND($O$11=1,B628&lt;$O$12)),1,0)</f>
        <v/>
      </c>
      <c r="I628">
        <f>IF(H628=1,NA(),D628)</f>
        <v/>
      </c>
      <c r="J628">
        <f>IF(AND(ISNUMBER(D628),D628&gt;=$O$4,OR($O$11=0,B628&gt;=$O$12)),1,0)</f>
        <v/>
      </c>
      <c r="K628">
        <f>B628-$O$14</f>
        <v/>
      </c>
    </row>
    <row r="629">
      <c r="A629" t="n">
        <v>1881</v>
      </c>
      <c r="B629" t="n">
        <v>62.7</v>
      </c>
      <c r="C629" t="inlineStr">
        <is>
          <t>3?6</t>
        </is>
      </c>
      <c r="E629">
        <f>MEDIAN(D609:D649)</f>
        <v/>
      </c>
      <c r="F629">
        <f>E609</f>
        <v/>
      </c>
      <c r="G629">
        <f>F629-E629</f>
        <v/>
      </c>
      <c r="H629">
        <f>IF(OR(NOT(ISNUMBER(D629)),ABS(D629-E629)&gt;$O$3,AND($O$11=1,B629&lt;$O$12)),1,0)</f>
        <v/>
      </c>
      <c r="I629">
        <f>IF(H629=1,NA(),D629)</f>
        <v/>
      </c>
      <c r="J629">
        <f>IF(AND(ISNUMBER(D629),D629&gt;=$O$4,OR($O$11=0,B629&gt;=$O$12)),1,0)</f>
        <v/>
      </c>
      <c r="K629">
        <f>B629-$O$14</f>
        <v/>
      </c>
    </row>
    <row r="630">
      <c r="A630" t="n">
        <v>1884</v>
      </c>
      <c r="B630" t="n">
        <v>62.8</v>
      </c>
      <c r="C630" t="inlineStr">
        <is>
          <t>?10</t>
        </is>
      </c>
      <c r="E630">
        <f>MEDIAN(D610:D650)</f>
        <v/>
      </c>
      <c r="F630">
        <f>E610</f>
        <v/>
      </c>
      <c r="G630">
        <f>F630-E630</f>
        <v/>
      </c>
      <c r="H630">
        <f>IF(OR(NOT(ISNUMBER(D630)),ABS(D630-E630)&gt;$O$3,AND($O$11=1,B630&lt;$O$12)),1,0)</f>
        <v/>
      </c>
      <c r="I630">
        <f>IF(H630=1,NA(),D630)</f>
        <v/>
      </c>
      <c r="J630">
        <f>IF(AND(ISNUMBER(D630),D630&gt;=$O$4,OR($O$11=0,B630&gt;=$O$12)),1,0)</f>
        <v/>
      </c>
      <c r="K630">
        <f>B630-$O$14</f>
        <v/>
      </c>
    </row>
    <row r="631">
      <c r="A631" t="n">
        <v>1887</v>
      </c>
      <c r="B631" t="n">
        <v>62.9</v>
      </c>
      <c r="C631" t="inlineStr">
        <is>
          <t>311</t>
        </is>
      </c>
      <c r="D631" t="n">
        <v>3.11</v>
      </c>
      <c r="E631">
        <f>MEDIAN(D611:D651)</f>
        <v/>
      </c>
      <c r="F631">
        <f>E611</f>
        <v/>
      </c>
      <c r="G631">
        <f>F631-E631</f>
        <v/>
      </c>
      <c r="H631">
        <f>IF(OR(NOT(ISNUMBER(D631)),ABS(D631-E631)&gt;$O$3,AND($O$11=1,B631&lt;$O$12)),1,0)</f>
        <v/>
      </c>
      <c r="I631">
        <f>IF(H631=1,NA(),D631)</f>
        <v/>
      </c>
      <c r="J631">
        <f>IF(AND(ISNUMBER(D631),D631&gt;=$O$4,OR($O$11=0,B631&gt;=$O$12)),1,0)</f>
        <v/>
      </c>
      <c r="K631">
        <f>B631-$O$14</f>
        <v/>
      </c>
    </row>
    <row r="632">
      <c r="A632" t="n">
        <v>1890</v>
      </c>
      <c r="B632" t="n">
        <v>63</v>
      </c>
      <c r="C632" t="inlineStr">
        <is>
          <t>11</t>
        </is>
      </c>
      <c r="D632" t="n">
        <v>0.11</v>
      </c>
      <c r="E632">
        <f>MEDIAN(D612:D652)</f>
        <v/>
      </c>
      <c r="F632">
        <f>E612</f>
        <v/>
      </c>
      <c r="G632">
        <f>F632-E632</f>
        <v/>
      </c>
      <c r="H632">
        <f>IF(OR(NOT(ISNUMBER(D632)),ABS(D632-E632)&gt;$O$3,AND($O$11=1,B632&lt;$O$12)),1,0)</f>
        <v/>
      </c>
      <c r="I632">
        <f>IF(H632=1,NA(),D632)</f>
        <v/>
      </c>
      <c r="J632">
        <f>IF(AND(ISNUMBER(D632),D632&gt;=$O$4,OR($O$11=0,B632&gt;=$O$12)),1,0)</f>
        <v/>
      </c>
      <c r="K632">
        <f>B632-$O$14</f>
        <v/>
      </c>
    </row>
    <row r="633">
      <c r="A633" t="n">
        <v>1893</v>
      </c>
      <c r="B633" t="n">
        <v>63.1</v>
      </c>
      <c r="C633" t="inlineStr">
        <is>
          <t>311</t>
        </is>
      </c>
      <c r="D633" t="n">
        <v>3.11</v>
      </c>
      <c r="E633">
        <f>MEDIAN(D613:D653)</f>
        <v/>
      </c>
      <c r="F633">
        <f>E613</f>
        <v/>
      </c>
      <c r="G633">
        <f>F633-E633</f>
        <v/>
      </c>
      <c r="H633">
        <f>IF(OR(NOT(ISNUMBER(D633)),ABS(D633-E633)&gt;$O$3,AND($O$11=1,B633&lt;$O$12)),1,0)</f>
        <v/>
      </c>
      <c r="I633">
        <f>IF(H633=1,NA(),D633)</f>
        <v/>
      </c>
      <c r="J633">
        <f>IF(AND(ISNUMBER(D633),D633&gt;=$O$4,OR($O$11=0,B633&gt;=$O$12)),1,0)</f>
        <v/>
      </c>
      <c r="K633">
        <f>B633-$O$14</f>
        <v/>
      </c>
    </row>
    <row r="634">
      <c r="A634" t="n">
        <v>1896</v>
      </c>
      <c r="B634" t="n">
        <v>63.2</v>
      </c>
      <c r="C634" t="inlineStr">
        <is>
          <t>?11</t>
        </is>
      </c>
      <c r="E634">
        <f>MEDIAN(D614:D654)</f>
        <v/>
      </c>
      <c r="F634">
        <f>E614</f>
        <v/>
      </c>
      <c r="G634">
        <f>F634-E634</f>
        <v/>
      </c>
      <c r="H634">
        <f>IF(OR(NOT(ISNUMBER(D634)),ABS(D634-E634)&gt;$O$3,AND($O$11=1,B634&lt;$O$12)),1,0)</f>
        <v/>
      </c>
      <c r="I634">
        <f>IF(H634=1,NA(),D634)</f>
        <v/>
      </c>
      <c r="J634">
        <f>IF(AND(ISNUMBER(D634),D634&gt;=$O$4,OR($O$11=0,B634&gt;=$O$12)),1,0)</f>
        <v/>
      </c>
      <c r="K634">
        <f>B634-$O$14</f>
        <v/>
      </c>
    </row>
    <row r="635">
      <c r="A635" t="n">
        <v>1899</v>
      </c>
      <c r="B635" t="n">
        <v>63.3</v>
      </c>
      <c r="C635" t="inlineStr">
        <is>
          <t>?12</t>
        </is>
      </c>
      <c r="E635">
        <f>MEDIAN(D615:D655)</f>
        <v/>
      </c>
      <c r="F635">
        <f>E615</f>
        <v/>
      </c>
      <c r="G635">
        <f>F635-E635</f>
        <v/>
      </c>
      <c r="H635">
        <f>IF(OR(NOT(ISNUMBER(D635)),ABS(D635-E635)&gt;$O$3,AND($O$11=1,B635&lt;$O$12)),1,0)</f>
        <v/>
      </c>
      <c r="I635">
        <f>IF(H635=1,NA(),D635)</f>
        <v/>
      </c>
      <c r="J635">
        <f>IF(AND(ISNUMBER(D635),D635&gt;=$O$4,OR($O$11=0,B635&gt;=$O$12)),1,0)</f>
        <v/>
      </c>
      <c r="K635">
        <f>B635-$O$14</f>
        <v/>
      </c>
    </row>
    <row r="636">
      <c r="A636" t="n">
        <v>1902</v>
      </c>
      <c r="B636" t="n">
        <v>63.4</v>
      </c>
      <c r="C636" t="inlineStr">
        <is>
          <t>?12</t>
        </is>
      </c>
      <c r="E636">
        <f>MEDIAN(D616:D656)</f>
        <v/>
      </c>
      <c r="F636">
        <f>E616</f>
        <v/>
      </c>
      <c r="G636">
        <f>F636-E636</f>
        <v/>
      </c>
      <c r="H636">
        <f>IF(OR(NOT(ISNUMBER(D636)),ABS(D636-E636)&gt;$O$3,AND($O$11=1,B636&lt;$O$12)),1,0)</f>
        <v/>
      </c>
      <c r="I636">
        <f>IF(H636=1,NA(),D636)</f>
        <v/>
      </c>
      <c r="J636">
        <f>IF(AND(ISNUMBER(D636),D636&gt;=$O$4,OR($O$11=0,B636&gt;=$O$12)),1,0)</f>
        <v/>
      </c>
      <c r="K636">
        <f>B636-$O$14</f>
        <v/>
      </c>
    </row>
    <row r="637">
      <c r="A637" t="n">
        <v>1905</v>
      </c>
      <c r="B637" t="n">
        <v>63.5</v>
      </c>
      <c r="C637" t="inlineStr">
        <is>
          <t>?12</t>
        </is>
      </c>
      <c r="E637">
        <f>MEDIAN(D617:D657)</f>
        <v/>
      </c>
      <c r="F637">
        <f>E617</f>
        <v/>
      </c>
      <c r="G637">
        <f>F637-E637</f>
        <v/>
      </c>
      <c r="H637">
        <f>IF(OR(NOT(ISNUMBER(D637)),ABS(D637-E637)&gt;$O$3,AND($O$11=1,B637&lt;$O$12)),1,0)</f>
        <v/>
      </c>
      <c r="I637">
        <f>IF(H637=1,NA(),D637)</f>
        <v/>
      </c>
      <c r="J637">
        <f>IF(AND(ISNUMBER(D637),D637&gt;=$O$4,OR($O$11=0,B637&gt;=$O$12)),1,0)</f>
        <v/>
      </c>
      <c r="K637">
        <f>B637-$O$14</f>
        <v/>
      </c>
    </row>
    <row r="638">
      <c r="A638" t="n">
        <v>1908</v>
      </c>
      <c r="B638" t="n">
        <v>63.6</v>
      </c>
      <c r="C638" t="inlineStr">
        <is>
          <t>312</t>
        </is>
      </c>
      <c r="D638" t="n">
        <v>3.12</v>
      </c>
      <c r="E638">
        <f>MEDIAN(D618:D658)</f>
        <v/>
      </c>
      <c r="F638">
        <f>E618</f>
        <v/>
      </c>
      <c r="G638">
        <f>F638-E638</f>
        <v/>
      </c>
      <c r="H638">
        <f>IF(OR(NOT(ISNUMBER(D638)),ABS(D638-E638)&gt;$O$3,AND($O$11=1,B638&lt;$O$12)),1,0)</f>
        <v/>
      </c>
      <c r="I638">
        <f>IF(H638=1,NA(),D638)</f>
        <v/>
      </c>
      <c r="J638">
        <f>IF(AND(ISNUMBER(D638),D638&gt;=$O$4,OR($O$11=0,B638&gt;=$O$12)),1,0)</f>
        <v/>
      </c>
      <c r="K638">
        <f>B638-$O$14</f>
        <v/>
      </c>
    </row>
    <row r="639">
      <c r="A639" t="n">
        <v>1911</v>
      </c>
      <c r="B639" t="n">
        <v>63.7</v>
      </c>
      <c r="C639" t="inlineStr">
        <is>
          <t>?12</t>
        </is>
      </c>
      <c r="E639">
        <f>MEDIAN(D619:D659)</f>
        <v/>
      </c>
      <c r="F639">
        <f>E619</f>
        <v/>
      </c>
      <c r="G639">
        <f>F639-E639</f>
        <v/>
      </c>
      <c r="H639">
        <f>IF(OR(NOT(ISNUMBER(D639)),ABS(D639-E639)&gt;$O$3,AND($O$11=1,B639&lt;$O$12)),1,0)</f>
        <v/>
      </c>
      <c r="I639">
        <f>IF(H639=1,NA(),D639)</f>
        <v/>
      </c>
      <c r="J639">
        <f>IF(AND(ISNUMBER(D639),D639&gt;=$O$4,OR($O$11=0,B639&gt;=$O$12)),1,0)</f>
        <v/>
      </c>
      <c r="K639">
        <f>B639-$O$14</f>
        <v/>
      </c>
    </row>
    <row r="640">
      <c r="A640" t="n">
        <v>1914</v>
      </c>
      <c r="B640" t="n">
        <v>63.8</v>
      </c>
      <c r="C640" t="inlineStr">
        <is>
          <t>?12</t>
        </is>
      </c>
      <c r="E640">
        <f>MEDIAN(D620:D660)</f>
        <v/>
      </c>
      <c r="F640">
        <f>E620</f>
        <v/>
      </c>
      <c r="G640">
        <f>F640-E640</f>
        <v/>
      </c>
      <c r="H640">
        <f>IF(OR(NOT(ISNUMBER(D640)),ABS(D640-E640)&gt;$O$3,AND($O$11=1,B640&lt;$O$12)),1,0)</f>
        <v/>
      </c>
      <c r="I640">
        <f>IF(H640=1,NA(),D640)</f>
        <v/>
      </c>
      <c r="J640">
        <f>IF(AND(ISNUMBER(D640),D640&gt;=$O$4,OR($O$11=0,B640&gt;=$O$12)),1,0)</f>
        <v/>
      </c>
      <c r="K640">
        <f>B640-$O$14</f>
        <v/>
      </c>
    </row>
    <row r="641">
      <c r="A641" t="n">
        <v>1917</v>
      </c>
      <c r="B641" t="n">
        <v>63.9</v>
      </c>
      <c r="C641" t="inlineStr">
        <is>
          <t>312</t>
        </is>
      </c>
      <c r="D641" t="n">
        <v>3.12</v>
      </c>
      <c r="E641">
        <f>MEDIAN(D621:D661)</f>
        <v/>
      </c>
      <c r="F641">
        <f>E621</f>
        <v/>
      </c>
      <c r="G641">
        <f>F641-E641</f>
        <v/>
      </c>
      <c r="H641">
        <f>IF(OR(NOT(ISNUMBER(D641)),ABS(D641-E641)&gt;$O$3,AND($O$11=1,B641&lt;$O$12)),1,0)</f>
        <v/>
      </c>
      <c r="I641">
        <f>IF(H641=1,NA(),D641)</f>
        <v/>
      </c>
      <c r="J641">
        <f>IF(AND(ISNUMBER(D641),D641&gt;=$O$4,OR($O$11=0,B641&gt;=$O$12)),1,0)</f>
        <v/>
      </c>
      <c r="K641">
        <f>B641-$O$14</f>
        <v/>
      </c>
    </row>
    <row r="642">
      <c r="A642" t="n">
        <v>1920</v>
      </c>
      <c r="B642" t="n">
        <v>64</v>
      </c>
      <c r="C642" t="inlineStr">
        <is>
          <t>312</t>
        </is>
      </c>
      <c r="D642" t="n">
        <v>3.12</v>
      </c>
      <c r="E642">
        <f>MEDIAN(D622:D662)</f>
        <v/>
      </c>
      <c r="F642">
        <f>E622</f>
        <v/>
      </c>
      <c r="G642">
        <f>F642-E642</f>
        <v/>
      </c>
      <c r="H642">
        <f>IF(OR(NOT(ISNUMBER(D642)),ABS(D642-E642)&gt;$O$3,AND($O$11=1,B642&lt;$O$12)),1,0)</f>
        <v/>
      </c>
      <c r="I642">
        <f>IF(H642=1,NA(),D642)</f>
        <v/>
      </c>
      <c r="J642">
        <f>IF(AND(ISNUMBER(D642),D642&gt;=$O$4,OR($O$11=0,B642&gt;=$O$12)),1,0)</f>
        <v/>
      </c>
      <c r="K642">
        <f>B642-$O$14</f>
        <v/>
      </c>
    </row>
    <row r="643">
      <c r="A643" t="n">
        <v>1923</v>
      </c>
      <c r="B643" t="n">
        <v>64.09999999999999</v>
      </c>
      <c r="C643" t="inlineStr">
        <is>
          <t>?12</t>
        </is>
      </c>
      <c r="E643">
        <f>MEDIAN(D623:D663)</f>
        <v/>
      </c>
      <c r="F643">
        <f>E623</f>
        <v/>
      </c>
      <c r="G643">
        <f>F643-E643</f>
        <v/>
      </c>
      <c r="H643">
        <f>IF(OR(NOT(ISNUMBER(D643)),ABS(D643-E643)&gt;$O$3,AND($O$11=1,B643&lt;$O$12)),1,0)</f>
        <v/>
      </c>
      <c r="I643">
        <f>IF(H643=1,NA(),D643)</f>
        <v/>
      </c>
      <c r="J643">
        <f>IF(AND(ISNUMBER(D643),D643&gt;=$O$4,OR($O$11=0,B643&gt;=$O$12)),1,0)</f>
        <v/>
      </c>
      <c r="K643">
        <f>B643-$O$14</f>
        <v/>
      </c>
    </row>
    <row r="644">
      <c r="A644" t="n">
        <v>1926</v>
      </c>
      <c r="B644" t="n">
        <v>64.2</v>
      </c>
      <c r="C644" t="inlineStr">
        <is>
          <t>312</t>
        </is>
      </c>
      <c r="D644" t="n">
        <v>3.12</v>
      </c>
      <c r="E644">
        <f>MEDIAN(D624:D664)</f>
        <v/>
      </c>
      <c r="F644">
        <f>E624</f>
        <v/>
      </c>
      <c r="G644">
        <f>F644-E644</f>
        <v/>
      </c>
      <c r="H644">
        <f>IF(OR(NOT(ISNUMBER(D644)),ABS(D644-E644)&gt;$O$3,AND($O$11=1,B644&lt;$O$12)),1,0)</f>
        <v/>
      </c>
      <c r="I644">
        <f>IF(H644=1,NA(),D644)</f>
        <v/>
      </c>
      <c r="J644">
        <f>IF(AND(ISNUMBER(D644),D644&gt;=$O$4,OR($O$11=0,B644&gt;=$O$12)),1,0)</f>
        <v/>
      </c>
      <c r="K644">
        <f>B644-$O$14</f>
        <v/>
      </c>
    </row>
    <row r="645">
      <c r="A645" t="n">
        <v>1929</v>
      </c>
      <c r="B645" t="n">
        <v>64.3</v>
      </c>
      <c r="C645" t="inlineStr">
        <is>
          <t>312</t>
        </is>
      </c>
      <c r="D645" t="n">
        <v>3.12</v>
      </c>
      <c r="E645">
        <f>MEDIAN(D625:D665)</f>
        <v/>
      </c>
      <c r="F645">
        <f>E625</f>
        <v/>
      </c>
      <c r="G645">
        <f>F645-E645</f>
        <v/>
      </c>
      <c r="H645">
        <f>IF(OR(NOT(ISNUMBER(D645)),ABS(D645-E645)&gt;$O$3,AND($O$11=1,B645&lt;$O$12)),1,0)</f>
        <v/>
      </c>
      <c r="I645">
        <f>IF(H645=1,NA(),D645)</f>
        <v/>
      </c>
      <c r="J645">
        <f>IF(AND(ISNUMBER(D645),D645&gt;=$O$4,OR($O$11=0,B645&gt;=$O$12)),1,0)</f>
        <v/>
      </c>
      <c r="K645">
        <f>B645-$O$14</f>
        <v/>
      </c>
    </row>
    <row r="646">
      <c r="A646" t="n">
        <v>1932</v>
      </c>
      <c r="B646" t="n">
        <v>64.40000000000001</v>
      </c>
      <c r="C646" t="inlineStr">
        <is>
          <t>?12</t>
        </is>
      </c>
      <c r="E646">
        <f>MEDIAN(D626:D666)</f>
        <v/>
      </c>
      <c r="F646">
        <f>E626</f>
        <v/>
      </c>
      <c r="G646">
        <f>F646-E646</f>
        <v/>
      </c>
      <c r="H646">
        <f>IF(OR(NOT(ISNUMBER(D646)),ABS(D646-E646)&gt;$O$3,AND($O$11=1,B646&lt;$O$12)),1,0)</f>
        <v/>
      </c>
      <c r="I646">
        <f>IF(H646=1,NA(),D646)</f>
        <v/>
      </c>
      <c r="J646">
        <f>IF(AND(ISNUMBER(D646),D646&gt;=$O$4,OR($O$11=0,B646&gt;=$O$12)),1,0)</f>
        <v/>
      </c>
      <c r="K646">
        <f>B646-$O$14</f>
        <v/>
      </c>
    </row>
    <row r="647">
      <c r="A647" t="n">
        <v>1935</v>
      </c>
      <c r="B647" t="n">
        <v>64.5</v>
      </c>
      <c r="C647" t="inlineStr">
        <is>
          <t>312</t>
        </is>
      </c>
      <c r="D647" t="n">
        <v>3.12</v>
      </c>
      <c r="E647">
        <f>MEDIAN(D627:D667)</f>
        <v/>
      </c>
      <c r="F647">
        <f>E627</f>
        <v/>
      </c>
      <c r="G647">
        <f>F647-E647</f>
        <v/>
      </c>
      <c r="H647">
        <f>IF(OR(NOT(ISNUMBER(D647)),ABS(D647-E647)&gt;$O$3,AND($O$11=1,B647&lt;$O$12)),1,0)</f>
        <v/>
      </c>
      <c r="I647">
        <f>IF(H647=1,NA(),D647)</f>
        <v/>
      </c>
      <c r="J647">
        <f>IF(AND(ISNUMBER(D647),D647&gt;=$O$4,OR($O$11=0,B647&gt;=$O$12)),1,0)</f>
        <v/>
      </c>
      <c r="K647">
        <f>B647-$O$14</f>
        <v/>
      </c>
    </row>
    <row r="648">
      <c r="A648" t="n">
        <v>1938</v>
      </c>
      <c r="B648" t="n">
        <v>64.59999999999999</v>
      </c>
      <c r="C648" t="inlineStr">
        <is>
          <t>312</t>
        </is>
      </c>
      <c r="D648" t="n">
        <v>3.12</v>
      </c>
      <c r="E648">
        <f>MEDIAN(D628:D668)</f>
        <v/>
      </c>
      <c r="F648">
        <f>E628</f>
        <v/>
      </c>
      <c r="G648">
        <f>F648-E648</f>
        <v/>
      </c>
      <c r="H648">
        <f>IF(OR(NOT(ISNUMBER(D648)),ABS(D648-E648)&gt;$O$3,AND($O$11=1,B648&lt;$O$12)),1,0)</f>
        <v/>
      </c>
      <c r="I648">
        <f>IF(H648=1,NA(),D648)</f>
        <v/>
      </c>
      <c r="J648">
        <f>IF(AND(ISNUMBER(D648),D648&gt;=$O$4,OR($O$11=0,B648&gt;=$O$12)),1,0)</f>
        <v/>
      </c>
      <c r="K648">
        <f>B648-$O$14</f>
        <v/>
      </c>
    </row>
    <row r="649">
      <c r="A649" t="n">
        <v>1941</v>
      </c>
      <c r="B649" t="n">
        <v>64.7</v>
      </c>
      <c r="C649" t="inlineStr">
        <is>
          <t>?12</t>
        </is>
      </c>
      <c r="E649">
        <f>MEDIAN(D629:D669)</f>
        <v/>
      </c>
      <c r="F649">
        <f>E629</f>
        <v/>
      </c>
      <c r="G649">
        <f>F649-E649</f>
        <v/>
      </c>
      <c r="H649">
        <f>IF(OR(NOT(ISNUMBER(D649)),ABS(D649-E649)&gt;$O$3,AND($O$11=1,B649&lt;$O$12)),1,0)</f>
        <v/>
      </c>
      <c r="I649">
        <f>IF(H649=1,NA(),D649)</f>
        <v/>
      </c>
      <c r="J649">
        <f>IF(AND(ISNUMBER(D649),D649&gt;=$O$4,OR($O$11=0,B649&gt;=$O$12)),1,0)</f>
        <v/>
      </c>
      <c r="K649">
        <f>B649-$O$14</f>
        <v/>
      </c>
    </row>
    <row r="650">
      <c r="A650" t="n">
        <v>1944</v>
      </c>
      <c r="B650" t="n">
        <v>64.8</v>
      </c>
      <c r="C650" t="inlineStr">
        <is>
          <t>312</t>
        </is>
      </c>
      <c r="D650" t="n">
        <v>3.12</v>
      </c>
      <c r="E650">
        <f>MEDIAN(D630:D670)</f>
        <v/>
      </c>
      <c r="F650">
        <f>E630</f>
        <v/>
      </c>
      <c r="G650">
        <f>F650-E650</f>
        <v/>
      </c>
      <c r="H650">
        <f>IF(OR(NOT(ISNUMBER(D650)),ABS(D650-E650)&gt;$O$3,AND($O$11=1,B650&lt;$O$12)),1,0)</f>
        <v/>
      </c>
      <c r="I650">
        <f>IF(H650=1,NA(),D650)</f>
        <v/>
      </c>
      <c r="J650">
        <f>IF(AND(ISNUMBER(D650),D650&gt;=$O$4,OR($O$11=0,B650&gt;=$O$12)),1,0)</f>
        <v/>
      </c>
      <c r="K650">
        <f>B650-$O$14</f>
        <v/>
      </c>
    </row>
    <row r="651">
      <c r="A651" t="n">
        <v>1947</v>
      </c>
      <c r="B651" t="n">
        <v>64.90000000000001</v>
      </c>
      <c r="C651" t="inlineStr">
        <is>
          <t>12</t>
        </is>
      </c>
      <c r="D651" t="n">
        <v>0.12</v>
      </c>
      <c r="E651">
        <f>MEDIAN(D631:D671)</f>
        <v/>
      </c>
      <c r="F651">
        <f>E631</f>
        <v/>
      </c>
      <c r="G651">
        <f>F651-E651</f>
        <v/>
      </c>
      <c r="H651">
        <f>IF(OR(NOT(ISNUMBER(D651)),ABS(D651-E651)&gt;$O$3,AND($O$11=1,B651&lt;$O$12)),1,0)</f>
        <v/>
      </c>
      <c r="I651">
        <f>IF(H651=1,NA(),D651)</f>
        <v/>
      </c>
      <c r="J651">
        <f>IF(AND(ISNUMBER(D651),D651&gt;=$O$4,OR($O$11=0,B651&gt;=$O$12)),1,0)</f>
        <v/>
      </c>
      <c r="K651">
        <f>B651-$O$14</f>
        <v/>
      </c>
    </row>
    <row r="652">
      <c r="A652" t="n">
        <v>1950</v>
      </c>
      <c r="B652" t="n">
        <v>65</v>
      </c>
      <c r="C652" t="inlineStr">
        <is>
          <t>?13</t>
        </is>
      </c>
      <c r="E652">
        <f>MEDIAN(D632:D672)</f>
        <v/>
      </c>
      <c r="F652">
        <f>E632</f>
        <v/>
      </c>
      <c r="G652">
        <f>F652-E652</f>
        <v/>
      </c>
      <c r="H652">
        <f>IF(OR(NOT(ISNUMBER(D652)),ABS(D652-E652)&gt;$O$3,AND($O$11=1,B652&lt;$O$12)),1,0)</f>
        <v/>
      </c>
      <c r="I652">
        <f>IF(H652=1,NA(),D652)</f>
        <v/>
      </c>
      <c r="J652">
        <f>IF(AND(ISNUMBER(D652),D652&gt;=$O$4,OR($O$11=0,B652&gt;=$O$12)),1,0)</f>
        <v/>
      </c>
      <c r="K652">
        <f>B652-$O$14</f>
        <v/>
      </c>
    </row>
    <row r="653">
      <c r="A653" t="n">
        <v>1953</v>
      </c>
      <c r="B653" t="n">
        <v>65.09999999999999</v>
      </c>
      <c r="C653" t="inlineStr">
        <is>
          <t>313</t>
        </is>
      </c>
      <c r="D653" t="n">
        <v>3.13</v>
      </c>
      <c r="E653">
        <f>MEDIAN(D633:D673)</f>
        <v/>
      </c>
      <c r="F653">
        <f>E633</f>
        <v/>
      </c>
      <c r="G653">
        <f>F653-E653</f>
        <v/>
      </c>
      <c r="H653">
        <f>IF(OR(NOT(ISNUMBER(D653)),ABS(D653-E653)&gt;$O$3,AND($O$11=1,B653&lt;$O$12)),1,0)</f>
        <v/>
      </c>
      <c r="I653">
        <f>IF(H653=1,NA(),D653)</f>
        <v/>
      </c>
      <c r="J653">
        <f>IF(AND(ISNUMBER(D653),D653&gt;=$O$4,OR($O$11=0,B653&gt;=$O$12)),1,0)</f>
        <v/>
      </c>
      <c r="K653">
        <f>B653-$O$14</f>
        <v/>
      </c>
    </row>
    <row r="654">
      <c r="A654" t="n">
        <v>1956</v>
      </c>
      <c r="B654" t="n">
        <v>65.2</v>
      </c>
      <c r="C654" t="inlineStr">
        <is>
          <t>?13</t>
        </is>
      </c>
      <c r="E654">
        <f>MEDIAN(D634:D674)</f>
        <v/>
      </c>
      <c r="F654">
        <f>E634</f>
        <v/>
      </c>
      <c r="G654">
        <f>F654-E654</f>
        <v/>
      </c>
      <c r="H654">
        <f>IF(OR(NOT(ISNUMBER(D654)),ABS(D654-E654)&gt;$O$3,AND($O$11=1,B654&lt;$O$12)),1,0)</f>
        <v/>
      </c>
      <c r="I654">
        <f>IF(H654=1,NA(),D654)</f>
        <v/>
      </c>
      <c r="J654">
        <f>IF(AND(ISNUMBER(D654),D654&gt;=$O$4,OR($O$11=0,B654&gt;=$O$12)),1,0)</f>
        <v/>
      </c>
      <c r="K654">
        <f>B654-$O$14</f>
        <v/>
      </c>
    </row>
    <row r="655">
      <c r="A655" t="n">
        <v>1959</v>
      </c>
      <c r="B655" t="n">
        <v>65.3</v>
      </c>
      <c r="C655" t="inlineStr">
        <is>
          <t>313</t>
        </is>
      </c>
      <c r="D655" t="n">
        <v>3.13</v>
      </c>
      <c r="E655">
        <f>MEDIAN(D635:D675)</f>
        <v/>
      </c>
      <c r="F655">
        <f>E635</f>
        <v/>
      </c>
      <c r="G655">
        <f>F655-E655</f>
        <v/>
      </c>
      <c r="H655">
        <f>IF(OR(NOT(ISNUMBER(D655)),ABS(D655-E655)&gt;$O$3,AND($O$11=1,B655&lt;$O$12)),1,0)</f>
        <v/>
      </c>
      <c r="I655">
        <f>IF(H655=1,NA(),D655)</f>
        <v/>
      </c>
      <c r="J655">
        <f>IF(AND(ISNUMBER(D655),D655&gt;=$O$4,OR($O$11=0,B655&gt;=$O$12)),1,0)</f>
        <v/>
      </c>
      <c r="K655">
        <f>B655-$O$14</f>
        <v/>
      </c>
    </row>
    <row r="656">
      <c r="A656" t="n">
        <v>1962</v>
      </c>
      <c r="B656" t="n">
        <v>65.40000000000001</v>
      </c>
      <c r="C656" t="inlineStr">
        <is>
          <t>313</t>
        </is>
      </c>
      <c r="D656" t="n">
        <v>3.13</v>
      </c>
      <c r="E656">
        <f>MEDIAN(D636:D676)</f>
        <v/>
      </c>
      <c r="F656">
        <f>E636</f>
        <v/>
      </c>
      <c r="G656">
        <f>F656-E656</f>
        <v/>
      </c>
      <c r="H656">
        <f>IF(OR(NOT(ISNUMBER(D656)),ABS(D656-E656)&gt;$O$3,AND($O$11=1,B656&lt;$O$12)),1,0)</f>
        <v/>
      </c>
      <c r="I656">
        <f>IF(H656=1,NA(),D656)</f>
        <v/>
      </c>
      <c r="J656">
        <f>IF(AND(ISNUMBER(D656),D656&gt;=$O$4,OR($O$11=0,B656&gt;=$O$12)),1,0)</f>
        <v/>
      </c>
      <c r="K656">
        <f>B656-$O$14</f>
        <v/>
      </c>
    </row>
    <row r="657">
      <c r="A657" t="n">
        <v>1965</v>
      </c>
      <c r="B657" t="n">
        <v>65.5</v>
      </c>
      <c r="C657" t="inlineStr">
        <is>
          <t>?13</t>
        </is>
      </c>
      <c r="E657">
        <f>MEDIAN(D637:D677)</f>
        <v/>
      </c>
      <c r="F657">
        <f>E637</f>
        <v/>
      </c>
      <c r="G657">
        <f>F657-E657</f>
        <v/>
      </c>
      <c r="H657">
        <f>IF(OR(NOT(ISNUMBER(D657)),ABS(D657-E657)&gt;$O$3,AND($O$11=1,B657&lt;$O$12)),1,0)</f>
        <v/>
      </c>
      <c r="I657">
        <f>IF(H657=1,NA(),D657)</f>
        <v/>
      </c>
      <c r="J657">
        <f>IF(AND(ISNUMBER(D657),D657&gt;=$O$4,OR($O$11=0,B657&gt;=$O$12)),1,0)</f>
        <v/>
      </c>
      <c r="K657">
        <f>B657-$O$14</f>
        <v/>
      </c>
    </row>
    <row r="658">
      <c r="A658" t="n">
        <v>1968</v>
      </c>
      <c r="B658" t="n">
        <v>65.59999999999999</v>
      </c>
      <c r="C658" t="inlineStr">
        <is>
          <t>313</t>
        </is>
      </c>
      <c r="D658" t="n">
        <v>3.13</v>
      </c>
      <c r="E658">
        <f>MEDIAN(D638:D678)</f>
        <v/>
      </c>
      <c r="F658">
        <f>E638</f>
        <v/>
      </c>
      <c r="G658">
        <f>F658-E658</f>
        <v/>
      </c>
      <c r="H658">
        <f>IF(OR(NOT(ISNUMBER(D658)),ABS(D658-E658)&gt;$O$3,AND($O$11=1,B658&lt;$O$12)),1,0)</f>
        <v/>
      </c>
      <c r="I658">
        <f>IF(H658=1,NA(),D658)</f>
        <v/>
      </c>
      <c r="J658">
        <f>IF(AND(ISNUMBER(D658),D658&gt;=$O$4,OR($O$11=0,B658&gt;=$O$12)),1,0)</f>
        <v/>
      </c>
      <c r="K658">
        <f>B658-$O$14</f>
        <v/>
      </c>
    </row>
    <row r="659">
      <c r="A659" t="n">
        <v>1971</v>
      </c>
      <c r="B659" t="n">
        <v>65.7</v>
      </c>
      <c r="C659" t="inlineStr">
        <is>
          <t>313</t>
        </is>
      </c>
      <c r="D659" t="n">
        <v>3.13</v>
      </c>
      <c r="E659">
        <f>MEDIAN(D639:D679)</f>
        <v/>
      </c>
      <c r="F659">
        <f>E639</f>
        <v/>
      </c>
      <c r="G659">
        <f>F659-E659</f>
        <v/>
      </c>
      <c r="H659">
        <f>IF(OR(NOT(ISNUMBER(D659)),ABS(D659-E659)&gt;$O$3,AND($O$11=1,B659&lt;$O$12)),1,0)</f>
        <v/>
      </c>
      <c r="I659">
        <f>IF(H659=1,NA(),D659)</f>
        <v/>
      </c>
      <c r="J659">
        <f>IF(AND(ISNUMBER(D659),D659&gt;=$O$4,OR($O$11=0,B659&gt;=$O$12)),1,0)</f>
        <v/>
      </c>
      <c r="K659">
        <f>B659-$O$14</f>
        <v/>
      </c>
    </row>
    <row r="660">
      <c r="A660" t="n">
        <v>1974</v>
      </c>
      <c r="B660" t="n">
        <v>65.8</v>
      </c>
      <c r="C660" t="inlineStr">
        <is>
          <t>?13</t>
        </is>
      </c>
      <c r="E660">
        <f>MEDIAN(D640:D680)</f>
        <v/>
      </c>
      <c r="F660">
        <f>E640</f>
        <v/>
      </c>
      <c r="G660">
        <f>F660-E660</f>
        <v/>
      </c>
      <c r="H660">
        <f>IF(OR(NOT(ISNUMBER(D660)),ABS(D660-E660)&gt;$O$3,AND($O$11=1,B660&lt;$O$12)),1,0)</f>
        <v/>
      </c>
      <c r="I660">
        <f>IF(H660=1,NA(),D660)</f>
        <v/>
      </c>
      <c r="J660">
        <f>IF(AND(ISNUMBER(D660),D660&gt;=$O$4,OR($O$11=0,B660&gt;=$O$12)),1,0)</f>
        <v/>
      </c>
      <c r="K660">
        <f>B660-$O$14</f>
        <v/>
      </c>
    </row>
    <row r="661">
      <c r="A661" t="n">
        <v>1977</v>
      </c>
      <c r="B661" t="n">
        <v>65.90000000000001</v>
      </c>
      <c r="C661" t="inlineStr">
        <is>
          <t>313</t>
        </is>
      </c>
      <c r="D661" t="n">
        <v>3.13</v>
      </c>
      <c r="E661">
        <f>MEDIAN(D641:D681)</f>
        <v/>
      </c>
      <c r="F661">
        <f>E641</f>
        <v/>
      </c>
      <c r="G661">
        <f>F661-E661</f>
        <v/>
      </c>
      <c r="H661">
        <f>IF(OR(NOT(ISNUMBER(D661)),ABS(D661-E661)&gt;$O$3,AND($O$11=1,B661&lt;$O$12)),1,0)</f>
        <v/>
      </c>
      <c r="I661">
        <f>IF(H661=1,NA(),D661)</f>
        <v/>
      </c>
      <c r="J661">
        <f>IF(AND(ISNUMBER(D661),D661&gt;=$O$4,OR($O$11=0,B661&gt;=$O$12)),1,0)</f>
        <v/>
      </c>
      <c r="K661">
        <f>B661-$O$14</f>
        <v/>
      </c>
    </row>
    <row r="662">
      <c r="A662" t="n">
        <v>1980</v>
      </c>
      <c r="B662" t="n">
        <v>66</v>
      </c>
      <c r="C662" t="inlineStr">
        <is>
          <t>312</t>
        </is>
      </c>
      <c r="D662" t="n">
        <v>3.12</v>
      </c>
      <c r="E662">
        <f>MEDIAN(D642:D682)</f>
        <v/>
      </c>
      <c r="F662">
        <f>E642</f>
        <v/>
      </c>
      <c r="G662">
        <f>F662-E662</f>
        <v/>
      </c>
      <c r="H662">
        <f>IF(OR(NOT(ISNUMBER(D662)),ABS(D662-E662)&gt;$O$3,AND($O$11=1,B662&lt;$O$12)),1,0)</f>
        <v/>
      </c>
      <c r="I662">
        <f>IF(H662=1,NA(),D662)</f>
        <v/>
      </c>
      <c r="J662">
        <f>IF(AND(ISNUMBER(D662),D662&gt;=$O$4,OR($O$11=0,B662&gt;=$O$12)),1,0)</f>
        <v/>
      </c>
      <c r="K662">
        <f>B662-$O$14</f>
        <v/>
      </c>
    </row>
    <row r="663">
      <c r="A663" t="n">
        <v>1983</v>
      </c>
      <c r="B663" t="n">
        <v>66.09999999999999</v>
      </c>
      <c r="C663" t="inlineStr">
        <is>
          <t>?12</t>
        </is>
      </c>
      <c r="E663">
        <f>MEDIAN(D643:D683)</f>
        <v/>
      </c>
      <c r="F663">
        <f>E643</f>
        <v/>
      </c>
      <c r="G663">
        <f>F663-E663</f>
        <v/>
      </c>
      <c r="H663">
        <f>IF(OR(NOT(ISNUMBER(D663)),ABS(D663-E663)&gt;$O$3,AND($O$11=1,B663&lt;$O$12)),1,0)</f>
        <v/>
      </c>
      <c r="I663">
        <f>IF(H663=1,NA(),D663)</f>
        <v/>
      </c>
      <c r="J663">
        <f>IF(AND(ISNUMBER(D663),D663&gt;=$O$4,OR($O$11=0,B663&gt;=$O$12)),1,0)</f>
        <v/>
      </c>
      <c r="K663">
        <f>B663-$O$14</f>
        <v/>
      </c>
    </row>
    <row r="664">
      <c r="A664" t="n">
        <v>1986</v>
      </c>
      <c r="B664" t="n">
        <v>66.2</v>
      </c>
      <c r="C664" t="inlineStr">
        <is>
          <t>312</t>
        </is>
      </c>
      <c r="D664" t="n">
        <v>3.12</v>
      </c>
      <c r="E664">
        <f>MEDIAN(D644:D684)</f>
        <v/>
      </c>
      <c r="F664">
        <f>E644</f>
        <v/>
      </c>
      <c r="G664">
        <f>F664-E664</f>
        <v/>
      </c>
      <c r="H664">
        <f>IF(OR(NOT(ISNUMBER(D664)),ABS(D664-E664)&gt;$O$3,AND($O$11=1,B664&lt;$O$12)),1,0)</f>
        <v/>
      </c>
      <c r="I664">
        <f>IF(H664=1,NA(),D664)</f>
        <v/>
      </c>
      <c r="J664">
        <f>IF(AND(ISNUMBER(D664),D664&gt;=$O$4,OR($O$11=0,B664&gt;=$O$12)),1,0)</f>
        <v/>
      </c>
      <c r="K664">
        <f>B664-$O$14</f>
        <v/>
      </c>
    </row>
    <row r="665">
      <c r="A665" t="n">
        <v>1989</v>
      </c>
      <c r="B665" t="n">
        <v>66.3</v>
      </c>
      <c r="C665" t="inlineStr">
        <is>
          <t>312</t>
        </is>
      </c>
      <c r="D665" t="n">
        <v>3.12</v>
      </c>
      <c r="E665">
        <f>MEDIAN(D645:D685)</f>
        <v/>
      </c>
      <c r="F665">
        <f>E645</f>
        <v/>
      </c>
      <c r="G665">
        <f>F665-E665</f>
        <v/>
      </c>
      <c r="H665">
        <f>IF(OR(NOT(ISNUMBER(D665)),ABS(D665-E665)&gt;$O$3,AND($O$11=1,B665&lt;$O$12)),1,0)</f>
        <v/>
      </c>
      <c r="I665">
        <f>IF(H665=1,NA(),D665)</f>
        <v/>
      </c>
      <c r="J665">
        <f>IF(AND(ISNUMBER(D665),D665&gt;=$O$4,OR($O$11=0,B665&gt;=$O$12)),1,0)</f>
        <v/>
      </c>
      <c r="K665">
        <f>B665-$O$14</f>
        <v/>
      </c>
    </row>
    <row r="666">
      <c r="A666" t="n">
        <v>1992</v>
      </c>
      <c r="B666" t="n">
        <v>66.40000000000001</v>
      </c>
      <c r="C666" t="inlineStr">
        <is>
          <t>312</t>
        </is>
      </c>
      <c r="D666" t="n">
        <v>3.12</v>
      </c>
      <c r="E666">
        <f>MEDIAN(D646:D686)</f>
        <v/>
      </c>
      <c r="F666">
        <f>E646</f>
        <v/>
      </c>
      <c r="G666">
        <f>F666-E666</f>
        <v/>
      </c>
      <c r="H666">
        <f>IF(OR(NOT(ISNUMBER(D666)),ABS(D666-E666)&gt;$O$3,AND($O$11=1,B666&lt;$O$12)),1,0)</f>
        <v/>
      </c>
      <c r="I666">
        <f>IF(H666=1,NA(),D666)</f>
        <v/>
      </c>
      <c r="J666">
        <f>IF(AND(ISNUMBER(D666),D666&gt;=$O$4,OR($O$11=0,B666&gt;=$O$12)),1,0)</f>
        <v/>
      </c>
      <c r="K666">
        <f>B666-$O$14</f>
        <v/>
      </c>
    </row>
    <row r="667">
      <c r="A667" t="n">
        <v>1995</v>
      </c>
      <c r="B667" t="n">
        <v>66.5</v>
      </c>
      <c r="C667" t="inlineStr">
        <is>
          <t>312</t>
        </is>
      </c>
      <c r="D667" t="n">
        <v>3.12</v>
      </c>
      <c r="E667">
        <f>MEDIAN(D647:D687)</f>
        <v/>
      </c>
      <c r="F667">
        <f>E647</f>
        <v/>
      </c>
      <c r="G667">
        <f>F667-E667</f>
        <v/>
      </c>
      <c r="H667">
        <f>IF(OR(NOT(ISNUMBER(D667)),ABS(D667-E667)&gt;$O$3,AND($O$11=1,B667&lt;$O$12)),1,0)</f>
        <v/>
      </c>
      <c r="I667">
        <f>IF(H667=1,NA(),D667)</f>
        <v/>
      </c>
      <c r="J667">
        <f>IF(AND(ISNUMBER(D667),D667&gt;=$O$4,OR($O$11=0,B667&gt;=$O$12)),1,0)</f>
        <v/>
      </c>
      <c r="K667">
        <f>B667-$O$14</f>
        <v/>
      </c>
    </row>
    <row r="668">
      <c r="A668" t="n">
        <v>1998</v>
      </c>
      <c r="B668" t="n">
        <v>66.59999999999999</v>
      </c>
      <c r="C668" t="inlineStr">
        <is>
          <t>312</t>
        </is>
      </c>
      <c r="D668" t="n">
        <v>3.12</v>
      </c>
      <c r="E668">
        <f>MEDIAN(D648:D688)</f>
        <v/>
      </c>
      <c r="F668">
        <f>E648</f>
        <v/>
      </c>
      <c r="G668">
        <f>F668-E668</f>
        <v/>
      </c>
      <c r="H668">
        <f>IF(OR(NOT(ISNUMBER(D668)),ABS(D668-E668)&gt;$O$3,AND($O$11=1,B668&lt;$O$12)),1,0)</f>
        <v/>
      </c>
      <c r="I668">
        <f>IF(H668=1,NA(),D668)</f>
        <v/>
      </c>
      <c r="J668">
        <f>IF(AND(ISNUMBER(D668),D668&gt;=$O$4,OR($O$11=0,B668&gt;=$O$12)),1,0)</f>
        <v/>
      </c>
      <c r="K668">
        <f>B668-$O$14</f>
        <v/>
      </c>
    </row>
    <row r="669">
      <c r="A669" t="n">
        <v>2001</v>
      </c>
      <c r="B669" t="n">
        <v>66.7</v>
      </c>
      <c r="C669" t="inlineStr">
        <is>
          <t>312</t>
        </is>
      </c>
      <c r="D669" t="n">
        <v>3.12</v>
      </c>
      <c r="E669">
        <f>MEDIAN(D649:D689)</f>
        <v/>
      </c>
      <c r="F669">
        <f>E649</f>
        <v/>
      </c>
      <c r="G669">
        <f>F669-E669</f>
        <v/>
      </c>
      <c r="H669">
        <f>IF(OR(NOT(ISNUMBER(D669)),ABS(D669-E669)&gt;$O$3,AND($O$11=1,B669&lt;$O$12)),1,0)</f>
        <v/>
      </c>
      <c r="I669">
        <f>IF(H669=1,NA(),D669)</f>
        <v/>
      </c>
      <c r="J669">
        <f>IF(AND(ISNUMBER(D669),D669&gt;=$O$4,OR($O$11=0,B669&gt;=$O$12)),1,0)</f>
        <v/>
      </c>
      <c r="K669">
        <f>B669-$O$14</f>
        <v/>
      </c>
    </row>
    <row r="670">
      <c r="A670" t="n">
        <v>2004</v>
      </c>
      <c r="B670" t="n">
        <v>66.8</v>
      </c>
      <c r="C670" t="inlineStr">
        <is>
          <t>12</t>
        </is>
      </c>
      <c r="D670" t="n">
        <v>0.12</v>
      </c>
      <c r="E670">
        <f>MEDIAN(D650:D690)</f>
        <v/>
      </c>
      <c r="F670">
        <f>E650</f>
        <v/>
      </c>
      <c r="G670">
        <f>F670-E670</f>
        <v/>
      </c>
      <c r="H670">
        <f>IF(OR(NOT(ISNUMBER(D670)),ABS(D670-E670)&gt;$O$3,AND($O$11=1,B670&lt;$O$12)),1,0)</f>
        <v/>
      </c>
      <c r="I670">
        <f>IF(H670=1,NA(),D670)</f>
        <v/>
      </c>
      <c r="J670">
        <f>IF(AND(ISNUMBER(D670),D670&gt;=$O$4,OR($O$11=0,B670&gt;=$O$12)),1,0)</f>
        <v/>
      </c>
      <c r="K670">
        <f>B670-$O$14</f>
        <v/>
      </c>
    </row>
    <row r="671">
      <c r="A671" t="n">
        <v>2007</v>
      </c>
      <c r="B671" t="n">
        <v>66.90000000000001</v>
      </c>
      <c r="C671" t="inlineStr">
        <is>
          <t>312</t>
        </is>
      </c>
      <c r="D671" t="n">
        <v>3.12</v>
      </c>
      <c r="E671">
        <f>MEDIAN(D651:D691)</f>
        <v/>
      </c>
      <c r="F671">
        <f>E651</f>
        <v/>
      </c>
      <c r="G671">
        <f>F671-E671</f>
        <v/>
      </c>
      <c r="H671">
        <f>IF(OR(NOT(ISNUMBER(D671)),ABS(D671-E671)&gt;$O$3,AND($O$11=1,B671&lt;$O$12)),1,0)</f>
        <v/>
      </c>
      <c r="I671">
        <f>IF(H671=1,NA(),D671)</f>
        <v/>
      </c>
      <c r="J671">
        <f>IF(AND(ISNUMBER(D671),D671&gt;=$O$4,OR($O$11=0,B671&gt;=$O$12)),1,0)</f>
        <v/>
      </c>
      <c r="K671">
        <f>B671-$O$14</f>
        <v/>
      </c>
    </row>
    <row r="672">
      <c r="A672" t="n">
        <v>2010</v>
      </c>
      <c r="B672" t="n">
        <v>67</v>
      </c>
      <c r="C672" t="inlineStr">
        <is>
          <t>?12</t>
        </is>
      </c>
      <c r="E672">
        <f>MEDIAN(D652:D692)</f>
        <v/>
      </c>
      <c r="F672">
        <f>E652</f>
        <v/>
      </c>
      <c r="G672">
        <f>F672-E672</f>
        <v/>
      </c>
      <c r="H672">
        <f>IF(OR(NOT(ISNUMBER(D672)),ABS(D672-E672)&gt;$O$3,AND($O$11=1,B672&lt;$O$12)),1,0)</f>
        <v/>
      </c>
      <c r="I672">
        <f>IF(H672=1,NA(),D672)</f>
        <v/>
      </c>
      <c r="J672">
        <f>IF(AND(ISNUMBER(D672),D672&gt;=$O$4,OR($O$11=0,B672&gt;=$O$12)),1,0)</f>
        <v/>
      </c>
      <c r="K672">
        <f>B672-$O$14</f>
        <v/>
      </c>
    </row>
    <row r="673">
      <c r="A673" t="n">
        <v>2013</v>
      </c>
      <c r="B673" t="n">
        <v>67.09999999999999</v>
      </c>
      <c r="C673" t="inlineStr">
        <is>
          <t>312</t>
        </is>
      </c>
      <c r="D673" t="n">
        <v>3.12</v>
      </c>
      <c r="E673">
        <f>MEDIAN(D653:D693)</f>
        <v/>
      </c>
      <c r="F673">
        <f>E653</f>
        <v/>
      </c>
      <c r="G673">
        <f>F673-E673</f>
        <v/>
      </c>
      <c r="H673">
        <f>IF(OR(NOT(ISNUMBER(D673)),ABS(D673-E673)&gt;$O$3,AND($O$11=1,B673&lt;$O$12)),1,0)</f>
        <v/>
      </c>
      <c r="I673">
        <f>IF(H673=1,NA(),D673)</f>
        <v/>
      </c>
      <c r="J673">
        <f>IF(AND(ISNUMBER(D673),D673&gt;=$O$4,OR($O$11=0,B673&gt;=$O$12)),1,0)</f>
        <v/>
      </c>
      <c r="K673">
        <f>B673-$O$14</f>
        <v/>
      </c>
    </row>
    <row r="674">
      <c r="A674" t="n">
        <v>2016</v>
      </c>
      <c r="B674" t="n">
        <v>67.2</v>
      </c>
      <c r="C674" t="inlineStr">
        <is>
          <t>312</t>
        </is>
      </c>
      <c r="D674" t="n">
        <v>3.12</v>
      </c>
      <c r="E674">
        <f>MEDIAN(D654:D694)</f>
        <v/>
      </c>
      <c r="F674">
        <f>E654</f>
        <v/>
      </c>
      <c r="G674">
        <f>F674-E674</f>
        <v/>
      </c>
      <c r="H674">
        <f>IF(OR(NOT(ISNUMBER(D674)),ABS(D674-E674)&gt;$O$3,AND($O$11=1,B674&lt;$O$12)),1,0)</f>
        <v/>
      </c>
      <c r="I674">
        <f>IF(H674=1,NA(),D674)</f>
        <v/>
      </c>
      <c r="J674">
        <f>IF(AND(ISNUMBER(D674),D674&gt;=$O$4,OR($O$11=0,B674&gt;=$O$12)),1,0)</f>
        <v/>
      </c>
      <c r="K674">
        <f>B674-$O$14</f>
        <v/>
      </c>
    </row>
    <row r="675">
      <c r="A675" t="n">
        <v>2019</v>
      </c>
      <c r="B675" t="n">
        <v>67.3</v>
      </c>
      <c r="C675" t="inlineStr">
        <is>
          <t>312</t>
        </is>
      </c>
      <c r="D675" t="n">
        <v>3.12</v>
      </c>
      <c r="E675">
        <f>MEDIAN(D655:D695)</f>
        <v/>
      </c>
      <c r="F675">
        <f>E655</f>
        <v/>
      </c>
      <c r="G675">
        <f>F675-E675</f>
        <v/>
      </c>
      <c r="H675">
        <f>IF(OR(NOT(ISNUMBER(D675)),ABS(D675-E675)&gt;$O$3,AND($O$11=1,B675&lt;$O$12)),1,0)</f>
        <v/>
      </c>
      <c r="I675">
        <f>IF(H675=1,NA(),D675)</f>
        <v/>
      </c>
      <c r="J675">
        <f>IF(AND(ISNUMBER(D675),D675&gt;=$O$4,OR($O$11=0,B675&gt;=$O$12)),1,0)</f>
        <v/>
      </c>
      <c r="K675">
        <f>B675-$O$14</f>
        <v/>
      </c>
    </row>
    <row r="676">
      <c r="A676" t="n">
        <v>2022</v>
      </c>
      <c r="B676" t="n">
        <v>67.40000000000001</v>
      </c>
      <c r="C676" t="inlineStr">
        <is>
          <t>312</t>
        </is>
      </c>
      <c r="D676" t="n">
        <v>3.12</v>
      </c>
      <c r="E676">
        <f>MEDIAN(D656:D696)</f>
        <v/>
      </c>
      <c r="F676">
        <f>E656</f>
        <v/>
      </c>
      <c r="G676">
        <f>F676-E676</f>
        <v/>
      </c>
      <c r="H676">
        <f>IF(OR(NOT(ISNUMBER(D676)),ABS(D676-E676)&gt;$O$3,AND($O$11=1,B676&lt;$O$12)),1,0)</f>
        <v/>
      </c>
      <c r="I676">
        <f>IF(H676=1,NA(),D676)</f>
        <v/>
      </c>
      <c r="J676">
        <f>IF(AND(ISNUMBER(D676),D676&gt;=$O$4,OR($O$11=0,B676&gt;=$O$12)),1,0)</f>
        <v/>
      </c>
      <c r="K676">
        <f>B676-$O$14</f>
        <v/>
      </c>
    </row>
    <row r="677">
      <c r="A677" t="n">
        <v>2025</v>
      </c>
      <c r="B677" t="n">
        <v>67.5</v>
      </c>
      <c r="C677" t="inlineStr">
        <is>
          <t>12</t>
        </is>
      </c>
      <c r="D677" t="n">
        <v>0.12</v>
      </c>
      <c r="E677">
        <f>MEDIAN(D657:D697)</f>
        <v/>
      </c>
      <c r="F677">
        <f>E657</f>
        <v/>
      </c>
      <c r="G677">
        <f>F677-E677</f>
        <v/>
      </c>
      <c r="H677">
        <f>IF(OR(NOT(ISNUMBER(D677)),ABS(D677-E677)&gt;$O$3,AND($O$11=1,B677&lt;$O$12)),1,0)</f>
        <v/>
      </c>
      <c r="I677">
        <f>IF(H677=1,NA(),D677)</f>
        <v/>
      </c>
      <c r="J677">
        <f>IF(AND(ISNUMBER(D677),D677&gt;=$O$4,OR($O$11=0,B677&gt;=$O$12)),1,0)</f>
        <v/>
      </c>
      <c r="K677">
        <f>B677-$O$14</f>
        <v/>
      </c>
    </row>
    <row r="678">
      <c r="A678" t="n">
        <v>2028</v>
      </c>
      <c r="B678" t="n">
        <v>67.59999999999999</v>
      </c>
      <c r="C678" t="inlineStr">
        <is>
          <t>314</t>
        </is>
      </c>
      <c r="D678" t="n">
        <v>3.14</v>
      </c>
      <c r="E678">
        <f>MEDIAN(D658:D698)</f>
        <v/>
      </c>
      <c r="F678">
        <f>E658</f>
        <v/>
      </c>
      <c r="G678">
        <f>F678-E678</f>
        <v/>
      </c>
      <c r="H678">
        <f>IF(OR(NOT(ISNUMBER(D678)),ABS(D678-E678)&gt;$O$3,AND($O$11=1,B678&lt;$O$12)),1,0)</f>
        <v/>
      </c>
      <c r="I678">
        <f>IF(H678=1,NA(),D678)</f>
        <v/>
      </c>
      <c r="J678">
        <f>IF(AND(ISNUMBER(D678),D678&gt;=$O$4,OR($O$11=0,B678&gt;=$O$12)),1,0)</f>
        <v/>
      </c>
      <c r="K678">
        <f>B678-$O$14</f>
        <v/>
      </c>
    </row>
    <row r="679">
      <c r="A679" t="n">
        <v>2031</v>
      </c>
      <c r="B679" t="n">
        <v>67.7</v>
      </c>
      <c r="C679" t="inlineStr">
        <is>
          <t>314</t>
        </is>
      </c>
      <c r="D679" t="n">
        <v>3.14</v>
      </c>
      <c r="E679">
        <f>MEDIAN(D659:D699)</f>
        <v/>
      </c>
      <c r="F679">
        <f>E659</f>
        <v/>
      </c>
      <c r="G679">
        <f>F679-E679</f>
        <v/>
      </c>
      <c r="H679">
        <f>IF(OR(NOT(ISNUMBER(D679)),ABS(D679-E679)&gt;$O$3,AND($O$11=1,B679&lt;$O$12)),1,0)</f>
        <v/>
      </c>
      <c r="I679">
        <f>IF(H679=1,NA(),D679)</f>
        <v/>
      </c>
      <c r="J679">
        <f>IF(AND(ISNUMBER(D679),D679&gt;=$O$4,OR($O$11=0,B679&gt;=$O$12)),1,0)</f>
        <v/>
      </c>
      <c r="K679">
        <f>B679-$O$14</f>
        <v/>
      </c>
    </row>
    <row r="680">
      <c r="A680" t="n">
        <v>2034</v>
      </c>
      <c r="B680" t="n">
        <v>67.8</v>
      </c>
      <c r="C680" t="inlineStr">
        <is>
          <t>?11</t>
        </is>
      </c>
      <c r="E680">
        <f>MEDIAN(D660:D700)</f>
        <v/>
      </c>
      <c r="F680">
        <f>E660</f>
        <v/>
      </c>
      <c r="G680">
        <f>F680-E680</f>
        <v/>
      </c>
      <c r="H680">
        <f>IF(OR(NOT(ISNUMBER(D680)),ABS(D680-E680)&gt;$O$3,AND($O$11=1,B680&lt;$O$12)),1,0)</f>
        <v/>
      </c>
      <c r="I680">
        <f>IF(H680=1,NA(),D680)</f>
        <v/>
      </c>
      <c r="J680">
        <f>IF(AND(ISNUMBER(D680),D680&gt;=$O$4,OR($O$11=0,B680&gt;=$O$12)),1,0)</f>
        <v/>
      </c>
      <c r="K680">
        <f>B680-$O$14</f>
        <v/>
      </c>
    </row>
    <row r="681">
      <c r="A681" t="n">
        <v>2037</v>
      </c>
      <c r="B681" t="n">
        <v>67.90000000000001</v>
      </c>
      <c r="C681" t="inlineStr">
        <is>
          <t>315</t>
        </is>
      </c>
      <c r="D681" t="n">
        <v>3.15</v>
      </c>
      <c r="E681">
        <f>MEDIAN(D661:D701)</f>
        <v/>
      </c>
      <c r="F681">
        <f>E661</f>
        <v/>
      </c>
      <c r="G681">
        <f>F681-E681</f>
        <v/>
      </c>
      <c r="H681">
        <f>IF(OR(NOT(ISNUMBER(D681)),ABS(D681-E681)&gt;$O$3,AND($O$11=1,B681&lt;$O$12)),1,0)</f>
        <v/>
      </c>
      <c r="I681">
        <f>IF(H681=1,NA(),D681)</f>
        <v/>
      </c>
      <c r="J681">
        <f>IF(AND(ISNUMBER(D681),D681&gt;=$O$4,OR($O$11=0,B681&gt;=$O$12)),1,0)</f>
        <v/>
      </c>
      <c r="K681">
        <f>B681-$O$14</f>
        <v/>
      </c>
    </row>
    <row r="682">
      <c r="A682" t="n">
        <v>2040</v>
      </c>
      <c r="B682" t="n">
        <v>68</v>
      </c>
      <c r="C682" t="inlineStr">
        <is>
          <t>312</t>
        </is>
      </c>
      <c r="D682" t="n">
        <v>3.12</v>
      </c>
      <c r="E682">
        <f>MEDIAN(D662:D702)</f>
        <v/>
      </c>
      <c r="F682">
        <f>E662</f>
        <v/>
      </c>
      <c r="G682">
        <f>F682-E682</f>
        <v/>
      </c>
      <c r="H682">
        <f>IF(OR(NOT(ISNUMBER(D682)),ABS(D682-E682)&gt;$O$3,AND($O$11=1,B682&lt;$O$12)),1,0)</f>
        <v/>
      </c>
      <c r="I682">
        <f>IF(H682=1,NA(),D682)</f>
        <v/>
      </c>
      <c r="J682">
        <f>IF(AND(ISNUMBER(D682),D682&gt;=$O$4,OR($O$11=0,B682&gt;=$O$12)),1,0)</f>
        <v/>
      </c>
      <c r="K682">
        <f>B682-$O$14</f>
        <v/>
      </c>
    </row>
    <row r="683">
      <c r="A683" t="n">
        <v>2043</v>
      </c>
      <c r="B683" t="n">
        <v>68.09999999999999</v>
      </c>
      <c r="C683" t="inlineStr">
        <is>
          <t>312</t>
        </is>
      </c>
      <c r="D683" t="n">
        <v>3.12</v>
      </c>
      <c r="E683">
        <f>MEDIAN(D663:D703)</f>
        <v/>
      </c>
      <c r="F683">
        <f>E663</f>
        <v/>
      </c>
      <c r="G683">
        <f>F683-E683</f>
        <v/>
      </c>
      <c r="H683">
        <f>IF(OR(NOT(ISNUMBER(D683)),ABS(D683-E683)&gt;$O$3,AND($O$11=1,B683&lt;$O$12)),1,0)</f>
        <v/>
      </c>
      <c r="I683">
        <f>IF(H683=1,NA(),D683)</f>
        <v/>
      </c>
      <c r="J683">
        <f>IF(AND(ISNUMBER(D683),D683&gt;=$O$4,OR($O$11=0,B683&gt;=$O$12)),1,0)</f>
        <v/>
      </c>
      <c r="K683">
        <f>B683-$O$14</f>
        <v/>
      </c>
    </row>
    <row r="684">
      <c r="A684" t="n">
        <v>2046</v>
      </c>
      <c r="B684" t="n">
        <v>68.2</v>
      </c>
      <c r="C684" t="inlineStr">
        <is>
          <t>312</t>
        </is>
      </c>
      <c r="D684" t="n">
        <v>3.12</v>
      </c>
      <c r="E684">
        <f>MEDIAN(D664:D704)</f>
        <v/>
      </c>
      <c r="F684">
        <f>E664</f>
        <v/>
      </c>
      <c r="G684">
        <f>F684-E684</f>
        <v/>
      </c>
      <c r="H684">
        <f>IF(OR(NOT(ISNUMBER(D684)),ABS(D684-E684)&gt;$O$3,AND($O$11=1,B684&lt;$O$12)),1,0)</f>
        <v/>
      </c>
      <c r="I684">
        <f>IF(H684=1,NA(),D684)</f>
        <v/>
      </c>
      <c r="J684">
        <f>IF(AND(ISNUMBER(D684),D684&gt;=$O$4,OR($O$11=0,B684&gt;=$O$12)),1,0)</f>
        <v/>
      </c>
      <c r="K684">
        <f>B684-$O$14</f>
        <v/>
      </c>
    </row>
    <row r="685">
      <c r="A685" t="n">
        <v>2049</v>
      </c>
      <c r="B685" t="n">
        <v>68.3</v>
      </c>
      <c r="C685" t="inlineStr">
        <is>
          <t>?12</t>
        </is>
      </c>
      <c r="E685">
        <f>MEDIAN(D665:D705)</f>
        <v/>
      </c>
      <c r="F685">
        <f>E665</f>
        <v/>
      </c>
      <c r="G685">
        <f>F685-E685</f>
        <v/>
      </c>
      <c r="H685">
        <f>IF(OR(NOT(ISNUMBER(D685)),ABS(D685-E685)&gt;$O$3,AND($O$11=1,B685&lt;$O$12)),1,0)</f>
        <v/>
      </c>
      <c r="I685">
        <f>IF(H685=1,NA(),D685)</f>
        <v/>
      </c>
      <c r="J685">
        <f>IF(AND(ISNUMBER(D685),D685&gt;=$O$4,OR($O$11=0,B685&gt;=$O$12)),1,0)</f>
        <v/>
      </c>
      <c r="K685">
        <f>B685-$O$14</f>
        <v/>
      </c>
    </row>
    <row r="686">
      <c r="A686" t="n">
        <v>2052</v>
      </c>
      <c r="B686" t="n">
        <v>68.40000000000001</v>
      </c>
      <c r="C686" t="inlineStr">
        <is>
          <t>312</t>
        </is>
      </c>
      <c r="D686" t="n">
        <v>3.12</v>
      </c>
      <c r="E686">
        <f>MEDIAN(D666:D706)</f>
        <v/>
      </c>
      <c r="F686">
        <f>E666</f>
        <v/>
      </c>
      <c r="G686">
        <f>F686-E686</f>
        <v/>
      </c>
      <c r="H686">
        <f>IF(OR(NOT(ISNUMBER(D686)),ABS(D686-E686)&gt;$O$3,AND($O$11=1,B686&lt;$O$12)),1,0)</f>
        <v/>
      </c>
      <c r="I686">
        <f>IF(H686=1,NA(),D686)</f>
        <v/>
      </c>
      <c r="J686">
        <f>IF(AND(ISNUMBER(D686),D686&gt;=$O$4,OR($O$11=0,B686&gt;=$O$12)),1,0)</f>
        <v/>
      </c>
      <c r="K686">
        <f>B686-$O$14</f>
        <v/>
      </c>
    </row>
    <row r="687">
      <c r="A687" t="n">
        <v>2055</v>
      </c>
      <c r="B687" t="n">
        <v>68.5</v>
      </c>
      <c r="C687" t="inlineStr">
        <is>
          <t>?12</t>
        </is>
      </c>
      <c r="E687">
        <f>MEDIAN(D667:D707)</f>
        <v/>
      </c>
      <c r="F687">
        <f>E667</f>
        <v/>
      </c>
      <c r="G687">
        <f>F687-E687</f>
        <v/>
      </c>
      <c r="H687">
        <f>IF(OR(NOT(ISNUMBER(D687)),ABS(D687-E687)&gt;$O$3,AND($O$11=1,B687&lt;$O$12)),1,0)</f>
        <v/>
      </c>
      <c r="I687">
        <f>IF(H687=1,NA(),D687)</f>
        <v/>
      </c>
      <c r="J687">
        <f>IF(AND(ISNUMBER(D687),D687&gt;=$O$4,OR($O$11=0,B687&gt;=$O$12)),1,0)</f>
        <v/>
      </c>
      <c r="K687">
        <f>B687-$O$14</f>
        <v/>
      </c>
    </row>
    <row r="688">
      <c r="A688" t="n">
        <v>2058</v>
      </c>
      <c r="B688" t="n">
        <v>68.59999999999999</v>
      </c>
      <c r="C688" t="inlineStr">
        <is>
          <t>312</t>
        </is>
      </c>
      <c r="D688" t="n">
        <v>3.12</v>
      </c>
      <c r="E688">
        <f>MEDIAN(D668:D708)</f>
        <v/>
      </c>
      <c r="F688">
        <f>E668</f>
        <v/>
      </c>
      <c r="G688">
        <f>F688-E688</f>
        <v/>
      </c>
      <c r="H688">
        <f>IF(OR(NOT(ISNUMBER(D688)),ABS(D688-E688)&gt;$O$3,AND($O$11=1,B688&lt;$O$12)),1,0)</f>
        <v/>
      </c>
      <c r="I688">
        <f>IF(H688=1,NA(),D688)</f>
        <v/>
      </c>
      <c r="J688">
        <f>IF(AND(ISNUMBER(D688),D688&gt;=$O$4,OR($O$11=0,B688&gt;=$O$12)),1,0)</f>
        <v/>
      </c>
      <c r="K688">
        <f>B688-$O$14</f>
        <v/>
      </c>
    </row>
    <row r="689">
      <c r="A689" t="n">
        <v>2061</v>
      </c>
      <c r="B689" t="n">
        <v>68.7</v>
      </c>
      <c r="C689" t="inlineStr">
        <is>
          <t>312</t>
        </is>
      </c>
      <c r="D689" t="n">
        <v>3.12</v>
      </c>
      <c r="E689">
        <f>MEDIAN(D669:D709)</f>
        <v/>
      </c>
      <c r="F689">
        <f>E669</f>
        <v/>
      </c>
      <c r="G689">
        <f>F689-E689</f>
        <v/>
      </c>
      <c r="H689">
        <f>IF(OR(NOT(ISNUMBER(D689)),ABS(D689-E689)&gt;$O$3,AND($O$11=1,B689&lt;$O$12)),1,0)</f>
        <v/>
      </c>
      <c r="I689">
        <f>IF(H689=1,NA(),D689)</f>
        <v/>
      </c>
      <c r="J689">
        <f>IF(AND(ISNUMBER(D689),D689&gt;=$O$4,OR($O$11=0,B689&gt;=$O$12)),1,0)</f>
        <v/>
      </c>
      <c r="K689">
        <f>B689-$O$14</f>
        <v/>
      </c>
    </row>
    <row r="690">
      <c r="A690" t="n">
        <v>2064</v>
      </c>
      <c r="B690" t="n">
        <v>68.8</v>
      </c>
      <c r="C690" t="inlineStr">
        <is>
          <t>?12</t>
        </is>
      </c>
      <c r="E690">
        <f>MEDIAN(D670:D710)</f>
        <v/>
      </c>
      <c r="F690">
        <f>E670</f>
        <v/>
      </c>
      <c r="G690">
        <f>F690-E690</f>
        <v/>
      </c>
      <c r="H690">
        <f>IF(OR(NOT(ISNUMBER(D690)),ABS(D690-E690)&gt;$O$3,AND($O$11=1,B690&lt;$O$12)),1,0)</f>
        <v/>
      </c>
      <c r="I690">
        <f>IF(H690=1,NA(),D690)</f>
        <v/>
      </c>
      <c r="J690">
        <f>IF(AND(ISNUMBER(D690),D690&gt;=$O$4,OR($O$11=0,B690&gt;=$O$12)),1,0)</f>
        <v/>
      </c>
      <c r="K690">
        <f>B690-$O$14</f>
        <v/>
      </c>
    </row>
    <row r="691">
      <c r="A691" t="n">
        <v>2067</v>
      </c>
      <c r="B691" t="n">
        <v>68.90000000000001</v>
      </c>
      <c r="C691" t="inlineStr">
        <is>
          <t>315</t>
        </is>
      </c>
      <c r="D691" t="n">
        <v>3.15</v>
      </c>
      <c r="E691">
        <f>MEDIAN(D671:D711)</f>
        <v/>
      </c>
      <c r="F691">
        <f>E671</f>
        <v/>
      </c>
      <c r="G691">
        <f>F691-E691</f>
        <v/>
      </c>
      <c r="H691">
        <f>IF(OR(NOT(ISNUMBER(D691)),ABS(D691-E691)&gt;$O$3,AND($O$11=1,B691&lt;$O$12)),1,0)</f>
        <v/>
      </c>
      <c r="I691">
        <f>IF(H691=1,NA(),D691)</f>
        <v/>
      </c>
      <c r="J691">
        <f>IF(AND(ISNUMBER(D691),D691&gt;=$O$4,OR($O$11=0,B691&gt;=$O$12)),1,0)</f>
        <v/>
      </c>
      <c r="K691">
        <f>B691-$O$14</f>
        <v/>
      </c>
    </row>
    <row r="692">
      <c r="A692" t="n">
        <v>2070</v>
      </c>
      <c r="B692" t="n">
        <v>69</v>
      </c>
      <c r="C692" t="inlineStr">
        <is>
          <t>311</t>
        </is>
      </c>
      <c r="D692" t="n">
        <v>3.11</v>
      </c>
      <c r="E692">
        <f>MEDIAN(D672:D712)</f>
        <v/>
      </c>
      <c r="F692">
        <f>E672</f>
        <v/>
      </c>
      <c r="G692">
        <f>F692-E692</f>
        <v/>
      </c>
      <c r="H692">
        <f>IF(OR(NOT(ISNUMBER(D692)),ABS(D692-E692)&gt;$O$3,AND($O$11=1,B692&lt;$O$12)),1,0)</f>
        <v/>
      </c>
      <c r="I692">
        <f>IF(H692=1,NA(),D692)</f>
        <v/>
      </c>
      <c r="J692">
        <f>IF(AND(ISNUMBER(D692),D692&gt;=$O$4,OR($O$11=0,B692&gt;=$O$12)),1,0)</f>
        <v/>
      </c>
      <c r="K692">
        <f>B692-$O$14</f>
        <v/>
      </c>
    </row>
    <row r="693">
      <c r="A693" t="n">
        <v>2073</v>
      </c>
      <c r="B693" t="n">
        <v>69.09999999999999</v>
      </c>
      <c r="C693" t="inlineStr">
        <is>
          <t>?11</t>
        </is>
      </c>
      <c r="E693">
        <f>MEDIAN(D673:D713)</f>
        <v/>
      </c>
      <c r="F693">
        <f>E673</f>
        <v/>
      </c>
      <c r="G693">
        <f>F693-E693</f>
        <v/>
      </c>
      <c r="H693">
        <f>IF(OR(NOT(ISNUMBER(D693)),ABS(D693-E693)&gt;$O$3,AND($O$11=1,B693&lt;$O$12)),1,0)</f>
        <v/>
      </c>
      <c r="I693">
        <f>IF(H693=1,NA(),D693)</f>
        <v/>
      </c>
      <c r="J693">
        <f>IF(AND(ISNUMBER(D693),D693&gt;=$O$4,OR($O$11=0,B693&gt;=$O$12)),1,0)</f>
        <v/>
      </c>
      <c r="K693">
        <f>B693-$O$14</f>
        <v/>
      </c>
    </row>
    <row r="694">
      <c r="A694" t="n">
        <v>2076</v>
      </c>
      <c r="B694" t="n">
        <v>69.2</v>
      </c>
      <c r="C694" t="inlineStr">
        <is>
          <t>314</t>
        </is>
      </c>
      <c r="D694" t="n">
        <v>3.14</v>
      </c>
      <c r="E694">
        <f>MEDIAN(D674:D714)</f>
        <v/>
      </c>
      <c r="F694">
        <f>E674</f>
        <v/>
      </c>
      <c r="G694">
        <f>F694-E694</f>
        <v/>
      </c>
      <c r="H694">
        <f>IF(OR(NOT(ISNUMBER(D694)),ABS(D694-E694)&gt;$O$3,AND($O$11=1,B694&lt;$O$12)),1,0)</f>
        <v/>
      </c>
      <c r="I694">
        <f>IF(H694=1,NA(),D694)</f>
        <v/>
      </c>
      <c r="J694">
        <f>IF(AND(ISNUMBER(D694),D694&gt;=$O$4,OR($O$11=0,B694&gt;=$O$12)),1,0)</f>
        <v/>
      </c>
      <c r="K694">
        <f>B694-$O$14</f>
        <v/>
      </c>
    </row>
    <row r="695">
      <c r="A695" t="n">
        <v>2079</v>
      </c>
      <c r="B695" t="n">
        <v>69.3</v>
      </c>
      <c r="C695" t="inlineStr">
        <is>
          <t>311</t>
        </is>
      </c>
      <c r="D695" t="n">
        <v>3.11</v>
      </c>
      <c r="E695">
        <f>MEDIAN(D675:D715)</f>
        <v/>
      </c>
      <c r="F695">
        <f>E675</f>
        <v/>
      </c>
      <c r="G695">
        <f>F695-E695</f>
        <v/>
      </c>
      <c r="H695">
        <f>IF(OR(NOT(ISNUMBER(D695)),ABS(D695-E695)&gt;$O$3,AND($O$11=1,B695&lt;$O$12)),1,0)</f>
        <v/>
      </c>
      <c r="I695">
        <f>IF(H695=1,NA(),D695)</f>
        <v/>
      </c>
      <c r="J695">
        <f>IF(AND(ISNUMBER(D695),D695&gt;=$O$4,OR($O$11=0,B695&gt;=$O$12)),1,0)</f>
        <v/>
      </c>
      <c r="K695">
        <f>B695-$O$14</f>
        <v/>
      </c>
    </row>
    <row r="696">
      <c r="A696" t="n">
        <v>2082</v>
      </c>
      <c r="B696" t="n">
        <v>69.40000000000001</v>
      </c>
      <c r="C696" t="inlineStr">
        <is>
          <t>11</t>
        </is>
      </c>
      <c r="D696" t="n">
        <v>0.11</v>
      </c>
      <c r="E696">
        <f>MEDIAN(D676:D716)</f>
        <v/>
      </c>
      <c r="F696">
        <f>E676</f>
        <v/>
      </c>
      <c r="G696">
        <f>F696-E696</f>
        <v/>
      </c>
      <c r="H696">
        <f>IF(OR(NOT(ISNUMBER(D696)),ABS(D696-E696)&gt;$O$3,AND($O$11=1,B696&lt;$O$12)),1,0)</f>
        <v/>
      </c>
      <c r="I696">
        <f>IF(H696=1,NA(),D696)</f>
        <v/>
      </c>
      <c r="J696">
        <f>IF(AND(ISNUMBER(D696),D696&gt;=$O$4,OR($O$11=0,B696&gt;=$O$12)),1,0)</f>
        <v/>
      </c>
      <c r="K696">
        <f>B696-$O$14</f>
        <v/>
      </c>
    </row>
    <row r="697">
      <c r="A697" t="n">
        <v>2085</v>
      </c>
      <c r="B697" t="n">
        <v>69.5</v>
      </c>
      <c r="C697" t="inlineStr">
        <is>
          <t>?15</t>
        </is>
      </c>
      <c r="E697">
        <f>MEDIAN(D677:D717)</f>
        <v/>
      </c>
      <c r="F697">
        <f>E677</f>
        <v/>
      </c>
      <c r="G697">
        <f>F697-E697</f>
        <v/>
      </c>
      <c r="H697">
        <f>IF(OR(NOT(ISNUMBER(D697)),ABS(D697-E697)&gt;$O$3,AND($O$11=1,B697&lt;$O$12)),1,0)</f>
        <v/>
      </c>
      <c r="I697">
        <f>IF(H697=1,NA(),D697)</f>
        <v/>
      </c>
      <c r="J697">
        <f>IF(AND(ISNUMBER(D697),D697&gt;=$O$4,OR($O$11=0,B697&gt;=$O$12)),1,0)</f>
        <v/>
      </c>
      <c r="K697">
        <f>B697-$O$14</f>
        <v/>
      </c>
    </row>
    <row r="698">
      <c r="A698" t="n">
        <v>2088</v>
      </c>
      <c r="B698" t="n">
        <v>69.59999999999999</v>
      </c>
      <c r="C698" t="inlineStr">
        <is>
          <t>?15</t>
        </is>
      </c>
      <c r="E698">
        <f>MEDIAN(D678:D718)</f>
        <v/>
      </c>
      <c r="F698">
        <f>E678</f>
        <v/>
      </c>
      <c r="G698">
        <f>F698-E698</f>
        <v/>
      </c>
      <c r="H698">
        <f>IF(OR(NOT(ISNUMBER(D698)),ABS(D698-E698)&gt;$O$3,AND($O$11=1,B698&lt;$O$12)),1,0)</f>
        <v/>
      </c>
      <c r="I698">
        <f>IF(H698=1,NA(),D698)</f>
        <v/>
      </c>
      <c r="J698">
        <f>IF(AND(ISNUMBER(D698),D698&gt;=$O$4,OR($O$11=0,B698&gt;=$O$12)),1,0)</f>
        <v/>
      </c>
      <c r="K698">
        <f>B698-$O$14</f>
        <v/>
      </c>
    </row>
    <row r="699">
      <c r="A699" t="n">
        <v>2091</v>
      </c>
      <c r="B699" t="n">
        <v>69.7</v>
      </c>
      <c r="C699" t="inlineStr">
        <is>
          <t>311</t>
        </is>
      </c>
      <c r="D699" t="n">
        <v>3.11</v>
      </c>
      <c r="E699">
        <f>MEDIAN(D679:D719)</f>
        <v/>
      </c>
      <c r="F699">
        <f>E679</f>
        <v/>
      </c>
      <c r="G699">
        <f>F699-E699</f>
        <v/>
      </c>
      <c r="H699">
        <f>IF(OR(NOT(ISNUMBER(D699)),ABS(D699-E699)&gt;$O$3,AND($O$11=1,B699&lt;$O$12)),1,0)</f>
        <v/>
      </c>
      <c r="I699">
        <f>IF(H699=1,NA(),D699)</f>
        <v/>
      </c>
      <c r="J699">
        <f>IF(AND(ISNUMBER(D699),D699&gt;=$O$4,OR($O$11=0,B699&gt;=$O$12)),1,0)</f>
        <v/>
      </c>
      <c r="K699">
        <f>B699-$O$14</f>
        <v/>
      </c>
    </row>
    <row r="700">
      <c r="A700" t="n">
        <v>2094</v>
      </c>
      <c r="B700" t="n">
        <v>69.8</v>
      </c>
      <c r="C700" t="inlineStr">
        <is>
          <t>315</t>
        </is>
      </c>
      <c r="D700" t="n">
        <v>3.15</v>
      </c>
      <c r="E700">
        <f>MEDIAN(D680:D720)</f>
        <v/>
      </c>
      <c r="F700">
        <f>E680</f>
        <v/>
      </c>
      <c r="G700">
        <f>F700-E700</f>
        <v/>
      </c>
      <c r="H700">
        <f>IF(OR(NOT(ISNUMBER(D700)),ABS(D700-E700)&gt;$O$3,AND($O$11=1,B700&lt;$O$12)),1,0)</f>
        <v/>
      </c>
      <c r="I700">
        <f>IF(H700=1,NA(),D700)</f>
        <v/>
      </c>
      <c r="J700">
        <f>IF(AND(ISNUMBER(D700),D700&gt;=$O$4,OR($O$11=0,B700&gt;=$O$12)),1,0)</f>
        <v/>
      </c>
      <c r="K700">
        <f>B700-$O$14</f>
        <v/>
      </c>
    </row>
    <row r="701">
      <c r="A701" t="n">
        <v>2097</v>
      </c>
      <c r="B701" t="n">
        <v>69.90000000000001</v>
      </c>
      <c r="C701" t="inlineStr">
        <is>
          <t>311</t>
        </is>
      </c>
      <c r="D701" t="n">
        <v>3.11</v>
      </c>
      <c r="E701">
        <f>MEDIAN(D681:D721)</f>
        <v/>
      </c>
      <c r="F701">
        <f>E681</f>
        <v/>
      </c>
      <c r="G701">
        <f>F701-E701</f>
        <v/>
      </c>
      <c r="H701">
        <f>IF(OR(NOT(ISNUMBER(D701)),ABS(D701-E701)&gt;$O$3,AND($O$11=1,B701&lt;$O$12)),1,0)</f>
        <v/>
      </c>
      <c r="I701">
        <f>IF(H701=1,NA(),D701)</f>
        <v/>
      </c>
      <c r="J701">
        <f>IF(AND(ISNUMBER(D701),D701&gt;=$O$4,OR($O$11=0,B701&gt;=$O$12)),1,0)</f>
        <v/>
      </c>
      <c r="K701">
        <f>B701-$O$14</f>
        <v/>
      </c>
    </row>
    <row r="702">
      <c r="A702" t="n">
        <v>2100</v>
      </c>
      <c r="B702" t="n">
        <v>70</v>
      </c>
      <c r="C702" t="inlineStr">
        <is>
          <t>315</t>
        </is>
      </c>
      <c r="D702" t="n">
        <v>3.15</v>
      </c>
      <c r="E702">
        <f>MEDIAN(D682:D722)</f>
        <v/>
      </c>
      <c r="F702">
        <f>E682</f>
        <v/>
      </c>
      <c r="G702">
        <f>F702-E702</f>
        <v/>
      </c>
      <c r="H702">
        <f>IF(OR(NOT(ISNUMBER(D702)),ABS(D702-E702)&gt;$O$3,AND($O$11=1,B702&lt;$O$12)),1,0)</f>
        <v/>
      </c>
      <c r="I702">
        <f>IF(H702=1,NA(),D702)</f>
        <v/>
      </c>
      <c r="J702">
        <f>IF(AND(ISNUMBER(D702),D702&gt;=$O$4,OR($O$11=0,B702&gt;=$O$12)),1,0)</f>
        <v/>
      </c>
      <c r="K702">
        <f>B702-$O$14</f>
        <v/>
      </c>
    </row>
    <row r="703">
      <c r="A703" t="n">
        <v>2103</v>
      </c>
      <c r="B703" t="n">
        <v>70.09999999999999</v>
      </c>
      <c r="C703" t="inlineStr">
        <is>
          <t>314</t>
        </is>
      </c>
      <c r="D703" t="n">
        <v>3.14</v>
      </c>
      <c r="E703">
        <f>MEDIAN(D683:D723)</f>
        <v/>
      </c>
      <c r="F703">
        <f>E683</f>
        <v/>
      </c>
      <c r="G703">
        <f>F703-E703</f>
        <v/>
      </c>
      <c r="H703">
        <f>IF(OR(NOT(ISNUMBER(D703)),ABS(D703-E703)&gt;$O$3,AND($O$11=1,B703&lt;$O$12)),1,0)</f>
        <v/>
      </c>
      <c r="I703">
        <f>IF(H703=1,NA(),D703)</f>
        <v/>
      </c>
      <c r="J703">
        <f>IF(AND(ISNUMBER(D703),D703&gt;=$O$4,OR($O$11=0,B703&gt;=$O$12)),1,0)</f>
        <v/>
      </c>
      <c r="K703">
        <f>B703-$O$14</f>
        <v/>
      </c>
    </row>
    <row r="704">
      <c r="A704" t="n">
        <v>2106</v>
      </c>
      <c r="B704" t="n">
        <v>70.2</v>
      </c>
      <c r="C704" t="inlineStr">
        <is>
          <t>?11</t>
        </is>
      </c>
      <c r="E704">
        <f>MEDIAN(D684:D724)</f>
        <v/>
      </c>
      <c r="F704">
        <f>E684</f>
        <v/>
      </c>
      <c r="G704">
        <f>F704-E704</f>
        <v/>
      </c>
      <c r="H704">
        <f>IF(OR(NOT(ISNUMBER(D704)),ABS(D704-E704)&gt;$O$3,AND($O$11=1,B704&lt;$O$12)),1,0)</f>
        <v/>
      </c>
      <c r="I704">
        <f>IF(H704=1,NA(),D704)</f>
        <v/>
      </c>
      <c r="J704">
        <f>IF(AND(ISNUMBER(D704),D704&gt;=$O$4,OR($O$11=0,B704&gt;=$O$12)),1,0)</f>
        <v/>
      </c>
      <c r="K704">
        <f>B704-$O$14</f>
        <v/>
      </c>
    </row>
    <row r="705">
      <c r="A705" t="n">
        <v>2109</v>
      </c>
      <c r="B705" t="n">
        <v>70.3</v>
      </c>
      <c r="C705" t="inlineStr">
        <is>
          <t>?15</t>
        </is>
      </c>
      <c r="E705">
        <f>MEDIAN(D685:D725)</f>
        <v/>
      </c>
      <c r="F705">
        <f>E685</f>
        <v/>
      </c>
      <c r="G705">
        <f>F705-E705</f>
        <v/>
      </c>
      <c r="H705">
        <f>IF(OR(NOT(ISNUMBER(D705)),ABS(D705-E705)&gt;$O$3,AND($O$11=1,B705&lt;$O$12)),1,0)</f>
        <v/>
      </c>
      <c r="I705">
        <f>IF(H705=1,NA(),D705)</f>
        <v/>
      </c>
      <c r="J705">
        <f>IF(AND(ISNUMBER(D705),D705&gt;=$O$4,OR($O$11=0,B705&gt;=$O$12)),1,0)</f>
        <v/>
      </c>
      <c r="K705">
        <f>B705-$O$14</f>
        <v/>
      </c>
    </row>
    <row r="706">
      <c r="A706" t="n">
        <v>2112</v>
      </c>
      <c r="B706" t="n">
        <v>70.40000000000001</v>
      </c>
      <c r="C706" t="inlineStr">
        <is>
          <t>15</t>
        </is>
      </c>
      <c r="D706" t="n">
        <v>0.15</v>
      </c>
      <c r="E706">
        <f>MEDIAN(D686:D726)</f>
        <v/>
      </c>
      <c r="F706">
        <f>E686</f>
        <v/>
      </c>
      <c r="G706">
        <f>F706-E706</f>
        <v/>
      </c>
      <c r="H706">
        <f>IF(OR(NOT(ISNUMBER(D706)),ABS(D706-E706)&gt;$O$3,AND($O$11=1,B706&lt;$O$12)),1,0)</f>
        <v/>
      </c>
      <c r="I706">
        <f>IF(H706=1,NA(),D706)</f>
        <v/>
      </c>
      <c r="J706">
        <f>IF(AND(ISNUMBER(D706),D706&gt;=$O$4,OR($O$11=0,B706&gt;=$O$12)),1,0)</f>
        <v/>
      </c>
      <c r="K706">
        <f>B706-$O$14</f>
        <v/>
      </c>
    </row>
    <row r="707">
      <c r="A707" t="n">
        <v>2115</v>
      </c>
      <c r="B707" t="n">
        <v>70.5</v>
      </c>
      <c r="C707" t="inlineStr">
        <is>
          <t>15</t>
        </is>
      </c>
      <c r="D707" t="n">
        <v>0.15</v>
      </c>
      <c r="E707">
        <f>MEDIAN(D687:D727)</f>
        <v/>
      </c>
      <c r="F707">
        <f>E687</f>
        <v/>
      </c>
      <c r="G707">
        <f>F707-E707</f>
        <v/>
      </c>
      <c r="H707">
        <f>IF(OR(NOT(ISNUMBER(D707)),ABS(D707-E707)&gt;$O$3,AND($O$11=1,B707&lt;$O$12)),1,0)</f>
        <v/>
      </c>
      <c r="I707">
        <f>IF(H707=1,NA(),D707)</f>
        <v/>
      </c>
      <c r="J707">
        <f>IF(AND(ISNUMBER(D707),D707&gt;=$O$4,OR($O$11=0,B707&gt;=$O$12)),1,0)</f>
        <v/>
      </c>
      <c r="K707">
        <f>B707-$O$14</f>
        <v/>
      </c>
    </row>
    <row r="708">
      <c r="A708" t="n">
        <v>2118</v>
      </c>
      <c r="B708" t="n">
        <v>70.59999999999999</v>
      </c>
      <c r="C708" t="inlineStr">
        <is>
          <t>311</t>
        </is>
      </c>
      <c r="D708" t="n">
        <v>3.11</v>
      </c>
      <c r="E708">
        <f>MEDIAN(D688:D728)</f>
        <v/>
      </c>
      <c r="F708">
        <f>E688</f>
        <v/>
      </c>
      <c r="G708">
        <f>F708-E708</f>
        <v/>
      </c>
      <c r="H708">
        <f>IF(OR(NOT(ISNUMBER(D708)),ABS(D708-E708)&gt;$O$3,AND($O$11=1,B708&lt;$O$12)),1,0)</f>
        <v/>
      </c>
      <c r="I708">
        <f>IF(H708=1,NA(),D708)</f>
        <v/>
      </c>
      <c r="J708">
        <f>IF(AND(ISNUMBER(D708),D708&gt;=$O$4,OR($O$11=0,B708&gt;=$O$12)),1,0)</f>
        <v/>
      </c>
      <c r="K708">
        <f>B708-$O$14</f>
        <v/>
      </c>
    </row>
    <row r="709">
      <c r="A709" t="n">
        <v>2121</v>
      </c>
      <c r="B709" t="n">
        <v>70.7</v>
      </c>
      <c r="C709" t="inlineStr">
        <is>
          <t>?15</t>
        </is>
      </c>
      <c r="E709">
        <f>MEDIAN(D689:D729)</f>
        <v/>
      </c>
      <c r="F709">
        <f>E689</f>
        <v/>
      </c>
      <c r="G709">
        <f>F709-E709</f>
        <v/>
      </c>
      <c r="H709">
        <f>IF(OR(NOT(ISNUMBER(D709)),ABS(D709-E709)&gt;$O$3,AND($O$11=1,B709&lt;$O$12)),1,0)</f>
        <v/>
      </c>
      <c r="I709">
        <f>IF(H709=1,NA(),D709)</f>
        <v/>
      </c>
      <c r="J709">
        <f>IF(AND(ISNUMBER(D709),D709&gt;=$O$4,OR($O$11=0,B709&gt;=$O$12)),1,0)</f>
        <v/>
      </c>
      <c r="K709">
        <f>B709-$O$14</f>
        <v/>
      </c>
    </row>
    <row r="710">
      <c r="A710" t="n">
        <v>2124</v>
      </c>
      <c r="B710" t="n">
        <v>70.8</v>
      </c>
      <c r="C710" t="inlineStr">
        <is>
          <t>?15</t>
        </is>
      </c>
      <c r="E710">
        <f>MEDIAN(D690:D730)</f>
        <v/>
      </c>
      <c r="F710">
        <f>E690</f>
        <v/>
      </c>
      <c r="G710">
        <f>F710-E710</f>
        <v/>
      </c>
      <c r="H710">
        <f>IF(OR(NOT(ISNUMBER(D710)),ABS(D710-E710)&gt;$O$3,AND($O$11=1,B710&lt;$O$12)),1,0)</f>
        <v/>
      </c>
      <c r="I710">
        <f>IF(H710=1,NA(),D710)</f>
        <v/>
      </c>
      <c r="J710">
        <f>IF(AND(ISNUMBER(D710),D710&gt;=$O$4,OR($O$11=0,B710&gt;=$O$12)),1,0)</f>
        <v/>
      </c>
      <c r="K710">
        <f>B710-$O$14</f>
        <v/>
      </c>
    </row>
    <row r="711">
      <c r="A711" t="n">
        <v>2127</v>
      </c>
      <c r="B711" t="n">
        <v>70.90000000000001</v>
      </c>
      <c r="C711" t="inlineStr">
        <is>
          <t>311</t>
        </is>
      </c>
      <c r="D711" t="n">
        <v>3.11</v>
      </c>
      <c r="E711">
        <f>MEDIAN(D691:D731)</f>
        <v/>
      </c>
      <c r="F711">
        <f>E691</f>
        <v/>
      </c>
      <c r="G711">
        <f>F711-E711</f>
        <v/>
      </c>
      <c r="H711">
        <f>IF(OR(NOT(ISNUMBER(D711)),ABS(D711-E711)&gt;$O$3,AND($O$11=1,B711&lt;$O$12)),1,0)</f>
        <v/>
      </c>
      <c r="I711">
        <f>IF(H711=1,NA(),D711)</f>
        <v/>
      </c>
      <c r="J711">
        <f>IF(AND(ISNUMBER(D711),D711&gt;=$O$4,OR($O$11=0,B711&gt;=$O$12)),1,0)</f>
        <v/>
      </c>
      <c r="K711">
        <f>B711-$O$14</f>
        <v/>
      </c>
    </row>
    <row r="712">
      <c r="A712" t="n">
        <v>2130</v>
      </c>
      <c r="B712" t="n">
        <v>71</v>
      </c>
      <c r="C712" t="inlineStr">
        <is>
          <t>?15</t>
        </is>
      </c>
      <c r="E712">
        <f>MEDIAN(D692:D732)</f>
        <v/>
      </c>
      <c r="F712">
        <f>E692</f>
        <v/>
      </c>
      <c r="G712">
        <f>F712-E712</f>
        <v/>
      </c>
      <c r="H712">
        <f>IF(OR(NOT(ISNUMBER(D712)),ABS(D712-E712)&gt;$O$3,AND($O$11=1,B712&lt;$O$12)),1,0)</f>
        <v/>
      </c>
      <c r="I712">
        <f>IF(H712=1,NA(),D712)</f>
        <v/>
      </c>
      <c r="J712">
        <f>IF(AND(ISNUMBER(D712),D712&gt;=$O$4,OR($O$11=0,B712&gt;=$O$12)),1,0)</f>
        <v/>
      </c>
      <c r="K712">
        <f>B712-$O$14</f>
        <v/>
      </c>
    </row>
    <row r="713">
      <c r="A713" t="n">
        <v>2133</v>
      </c>
      <c r="B713" t="n">
        <v>71.09999999999999</v>
      </c>
      <c r="C713" t="inlineStr">
        <is>
          <t>311</t>
        </is>
      </c>
      <c r="D713" t="n">
        <v>3.11</v>
      </c>
      <c r="E713">
        <f>MEDIAN(D693:D733)</f>
        <v/>
      </c>
      <c r="F713">
        <f>E693</f>
        <v/>
      </c>
      <c r="G713">
        <f>F713-E713</f>
        <v/>
      </c>
      <c r="H713">
        <f>IF(OR(NOT(ISNUMBER(D713)),ABS(D713-E713)&gt;$O$3,AND($O$11=1,B713&lt;$O$12)),1,0)</f>
        <v/>
      </c>
      <c r="I713">
        <f>IF(H713=1,NA(),D713)</f>
        <v/>
      </c>
      <c r="J713">
        <f>IF(AND(ISNUMBER(D713),D713&gt;=$O$4,OR($O$11=0,B713&gt;=$O$12)),1,0)</f>
        <v/>
      </c>
      <c r="K713">
        <f>B713-$O$14</f>
        <v/>
      </c>
    </row>
    <row r="714">
      <c r="A714" t="n">
        <v>2136</v>
      </c>
      <c r="B714" t="n">
        <v>71.2</v>
      </c>
      <c r="C714" t="inlineStr">
        <is>
          <t>311</t>
        </is>
      </c>
      <c r="D714" t="n">
        <v>3.11</v>
      </c>
      <c r="E714">
        <f>MEDIAN(D694:D734)</f>
        <v/>
      </c>
      <c r="F714">
        <f>E694</f>
        <v/>
      </c>
      <c r="G714">
        <f>F714-E714</f>
        <v/>
      </c>
      <c r="H714">
        <f>IF(OR(NOT(ISNUMBER(D714)),ABS(D714-E714)&gt;$O$3,AND($O$11=1,B714&lt;$O$12)),1,0)</f>
        <v/>
      </c>
      <c r="I714">
        <f>IF(H714=1,NA(),D714)</f>
        <v/>
      </c>
      <c r="J714">
        <f>IF(AND(ISNUMBER(D714),D714&gt;=$O$4,OR($O$11=0,B714&gt;=$O$12)),1,0)</f>
        <v/>
      </c>
      <c r="K714">
        <f>B714-$O$14</f>
        <v/>
      </c>
    </row>
    <row r="715">
      <c r="A715" t="n">
        <v>2139</v>
      </c>
      <c r="B715" t="n">
        <v>71.3</v>
      </c>
      <c r="C715" t="inlineStr">
        <is>
          <t>?11</t>
        </is>
      </c>
      <c r="E715">
        <f>MEDIAN(D695:D735)</f>
        <v/>
      </c>
      <c r="F715">
        <f>E695</f>
        <v/>
      </c>
      <c r="G715">
        <f>F715-E715</f>
        <v/>
      </c>
      <c r="H715">
        <f>IF(OR(NOT(ISNUMBER(D715)),ABS(D715-E715)&gt;$O$3,AND($O$11=1,B715&lt;$O$12)),1,0)</f>
        <v/>
      </c>
      <c r="I715">
        <f>IF(H715=1,NA(),D715)</f>
        <v/>
      </c>
      <c r="J715">
        <f>IF(AND(ISNUMBER(D715),D715&gt;=$O$4,OR($O$11=0,B715&gt;=$O$12)),1,0)</f>
        <v/>
      </c>
      <c r="K715">
        <f>B715-$O$14</f>
        <v/>
      </c>
    </row>
    <row r="716">
      <c r="A716" t="n">
        <v>2142</v>
      </c>
      <c r="B716" t="n">
        <v>71.40000000000001</v>
      </c>
      <c r="C716" t="inlineStr">
        <is>
          <t>?11</t>
        </is>
      </c>
      <c r="E716">
        <f>MEDIAN(D696:D736)</f>
        <v/>
      </c>
      <c r="F716">
        <f>E696</f>
        <v/>
      </c>
      <c r="G716">
        <f>F716-E716</f>
        <v/>
      </c>
      <c r="H716">
        <f>IF(OR(NOT(ISNUMBER(D716)),ABS(D716-E716)&gt;$O$3,AND($O$11=1,B716&lt;$O$12)),1,0)</f>
        <v/>
      </c>
      <c r="I716">
        <f>IF(H716=1,NA(),D716)</f>
        <v/>
      </c>
      <c r="J716">
        <f>IF(AND(ISNUMBER(D716),D716&gt;=$O$4,OR($O$11=0,B716&gt;=$O$12)),1,0)</f>
        <v/>
      </c>
      <c r="K716">
        <f>B716-$O$14</f>
        <v/>
      </c>
    </row>
    <row r="717">
      <c r="A717" t="n">
        <v>2145</v>
      </c>
      <c r="B717" t="n">
        <v>71.5</v>
      </c>
      <c r="C717" t="inlineStr">
        <is>
          <t>?15</t>
        </is>
      </c>
      <c r="E717">
        <f>MEDIAN(D697:D737)</f>
        <v/>
      </c>
      <c r="F717">
        <f>E697</f>
        <v/>
      </c>
      <c r="G717">
        <f>F717-E717</f>
        <v/>
      </c>
      <c r="H717">
        <f>IF(OR(NOT(ISNUMBER(D717)),ABS(D717-E717)&gt;$O$3,AND($O$11=1,B717&lt;$O$12)),1,0)</f>
        <v/>
      </c>
      <c r="I717">
        <f>IF(H717=1,NA(),D717)</f>
        <v/>
      </c>
      <c r="J717">
        <f>IF(AND(ISNUMBER(D717),D717&gt;=$O$4,OR($O$11=0,B717&gt;=$O$12)),1,0)</f>
        <v/>
      </c>
      <c r="K717">
        <f>B717-$O$14</f>
        <v/>
      </c>
    </row>
    <row r="718">
      <c r="A718" t="n">
        <v>2148</v>
      </c>
      <c r="B718" t="n">
        <v>71.59999999999999</v>
      </c>
      <c r="C718" t="inlineStr">
        <is>
          <t>15</t>
        </is>
      </c>
      <c r="D718" t="n">
        <v>0.15</v>
      </c>
      <c r="E718">
        <f>MEDIAN(D698:D738)</f>
        <v/>
      </c>
      <c r="F718">
        <f>E698</f>
        <v/>
      </c>
      <c r="G718">
        <f>F718-E718</f>
        <v/>
      </c>
      <c r="H718">
        <f>IF(OR(NOT(ISNUMBER(D718)),ABS(D718-E718)&gt;$O$3,AND($O$11=1,B718&lt;$O$12)),1,0)</f>
        <v/>
      </c>
      <c r="I718">
        <f>IF(H718=1,NA(),D718)</f>
        <v/>
      </c>
      <c r="J718">
        <f>IF(AND(ISNUMBER(D718),D718&gt;=$O$4,OR($O$11=0,B718&gt;=$O$12)),1,0)</f>
        <v/>
      </c>
      <c r="K718">
        <f>B718-$O$14</f>
        <v/>
      </c>
    </row>
    <row r="719">
      <c r="A719" t="n">
        <v>2151</v>
      </c>
      <c r="B719" t="n">
        <v>71.7</v>
      </c>
      <c r="C719" t="inlineStr">
        <is>
          <t>314</t>
        </is>
      </c>
      <c r="D719" t="n">
        <v>3.14</v>
      </c>
      <c r="E719">
        <f>MEDIAN(D699:D739)</f>
        <v/>
      </c>
      <c r="F719">
        <f>E699</f>
        <v/>
      </c>
      <c r="G719">
        <f>F719-E719</f>
        <v/>
      </c>
      <c r="H719">
        <f>IF(OR(NOT(ISNUMBER(D719)),ABS(D719-E719)&gt;$O$3,AND($O$11=1,B719&lt;$O$12)),1,0)</f>
        <v/>
      </c>
      <c r="I719">
        <f>IF(H719=1,NA(),D719)</f>
        <v/>
      </c>
      <c r="J719">
        <f>IF(AND(ISNUMBER(D719),D719&gt;=$O$4,OR($O$11=0,B719&gt;=$O$12)),1,0)</f>
        <v/>
      </c>
      <c r="K719">
        <f>B719-$O$14</f>
        <v/>
      </c>
    </row>
    <row r="720">
      <c r="A720" t="n">
        <v>2154</v>
      </c>
      <c r="B720" t="n">
        <v>71.8</v>
      </c>
      <c r="C720" t="inlineStr">
        <is>
          <t>11</t>
        </is>
      </c>
      <c r="D720" t="n">
        <v>0.11</v>
      </c>
      <c r="E720">
        <f>MEDIAN(D700:D740)</f>
        <v/>
      </c>
      <c r="F720">
        <f>E700</f>
        <v/>
      </c>
      <c r="G720">
        <f>F720-E720</f>
        <v/>
      </c>
      <c r="H720">
        <f>IF(OR(NOT(ISNUMBER(D720)),ABS(D720-E720)&gt;$O$3,AND($O$11=1,B720&lt;$O$12)),1,0)</f>
        <v/>
      </c>
      <c r="I720">
        <f>IF(H720=1,NA(),D720)</f>
        <v/>
      </c>
      <c r="J720">
        <f>IF(AND(ISNUMBER(D720),D720&gt;=$O$4,OR($O$11=0,B720&gt;=$O$12)),1,0)</f>
        <v/>
      </c>
      <c r="K720">
        <f>B720-$O$14</f>
        <v/>
      </c>
    </row>
    <row r="721">
      <c r="A721" t="n">
        <v>2157</v>
      </c>
      <c r="B721" t="n">
        <v>71.90000000000001</v>
      </c>
      <c r="C721" t="inlineStr">
        <is>
          <t>311</t>
        </is>
      </c>
      <c r="D721" t="n">
        <v>3.11</v>
      </c>
      <c r="E721">
        <f>MEDIAN(D701:D741)</f>
        <v/>
      </c>
      <c r="F721">
        <f>E701</f>
        <v/>
      </c>
      <c r="G721">
        <f>F721-E721</f>
        <v/>
      </c>
      <c r="H721">
        <f>IF(OR(NOT(ISNUMBER(D721)),ABS(D721-E721)&gt;$O$3,AND($O$11=1,B721&lt;$O$12)),1,0)</f>
        <v/>
      </c>
      <c r="I721">
        <f>IF(H721=1,NA(),D721)</f>
        <v/>
      </c>
      <c r="J721">
        <f>IF(AND(ISNUMBER(D721),D721&gt;=$O$4,OR($O$11=0,B721&gt;=$O$12)),1,0)</f>
        <v/>
      </c>
      <c r="K721">
        <f>B721-$O$14</f>
        <v/>
      </c>
    </row>
    <row r="722">
      <c r="A722" t="n">
        <v>2160</v>
      </c>
      <c r="B722" t="n">
        <v>72</v>
      </c>
      <c r="C722" t="inlineStr">
        <is>
          <t>311</t>
        </is>
      </c>
      <c r="D722" t="n">
        <v>3.11</v>
      </c>
      <c r="E722">
        <f>MEDIAN(D702:D742)</f>
        <v/>
      </c>
      <c r="F722">
        <f>E702</f>
        <v/>
      </c>
      <c r="G722">
        <f>F722-E722</f>
        <v/>
      </c>
      <c r="H722">
        <f>IF(OR(NOT(ISNUMBER(D722)),ABS(D722-E722)&gt;$O$3,AND($O$11=1,B722&lt;$O$12)),1,0)</f>
        <v/>
      </c>
      <c r="I722">
        <f>IF(H722=1,NA(),D722)</f>
        <v/>
      </c>
      <c r="J722">
        <f>IF(AND(ISNUMBER(D722),D722&gt;=$O$4,OR($O$11=0,B722&gt;=$O$12)),1,0)</f>
        <v/>
      </c>
      <c r="K722">
        <f>B722-$O$14</f>
        <v/>
      </c>
    </row>
    <row r="723">
      <c r="A723" t="n">
        <v>2163</v>
      </c>
      <c r="B723" t="n">
        <v>72.09999999999999</v>
      </c>
      <c r="C723" t="inlineStr">
        <is>
          <t>311</t>
        </is>
      </c>
      <c r="D723" t="n">
        <v>3.11</v>
      </c>
      <c r="E723">
        <f>MEDIAN(D703:D743)</f>
        <v/>
      </c>
      <c r="F723">
        <f>E703</f>
        <v/>
      </c>
      <c r="G723">
        <f>F723-E723</f>
        <v/>
      </c>
      <c r="H723">
        <f>IF(OR(NOT(ISNUMBER(D723)),ABS(D723-E723)&gt;$O$3,AND($O$11=1,B723&lt;$O$12)),1,0)</f>
        <v/>
      </c>
      <c r="I723">
        <f>IF(H723=1,NA(),D723)</f>
        <v/>
      </c>
      <c r="J723">
        <f>IF(AND(ISNUMBER(D723),D723&gt;=$O$4,OR($O$11=0,B723&gt;=$O$12)),1,0)</f>
        <v/>
      </c>
      <c r="K723">
        <f>B723-$O$14</f>
        <v/>
      </c>
    </row>
    <row r="724">
      <c r="A724" t="n">
        <v>2166</v>
      </c>
      <c r="B724" t="n">
        <v>72.2</v>
      </c>
      <c r="C724" t="inlineStr">
        <is>
          <t>315</t>
        </is>
      </c>
      <c r="D724" t="n">
        <v>3.15</v>
      </c>
      <c r="E724">
        <f>MEDIAN(D704:D744)</f>
        <v/>
      </c>
      <c r="F724">
        <f>E704</f>
        <v/>
      </c>
      <c r="G724">
        <f>F724-E724</f>
        <v/>
      </c>
      <c r="H724">
        <f>IF(OR(NOT(ISNUMBER(D724)),ABS(D724-E724)&gt;$O$3,AND($O$11=1,B724&lt;$O$12)),1,0)</f>
        <v/>
      </c>
      <c r="I724">
        <f>IF(H724=1,NA(),D724)</f>
        <v/>
      </c>
      <c r="J724">
        <f>IF(AND(ISNUMBER(D724),D724&gt;=$O$4,OR($O$11=0,B724&gt;=$O$12)),1,0)</f>
        <v/>
      </c>
      <c r="K724">
        <f>B724-$O$14</f>
        <v/>
      </c>
    </row>
    <row r="725">
      <c r="A725" t="n">
        <v>2169</v>
      </c>
      <c r="B725" t="n">
        <v>72.3</v>
      </c>
      <c r="C725" t="inlineStr">
        <is>
          <t>311</t>
        </is>
      </c>
      <c r="D725" t="n">
        <v>3.11</v>
      </c>
      <c r="E725">
        <f>MEDIAN(D705:D745)</f>
        <v/>
      </c>
      <c r="F725">
        <f>E705</f>
        <v/>
      </c>
      <c r="G725">
        <f>F725-E725</f>
        <v/>
      </c>
      <c r="H725">
        <f>IF(OR(NOT(ISNUMBER(D725)),ABS(D725-E725)&gt;$O$3,AND($O$11=1,B725&lt;$O$12)),1,0)</f>
        <v/>
      </c>
      <c r="I725">
        <f>IF(H725=1,NA(),D725)</f>
        <v/>
      </c>
      <c r="J725">
        <f>IF(AND(ISNUMBER(D725),D725&gt;=$O$4,OR($O$11=0,B725&gt;=$O$12)),1,0)</f>
        <v/>
      </c>
      <c r="K725">
        <f>B725-$O$14</f>
        <v/>
      </c>
    </row>
    <row r="726">
      <c r="A726" t="n">
        <v>2172</v>
      </c>
      <c r="B726" t="n">
        <v>72.40000000000001</v>
      </c>
      <c r="C726" t="inlineStr">
        <is>
          <t>311</t>
        </is>
      </c>
      <c r="D726" t="n">
        <v>3.11</v>
      </c>
      <c r="E726">
        <f>MEDIAN(D706:D746)</f>
        <v/>
      </c>
      <c r="F726">
        <f>E706</f>
        <v/>
      </c>
      <c r="G726">
        <f>F726-E726</f>
        <v/>
      </c>
      <c r="H726">
        <f>IF(OR(NOT(ISNUMBER(D726)),ABS(D726-E726)&gt;$O$3,AND($O$11=1,B726&lt;$O$12)),1,0)</f>
        <v/>
      </c>
      <c r="I726">
        <f>IF(H726=1,NA(),D726)</f>
        <v/>
      </c>
      <c r="J726">
        <f>IF(AND(ISNUMBER(D726),D726&gt;=$O$4,OR($O$11=0,B726&gt;=$O$12)),1,0)</f>
        <v/>
      </c>
      <c r="K726">
        <f>B726-$O$14</f>
        <v/>
      </c>
    </row>
    <row r="727">
      <c r="A727" t="n">
        <v>2175</v>
      </c>
      <c r="B727" t="n">
        <v>72.5</v>
      </c>
      <c r="C727" t="inlineStr">
        <is>
          <t>311</t>
        </is>
      </c>
      <c r="D727" t="n">
        <v>3.11</v>
      </c>
      <c r="E727">
        <f>MEDIAN(D707:D747)</f>
        <v/>
      </c>
      <c r="F727">
        <f>E707</f>
        <v/>
      </c>
      <c r="G727">
        <f>F727-E727</f>
        <v/>
      </c>
      <c r="H727">
        <f>IF(OR(NOT(ISNUMBER(D727)),ABS(D727-E727)&gt;$O$3,AND($O$11=1,B727&lt;$O$12)),1,0)</f>
        <v/>
      </c>
      <c r="I727">
        <f>IF(H727=1,NA(),D727)</f>
        <v/>
      </c>
      <c r="J727">
        <f>IF(AND(ISNUMBER(D727),D727&gt;=$O$4,OR($O$11=0,B727&gt;=$O$12)),1,0)</f>
        <v/>
      </c>
      <c r="K727">
        <f>B727-$O$14</f>
        <v/>
      </c>
    </row>
    <row r="728">
      <c r="A728" t="n">
        <v>2178</v>
      </c>
      <c r="B728" t="n">
        <v>72.59999999999999</v>
      </c>
      <c r="C728" t="inlineStr">
        <is>
          <t>15</t>
        </is>
      </c>
      <c r="D728" t="n">
        <v>0.15</v>
      </c>
      <c r="E728">
        <f>MEDIAN(D708:D748)</f>
        <v/>
      </c>
      <c r="F728">
        <f>E708</f>
        <v/>
      </c>
      <c r="G728">
        <f>F728-E728</f>
        <v/>
      </c>
      <c r="H728">
        <f>IF(OR(NOT(ISNUMBER(D728)),ABS(D728-E728)&gt;$O$3,AND($O$11=1,B728&lt;$O$12)),1,0)</f>
        <v/>
      </c>
      <c r="I728">
        <f>IF(H728=1,NA(),D728)</f>
        <v/>
      </c>
      <c r="J728">
        <f>IF(AND(ISNUMBER(D728),D728&gt;=$O$4,OR($O$11=0,B728&gt;=$O$12)),1,0)</f>
        <v/>
      </c>
      <c r="K728">
        <f>B728-$O$14</f>
        <v/>
      </c>
    </row>
    <row r="729">
      <c r="A729" t="n">
        <v>2181</v>
      </c>
      <c r="B729" t="n">
        <v>72.7</v>
      </c>
      <c r="C729" t="inlineStr">
        <is>
          <t>311</t>
        </is>
      </c>
      <c r="D729" t="n">
        <v>3.11</v>
      </c>
      <c r="E729">
        <f>MEDIAN(D709:D749)</f>
        <v/>
      </c>
      <c r="F729">
        <f>E709</f>
        <v/>
      </c>
      <c r="G729">
        <f>F729-E729</f>
        <v/>
      </c>
      <c r="H729">
        <f>IF(OR(NOT(ISNUMBER(D729)),ABS(D729-E729)&gt;$O$3,AND($O$11=1,B729&lt;$O$12)),1,0)</f>
        <v/>
      </c>
      <c r="I729">
        <f>IF(H729=1,NA(),D729)</f>
        <v/>
      </c>
      <c r="J729">
        <f>IF(AND(ISNUMBER(D729),D729&gt;=$O$4,OR($O$11=0,B729&gt;=$O$12)),1,0)</f>
        <v/>
      </c>
      <c r="K729">
        <f>B729-$O$14</f>
        <v/>
      </c>
    </row>
    <row r="730">
      <c r="A730" t="n">
        <v>2184</v>
      </c>
      <c r="B730" t="n">
        <v>72.8</v>
      </c>
      <c r="C730" t="inlineStr">
        <is>
          <t>?11</t>
        </is>
      </c>
      <c r="E730">
        <f>MEDIAN(D710:D750)</f>
        <v/>
      </c>
      <c r="F730">
        <f>E710</f>
        <v/>
      </c>
      <c r="G730">
        <f>F730-E730</f>
        <v/>
      </c>
      <c r="H730">
        <f>IF(OR(NOT(ISNUMBER(D730)),ABS(D730-E730)&gt;$O$3,AND($O$11=1,B730&lt;$O$12)),1,0)</f>
        <v/>
      </c>
      <c r="I730">
        <f>IF(H730=1,NA(),D730)</f>
        <v/>
      </c>
      <c r="J730">
        <f>IF(AND(ISNUMBER(D730),D730&gt;=$O$4,OR($O$11=0,B730&gt;=$O$12)),1,0)</f>
        <v/>
      </c>
      <c r="K730">
        <f>B730-$O$14</f>
        <v/>
      </c>
    </row>
    <row r="731">
      <c r="A731" t="n">
        <v>2187</v>
      </c>
      <c r="B731" t="n">
        <v>72.90000000000001</v>
      </c>
      <c r="C731" t="inlineStr">
        <is>
          <t>?11</t>
        </is>
      </c>
      <c r="E731">
        <f>MEDIAN(D711:D751)</f>
        <v/>
      </c>
      <c r="F731">
        <f>E711</f>
        <v/>
      </c>
      <c r="G731">
        <f>F731-E731</f>
        <v/>
      </c>
      <c r="H731">
        <f>IF(OR(NOT(ISNUMBER(D731)),ABS(D731-E731)&gt;$O$3,AND($O$11=1,B731&lt;$O$12)),1,0)</f>
        <v/>
      </c>
      <c r="I731">
        <f>IF(H731=1,NA(),D731)</f>
        <v/>
      </c>
      <c r="J731">
        <f>IF(AND(ISNUMBER(D731),D731&gt;=$O$4,OR($O$11=0,B731&gt;=$O$12)),1,0)</f>
        <v/>
      </c>
      <c r="K731">
        <f>B731-$O$14</f>
        <v/>
      </c>
    </row>
    <row r="732">
      <c r="A732" t="n">
        <v>2190</v>
      </c>
      <c r="B732" t="n">
        <v>73</v>
      </c>
      <c r="C732" t="inlineStr">
        <is>
          <t>?11</t>
        </is>
      </c>
      <c r="E732">
        <f>MEDIAN(D712:D752)</f>
        <v/>
      </c>
      <c r="F732">
        <f>E712</f>
        <v/>
      </c>
      <c r="G732">
        <f>F732-E732</f>
        <v/>
      </c>
      <c r="H732">
        <f>IF(OR(NOT(ISNUMBER(D732)),ABS(D732-E732)&gt;$O$3,AND($O$11=1,B732&lt;$O$12)),1,0)</f>
        <v/>
      </c>
      <c r="I732">
        <f>IF(H732=1,NA(),D732)</f>
        <v/>
      </c>
      <c r="J732">
        <f>IF(AND(ISNUMBER(D732),D732&gt;=$O$4,OR($O$11=0,B732&gt;=$O$12)),1,0)</f>
        <v/>
      </c>
      <c r="K732">
        <f>B732-$O$14</f>
        <v/>
      </c>
    </row>
    <row r="733">
      <c r="A733" t="n">
        <v>2193</v>
      </c>
      <c r="B733" t="n">
        <v>73.09999999999999</v>
      </c>
      <c r="C733" t="inlineStr">
        <is>
          <t>311</t>
        </is>
      </c>
      <c r="D733" t="n">
        <v>3.11</v>
      </c>
      <c r="E733">
        <f>MEDIAN(D713:D753)</f>
        <v/>
      </c>
      <c r="F733">
        <f>E713</f>
        <v/>
      </c>
      <c r="G733">
        <f>F733-E733</f>
        <v/>
      </c>
      <c r="H733">
        <f>IF(OR(NOT(ISNUMBER(D733)),ABS(D733-E733)&gt;$O$3,AND($O$11=1,B733&lt;$O$12)),1,0)</f>
        <v/>
      </c>
      <c r="I733">
        <f>IF(H733=1,NA(),D733)</f>
        <v/>
      </c>
      <c r="J733">
        <f>IF(AND(ISNUMBER(D733),D733&gt;=$O$4,OR($O$11=0,B733&gt;=$O$12)),1,0)</f>
        <v/>
      </c>
      <c r="K733">
        <f>B733-$O$14</f>
        <v/>
      </c>
    </row>
    <row r="734">
      <c r="A734" t="n">
        <v>2196</v>
      </c>
      <c r="B734" t="n">
        <v>73.2</v>
      </c>
      <c r="C734" t="inlineStr">
        <is>
          <t>311</t>
        </is>
      </c>
      <c r="D734" t="n">
        <v>3.11</v>
      </c>
      <c r="E734">
        <f>MEDIAN(D714:D754)</f>
        <v/>
      </c>
      <c r="F734">
        <f>E714</f>
        <v/>
      </c>
      <c r="G734">
        <f>F734-E734</f>
        <v/>
      </c>
      <c r="H734">
        <f>IF(OR(NOT(ISNUMBER(D734)),ABS(D734-E734)&gt;$O$3,AND($O$11=1,B734&lt;$O$12)),1,0)</f>
        <v/>
      </c>
      <c r="I734">
        <f>IF(H734=1,NA(),D734)</f>
        <v/>
      </c>
      <c r="J734">
        <f>IF(AND(ISNUMBER(D734),D734&gt;=$O$4,OR($O$11=0,B734&gt;=$O$12)),1,0)</f>
        <v/>
      </c>
      <c r="K734">
        <f>B734-$O$14</f>
        <v/>
      </c>
    </row>
    <row r="735">
      <c r="A735" t="n">
        <v>2199</v>
      </c>
      <c r="B735" t="n">
        <v>73.3</v>
      </c>
      <c r="C735" t="inlineStr">
        <is>
          <t>311</t>
        </is>
      </c>
      <c r="D735" t="n">
        <v>3.11</v>
      </c>
      <c r="E735">
        <f>MEDIAN(D715:D755)</f>
        <v/>
      </c>
      <c r="F735">
        <f>E715</f>
        <v/>
      </c>
      <c r="G735">
        <f>F735-E735</f>
        <v/>
      </c>
      <c r="H735">
        <f>IF(OR(NOT(ISNUMBER(D735)),ABS(D735-E735)&gt;$O$3,AND($O$11=1,B735&lt;$O$12)),1,0)</f>
        <v/>
      </c>
      <c r="I735">
        <f>IF(H735=1,NA(),D735)</f>
        <v/>
      </c>
      <c r="J735">
        <f>IF(AND(ISNUMBER(D735),D735&gt;=$O$4,OR($O$11=0,B735&gt;=$O$12)),1,0)</f>
        <v/>
      </c>
      <c r="K735">
        <f>B735-$O$14</f>
        <v/>
      </c>
    </row>
    <row r="736">
      <c r="A736" t="n">
        <v>2202</v>
      </c>
      <c r="B736" t="n">
        <v>73.40000000000001</v>
      </c>
      <c r="C736" t="inlineStr">
        <is>
          <t>11</t>
        </is>
      </c>
      <c r="D736" t="n">
        <v>0.11</v>
      </c>
      <c r="E736">
        <f>MEDIAN(D716:D756)</f>
        <v/>
      </c>
      <c r="F736">
        <f>E716</f>
        <v/>
      </c>
      <c r="G736">
        <f>F736-E736</f>
        <v/>
      </c>
      <c r="H736">
        <f>IF(OR(NOT(ISNUMBER(D736)),ABS(D736-E736)&gt;$O$3,AND($O$11=1,B736&lt;$O$12)),1,0)</f>
        <v/>
      </c>
      <c r="I736">
        <f>IF(H736=1,NA(),D736)</f>
        <v/>
      </c>
      <c r="J736">
        <f>IF(AND(ISNUMBER(D736),D736&gt;=$O$4,OR($O$11=0,B736&gt;=$O$12)),1,0)</f>
        <v/>
      </c>
      <c r="K736">
        <f>B736-$O$14</f>
        <v/>
      </c>
    </row>
    <row r="737">
      <c r="A737" t="n">
        <v>2205</v>
      </c>
      <c r="B737" t="n">
        <v>73.5</v>
      </c>
      <c r="C737" t="inlineStr">
        <is>
          <t>?11</t>
        </is>
      </c>
      <c r="E737">
        <f>MEDIAN(D717:D757)</f>
        <v/>
      </c>
      <c r="F737">
        <f>E717</f>
        <v/>
      </c>
      <c r="G737">
        <f>F737-E737</f>
        <v/>
      </c>
      <c r="H737">
        <f>IF(OR(NOT(ISNUMBER(D737)),ABS(D737-E737)&gt;$O$3,AND($O$11=1,B737&lt;$O$12)),1,0)</f>
        <v/>
      </c>
      <c r="I737">
        <f>IF(H737=1,NA(),D737)</f>
        <v/>
      </c>
      <c r="J737">
        <f>IF(AND(ISNUMBER(D737),D737&gt;=$O$4,OR($O$11=0,B737&gt;=$O$12)),1,0)</f>
        <v/>
      </c>
      <c r="K737">
        <f>B737-$O$14</f>
        <v/>
      </c>
    </row>
    <row r="738">
      <c r="A738" t="n">
        <v>2208</v>
      </c>
      <c r="B738" t="n">
        <v>73.59999999999999</v>
      </c>
      <c r="C738" t="inlineStr">
        <is>
          <t>311</t>
        </is>
      </c>
      <c r="D738" t="n">
        <v>3.11</v>
      </c>
      <c r="E738">
        <f>MEDIAN(D718:D758)</f>
        <v/>
      </c>
      <c r="F738">
        <f>E718</f>
        <v/>
      </c>
      <c r="G738">
        <f>F738-E738</f>
        <v/>
      </c>
      <c r="H738">
        <f>IF(OR(NOT(ISNUMBER(D738)),ABS(D738-E738)&gt;$O$3,AND($O$11=1,B738&lt;$O$12)),1,0)</f>
        <v/>
      </c>
      <c r="I738">
        <f>IF(H738=1,NA(),D738)</f>
        <v/>
      </c>
      <c r="J738">
        <f>IF(AND(ISNUMBER(D738),D738&gt;=$O$4,OR($O$11=0,B738&gt;=$O$12)),1,0)</f>
        <v/>
      </c>
      <c r="K738">
        <f>B738-$O$14</f>
        <v/>
      </c>
    </row>
    <row r="739">
      <c r="A739" t="n">
        <v>2211</v>
      </c>
      <c r="B739" t="n">
        <v>73.7</v>
      </c>
      <c r="C739" t="inlineStr">
        <is>
          <t>311</t>
        </is>
      </c>
      <c r="D739" t="n">
        <v>3.11</v>
      </c>
      <c r="E739">
        <f>MEDIAN(D719:D759)</f>
        <v/>
      </c>
      <c r="F739">
        <f>E719</f>
        <v/>
      </c>
      <c r="G739">
        <f>F739-E739</f>
        <v/>
      </c>
      <c r="H739">
        <f>IF(OR(NOT(ISNUMBER(D739)),ABS(D739-E739)&gt;$O$3,AND($O$11=1,B739&lt;$O$12)),1,0)</f>
        <v/>
      </c>
      <c r="I739">
        <f>IF(H739=1,NA(),D739)</f>
        <v/>
      </c>
      <c r="J739">
        <f>IF(AND(ISNUMBER(D739),D739&gt;=$O$4,OR($O$11=0,B739&gt;=$O$12)),1,0)</f>
        <v/>
      </c>
      <c r="K739">
        <f>B739-$O$14</f>
        <v/>
      </c>
    </row>
    <row r="740">
      <c r="A740" t="n">
        <v>2214</v>
      </c>
      <c r="B740" t="n">
        <v>73.8</v>
      </c>
      <c r="C740" t="inlineStr">
        <is>
          <t>?11</t>
        </is>
      </c>
      <c r="E740">
        <f>MEDIAN(D720:D760)</f>
        <v/>
      </c>
      <c r="F740">
        <f>E720</f>
        <v/>
      </c>
      <c r="G740">
        <f>F740-E740</f>
        <v/>
      </c>
      <c r="H740">
        <f>IF(OR(NOT(ISNUMBER(D740)),ABS(D740-E740)&gt;$O$3,AND($O$11=1,B740&lt;$O$12)),1,0)</f>
        <v/>
      </c>
      <c r="I740">
        <f>IF(H740=1,NA(),D740)</f>
        <v/>
      </c>
      <c r="J740">
        <f>IF(AND(ISNUMBER(D740),D740&gt;=$O$4,OR($O$11=0,B740&gt;=$O$12)),1,0)</f>
        <v/>
      </c>
      <c r="K740">
        <f>B740-$O$14</f>
        <v/>
      </c>
    </row>
    <row r="741">
      <c r="A741" t="n">
        <v>2217</v>
      </c>
      <c r="B741" t="n">
        <v>73.90000000000001</v>
      </c>
      <c r="C741" t="inlineStr">
        <is>
          <t>311</t>
        </is>
      </c>
      <c r="D741" t="n">
        <v>3.11</v>
      </c>
      <c r="E741">
        <f>MEDIAN(D721:D761)</f>
        <v/>
      </c>
      <c r="F741">
        <f>E721</f>
        <v/>
      </c>
      <c r="G741">
        <f>F741-E741</f>
        <v/>
      </c>
      <c r="H741">
        <f>IF(OR(NOT(ISNUMBER(D741)),ABS(D741-E741)&gt;$O$3,AND($O$11=1,B741&lt;$O$12)),1,0)</f>
        <v/>
      </c>
      <c r="I741">
        <f>IF(H741=1,NA(),D741)</f>
        <v/>
      </c>
      <c r="J741">
        <f>IF(AND(ISNUMBER(D741),D741&gt;=$O$4,OR($O$11=0,B741&gt;=$O$12)),1,0)</f>
        <v/>
      </c>
      <c r="K741">
        <f>B741-$O$14</f>
        <v/>
      </c>
    </row>
    <row r="742">
      <c r="A742" t="n">
        <v>2220</v>
      </c>
      <c r="B742" t="n">
        <v>74</v>
      </c>
      <c r="C742" t="inlineStr">
        <is>
          <t>?11</t>
        </is>
      </c>
      <c r="E742">
        <f>MEDIAN(D722:D762)</f>
        <v/>
      </c>
      <c r="F742">
        <f>E722</f>
        <v/>
      </c>
      <c r="G742">
        <f>F742-E742</f>
        <v/>
      </c>
      <c r="H742">
        <f>IF(OR(NOT(ISNUMBER(D742)),ABS(D742-E742)&gt;$O$3,AND($O$11=1,B742&lt;$O$12)),1,0)</f>
        <v/>
      </c>
      <c r="I742">
        <f>IF(H742=1,NA(),D742)</f>
        <v/>
      </c>
      <c r="J742">
        <f>IF(AND(ISNUMBER(D742),D742&gt;=$O$4,OR($O$11=0,B742&gt;=$O$12)),1,0)</f>
        <v/>
      </c>
      <c r="K742">
        <f>B742-$O$14</f>
        <v/>
      </c>
    </row>
    <row r="743">
      <c r="A743" t="n">
        <v>2223</v>
      </c>
      <c r="B743" t="n">
        <v>74.09999999999999</v>
      </c>
      <c r="C743" t="inlineStr">
        <is>
          <t>311</t>
        </is>
      </c>
      <c r="D743" t="n">
        <v>3.11</v>
      </c>
      <c r="E743">
        <f>MEDIAN(D723:D763)</f>
        <v/>
      </c>
      <c r="F743">
        <f>E723</f>
        <v/>
      </c>
      <c r="G743">
        <f>F743-E743</f>
        <v/>
      </c>
      <c r="H743">
        <f>IF(OR(NOT(ISNUMBER(D743)),ABS(D743-E743)&gt;$O$3,AND($O$11=1,B743&lt;$O$12)),1,0)</f>
        <v/>
      </c>
      <c r="I743">
        <f>IF(H743=1,NA(),D743)</f>
        <v/>
      </c>
      <c r="J743">
        <f>IF(AND(ISNUMBER(D743),D743&gt;=$O$4,OR($O$11=0,B743&gt;=$O$12)),1,0)</f>
        <v/>
      </c>
      <c r="K743">
        <f>B743-$O$14</f>
        <v/>
      </c>
    </row>
    <row r="744">
      <c r="A744" t="n">
        <v>2226</v>
      </c>
      <c r="B744" t="n">
        <v>74.2</v>
      </c>
      <c r="C744" t="inlineStr">
        <is>
          <t>15</t>
        </is>
      </c>
      <c r="D744" t="n">
        <v>0.15</v>
      </c>
      <c r="E744">
        <f>MEDIAN(D724:D764)</f>
        <v/>
      </c>
      <c r="F744">
        <f>E724</f>
        <v/>
      </c>
      <c r="G744">
        <f>F744-E744</f>
        <v/>
      </c>
      <c r="H744">
        <f>IF(OR(NOT(ISNUMBER(D744)),ABS(D744-E744)&gt;$O$3,AND($O$11=1,B744&lt;$O$12)),1,0)</f>
        <v/>
      </c>
      <c r="I744">
        <f>IF(H744=1,NA(),D744)</f>
        <v/>
      </c>
      <c r="J744">
        <f>IF(AND(ISNUMBER(D744),D744&gt;=$O$4,OR($O$11=0,B744&gt;=$O$12)),1,0)</f>
        <v/>
      </c>
      <c r="K744">
        <f>B744-$O$14</f>
        <v/>
      </c>
    </row>
    <row r="745">
      <c r="A745" t="n">
        <v>2229</v>
      </c>
      <c r="B745" t="n">
        <v>74.3</v>
      </c>
      <c r="C745" t="inlineStr">
        <is>
          <t>311</t>
        </is>
      </c>
      <c r="D745" t="n">
        <v>3.11</v>
      </c>
      <c r="E745">
        <f>MEDIAN(D725:D765)</f>
        <v/>
      </c>
      <c r="F745">
        <f>E725</f>
        <v/>
      </c>
      <c r="G745">
        <f>F745-E745</f>
        <v/>
      </c>
      <c r="H745">
        <f>IF(OR(NOT(ISNUMBER(D745)),ABS(D745-E745)&gt;$O$3,AND($O$11=1,B745&lt;$O$12)),1,0)</f>
        <v/>
      </c>
      <c r="I745">
        <f>IF(H745=1,NA(),D745)</f>
        <v/>
      </c>
      <c r="J745">
        <f>IF(AND(ISNUMBER(D745),D745&gt;=$O$4,OR($O$11=0,B745&gt;=$O$12)),1,0)</f>
        <v/>
      </c>
      <c r="K745">
        <f>B745-$O$14</f>
        <v/>
      </c>
    </row>
    <row r="746">
      <c r="A746" t="n">
        <v>2232</v>
      </c>
      <c r="B746" t="n">
        <v>74.40000000000001</v>
      </c>
      <c r="C746" t="inlineStr">
        <is>
          <t>?11</t>
        </is>
      </c>
      <c r="E746">
        <f>MEDIAN(D726:D766)</f>
        <v/>
      </c>
      <c r="F746">
        <f>E726</f>
        <v/>
      </c>
      <c r="G746">
        <f>F746-E746</f>
        <v/>
      </c>
      <c r="H746">
        <f>IF(OR(NOT(ISNUMBER(D746)),ABS(D746-E746)&gt;$O$3,AND($O$11=1,B746&lt;$O$12)),1,0)</f>
        <v/>
      </c>
      <c r="I746">
        <f>IF(H746=1,NA(),D746)</f>
        <v/>
      </c>
      <c r="J746">
        <f>IF(AND(ISNUMBER(D746),D746&gt;=$O$4,OR($O$11=0,B746&gt;=$O$12)),1,0)</f>
        <v/>
      </c>
      <c r="K746">
        <f>B746-$O$14</f>
        <v/>
      </c>
    </row>
    <row r="747">
      <c r="A747" t="n">
        <v>2235</v>
      </c>
      <c r="B747" t="n">
        <v>74.5</v>
      </c>
      <c r="C747" t="inlineStr">
        <is>
          <t>311</t>
        </is>
      </c>
      <c r="D747" t="n">
        <v>3.11</v>
      </c>
      <c r="E747">
        <f>MEDIAN(D727:D767)</f>
        <v/>
      </c>
      <c r="F747">
        <f>E727</f>
        <v/>
      </c>
      <c r="G747">
        <f>F747-E747</f>
        <v/>
      </c>
      <c r="H747">
        <f>IF(OR(NOT(ISNUMBER(D747)),ABS(D747-E747)&gt;$O$3,AND($O$11=1,B747&lt;$O$12)),1,0)</f>
        <v/>
      </c>
      <c r="I747">
        <f>IF(H747=1,NA(),D747)</f>
        <v/>
      </c>
      <c r="J747">
        <f>IF(AND(ISNUMBER(D747),D747&gt;=$O$4,OR($O$11=0,B747&gt;=$O$12)),1,0)</f>
        <v/>
      </c>
      <c r="K747">
        <f>B747-$O$14</f>
        <v/>
      </c>
    </row>
    <row r="748">
      <c r="A748" t="n">
        <v>2238</v>
      </c>
      <c r="B748" t="n">
        <v>74.59999999999999</v>
      </c>
      <c r="C748" t="inlineStr">
        <is>
          <t>?11</t>
        </is>
      </c>
      <c r="E748">
        <f>MEDIAN(D728:D768)</f>
        <v/>
      </c>
      <c r="F748">
        <f>E728</f>
        <v/>
      </c>
      <c r="G748">
        <f>F748-E748</f>
        <v/>
      </c>
      <c r="H748">
        <f>IF(OR(NOT(ISNUMBER(D748)),ABS(D748-E748)&gt;$O$3,AND($O$11=1,B748&lt;$O$12)),1,0)</f>
        <v/>
      </c>
      <c r="I748">
        <f>IF(H748=1,NA(),D748)</f>
        <v/>
      </c>
      <c r="J748">
        <f>IF(AND(ISNUMBER(D748),D748&gt;=$O$4,OR($O$11=0,B748&gt;=$O$12)),1,0)</f>
        <v/>
      </c>
      <c r="K748">
        <f>B748-$O$14</f>
        <v/>
      </c>
    </row>
    <row r="749">
      <c r="A749" t="n">
        <v>2241</v>
      </c>
      <c r="B749" t="n">
        <v>74.7</v>
      </c>
      <c r="C749" t="inlineStr">
        <is>
          <t>311</t>
        </is>
      </c>
      <c r="D749" t="n">
        <v>3.11</v>
      </c>
      <c r="E749">
        <f>MEDIAN(D729:D769)</f>
        <v/>
      </c>
      <c r="F749">
        <f>E729</f>
        <v/>
      </c>
      <c r="G749">
        <f>F749-E749</f>
        <v/>
      </c>
      <c r="H749">
        <f>IF(OR(NOT(ISNUMBER(D749)),ABS(D749-E749)&gt;$O$3,AND($O$11=1,B749&lt;$O$12)),1,0)</f>
        <v/>
      </c>
      <c r="I749">
        <f>IF(H749=1,NA(),D749)</f>
        <v/>
      </c>
      <c r="J749">
        <f>IF(AND(ISNUMBER(D749),D749&gt;=$O$4,OR($O$11=0,B749&gt;=$O$12)),1,0)</f>
        <v/>
      </c>
      <c r="K749">
        <f>B749-$O$14</f>
        <v/>
      </c>
    </row>
    <row r="750">
      <c r="A750" t="n">
        <v>2244</v>
      </c>
      <c r="B750" t="n">
        <v>74.8</v>
      </c>
      <c r="C750" t="inlineStr">
        <is>
          <t>?15</t>
        </is>
      </c>
      <c r="E750">
        <f>MEDIAN(D730:D770)</f>
        <v/>
      </c>
      <c r="F750">
        <f>E730</f>
        <v/>
      </c>
      <c r="G750">
        <f>F750-E750</f>
        <v/>
      </c>
      <c r="H750">
        <f>IF(OR(NOT(ISNUMBER(D750)),ABS(D750-E750)&gt;$O$3,AND($O$11=1,B750&lt;$O$12)),1,0)</f>
        <v/>
      </c>
      <c r="I750">
        <f>IF(H750=1,NA(),D750)</f>
        <v/>
      </c>
      <c r="J750">
        <f>IF(AND(ISNUMBER(D750),D750&gt;=$O$4,OR($O$11=0,B750&gt;=$O$12)),1,0)</f>
        <v/>
      </c>
      <c r="K750">
        <f>B750-$O$14</f>
        <v/>
      </c>
    </row>
    <row r="751">
      <c r="A751" t="n">
        <v>2247</v>
      </c>
      <c r="B751" t="n">
        <v>74.90000000000001</v>
      </c>
      <c r="C751" t="inlineStr">
        <is>
          <t>?11</t>
        </is>
      </c>
      <c r="E751">
        <f>MEDIAN(D731:D771)</f>
        <v/>
      </c>
      <c r="F751">
        <f>E731</f>
        <v/>
      </c>
      <c r="G751">
        <f>F751-E751</f>
        <v/>
      </c>
      <c r="H751">
        <f>IF(OR(NOT(ISNUMBER(D751)),ABS(D751-E751)&gt;$O$3,AND($O$11=1,B751&lt;$O$12)),1,0)</f>
        <v/>
      </c>
      <c r="I751">
        <f>IF(H751=1,NA(),D751)</f>
        <v/>
      </c>
      <c r="J751">
        <f>IF(AND(ISNUMBER(D751),D751&gt;=$O$4,OR($O$11=0,B751&gt;=$O$12)),1,0)</f>
        <v/>
      </c>
      <c r="K751">
        <f>B751-$O$14</f>
        <v/>
      </c>
    </row>
    <row r="752">
      <c r="A752" t="n">
        <v>2250</v>
      </c>
      <c r="B752" t="n">
        <v>75</v>
      </c>
      <c r="C752" t="inlineStr">
        <is>
          <t>?15</t>
        </is>
      </c>
      <c r="E752">
        <f>MEDIAN(D732:D772)</f>
        <v/>
      </c>
      <c r="F752">
        <f>E732</f>
        <v/>
      </c>
      <c r="G752">
        <f>F752-E752</f>
        <v/>
      </c>
      <c r="H752">
        <f>IF(OR(NOT(ISNUMBER(D752)),ABS(D752-E752)&gt;$O$3,AND($O$11=1,B752&lt;$O$12)),1,0)</f>
        <v/>
      </c>
      <c r="I752">
        <f>IF(H752=1,NA(),D752)</f>
        <v/>
      </c>
      <c r="J752">
        <f>IF(AND(ISNUMBER(D752),D752&gt;=$O$4,OR($O$11=0,B752&gt;=$O$12)),1,0)</f>
        <v/>
      </c>
      <c r="K752">
        <f>B752-$O$14</f>
        <v/>
      </c>
    </row>
    <row r="753">
      <c r="A753" t="n">
        <v>2253</v>
      </c>
      <c r="B753" t="n">
        <v>75.09999999999999</v>
      </c>
      <c r="C753" t="inlineStr">
        <is>
          <t>?11</t>
        </is>
      </c>
      <c r="E753">
        <f>MEDIAN(D733:D773)</f>
        <v/>
      </c>
      <c r="F753">
        <f>E733</f>
        <v/>
      </c>
      <c r="G753">
        <f>F753-E753</f>
        <v/>
      </c>
      <c r="H753">
        <f>IF(OR(NOT(ISNUMBER(D753)),ABS(D753-E753)&gt;$O$3,AND($O$11=1,B753&lt;$O$12)),1,0)</f>
        <v/>
      </c>
      <c r="I753">
        <f>IF(H753=1,NA(),D753)</f>
        <v/>
      </c>
      <c r="J753">
        <f>IF(AND(ISNUMBER(D753),D753&gt;=$O$4,OR($O$11=0,B753&gt;=$O$12)),1,0)</f>
        <v/>
      </c>
      <c r="K753">
        <f>B753-$O$14</f>
        <v/>
      </c>
    </row>
    <row r="754">
      <c r="A754" t="n">
        <v>2256</v>
      </c>
      <c r="B754" t="n">
        <v>75.2</v>
      </c>
      <c r="C754" t="inlineStr">
        <is>
          <t>?11</t>
        </is>
      </c>
      <c r="E754">
        <f>MEDIAN(D734:D774)</f>
        <v/>
      </c>
      <c r="F754">
        <f>E734</f>
        <v/>
      </c>
      <c r="G754">
        <f>F754-E754</f>
        <v/>
      </c>
      <c r="H754">
        <f>IF(OR(NOT(ISNUMBER(D754)),ABS(D754-E754)&gt;$O$3,AND($O$11=1,B754&lt;$O$12)),1,0)</f>
        <v/>
      </c>
      <c r="I754">
        <f>IF(H754=1,NA(),D754)</f>
        <v/>
      </c>
      <c r="J754">
        <f>IF(AND(ISNUMBER(D754),D754&gt;=$O$4,OR($O$11=0,B754&gt;=$O$12)),1,0)</f>
        <v/>
      </c>
      <c r="K754">
        <f>B754-$O$14</f>
        <v/>
      </c>
    </row>
    <row r="755">
      <c r="A755" t="n">
        <v>2259</v>
      </c>
      <c r="B755" t="n">
        <v>75.3</v>
      </c>
      <c r="C755" t="inlineStr">
        <is>
          <t>311</t>
        </is>
      </c>
      <c r="D755" t="n">
        <v>3.11</v>
      </c>
      <c r="E755">
        <f>MEDIAN(D735:D775)</f>
        <v/>
      </c>
      <c r="F755">
        <f>E735</f>
        <v/>
      </c>
      <c r="G755">
        <f>F755-E755</f>
        <v/>
      </c>
      <c r="H755">
        <f>IF(OR(NOT(ISNUMBER(D755)),ABS(D755-E755)&gt;$O$3,AND($O$11=1,B755&lt;$O$12)),1,0)</f>
        <v/>
      </c>
      <c r="I755">
        <f>IF(H755=1,NA(),D755)</f>
        <v/>
      </c>
      <c r="J755">
        <f>IF(AND(ISNUMBER(D755),D755&gt;=$O$4,OR($O$11=0,B755&gt;=$O$12)),1,0)</f>
        <v/>
      </c>
      <c r="K755">
        <f>B755-$O$14</f>
        <v/>
      </c>
    </row>
    <row r="756">
      <c r="A756" t="n">
        <v>2262</v>
      </c>
      <c r="B756" t="n">
        <v>75.40000000000001</v>
      </c>
      <c r="C756" t="inlineStr">
        <is>
          <t>311</t>
        </is>
      </c>
      <c r="D756" t="n">
        <v>3.11</v>
      </c>
      <c r="E756">
        <f>MEDIAN(D736:D776)</f>
        <v/>
      </c>
      <c r="F756">
        <f>E736</f>
        <v/>
      </c>
      <c r="G756">
        <f>F756-E756</f>
        <v/>
      </c>
      <c r="H756">
        <f>IF(OR(NOT(ISNUMBER(D756)),ABS(D756-E756)&gt;$O$3,AND($O$11=1,B756&lt;$O$12)),1,0)</f>
        <v/>
      </c>
      <c r="I756">
        <f>IF(H756=1,NA(),D756)</f>
        <v/>
      </c>
      <c r="J756">
        <f>IF(AND(ISNUMBER(D756),D756&gt;=$O$4,OR($O$11=0,B756&gt;=$O$12)),1,0)</f>
        <v/>
      </c>
      <c r="K756">
        <f>B756-$O$14</f>
        <v/>
      </c>
    </row>
    <row r="757">
      <c r="A757" t="n">
        <v>2265</v>
      </c>
      <c r="B757" t="n">
        <v>75.5</v>
      </c>
      <c r="C757" t="inlineStr">
        <is>
          <t>311</t>
        </is>
      </c>
      <c r="D757" t="n">
        <v>3.11</v>
      </c>
      <c r="E757">
        <f>MEDIAN(D737:D777)</f>
        <v/>
      </c>
      <c r="F757">
        <f>E737</f>
        <v/>
      </c>
      <c r="G757">
        <f>F757-E757</f>
        <v/>
      </c>
      <c r="H757">
        <f>IF(OR(NOT(ISNUMBER(D757)),ABS(D757-E757)&gt;$O$3,AND($O$11=1,B757&lt;$O$12)),1,0)</f>
        <v/>
      </c>
      <c r="I757">
        <f>IF(H757=1,NA(),D757)</f>
        <v/>
      </c>
      <c r="J757">
        <f>IF(AND(ISNUMBER(D757),D757&gt;=$O$4,OR($O$11=0,B757&gt;=$O$12)),1,0)</f>
        <v/>
      </c>
      <c r="K757">
        <f>B757-$O$14</f>
        <v/>
      </c>
    </row>
    <row r="758">
      <c r="A758" t="n">
        <v>2268</v>
      </c>
      <c r="B758" t="n">
        <v>75.59999999999999</v>
      </c>
      <c r="C758" t="inlineStr">
        <is>
          <t>311</t>
        </is>
      </c>
      <c r="D758" t="n">
        <v>3.11</v>
      </c>
      <c r="E758">
        <f>MEDIAN(D738:D778)</f>
        <v/>
      </c>
      <c r="F758">
        <f>E738</f>
        <v/>
      </c>
      <c r="G758">
        <f>F758-E758</f>
        <v/>
      </c>
      <c r="H758">
        <f>IF(OR(NOT(ISNUMBER(D758)),ABS(D758-E758)&gt;$O$3,AND($O$11=1,B758&lt;$O$12)),1,0)</f>
        <v/>
      </c>
      <c r="I758">
        <f>IF(H758=1,NA(),D758)</f>
        <v/>
      </c>
      <c r="J758">
        <f>IF(AND(ISNUMBER(D758),D758&gt;=$O$4,OR($O$11=0,B758&gt;=$O$12)),1,0)</f>
        <v/>
      </c>
      <c r="K758">
        <f>B758-$O$14</f>
        <v/>
      </c>
    </row>
    <row r="759">
      <c r="A759" t="n">
        <v>2271</v>
      </c>
      <c r="B759" t="n">
        <v>75.7</v>
      </c>
      <c r="C759" t="inlineStr">
        <is>
          <t>?11</t>
        </is>
      </c>
      <c r="E759">
        <f>MEDIAN(D739:D779)</f>
        <v/>
      </c>
      <c r="F759">
        <f>E739</f>
        <v/>
      </c>
      <c r="G759">
        <f>F759-E759</f>
        <v/>
      </c>
      <c r="H759">
        <f>IF(OR(NOT(ISNUMBER(D759)),ABS(D759-E759)&gt;$O$3,AND($O$11=1,B759&lt;$O$12)),1,0)</f>
        <v/>
      </c>
      <c r="I759">
        <f>IF(H759=1,NA(),D759)</f>
        <v/>
      </c>
      <c r="J759">
        <f>IF(AND(ISNUMBER(D759),D759&gt;=$O$4,OR($O$11=0,B759&gt;=$O$12)),1,0)</f>
        <v/>
      </c>
      <c r="K759">
        <f>B759-$O$14</f>
        <v/>
      </c>
    </row>
    <row r="760">
      <c r="A760" t="n">
        <v>2274</v>
      </c>
      <c r="B760" t="n">
        <v>75.8</v>
      </c>
      <c r="C760" t="inlineStr">
        <is>
          <t>?15</t>
        </is>
      </c>
      <c r="E760">
        <f>MEDIAN(D740:D780)</f>
        <v/>
      </c>
      <c r="F760">
        <f>E740</f>
        <v/>
      </c>
      <c r="G760">
        <f>F760-E760</f>
        <v/>
      </c>
      <c r="H760">
        <f>IF(OR(NOT(ISNUMBER(D760)),ABS(D760-E760)&gt;$O$3,AND($O$11=1,B760&lt;$O$12)),1,0)</f>
        <v/>
      </c>
      <c r="I760">
        <f>IF(H760=1,NA(),D760)</f>
        <v/>
      </c>
      <c r="J760">
        <f>IF(AND(ISNUMBER(D760),D760&gt;=$O$4,OR($O$11=0,B760&gt;=$O$12)),1,0)</f>
        <v/>
      </c>
      <c r="K760">
        <f>B760-$O$14</f>
        <v/>
      </c>
    </row>
    <row r="761">
      <c r="A761" t="n">
        <v>2277</v>
      </c>
      <c r="B761" t="n">
        <v>75.90000000000001</v>
      </c>
      <c r="C761" t="inlineStr">
        <is>
          <t>15</t>
        </is>
      </c>
      <c r="D761" t="n">
        <v>0.15</v>
      </c>
      <c r="E761">
        <f>MEDIAN(D741:D781)</f>
        <v/>
      </c>
      <c r="F761">
        <f>E741</f>
        <v/>
      </c>
      <c r="G761">
        <f>F761-E761</f>
        <v/>
      </c>
      <c r="H761">
        <f>IF(OR(NOT(ISNUMBER(D761)),ABS(D761-E761)&gt;$O$3,AND($O$11=1,B761&lt;$O$12)),1,0)</f>
        <v/>
      </c>
      <c r="I761">
        <f>IF(H761=1,NA(),D761)</f>
        <v/>
      </c>
      <c r="J761">
        <f>IF(AND(ISNUMBER(D761),D761&gt;=$O$4,OR($O$11=0,B761&gt;=$O$12)),1,0)</f>
        <v/>
      </c>
      <c r="K761">
        <f>B761-$O$14</f>
        <v/>
      </c>
    </row>
    <row r="762">
      <c r="A762" t="n">
        <v>2280</v>
      </c>
      <c r="B762" t="n">
        <v>76</v>
      </c>
      <c r="C762" t="inlineStr">
        <is>
          <t>311</t>
        </is>
      </c>
      <c r="D762" t="n">
        <v>3.11</v>
      </c>
      <c r="E762">
        <f>MEDIAN(D742:D782)</f>
        <v/>
      </c>
      <c r="F762">
        <f>E742</f>
        <v/>
      </c>
      <c r="G762">
        <f>F762-E762</f>
        <v/>
      </c>
      <c r="H762">
        <f>IF(OR(NOT(ISNUMBER(D762)),ABS(D762-E762)&gt;$O$3,AND($O$11=1,B762&lt;$O$12)),1,0)</f>
        <v/>
      </c>
      <c r="I762">
        <f>IF(H762=1,NA(),D762)</f>
        <v/>
      </c>
      <c r="J762">
        <f>IF(AND(ISNUMBER(D762),D762&gt;=$O$4,OR($O$11=0,B762&gt;=$O$12)),1,0)</f>
        <v/>
      </c>
      <c r="K762">
        <f>B762-$O$14</f>
        <v/>
      </c>
    </row>
    <row r="763">
      <c r="A763" t="n">
        <v>2283</v>
      </c>
      <c r="B763" t="n">
        <v>76.09999999999999</v>
      </c>
      <c r="C763" t="inlineStr">
        <is>
          <t>?11</t>
        </is>
      </c>
      <c r="E763">
        <f>MEDIAN(D743:D783)</f>
        <v/>
      </c>
      <c r="F763">
        <f>E743</f>
        <v/>
      </c>
      <c r="G763">
        <f>F763-E763</f>
        <v/>
      </c>
      <c r="H763">
        <f>IF(OR(NOT(ISNUMBER(D763)),ABS(D763-E763)&gt;$O$3,AND($O$11=1,B763&lt;$O$12)),1,0)</f>
        <v/>
      </c>
      <c r="I763">
        <f>IF(H763=1,NA(),D763)</f>
        <v/>
      </c>
      <c r="J763">
        <f>IF(AND(ISNUMBER(D763),D763&gt;=$O$4,OR($O$11=0,B763&gt;=$O$12)),1,0)</f>
        <v/>
      </c>
      <c r="K763">
        <f>B763-$O$14</f>
        <v/>
      </c>
    </row>
    <row r="764">
      <c r="A764" t="n">
        <v>2286</v>
      </c>
      <c r="B764" t="n">
        <v>76.2</v>
      </c>
      <c r="C764" t="inlineStr">
        <is>
          <t>?11</t>
        </is>
      </c>
      <c r="E764">
        <f>MEDIAN(D744:D784)</f>
        <v/>
      </c>
      <c r="F764">
        <f>E744</f>
        <v/>
      </c>
      <c r="G764">
        <f>F764-E764</f>
        <v/>
      </c>
      <c r="H764">
        <f>IF(OR(NOT(ISNUMBER(D764)),ABS(D764-E764)&gt;$O$3,AND($O$11=1,B764&lt;$O$12)),1,0)</f>
        <v/>
      </c>
      <c r="I764">
        <f>IF(H764=1,NA(),D764)</f>
        <v/>
      </c>
      <c r="J764">
        <f>IF(AND(ISNUMBER(D764),D764&gt;=$O$4,OR($O$11=0,B764&gt;=$O$12)),1,0)</f>
        <v/>
      </c>
      <c r="K764">
        <f>B764-$O$14</f>
        <v/>
      </c>
    </row>
    <row r="765">
      <c r="A765" t="n">
        <v>2289</v>
      </c>
      <c r="B765" t="n">
        <v>76.3</v>
      </c>
      <c r="C765" t="inlineStr">
        <is>
          <t>315</t>
        </is>
      </c>
      <c r="D765" t="n">
        <v>3.15</v>
      </c>
      <c r="E765">
        <f>MEDIAN(D745:D785)</f>
        <v/>
      </c>
      <c r="F765">
        <f>E745</f>
        <v/>
      </c>
      <c r="G765">
        <f>F765-E765</f>
        <v/>
      </c>
      <c r="H765">
        <f>IF(OR(NOT(ISNUMBER(D765)),ABS(D765-E765)&gt;$O$3,AND($O$11=1,B765&lt;$O$12)),1,0)</f>
        <v/>
      </c>
      <c r="I765">
        <f>IF(H765=1,NA(),D765)</f>
        <v/>
      </c>
      <c r="J765">
        <f>IF(AND(ISNUMBER(D765),D765&gt;=$O$4,OR($O$11=0,B765&gt;=$O$12)),1,0)</f>
        <v/>
      </c>
      <c r="K765">
        <f>B765-$O$14</f>
        <v/>
      </c>
    </row>
    <row r="766">
      <c r="A766" t="n">
        <v>2292</v>
      </c>
      <c r="B766" t="n">
        <v>76.40000000000001</v>
      </c>
      <c r="C766" t="inlineStr">
        <is>
          <t>311</t>
        </is>
      </c>
      <c r="D766" t="n">
        <v>3.11</v>
      </c>
      <c r="E766">
        <f>MEDIAN(D746:D786)</f>
        <v/>
      </c>
      <c r="F766">
        <f>E746</f>
        <v/>
      </c>
      <c r="G766">
        <f>F766-E766</f>
        <v/>
      </c>
      <c r="H766">
        <f>IF(OR(NOT(ISNUMBER(D766)),ABS(D766-E766)&gt;$O$3,AND($O$11=1,B766&lt;$O$12)),1,0)</f>
        <v/>
      </c>
      <c r="I766">
        <f>IF(H766=1,NA(),D766)</f>
        <v/>
      </c>
      <c r="J766">
        <f>IF(AND(ISNUMBER(D766),D766&gt;=$O$4,OR($O$11=0,B766&gt;=$O$12)),1,0)</f>
        <v/>
      </c>
      <c r="K766">
        <f>B766-$O$14</f>
        <v/>
      </c>
    </row>
    <row r="767">
      <c r="A767" t="n">
        <v>2295</v>
      </c>
      <c r="B767" t="n">
        <v>76.5</v>
      </c>
      <c r="C767" t="inlineStr">
        <is>
          <t>311</t>
        </is>
      </c>
      <c r="D767" t="n">
        <v>3.11</v>
      </c>
      <c r="E767">
        <f>MEDIAN(D747:D787)</f>
        <v/>
      </c>
      <c r="F767">
        <f>E747</f>
        <v/>
      </c>
      <c r="G767">
        <f>F767-E767</f>
        <v/>
      </c>
      <c r="H767">
        <f>IF(OR(NOT(ISNUMBER(D767)),ABS(D767-E767)&gt;$O$3,AND($O$11=1,B767&lt;$O$12)),1,0)</f>
        <v/>
      </c>
      <c r="I767">
        <f>IF(H767=1,NA(),D767)</f>
        <v/>
      </c>
      <c r="J767">
        <f>IF(AND(ISNUMBER(D767),D767&gt;=$O$4,OR($O$11=0,B767&gt;=$O$12)),1,0)</f>
        <v/>
      </c>
      <c r="K767">
        <f>B767-$O$14</f>
        <v/>
      </c>
    </row>
    <row r="768">
      <c r="A768" t="n">
        <v>2298</v>
      </c>
      <c r="B768" t="n">
        <v>76.59999999999999</v>
      </c>
      <c r="C768" t="inlineStr">
        <is>
          <t>314</t>
        </is>
      </c>
      <c r="D768" t="n">
        <v>3.14</v>
      </c>
      <c r="E768">
        <f>MEDIAN(D748:D788)</f>
        <v/>
      </c>
      <c r="F768">
        <f>E748</f>
        <v/>
      </c>
      <c r="G768">
        <f>F768-E768</f>
        <v/>
      </c>
      <c r="H768">
        <f>IF(OR(NOT(ISNUMBER(D768)),ABS(D768-E768)&gt;$O$3,AND($O$11=1,B768&lt;$O$12)),1,0)</f>
        <v/>
      </c>
      <c r="I768">
        <f>IF(H768=1,NA(),D768)</f>
        <v/>
      </c>
      <c r="J768">
        <f>IF(AND(ISNUMBER(D768),D768&gt;=$O$4,OR($O$11=0,B768&gt;=$O$12)),1,0)</f>
        <v/>
      </c>
      <c r="K768">
        <f>B768-$O$14</f>
        <v/>
      </c>
    </row>
    <row r="769">
      <c r="A769" t="n">
        <v>2301</v>
      </c>
      <c r="B769" t="n">
        <v>76.7</v>
      </c>
      <c r="C769" t="inlineStr">
        <is>
          <t>?11</t>
        </is>
      </c>
      <c r="E769">
        <f>MEDIAN(D749:D789)</f>
        <v/>
      </c>
      <c r="F769">
        <f>E749</f>
        <v/>
      </c>
      <c r="G769">
        <f>F769-E769</f>
        <v/>
      </c>
      <c r="H769">
        <f>IF(OR(NOT(ISNUMBER(D769)),ABS(D769-E769)&gt;$O$3,AND($O$11=1,B769&lt;$O$12)),1,0)</f>
        <v/>
      </c>
      <c r="I769">
        <f>IF(H769=1,NA(),D769)</f>
        <v/>
      </c>
      <c r="J769">
        <f>IF(AND(ISNUMBER(D769),D769&gt;=$O$4,OR($O$11=0,B769&gt;=$O$12)),1,0)</f>
        <v/>
      </c>
      <c r="K769">
        <f>B769-$O$14</f>
        <v/>
      </c>
    </row>
    <row r="770">
      <c r="A770" t="n">
        <v>2304</v>
      </c>
      <c r="B770" t="n">
        <v>76.8</v>
      </c>
      <c r="C770" t="inlineStr">
        <is>
          <t>311</t>
        </is>
      </c>
      <c r="D770" t="n">
        <v>3.11</v>
      </c>
      <c r="E770">
        <f>MEDIAN(D750:D790)</f>
        <v/>
      </c>
      <c r="F770">
        <f>E750</f>
        <v/>
      </c>
      <c r="G770">
        <f>F770-E770</f>
        <v/>
      </c>
      <c r="H770">
        <f>IF(OR(NOT(ISNUMBER(D770)),ABS(D770-E770)&gt;$O$3,AND($O$11=1,B770&lt;$O$12)),1,0)</f>
        <v/>
      </c>
      <c r="I770">
        <f>IF(H770=1,NA(),D770)</f>
        <v/>
      </c>
      <c r="J770">
        <f>IF(AND(ISNUMBER(D770),D770&gt;=$O$4,OR($O$11=0,B770&gt;=$O$12)),1,0)</f>
        <v/>
      </c>
      <c r="K770">
        <f>B770-$O$14</f>
        <v/>
      </c>
    </row>
    <row r="771">
      <c r="A771" t="n">
        <v>2307</v>
      </c>
      <c r="B771" t="n">
        <v>76.90000000000001</v>
      </c>
      <c r="C771" t="inlineStr">
        <is>
          <t>311</t>
        </is>
      </c>
      <c r="D771" t="n">
        <v>3.11</v>
      </c>
      <c r="E771">
        <f>MEDIAN(D751:D791)</f>
        <v/>
      </c>
      <c r="F771">
        <f>E751</f>
        <v/>
      </c>
      <c r="G771">
        <f>F771-E771</f>
        <v/>
      </c>
      <c r="H771">
        <f>IF(OR(NOT(ISNUMBER(D771)),ABS(D771-E771)&gt;$O$3,AND($O$11=1,B771&lt;$O$12)),1,0)</f>
        <v/>
      </c>
      <c r="I771">
        <f>IF(H771=1,NA(),D771)</f>
        <v/>
      </c>
      <c r="J771">
        <f>IF(AND(ISNUMBER(D771),D771&gt;=$O$4,OR($O$11=0,B771&gt;=$O$12)),1,0)</f>
        <v/>
      </c>
      <c r="K771">
        <f>B771-$O$14</f>
        <v/>
      </c>
    </row>
    <row r="772">
      <c r="A772" t="n">
        <v>2310</v>
      </c>
      <c r="B772" t="n">
        <v>77</v>
      </c>
      <c r="C772" t="inlineStr">
        <is>
          <t>15</t>
        </is>
      </c>
      <c r="D772" t="n">
        <v>0.15</v>
      </c>
      <c r="E772">
        <f>MEDIAN(D752:D792)</f>
        <v/>
      </c>
      <c r="F772">
        <f>E752</f>
        <v/>
      </c>
      <c r="G772">
        <f>F772-E772</f>
        <v/>
      </c>
      <c r="H772">
        <f>IF(OR(NOT(ISNUMBER(D772)),ABS(D772-E772)&gt;$O$3,AND($O$11=1,B772&lt;$O$12)),1,0)</f>
        <v/>
      </c>
      <c r="I772">
        <f>IF(H772=1,NA(),D772)</f>
        <v/>
      </c>
      <c r="J772">
        <f>IF(AND(ISNUMBER(D772),D772&gt;=$O$4,OR($O$11=0,B772&gt;=$O$12)),1,0)</f>
        <v/>
      </c>
      <c r="K772">
        <f>B772-$O$14</f>
        <v/>
      </c>
    </row>
    <row r="773">
      <c r="A773" t="n">
        <v>2313</v>
      </c>
      <c r="B773" t="n">
        <v>77.09999999999999</v>
      </c>
      <c r="C773" t="inlineStr">
        <is>
          <t>311</t>
        </is>
      </c>
      <c r="D773" t="n">
        <v>3.11</v>
      </c>
      <c r="E773">
        <f>MEDIAN(D753:D793)</f>
        <v/>
      </c>
      <c r="F773">
        <f>E753</f>
        <v/>
      </c>
      <c r="G773">
        <f>F773-E773</f>
        <v/>
      </c>
      <c r="H773">
        <f>IF(OR(NOT(ISNUMBER(D773)),ABS(D773-E773)&gt;$O$3,AND($O$11=1,B773&lt;$O$12)),1,0)</f>
        <v/>
      </c>
      <c r="I773">
        <f>IF(H773=1,NA(),D773)</f>
        <v/>
      </c>
      <c r="J773">
        <f>IF(AND(ISNUMBER(D773),D773&gt;=$O$4,OR($O$11=0,B773&gt;=$O$12)),1,0)</f>
        <v/>
      </c>
      <c r="K773">
        <f>B773-$O$14</f>
        <v/>
      </c>
    </row>
    <row r="774">
      <c r="A774" t="n">
        <v>2316</v>
      </c>
      <c r="B774" t="n">
        <v>77.2</v>
      </c>
      <c r="C774" t="inlineStr">
        <is>
          <t>?1?</t>
        </is>
      </c>
      <c r="E774">
        <f>MEDIAN(D754:D794)</f>
        <v/>
      </c>
      <c r="F774">
        <f>E754</f>
        <v/>
      </c>
      <c r="G774">
        <f>F774-E774</f>
        <v/>
      </c>
      <c r="H774">
        <f>IF(OR(NOT(ISNUMBER(D774)),ABS(D774-E774)&gt;$O$3,AND($O$11=1,B774&lt;$O$12)),1,0)</f>
        <v/>
      </c>
      <c r="I774">
        <f>IF(H774=1,NA(),D774)</f>
        <v/>
      </c>
      <c r="J774">
        <f>IF(AND(ISNUMBER(D774),D774&gt;=$O$4,OR($O$11=0,B774&gt;=$O$12)),1,0)</f>
        <v/>
      </c>
      <c r="K774">
        <f>B774-$O$14</f>
        <v/>
      </c>
    </row>
    <row r="775">
      <c r="A775" t="n">
        <v>2319</v>
      </c>
      <c r="B775" t="n">
        <v>77.3</v>
      </c>
      <c r="C775" t="inlineStr">
        <is>
          <t>?12</t>
        </is>
      </c>
      <c r="E775">
        <f>MEDIAN(D755:D795)</f>
        <v/>
      </c>
      <c r="F775">
        <f>E755</f>
        <v/>
      </c>
      <c r="G775">
        <f>F775-E775</f>
        <v/>
      </c>
      <c r="H775">
        <f>IF(OR(NOT(ISNUMBER(D775)),ABS(D775-E775)&gt;$O$3,AND($O$11=1,B775&lt;$O$12)),1,0)</f>
        <v/>
      </c>
      <c r="I775">
        <f>IF(H775=1,NA(),D775)</f>
        <v/>
      </c>
      <c r="J775">
        <f>IF(AND(ISNUMBER(D775),D775&gt;=$O$4,OR($O$11=0,B775&gt;=$O$12)),1,0)</f>
        <v/>
      </c>
      <c r="K775">
        <f>B775-$O$14</f>
        <v/>
      </c>
    </row>
    <row r="776">
      <c r="A776" t="n">
        <v>2322</v>
      </c>
      <c r="B776" t="n">
        <v>77.40000000000001</v>
      </c>
      <c r="C776" t="inlineStr">
        <is>
          <t>?12</t>
        </is>
      </c>
      <c r="E776">
        <f>MEDIAN(D756:D796)</f>
        <v/>
      </c>
      <c r="F776">
        <f>E756</f>
        <v/>
      </c>
      <c r="G776">
        <f>F776-E776</f>
        <v/>
      </c>
      <c r="H776">
        <f>IF(OR(NOT(ISNUMBER(D776)),ABS(D776-E776)&gt;$O$3,AND($O$11=1,B776&lt;$O$12)),1,0)</f>
        <v/>
      </c>
      <c r="I776">
        <f>IF(H776=1,NA(),D776)</f>
        <v/>
      </c>
      <c r="J776">
        <f>IF(AND(ISNUMBER(D776),D776&gt;=$O$4,OR($O$11=0,B776&gt;=$O$12)),1,0)</f>
        <v/>
      </c>
      <c r="K776">
        <f>B776-$O$14</f>
        <v/>
      </c>
    </row>
    <row r="777">
      <c r="A777" t="n">
        <v>2325</v>
      </c>
      <c r="B777" t="n">
        <v>77.5</v>
      </c>
      <c r="C777" t="inlineStr">
        <is>
          <t>12</t>
        </is>
      </c>
      <c r="D777" t="n">
        <v>0.12</v>
      </c>
      <c r="E777">
        <f>MEDIAN(D757:D797)</f>
        <v/>
      </c>
      <c r="F777">
        <f>E757</f>
        <v/>
      </c>
      <c r="G777">
        <f>F777-E777</f>
        <v/>
      </c>
      <c r="H777">
        <f>IF(OR(NOT(ISNUMBER(D777)),ABS(D777-E777)&gt;$O$3,AND($O$11=1,B777&lt;$O$12)),1,0)</f>
        <v/>
      </c>
      <c r="I777">
        <f>IF(H777=1,NA(),D777)</f>
        <v/>
      </c>
      <c r="J777">
        <f>IF(AND(ISNUMBER(D777),D777&gt;=$O$4,OR($O$11=0,B777&gt;=$O$12)),1,0)</f>
        <v/>
      </c>
      <c r="K777">
        <f>B777-$O$14</f>
        <v/>
      </c>
    </row>
    <row r="778">
      <c r="A778" t="n">
        <v>2328</v>
      </c>
      <c r="B778" t="n">
        <v>77.59999999999999</v>
      </c>
      <c r="C778" t="inlineStr">
        <is>
          <t>?12</t>
        </is>
      </c>
      <c r="E778">
        <f>MEDIAN(D758:D798)</f>
        <v/>
      </c>
      <c r="F778">
        <f>E758</f>
        <v/>
      </c>
      <c r="G778">
        <f>F778-E778</f>
        <v/>
      </c>
      <c r="H778">
        <f>IF(OR(NOT(ISNUMBER(D778)),ABS(D778-E778)&gt;$O$3,AND($O$11=1,B778&lt;$O$12)),1,0)</f>
        <v/>
      </c>
      <c r="I778">
        <f>IF(H778=1,NA(),D778)</f>
        <v/>
      </c>
      <c r="J778">
        <f>IF(AND(ISNUMBER(D778),D778&gt;=$O$4,OR($O$11=0,B778&gt;=$O$12)),1,0)</f>
        <v/>
      </c>
      <c r="K778">
        <f>B778-$O$14</f>
        <v/>
      </c>
    </row>
    <row r="779">
      <c r="A779" t="n">
        <v>2331</v>
      </c>
      <c r="B779" t="n">
        <v>77.7</v>
      </c>
      <c r="C779" t="inlineStr">
        <is>
          <t>312</t>
        </is>
      </c>
      <c r="D779" t="n">
        <v>3.12</v>
      </c>
      <c r="E779">
        <f>MEDIAN(D759:D799)</f>
        <v/>
      </c>
      <c r="F779">
        <f>E759</f>
        <v/>
      </c>
      <c r="G779">
        <f>F779-E779</f>
        <v/>
      </c>
      <c r="H779">
        <f>IF(OR(NOT(ISNUMBER(D779)),ABS(D779-E779)&gt;$O$3,AND($O$11=1,B779&lt;$O$12)),1,0)</f>
        <v/>
      </c>
      <c r="I779">
        <f>IF(H779=1,NA(),D779)</f>
        <v/>
      </c>
      <c r="J779">
        <f>IF(AND(ISNUMBER(D779),D779&gt;=$O$4,OR($O$11=0,B779&gt;=$O$12)),1,0)</f>
        <v/>
      </c>
      <c r="K779">
        <f>B779-$O$14</f>
        <v/>
      </c>
    </row>
    <row r="780">
      <c r="A780" t="n">
        <v>2334</v>
      </c>
      <c r="B780" t="n">
        <v>77.8</v>
      </c>
      <c r="C780" t="inlineStr">
        <is>
          <t>?12</t>
        </is>
      </c>
      <c r="E780">
        <f>MEDIAN(D760:D800)</f>
        <v/>
      </c>
      <c r="F780">
        <f>E760</f>
        <v/>
      </c>
      <c r="G780">
        <f>F780-E780</f>
        <v/>
      </c>
      <c r="H780">
        <f>IF(OR(NOT(ISNUMBER(D780)),ABS(D780-E780)&gt;$O$3,AND($O$11=1,B780&lt;$O$12)),1,0)</f>
        <v/>
      </c>
      <c r="I780">
        <f>IF(H780=1,NA(),D780)</f>
        <v/>
      </c>
      <c r="J780">
        <f>IF(AND(ISNUMBER(D780),D780&gt;=$O$4,OR($O$11=0,B780&gt;=$O$12)),1,0)</f>
        <v/>
      </c>
      <c r="K780">
        <f>B780-$O$14</f>
        <v/>
      </c>
    </row>
    <row r="781">
      <c r="A781" t="n">
        <v>2337</v>
      </c>
      <c r="B781" t="n">
        <v>77.90000000000001</v>
      </c>
      <c r="C781" t="inlineStr">
        <is>
          <t>312</t>
        </is>
      </c>
      <c r="D781" t="n">
        <v>3.12</v>
      </c>
      <c r="E781">
        <f>MEDIAN(D761:D801)</f>
        <v/>
      </c>
      <c r="F781">
        <f>E761</f>
        <v/>
      </c>
      <c r="G781">
        <f>F781-E781</f>
        <v/>
      </c>
      <c r="H781">
        <f>IF(OR(NOT(ISNUMBER(D781)),ABS(D781-E781)&gt;$O$3,AND($O$11=1,B781&lt;$O$12)),1,0)</f>
        <v/>
      </c>
      <c r="I781">
        <f>IF(H781=1,NA(),D781)</f>
        <v/>
      </c>
      <c r="J781">
        <f>IF(AND(ISNUMBER(D781),D781&gt;=$O$4,OR($O$11=0,B781&gt;=$O$12)),1,0)</f>
        <v/>
      </c>
      <c r="K781">
        <f>B781-$O$14</f>
        <v/>
      </c>
    </row>
    <row r="782">
      <c r="A782" t="n">
        <v>2340</v>
      </c>
      <c r="B782" t="n">
        <v>78</v>
      </c>
      <c r="C782" t="inlineStr">
        <is>
          <t>?12</t>
        </is>
      </c>
      <c r="E782">
        <f>MEDIAN(D762:D802)</f>
        <v/>
      </c>
      <c r="F782">
        <f>E762</f>
        <v/>
      </c>
      <c r="G782">
        <f>F782-E782</f>
        <v/>
      </c>
      <c r="H782">
        <f>IF(OR(NOT(ISNUMBER(D782)),ABS(D782-E782)&gt;$O$3,AND($O$11=1,B782&lt;$O$12)),1,0)</f>
        <v/>
      </c>
      <c r="I782">
        <f>IF(H782=1,NA(),D782)</f>
        <v/>
      </c>
      <c r="J782">
        <f>IF(AND(ISNUMBER(D782),D782&gt;=$O$4,OR($O$11=0,B782&gt;=$O$12)),1,0)</f>
        <v/>
      </c>
      <c r="K782">
        <f>B782-$O$14</f>
        <v/>
      </c>
    </row>
    <row r="783">
      <c r="A783" t="n">
        <v>2343</v>
      </c>
      <c r="B783" t="n">
        <v>78.09999999999999</v>
      </c>
      <c r="C783" t="inlineStr">
        <is>
          <t>?12</t>
        </is>
      </c>
      <c r="E783">
        <f>MEDIAN(D763:D803)</f>
        <v/>
      </c>
      <c r="F783">
        <f>E763</f>
        <v/>
      </c>
      <c r="G783">
        <f>F783-E783</f>
        <v/>
      </c>
      <c r="H783">
        <f>IF(OR(NOT(ISNUMBER(D783)),ABS(D783-E783)&gt;$O$3,AND($O$11=1,B783&lt;$O$12)),1,0)</f>
        <v/>
      </c>
      <c r="I783">
        <f>IF(H783=1,NA(),D783)</f>
        <v/>
      </c>
      <c r="J783">
        <f>IF(AND(ISNUMBER(D783),D783&gt;=$O$4,OR($O$11=0,B783&gt;=$O$12)),1,0)</f>
        <v/>
      </c>
      <c r="K783">
        <f>B783-$O$14</f>
        <v/>
      </c>
    </row>
    <row r="784">
      <c r="A784" t="n">
        <v>2346</v>
      </c>
      <c r="B784" t="n">
        <v>78.2</v>
      </c>
      <c r="C784" t="inlineStr">
        <is>
          <t>?12</t>
        </is>
      </c>
      <c r="E784">
        <f>MEDIAN(D764:D804)</f>
        <v/>
      </c>
      <c r="F784">
        <f>E764</f>
        <v/>
      </c>
      <c r="G784">
        <f>F784-E784</f>
        <v/>
      </c>
      <c r="H784">
        <f>IF(OR(NOT(ISNUMBER(D784)),ABS(D784-E784)&gt;$O$3,AND($O$11=1,B784&lt;$O$12)),1,0)</f>
        <v/>
      </c>
      <c r="I784">
        <f>IF(H784=1,NA(),D784)</f>
        <v/>
      </c>
      <c r="J784">
        <f>IF(AND(ISNUMBER(D784),D784&gt;=$O$4,OR($O$11=0,B784&gt;=$O$12)),1,0)</f>
        <v/>
      </c>
      <c r="K784">
        <f>B784-$O$14</f>
        <v/>
      </c>
    </row>
    <row r="785">
      <c r="A785" t="n">
        <v>2349</v>
      </c>
      <c r="B785" t="n">
        <v>78.3</v>
      </c>
      <c r="C785" t="inlineStr">
        <is>
          <t>312</t>
        </is>
      </c>
      <c r="D785" t="n">
        <v>3.12</v>
      </c>
      <c r="E785">
        <f>MEDIAN(D765:D805)</f>
        <v/>
      </c>
      <c r="F785">
        <f>E765</f>
        <v/>
      </c>
      <c r="G785">
        <f>F785-E785</f>
        <v/>
      </c>
      <c r="H785">
        <f>IF(OR(NOT(ISNUMBER(D785)),ABS(D785-E785)&gt;$O$3,AND($O$11=1,B785&lt;$O$12)),1,0)</f>
        <v/>
      </c>
      <c r="I785">
        <f>IF(H785=1,NA(),D785)</f>
        <v/>
      </c>
      <c r="J785">
        <f>IF(AND(ISNUMBER(D785),D785&gt;=$O$4,OR($O$11=0,B785&gt;=$O$12)),1,0)</f>
        <v/>
      </c>
      <c r="K785">
        <f>B785-$O$14</f>
        <v/>
      </c>
    </row>
    <row r="786">
      <c r="A786" t="n">
        <v>2352</v>
      </c>
      <c r="B786" t="n">
        <v>78.40000000000001</v>
      </c>
      <c r="C786" t="inlineStr">
        <is>
          <t>312</t>
        </is>
      </c>
      <c r="D786" t="n">
        <v>3.12</v>
      </c>
      <c r="E786">
        <f>MEDIAN(D766:D806)</f>
        <v/>
      </c>
      <c r="F786">
        <f>E766</f>
        <v/>
      </c>
      <c r="G786">
        <f>F786-E786</f>
        <v/>
      </c>
      <c r="H786">
        <f>IF(OR(NOT(ISNUMBER(D786)),ABS(D786-E786)&gt;$O$3,AND($O$11=1,B786&lt;$O$12)),1,0)</f>
        <v/>
      </c>
      <c r="I786">
        <f>IF(H786=1,NA(),D786)</f>
        <v/>
      </c>
      <c r="J786">
        <f>IF(AND(ISNUMBER(D786),D786&gt;=$O$4,OR($O$11=0,B786&gt;=$O$12)),1,0)</f>
        <v/>
      </c>
      <c r="K786">
        <f>B786-$O$14</f>
        <v/>
      </c>
    </row>
    <row r="787">
      <c r="A787" t="n">
        <v>2355</v>
      </c>
      <c r="B787" t="n">
        <v>78.5</v>
      </c>
      <c r="C787" t="inlineStr">
        <is>
          <t>?12</t>
        </is>
      </c>
      <c r="E787">
        <f>MEDIAN(D767:D807)</f>
        <v/>
      </c>
      <c r="F787">
        <f>E767</f>
        <v/>
      </c>
      <c r="G787">
        <f>F787-E787</f>
        <v/>
      </c>
      <c r="H787">
        <f>IF(OR(NOT(ISNUMBER(D787)),ABS(D787-E787)&gt;$O$3,AND($O$11=1,B787&lt;$O$12)),1,0)</f>
        <v/>
      </c>
      <c r="I787">
        <f>IF(H787=1,NA(),D787)</f>
        <v/>
      </c>
      <c r="J787">
        <f>IF(AND(ISNUMBER(D787),D787&gt;=$O$4,OR($O$11=0,B787&gt;=$O$12)),1,0)</f>
        <v/>
      </c>
      <c r="K787">
        <f>B787-$O$14</f>
        <v/>
      </c>
    </row>
    <row r="788">
      <c r="A788" t="n">
        <v>2358</v>
      </c>
      <c r="B788" t="n">
        <v>78.59999999999999</v>
      </c>
      <c r="C788" t="inlineStr">
        <is>
          <t>312</t>
        </is>
      </c>
      <c r="D788" t="n">
        <v>3.12</v>
      </c>
      <c r="E788">
        <f>MEDIAN(D768:D808)</f>
        <v/>
      </c>
      <c r="F788">
        <f>E768</f>
        <v/>
      </c>
      <c r="G788">
        <f>F788-E788</f>
        <v/>
      </c>
      <c r="H788">
        <f>IF(OR(NOT(ISNUMBER(D788)),ABS(D788-E788)&gt;$O$3,AND($O$11=1,B788&lt;$O$12)),1,0)</f>
        <v/>
      </c>
      <c r="I788">
        <f>IF(H788=1,NA(),D788)</f>
        <v/>
      </c>
      <c r="J788">
        <f>IF(AND(ISNUMBER(D788),D788&gt;=$O$4,OR($O$11=0,B788&gt;=$O$12)),1,0)</f>
        <v/>
      </c>
      <c r="K788">
        <f>B788-$O$14</f>
        <v/>
      </c>
    </row>
    <row r="789">
      <c r="A789" t="n">
        <v>2361</v>
      </c>
      <c r="B789" t="n">
        <v>78.7</v>
      </c>
      <c r="C789" t="inlineStr">
        <is>
          <t>312</t>
        </is>
      </c>
      <c r="D789" t="n">
        <v>3.12</v>
      </c>
      <c r="E789">
        <f>MEDIAN(D769:D809)</f>
        <v/>
      </c>
      <c r="F789">
        <f>E769</f>
        <v/>
      </c>
      <c r="G789">
        <f>F789-E789</f>
        <v/>
      </c>
      <c r="H789">
        <f>IF(OR(NOT(ISNUMBER(D789)),ABS(D789-E789)&gt;$O$3,AND($O$11=1,B789&lt;$O$12)),1,0)</f>
        <v/>
      </c>
      <c r="I789">
        <f>IF(H789=1,NA(),D789)</f>
        <v/>
      </c>
      <c r="J789">
        <f>IF(AND(ISNUMBER(D789),D789&gt;=$O$4,OR($O$11=0,B789&gt;=$O$12)),1,0)</f>
        <v/>
      </c>
      <c r="K789">
        <f>B789-$O$14</f>
        <v/>
      </c>
    </row>
    <row r="790">
      <c r="A790" t="n">
        <v>2364</v>
      </c>
      <c r="B790" t="n">
        <v>78.8</v>
      </c>
      <c r="C790" t="inlineStr">
        <is>
          <t>312</t>
        </is>
      </c>
      <c r="D790" t="n">
        <v>3.12</v>
      </c>
      <c r="E790">
        <f>MEDIAN(D770:D810)</f>
        <v/>
      </c>
      <c r="F790">
        <f>E770</f>
        <v/>
      </c>
      <c r="G790">
        <f>F790-E790</f>
        <v/>
      </c>
      <c r="H790">
        <f>IF(OR(NOT(ISNUMBER(D790)),ABS(D790-E790)&gt;$O$3,AND($O$11=1,B790&lt;$O$12)),1,0)</f>
        <v/>
      </c>
      <c r="I790">
        <f>IF(H790=1,NA(),D790)</f>
        <v/>
      </c>
      <c r="J790">
        <f>IF(AND(ISNUMBER(D790),D790&gt;=$O$4,OR($O$11=0,B790&gt;=$O$12)),1,0)</f>
        <v/>
      </c>
      <c r="K790">
        <f>B790-$O$14</f>
        <v/>
      </c>
    </row>
    <row r="791">
      <c r="A791" t="n">
        <v>2367</v>
      </c>
      <c r="B791" t="n">
        <v>78.90000000000001</v>
      </c>
      <c r="C791" t="inlineStr">
        <is>
          <t>12</t>
        </is>
      </c>
      <c r="D791" t="n">
        <v>0.12</v>
      </c>
      <c r="E791">
        <f>MEDIAN(D771:D811)</f>
        <v/>
      </c>
      <c r="F791">
        <f>E771</f>
        <v/>
      </c>
      <c r="G791">
        <f>F791-E791</f>
        <v/>
      </c>
      <c r="H791">
        <f>IF(OR(NOT(ISNUMBER(D791)),ABS(D791-E791)&gt;$O$3,AND($O$11=1,B791&lt;$O$12)),1,0)</f>
        <v/>
      </c>
      <c r="I791">
        <f>IF(H791=1,NA(),D791)</f>
        <v/>
      </c>
      <c r="J791">
        <f>IF(AND(ISNUMBER(D791),D791&gt;=$O$4,OR($O$11=0,B791&gt;=$O$12)),1,0)</f>
        <v/>
      </c>
      <c r="K791">
        <f>B791-$O$14</f>
        <v/>
      </c>
    </row>
    <row r="792">
      <c r="A792" t="n">
        <v>2370</v>
      </c>
      <c r="B792" t="n">
        <v>79</v>
      </c>
      <c r="C792" t="inlineStr">
        <is>
          <t>312</t>
        </is>
      </c>
      <c r="D792" t="n">
        <v>3.12</v>
      </c>
      <c r="E792">
        <f>MEDIAN(D772:D812)</f>
        <v/>
      </c>
      <c r="F792">
        <f>E772</f>
        <v/>
      </c>
      <c r="G792">
        <f>F792-E792</f>
        <v/>
      </c>
      <c r="H792">
        <f>IF(OR(NOT(ISNUMBER(D792)),ABS(D792-E792)&gt;$O$3,AND($O$11=1,B792&lt;$O$12)),1,0)</f>
        <v/>
      </c>
      <c r="I792">
        <f>IF(H792=1,NA(),D792)</f>
        <v/>
      </c>
      <c r="J792">
        <f>IF(AND(ISNUMBER(D792),D792&gt;=$O$4,OR($O$11=0,B792&gt;=$O$12)),1,0)</f>
        <v/>
      </c>
      <c r="K792">
        <f>B792-$O$14</f>
        <v/>
      </c>
    </row>
    <row r="793">
      <c r="A793" t="n">
        <v>2373</v>
      </c>
      <c r="B793" t="n">
        <v>79.09999999999999</v>
      </c>
      <c r="C793" t="inlineStr">
        <is>
          <t>312</t>
        </is>
      </c>
      <c r="D793" t="n">
        <v>3.12</v>
      </c>
      <c r="E793">
        <f>MEDIAN(D773:D813)</f>
        <v/>
      </c>
      <c r="F793">
        <f>E773</f>
        <v/>
      </c>
      <c r="G793">
        <f>F793-E793</f>
        <v/>
      </c>
      <c r="H793">
        <f>IF(OR(NOT(ISNUMBER(D793)),ABS(D793-E793)&gt;$O$3,AND($O$11=1,B793&lt;$O$12)),1,0)</f>
        <v/>
      </c>
      <c r="I793">
        <f>IF(H793=1,NA(),D793)</f>
        <v/>
      </c>
      <c r="J793">
        <f>IF(AND(ISNUMBER(D793),D793&gt;=$O$4,OR($O$11=0,B793&gt;=$O$12)),1,0)</f>
        <v/>
      </c>
      <c r="K793">
        <f>B793-$O$14</f>
        <v/>
      </c>
    </row>
    <row r="794">
      <c r="A794" t="n">
        <v>2376</v>
      </c>
      <c r="B794" t="n">
        <v>79.2</v>
      </c>
      <c r="C794" t="inlineStr">
        <is>
          <t>?12</t>
        </is>
      </c>
      <c r="E794">
        <f>MEDIAN(D774:D814)</f>
        <v/>
      </c>
      <c r="F794">
        <f>E774</f>
        <v/>
      </c>
      <c r="G794">
        <f>F794-E794</f>
        <v/>
      </c>
      <c r="H794">
        <f>IF(OR(NOT(ISNUMBER(D794)),ABS(D794-E794)&gt;$O$3,AND($O$11=1,B794&lt;$O$12)),1,0)</f>
        <v/>
      </c>
      <c r="I794">
        <f>IF(H794=1,NA(),D794)</f>
        <v/>
      </c>
      <c r="J794">
        <f>IF(AND(ISNUMBER(D794),D794&gt;=$O$4,OR($O$11=0,B794&gt;=$O$12)),1,0)</f>
        <v/>
      </c>
      <c r="K794">
        <f>B794-$O$14</f>
        <v/>
      </c>
    </row>
    <row r="795">
      <c r="A795" t="n">
        <v>2379</v>
      </c>
      <c r="B795" t="n">
        <v>79.3</v>
      </c>
      <c r="C795" t="inlineStr">
        <is>
          <t>312</t>
        </is>
      </c>
      <c r="D795" t="n">
        <v>3.12</v>
      </c>
      <c r="E795">
        <f>MEDIAN(D775:D815)</f>
        <v/>
      </c>
      <c r="F795">
        <f>E775</f>
        <v/>
      </c>
      <c r="G795">
        <f>F795-E795</f>
        <v/>
      </c>
      <c r="H795">
        <f>IF(OR(NOT(ISNUMBER(D795)),ABS(D795-E795)&gt;$O$3,AND($O$11=1,B795&lt;$O$12)),1,0)</f>
        <v/>
      </c>
      <c r="I795">
        <f>IF(H795=1,NA(),D795)</f>
        <v/>
      </c>
      <c r="J795">
        <f>IF(AND(ISNUMBER(D795),D795&gt;=$O$4,OR($O$11=0,B795&gt;=$O$12)),1,0)</f>
        <v/>
      </c>
      <c r="K795">
        <f>B795-$O$14</f>
        <v/>
      </c>
    </row>
    <row r="796">
      <c r="A796" t="n">
        <v>2382</v>
      </c>
      <c r="B796" t="n">
        <v>79.40000000000001</v>
      </c>
      <c r="C796" t="inlineStr">
        <is>
          <t>?12</t>
        </is>
      </c>
      <c r="E796">
        <f>MEDIAN(D776:D816)</f>
        <v/>
      </c>
      <c r="F796">
        <f>E776</f>
        <v/>
      </c>
      <c r="G796">
        <f>F796-E796</f>
        <v/>
      </c>
      <c r="H796">
        <f>IF(OR(NOT(ISNUMBER(D796)),ABS(D796-E796)&gt;$O$3,AND($O$11=1,B796&lt;$O$12)),1,0)</f>
        <v/>
      </c>
      <c r="I796">
        <f>IF(H796=1,NA(),D796)</f>
        <v/>
      </c>
      <c r="J796">
        <f>IF(AND(ISNUMBER(D796),D796&gt;=$O$4,OR($O$11=0,B796&gt;=$O$12)),1,0)</f>
        <v/>
      </c>
      <c r="K796">
        <f>B796-$O$14</f>
        <v/>
      </c>
    </row>
    <row r="797">
      <c r="A797" t="n">
        <v>2385</v>
      </c>
      <c r="B797" t="n">
        <v>79.5</v>
      </c>
      <c r="C797" t="inlineStr">
        <is>
          <t>312</t>
        </is>
      </c>
      <c r="D797" t="n">
        <v>3.12</v>
      </c>
      <c r="E797">
        <f>MEDIAN(D777:D817)</f>
        <v/>
      </c>
      <c r="F797">
        <f>E777</f>
        <v/>
      </c>
      <c r="G797">
        <f>F797-E797</f>
        <v/>
      </c>
      <c r="H797">
        <f>IF(OR(NOT(ISNUMBER(D797)),ABS(D797-E797)&gt;$O$3,AND($O$11=1,B797&lt;$O$12)),1,0)</f>
        <v/>
      </c>
      <c r="I797">
        <f>IF(H797=1,NA(),D797)</f>
        <v/>
      </c>
      <c r="J797">
        <f>IF(AND(ISNUMBER(D797),D797&gt;=$O$4,OR($O$11=0,B797&gt;=$O$12)),1,0)</f>
        <v/>
      </c>
      <c r="K797">
        <f>B797-$O$14</f>
        <v/>
      </c>
    </row>
    <row r="798">
      <c r="A798" t="n">
        <v>2388</v>
      </c>
      <c r="B798" t="n">
        <v>79.59999999999999</v>
      </c>
      <c r="C798" t="inlineStr">
        <is>
          <t>312</t>
        </is>
      </c>
      <c r="D798" t="n">
        <v>3.12</v>
      </c>
      <c r="E798">
        <f>MEDIAN(D778:D818)</f>
        <v/>
      </c>
      <c r="F798">
        <f>E778</f>
        <v/>
      </c>
      <c r="G798">
        <f>F798-E798</f>
        <v/>
      </c>
      <c r="H798">
        <f>IF(OR(NOT(ISNUMBER(D798)),ABS(D798-E798)&gt;$O$3,AND($O$11=1,B798&lt;$O$12)),1,0)</f>
        <v/>
      </c>
      <c r="I798">
        <f>IF(H798=1,NA(),D798)</f>
        <v/>
      </c>
      <c r="J798">
        <f>IF(AND(ISNUMBER(D798),D798&gt;=$O$4,OR($O$11=0,B798&gt;=$O$12)),1,0)</f>
        <v/>
      </c>
      <c r="K798">
        <f>B798-$O$14</f>
        <v/>
      </c>
    </row>
    <row r="799">
      <c r="A799" t="n">
        <v>2391</v>
      </c>
      <c r="B799" t="n">
        <v>79.7</v>
      </c>
      <c r="C799" t="inlineStr">
        <is>
          <t>?12</t>
        </is>
      </c>
      <c r="E799">
        <f>MEDIAN(D779:D819)</f>
        <v/>
      </c>
      <c r="F799">
        <f>E779</f>
        <v/>
      </c>
      <c r="G799">
        <f>F799-E799</f>
        <v/>
      </c>
      <c r="H799">
        <f>IF(OR(NOT(ISNUMBER(D799)),ABS(D799-E799)&gt;$O$3,AND($O$11=1,B799&lt;$O$12)),1,0)</f>
        <v/>
      </c>
      <c r="I799">
        <f>IF(H799=1,NA(),D799)</f>
        <v/>
      </c>
      <c r="J799">
        <f>IF(AND(ISNUMBER(D799),D799&gt;=$O$4,OR($O$11=0,B799&gt;=$O$12)),1,0)</f>
        <v/>
      </c>
      <c r="K799">
        <f>B799-$O$14</f>
        <v/>
      </c>
    </row>
    <row r="800">
      <c r="A800" t="n">
        <v>2394</v>
      </c>
      <c r="B800" t="n">
        <v>79.8</v>
      </c>
      <c r="C800" t="inlineStr">
        <is>
          <t>312</t>
        </is>
      </c>
      <c r="D800" t="n">
        <v>3.12</v>
      </c>
      <c r="E800">
        <f>MEDIAN(D780:D820)</f>
        <v/>
      </c>
      <c r="F800">
        <f>E780</f>
        <v/>
      </c>
      <c r="G800">
        <f>F800-E800</f>
        <v/>
      </c>
      <c r="H800">
        <f>IF(OR(NOT(ISNUMBER(D800)),ABS(D800-E800)&gt;$O$3,AND($O$11=1,B800&lt;$O$12)),1,0)</f>
        <v/>
      </c>
      <c r="I800">
        <f>IF(H800=1,NA(),D800)</f>
        <v/>
      </c>
      <c r="J800">
        <f>IF(AND(ISNUMBER(D800),D800&gt;=$O$4,OR($O$11=0,B800&gt;=$O$12)),1,0)</f>
        <v/>
      </c>
      <c r="K800">
        <f>B800-$O$14</f>
        <v/>
      </c>
    </row>
    <row r="801">
      <c r="A801" t="n">
        <v>2397</v>
      </c>
      <c r="B801" t="n">
        <v>79.90000000000001</v>
      </c>
      <c r="C801" t="inlineStr">
        <is>
          <t>312</t>
        </is>
      </c>
      <c r="D801" t="n">
        <v>3.12</v>
      </c>
      <c r="E801">
        <f>MEDIAN(D781:D821)</f>
        <v/>
      </c>
      <c r="F801">
        <f>E781</f>
        <v/>
      </c>
      <c r="G801">
        <f>F801-E801</f>
        <v/>
      </c>
      <c r="H801">
        <f>IF(OR(NOT(ISNUMBER(D801)),ABS(D801-E801)&gt;$O$3,AND($O$11=1,B801&lt;$O$12)),1,0)</f>
        <v/>
      </c>
      <c r="I801">
        <f>IF(H801=1,NA(),D801)</f>
        <v/>
      </c>
      <c r="J801">
        <f>IF(AND(ISNUMBER(D801),D801&gt;=$O$4,OR($O$11=0,B801&gt;=$O$12)),1,0)</f>
        <v/>
      </c>
      <c r="K801">
        <f>B801-$O$14</f>
        <v/>
      </c>
    </row>
    <row r="802">
      <c r="A802" t="n">
        <v>2400</v>
      </c>
      <c r="B802" t="n">
        <v>80</v>
      </c>
      <c r="C802" t="inlineStr">
        <is>
          <t>?12</t>
        </is>
      </c>
      <c r="E802">
        <f>MEDIAN(D782:D822)</f>
        <v/>
      </c>
      <c r="F802">
        <f>E782</f>
        <v/>
      </c>
      <c r="G802">
        <f>F802-E802</f>
        <v/>
      </c>
      <c r="H802">
        <f>IF(OR(NOT(ISNUMBER(D802)),ABS(D802-E802)&gt;$O$3,AND($O$11=1,B802&lt;$O$12)),1,0)</f>
        <v/>
      </c>
      <c r="I802">
        <f>IF(H802=1,NA(),D802)</f>
        <v/>
      </c>
      <c r="J802">
        <f>IF(AND(ISNUMBER(D802),D802&gt;=$O$4,OR($O$11=0,B802&gt;=$O$12)),1,0)</f>
        <v/>
      </c>
      <c r="K802">
        <f>B802-$O$14</f>
        <v/>
      </c>
    </row>
    <row r="803">
      <c r="A803" t="n">
        <v>2403</v>
      </c>
      <c r="B803" t="n">
        <v>80.09999999999999</v>
      </c>
      <c r="C803" t="inlineStr">
        <is>
          <t>312</t>
        </is>
      </c>
      <c r="D803" t="n">
        <v>3.12</v>
      </c>
      <c r="E803">
        <f>MEDIAN(D783:D823)</f>
        <v/>
      </c>
      <c r="F803">
        <f>E783</f>
        <v/>
      </c>
      <c r="G803">
        <f>F803-E803</f>
        <v/>
      </c>
      <c r="H803">
        <f>IF(OR(NOT(ISNUMBER(D803)),ABS(D803-E803)&gt;$O$3,AND($O$11=1,B803&lt;$O$12)),1,0)</f>
        <v/>
      </c>
      <c r="I803">
        <f>IF(H803=1,NA(),D803)</f>
        <v/>
      </c>
      <c r="J803">
        <f>IF(AND(ISNUMBER(D803),D803&gt;=$O$4,OR($O$11=0,B803&gt;=$O$12)),1,0)</f>
        <v/>
      </c>
      <c r="K803">
        <f>B803-$O$14</f>
        <v/>
      </c>
    </row>
    <row r="804">
      <c r="A804" t="n">
        <v>2406</v>
      </c>
      <c r="B804" t="n">
        <v>80.2</v>
      </c>
      <c r="C804" t="inlineStr">
        <is>
          <t>312</t>
        </is>
      </c>
      <c r="D804" t="n">
        <v>3.12</v>
      </c>
      <c r="E804">
        <f>MEDIAN(D784:D824)</f>
        <v/>
      </c>
      <c r="F804">
        <f>E784</f>
        <v/>
      </c>
      <c r="G804">
        <f>F804-E804</f>
        <v/>
      </c>
      <c r="H804">
        <f>IF(OR(NOT(ISNUMBER(D804)),ABS(D804-E804)&gt;$O$3,AND($O$11=1,B804&lt;$O$12)),1,0)</f>
        <v/>
      </c>
      <c r="I804">
        <f>IF(H804=1,NA(),D804)</f>
        <v/>
      </c>
      <c r="J804">
        <f>IF(AND(ISNUMBER(D804),D804&gt;=$O$4,OR($O$11=0,B804&gt;=$O$12)),1,0)</f>
        <v/>
      </c>
      <c r="K804">
        <f>B804-$O$14</f>
        <v/>
      </c>
    </row>
    <row r="805">
      <c r="A805" t="n">
        <v>2409</v>
      </c>
      <c r="B805" t="n">
        <v>80.3</v>
      </c>
      <c r="C805" t="inlineStr">
        <is>
          <t>312</t>
        </is>
      </c>
      <c r="D805" t="n">
        <v>3.12</v>
      </c>
      <c r="E805">
        <f>MEDIAN(D785:D825)</f>
        <v/>
      </c>
      <c r="F805">
        <f>E785</f>
        <v/>
      </c>
      <c r="G805">
        <f>F805-E805</f>
        <v/>
      </c>
      <c r="H805">
        <f>IF(OR(NOT(ISNUMBER(D805)),ABS(D805-E805)&gt;$O$3,AND($O$11=1,B805&lt;$O$12)),1,0)</f>
        <v/>
      </c>
      <c r="I805">
        <f>IF(H805=1,NA(),D805)</f>
        <v/>
      </c>
      <c r="J805">
        <f>IF(AND(ISNUMBER(D805),D805&gt;=$O$4,OR($O$11=0,B805&gt;=$O$12)),1,0)</f>
        <v/>
      </c>
      <c r="K805">
        <f>B805-$O$14</f>
        <v/>
      </c>
    </row>
    <row r="806">
      <c r="A806" t="n">
        <v>2412</v>
      </c>
      <c r="B806" t="n">
        <v>80.40000000000001</v>
      </c>
      <c r="C806" t="inlineStr">
        <is>
          <t>?12</t>
        </is>
      </c>
      <c r="E806">
        <f>MEDIAN(D786:D826)</f>
        <v/>
      </c>
      <c r="F806">
        <f>E786</f>
        <v/>
      </c>
      <c r="G806">
        <f>F806-E806</f>
        <v/>
      </c>
      <c r="H806">
        <f>IF(OR(NOT(ISNUMBER(D806)),ABS(D806-E806)&gt;$O$3,AND($O$11=1,B806&lt;$O$12)),1,0)</f>
        <v/>
      </c>
      <c r="I806">
        <f>IF(H806=1,NA(),D806)</f>
        <v/>
      </c>
      <c r="J806">
        <f>IF(AND(ISNUMBER(D806),D806&gt;=$O$4,OR($O$11=0,B806&gt;=$O$12)),1,0)</f>
        <v/>
      </c>
      <c r="K806">
        <f>B806-$O$14</f>
        <v/>
      </c>
    </row>
    <row r="807">
      <c r="A807" t="n">
        <v>2415</v>
      </c>
      <c r="B807" t="n">
        <v>80.5</v>
      </c>
      <c r="C807" t="inlineStr">
        <is>
          <t>312</t>
        </is>
      </c>
      <c r="D807" t="n">
        <v>3.12</v>
      </c>
      <c r="E807">
        <f>MEDIAN(D787:D827)</f>
        <v/>
      </c>
      <c r="F807">
        <f>E787</f>
        <v/>
      </c>
      <c r="G807">
        <f>F807-E807</f>
        <v/>
      </c>
      <c r="H807">
        <f>IF(OR(NOT(ISNUMBER(D807)),ABS(D807-E807)&gt;$O$3,AND($O$11=1,B807&lt;$O$12)),1,0)</f>
        <v/>
      </c>
      <c r="I807">
        <f>IF(H807=1,NA(),D807)</f>
        <v/>
      </c>
      <c r="J807">
        <f>IF(AND(ISNUMBER(D807),D807&gt;=$O$4,OR($O$11=0,B807&gt;=$O$12)),1,0)</f>
        <v/>
      </c>
      <c r="K807">
        <f>B807-$O$14</f>
        <v/>
      </c>
    </row>
    <row r="808">
      <c r="A808" t="n">
        <v>2418</v>
      </c>
      <c r="B808" t="n">
        <v>80.59999999999999</v>
      </c>
      <c r="C808" t="inlineStr">
        <is>
          <t>312</t>
        </is>
      </c>
      <c r="D808" t="n">
        <v>3.12</v>
      </c>
      <c r="E808">
        <f>MEDIAN(D788:D828)</f>
        <v/>
      </c>
      <c r="F808">
        <f>E788</f>
        <v/>
      </c>
      <c r="G808">
        <f>F808-E808</f>
        <v/>
      </c>
      <c r="H808">
        <f>IF(OR(NOT(ISNUMBER(D808)),ABS(D808-E808)&gt;$O$3,AND($O$11=1,B808&lt;$O$12)),1,0)</f>
        <v/>
      </c>
      <c r="I808">
        <f>IF(H808=1,NA(),D808)</f>
        <v/>
      </c>
      <c r="J808">
        <f>IF(AND(ISNUMBER(D808),D808&gt;=$O$4,OR($O$11=0,B808&gt;=$O$12)),1,0)</f>
        <v/>
      </c>
      <c r="K808">
        <f>B808-$O$14</f>
        <v/>
      </c>
    </row>
    <row r="809">
      <c r="A809" t="n">
        <v>2421</v>
      </c>
      <c r="B809" t="n">
        <v>80.7</v>
      </c>
      <c r="C809" t="inlineStr">
        <is>
          <t>?12</t>
        </is>
      </c>
      <c r="E809">
        <f>MEDIAN(D789:D829)</f>
        <v/>
      </c>
      <c r="F809">
        <f>E789</f>
        <v/>
      </c>
      <c r="G809">
        <f>F809-E809</f>
        <v/>
      </c>
      <c r="H809">
        <f>IF(OR(NOT(ISNUMBER(D809)),ABS(D809-E809)&gt;$O$3,AND($O$11=1,B809&lt;$O$12)),1,0)</f>
        <v/>
      </c>
      <c r="I809">
        <f>IF(H809=1,NA(),D809)</f>
        <v/>
      </c>
      <c r="J809">
        <f>IF(AND(ISNUMBER(D809),D809&gt;=$O$4,OR($O$11=0,B809&gt;=$O$12)),1,0)</f>
        <v/>
      </c>
      <c r="K809">
        <f>B809-$O$14</f>
        <v/>
      </c>
    </row>
    <row r="810">
      <c r="A810" t="n">
        <v>2424</v>
      </c>
      <c r="B810" t="n">
        <v>80.8</v>
      </c>
      <c r="C810" t="inlineStr">
        <is>
          <t>?12</t>
        </is>
      </c>
      <c r="E810">
        <f>MEDIAN(D790:D830)</f>
        <v/>
      </c>
      <c r="F810">
        <f>E790</f>
        <v/>
      </c>
      <c r="G810">
        <f>F810-E810</f>
        <v/>
      </c>
      <c r="H810">
        <f>IF(OR(NOT(ISNUMBER(D810)),ABS(D810-E810)&gt;$O$3,AND($O$11=1,B810&lt;$O$12)),1,0)</f>
        <v/>
      </c>
      <c r="I810">
        <f>IF(H810=1,NA(),D810)</f>
        <v/>
      </c>
      <c r="J810">
        <f>IF(AND(ISNUMBER(D810),D810&gt;=$O$4,OR($O$11=0,B810&gt;=$O$12)),1,0)</f>
        <v/>
      </c>
      <c r="K810">
        <f>B810-$O$14</f>
        <v/>
      </c>
    </row>
    <row r="811">
      <c r="A811" t="n">
        <v>2427</v>
      </c>
      <c r="B811" t="n">
        <v>80.90000000000001</v>
      </c>
      <c r="C811" t="inlineStr">
        <is>
          <t>312</t>
        </is>
      </c>
      <c r="D811" t="n">
        <v>3.12</v>
      </c>
      <c r="E811">
        <f>MEDIAN(D791:D831)</f>
        <v/>
      </c>
      <c r="F811">
        <f>E791</f>
        <v/>
      </c>
      <c r="G811">
        <f>F811-E811</f>
        <v/>
      </c>
      <c r="H811">
        <f>IF(OR(NOT(ISNUMBER(D811)),ABS(D811-E811)&gt;$O$3,AND($O$11=1,B811&lt;$O$12)),1,0)</f>
        <v/>
      </c>
      <c r="I811">
        <f>IF(H811=1,NA(),D811)</f>
        <v/>
      </c>
      <c r="J811">
        <f>IF(AND(ISNUMBER(D811),D811&gt;=$O$4,OR($O$11=0,B811&gt;=$O$12)),1,0)</f>
        <v/>
      </c>
      <c r="K811">
        <f>B811-$O$14</f>
        <v/>
      </c>
    </row>
    <row r="812">
      <c r="A812" t="n">
        <v>2430</v>
      </c>
      <c r="B812" t="n">
        <v>81</v>
      </c>
      <c r="C812" t="inlineStr">
        <is>
          <t>12</t>
        </is>
      </c>
      <c r="D812" t="n">
        <v>0.12</v>
      </c>
      <c r="E812">
        <f>MEDIAN(D792:D832)</f>
        <v/>
      </c>
      <c r="F812">
        <f>E792</f>
        <v/>
      </c>
      <c r="G812">
        <f>F812-E812</f>
        <v/>
      </c>
      <c r="H812">
        <f>IF(OR(NOT(ISNUMBER(D812)),ABS(D812-E812)&gt;$O$3,AND($O$11=1,B812&lt;$O$12)),1,0)</f>
        <v/>
      </c>
      <c r="I812">
        <f>IF(H812=1,NA(),D812)</f>
        <v/>
      </c>
      <c r="J812">
        <f>IF(AND(ISNUMBER(D812),D812&gt;=$O$4,OR($O$11=0,B812&gt;=$O$12)),1,0)</f>
        <v/>
      </c>
      <c r="K812">
        <f>B812-$O$14</f>
        <v/>
      </c>
    </row>
    <row r="813">
      <c r="A813" t="n">
        <v>2433</v>
      </c>
      <c r="B813" t="n">
        <v>81.09999999999999</v>
      </c>
      <c r="C813" t="inlineStr">
        <is>
          <t>312</t>
        </is>
      </c>
      <c r="D813" t="n">
        <v>3.12</v>
      </c>
      <c r="E813">
        <f>MEDIAN(D793:D833)</f>
        <v/>
      </c>
      <c r="F813">
        <f>E793</f>
        <v/>
      </c>
      <c r="G813">
        <f>F813-E813</f>
        <v/>
      </c>
      <c r="H813">
        <f>IF(OR(NOT(ISNUMBER(D813)),ABS(D813-E813)&gt;$O$3,AND($O$11=1,B813&lt;$O$12)),1,0)</f>
        <v/>
      </c>
      <c r="I813">
        <f>IF(H813=1,NA(),D813)</f>
        <v/>
      </c>
      <c r="J813">
        <f>IF(AND(ISNUMBER(D813),D813&gt;=$O$4,OR($O$11=0,B813&gt;=$O$12)),1,0)</f>
        <v/>
      </c>
      <c r="K813">
        <f>B813-$O$14</f>
        <v/>
      </c>
    </row>
    <row r="814">
      <c r="A814" t="n">
        <v>2436</v>
      </c>
      <c r="B814" t="n">
        <v>81.2</v>
      </c>
      <c r="C814" t="inlineStr">
        <is>
          <t>312</t>
        </is>
      </c>
      <c r="D814" t="n">
        <v>3.12</v>
      </c>
      <c r="E814">
        <f>MEDIAN(D794:D834)</f>
        <v/>
      </c>
      <c r="F814">
        <f>E794</f>
        <v/>
      </c>
      <c r="G814">
        <f>F814-E814</f>
        <v/>
      </c>
      <c r="H814">
        <f>IF(OR(NOT(ISNUMBER(D814)),ABS(D814-E814)&gt;$O$3,AND($O$11=1,B814&lt;$O$12)),1,0)</f>
        <v/>
      </c>
      <c r="I814">
        <f>IF(H814=1,NA(),D814)</f>
        <v/>
      </c>
      <c r="J814">
        <f>IF(AND(ISNUMBER(D814),D814&gt;=$O$4,OR($O$11=0,B814&gt;=$O$12)),1,0)</f>
        <v/>
      </c>
      <c r="K814">
        <f>B814-$O$14</f>
        <v/>
      </c>
    </row>
    <row r="815">
      <c r="A815" t="n">
        <v>2439</v>
      </c>
      <c r="B815" t="n">
        <v>81.3</v>
      </c>
      <c r="C815" t="inlineStr">
        <is>
          <t>312</t>
        </is>
      </c>
      <c r="D815" t="n">
        <v>3.12</v>
      </c>
      <c r="E815">
        <f>MEDIAN(D795:D835)</f>
        <v/>
      </c>
      <c r="F815">
        <f>E795</f>
        <v/>
      </c>
      <c r="G815">
        <f>F815-E815</f>
        <v/>
      </c>
      <c r="H815">
        <f>IF(OR(NOT(ISNUMBER(D815)),ABS(D815-E815)&gt;$O$3,AND($O$11=1,B815&lt;$O$12)),1,0)</f>
        <v/>
      </c>
      <c r="I815">
        <f>IF(H815=1,NA(),D815)</f>
        <v/>
      </c>
      <c r="J815">
        <f>IF(AND(ISNUMBER(D815),D815&gt;=$O$4,OR($O$11=0,B815&gt;=$O$12)),1,0)</f>
        <v/>
      </c>
      <c r="K815">
        <f>B815-$O$14</f>
        <v/>
      </c>
    </row>
    <row r="816">
      <c r="A816" t="n">
        <v>2442</v>
      </c>
      <c r="B816" t="n">
        <v>81.40000000000001</v>
      </c>
      <c r="C816" t="inlineStr">
        <is>
          <t>312</t>
        </is>
      </c>
      <c r="D816" t="n">
        <v>3.12</v>
      </c>
      <c r="E816">
        <f>MEDIAN(D796:D836)</f>
        <v/>
      </c>
      <c r="F816">
        <f>E796</f>
        <v/>
      </c>
      <c r="G816">
        <f>F816-E816</f>
        <v/>
      </c>
      <c r="H816">
        <f>IF(OR(NOT(ISNUMBER(D816)),ABS(D816-E816)&gt;$O$3,AND($O$11=1,B816&lt;$O$12)),1,0)</f>
        <v/>
      </c>
      <c r="I816">
        <f>IF(H816=1,NA(),D816)</f>
        <v/>
      </c>
      <c r="J816">
        <f>IF(AND(ISNUMBER(D816),D816&gt;=$O$4,OR($O$11=0,B816&gt;=$O$12)),1,0)</f>
        <v/>
      </c>
      <c r="K816">
        <f>B816-$O$14</f>
        <v/>
      </c>
    </row>
    <row r="817">
      <c r="A817" t="n">
        <v>2445</v>
      </c>
      <c r="B817" t="n">
        <v>81.5</v>
      </c>
      <c r="C817" t="inlineStr">
        <is>
          <t>?12</t>
        </is>
      </c>
      <c r="E817">
        <f>MEDIAN(D797:D837)</f>
        <v/>
      </c>
      <c r="F817">
        <f>E797</f>
        <v/>
      </c>
      <c r="G817">
        <f>F817-E817</f>
        <v/>
      </c>
      <c r="H817">
        <f>IF(OR(NOT(ISNUMBER(D817)),ABS(D817-E817)&gt;$O$3,AND($O$11=1,B817&lt;$O$12)),1,0)</f>
        <v/>
      </c>
      <c r="I817">
        <f>IF(H817=1,NA(),D817)</f>
        <v/>
      </c>
      <c r="J817">
        <f>IF(AND(ISNUMBER(D817),D817&gt;=$O$4,OR($O$11=0,B817&gt;=$O$12)),1,0)</f>
        <v/>
      </c>
      <c r="K817">
        <f>B817-$O$14</f>
        <v/>
      </c>
    </row>
    <row r="818">
      <c r="A818" t="n">
        <v>2448</v>
      </c>
      <c r="B818" t="n">
        <v>81.59999999999999</v>
      </c>
      <c r="C818" t="inlineStr">
        <is>
          <t>12</t>
        </is>
      </c>
      <c r="D818" t="n">
        <v>0.12</v>
      </c>
      <c r="E818">
        <f>MEDIAN(D798:D838)</f>
        <v/>
      </c>
      <c r="F818">
        <f>E798</f>
        <v/>
      </c>
      <c r="G818">
        <f>F818-E818</f>
        <v/>
      </c>
      <c r="H818">
        <f>IF(OR(NOT(ISNUMBER(D818)),ABS(D818-E818)&gt;$O$3,AND($O$11=1,B818&lt;$O$12)),1,0)</f>
        <v/>
      </c>
      <c r="I818">
        <f>IF(H818=1,NA(),D818)</f>
        <v/>
      </c>
      <c r="J818">
        <f>IF(AND(ISNUMBER(D818),D818&gt;=$O$4,OR($O$11=0,B818&gt;=$O$12)),1,0)</f>
        <v/>
      </c>
      <c r="K818">
        <f>B818-$O$14</f>
        <v/>
      </c>
    </row>
    <row r="819">
      <c r="A819" t="n">
        <v>2451</v>
      </c>
      <c r="B819" t="n">
        <v>81.7</v>
      </c>
      <c r="C819" t="inlineStr">
        <is>
          <t>312</t>
        </is>
      </c>
      <c r="D819" t="n">
        <v>3.12</v>
      </c>
      <c r="E819">
        <f>MEDIAN(D799:D839)</f>
        <v/>
      </c>
      <c r="F819">
        <f>E799</f>
        <v/>
      </c>
      <c r="G819">
        <f>F819-E819</f>
        <v/>
      </c>
      <c r="H819">
        <f>IF(OR(NOT(ISNUMBER(D819)),ABS(D819-E819)&gt;$O$3,AND($O$11=1,B819&lt;$O$12)),1,0)</f>
        <v/>
      </c>
      <c r="I819">
        <f>IF(H819=1,NA(),D819)</f>
        <v/>
      </c>
      <c r="J819">
        <f>IF(AND(ISNUMBER(D819),D819&gt;=$O$4,OR($O$11=0,B819&gt;=$O$12)),1,0)</f>
        <v/>
      </c>
      <c r="K819">
        <f>B819-$O$14</f>
        <v/>
      </c>
    </row>
    <row r="820">
      <c r="A820" t="n">
        <v>2454</v>
      </c>
      <c r="B820" t="n">
        <v>81.8</v>
      </c>
      <c r="C820" t="inlineStr">
        <is>
          <t>?12</t>
        </is>
      </c>
      <c r="E820">
        <f>MEDIAN(D800:D840)</f>
        <v/>
      </c>
      <c r="F820">
        <f>E800</f>
        <v/>
      </c>
      <c r="G820">
        <f>F820-E820</f>
        <v/>
      </c>
      <c r="H820">
        <f>IF(OR(NOT(ISNUMBER(D820)),ABS(D820-E820)&gt;$O$3,AND($O$11=1,B820&lt;$O$12)),1,0)</f>
        <v/>
      </c>
      <c r="I820">
        <f>IF(H820=1,NA(),D820)</f>
        <v/>
      </c>
      <c r="J820">
        <f>IF(AND(ISNUMBER(D820),D820&gt;=$O$4,OR($O$11=0,B820&gt;=$O$12)),1,0)</f>
        <v/>
      </c>
      <c r="K820">
        <f>B820-$O$14</f>
        <v/>
      </c>
    </row>
    <row r="821">
      <c r="A821" t="n">
        <v>2457</v>
      </c>
      <c r="B821" t="n">
        <v>81.90000000000001</v>
      </c>
      <c r="C821" t="inlineStr">
        <is>
          <t>312</t>
        </is>
      </c>
      <c r="D821" t="n">
        <v>3.12</v>
      </c>
      <c r="E821">
        <f>MEDIAN(D801:D841)</f>
        <v/>
      </c>
      <c r="F821">
        <f>E801</f>
        <v/>
      </c>
      <c r="G821">
        <f>F821-E821</f>
        <v/>
      </c>
      <c r="H821">
        <f>IF(OR(NOT(ISNUMBER(D821)),ABS(D821-E821)&gt;$O$3,AND($O$11=1,B821&lt;$O$12)),1,0)</f>
        <v/>
      </c>
      <c r="I821">
        <f>IF(H821=1,NA(),D821)</f>
        <v/>
      </c>
      <c r="J821">
        <f>IF(AND(ISNUMBER(D821),D821&gt;=$O$4,OR($O$11=0,B821&gt;=$O$12)),1,0)</f>
        <v/>
      </c>
      <c r="K821">
        <f>B821-$O$14</f>
        <v/>
      </c>
    </row>
    <row r="822">
      <c r="A822" t="n">
        <v>2460</v>
      </c>
      <c r="B822" t="n">
        <v>82</v>
      </c>
      <c r="C822" t="inlineStr">
        <is>
          <t>312</t>
        </is>
      </c>
      <c r="D822" t="n">
        <v>3.12</v>
      </c>
      <c r="E822">
        <f>MEDIAN(D802:D842)</f>
        <v/>
      </c>
      <c r="F822">
        <f>E802</f>
        <v/>
      </c>
      <c r="G822">
        <f>F822-E822</f>
        <v/>
      </c>
      <c r="H822">
        <f>IF(OR(NOT(ISNUMBER(D822)),ABS(D822-E822)&gt;$O$3,AND($O$11=1,B822&lt;$O$12)),1,0)</f>
        <v/>
      </c>
      <c r="I822">
        <f>IF(H822=1,NA(),D822)</f>
        <v/>
      </c>
      <c r="J822">
        <f>IF(AND(ISNUMBER(D822),D822&gt;=$O$4,OR($O$11=0,B822&gt;=$O$12)),1,0)</f>
        <v/>
      </c>
      <c r="K822">
        <f>B822-$O$14</f>
        <v/>
      </c>
    </row>
    <row r="823">
      <c r="A823" t="n">
        <v>2463</v>
      </c>
      <c r="B823" t="n">
        <v>82.09999999999999</v>
      </c>
      <c r="C823" t="inlineStr">
        <is>
          <t>12</t>
        </is>
      </c>
      <c r="D823" t="n">
        <v>0.12</v>
      </c>
      <c r="E823">
        <f>MEDIAN(D803:D843)</f>
        <v/>
      </c>
      <c r="F823">
        <f>E803</f>
        <v/>
      </c>
      <c r="G823">
        <f>F823-E823</f>
        <v/>
      </c>
      <c r="H823">
        <f>IF(OR(NOT(ISNUMBER(D823)),ABS(D823-E823)&gt;$O$3,AND($O$11=1,B823&lt;$O$12)),1,0)</f>
        <v/>
      </c>
      <c r="I823">
        <f>IF(H823=1,NA(),D823)</f>
        <v/>
      </c>
      <c r="J823">
        <f>IF(AND(ISNUMBER(D823),D823&gt;=$O$4,OR($O$11=0,B823&gt;=$O$12)),1,0)</f>
        <v/>
      </c>
      <c r="K823">
        <f>B823-$O$14</f>
        <v/>
      </c>
    </row>
    <row r="824">
      <c r="A824" t="n">
        <v>2466</v>
      </c>
      <c r="B824" t="n">
        <v>82.2</v>
      </c>
      <c r="C824" t="inlineStr">
        <is>
          <t>312</t>
        </is>
      </c>
      <c r="D824" t="n">
        <v>3.12</v>
      </c>
      <c r="E824">
        <f>MEDIAN(D804:D844)</f>
        <v/>
      </c>
      <c r="F824">
        <f>E804</f>
        <v/>
      </c>
      <c r="G824">
        <f>F824-E824</f>
        <v/>
      </c>
      <c r="H824">
        <f>IF(OR(NOT(ISNUMBER(D824)),ABS(D824-E824)&gt;$O$3,AND($O$11=1,B824&lt;$O$12)),1,0)</f>
        <v/>
      </c>
      <c r="I824">
        <f>IF(H824=1,NA(),D824)</f>
        <v/>
      </c>
      <c r="J824">
        <f>IF(AND(ISNUMBER(D824),D824&gt;=$O$4,OR($O$11=0,B824&gt;=$O$12)),1,0)</f>
        <v/>
      </c>
      <c r="K824">
        <f>B824-$O$14</f>
        <v/>
      </c>
    </row>
    <row r="825">
      <c r="A825" t="n">
        <v>2469</v>
      </c>
      <c r="B825" t="n">
        <v>82.3</v>
      </c>
      <c r="C825" t="inlineStr">
        <is>
          <t>?12</t>
        </is>
      </c>
      <c r="E825">
        <f>MEDIAN(D805:D845)</f>
        <v/>
      </c>
      <c r="F825">
        <f>E805</f>
        <v/>
      </c>
      <c r="G825">
        <f>F825-E825</f>
        <v/>
      </c>
      <c r="H825">
        <f>IF(OR(NOT(ISNUMBER(D825)),ABS(D825-E825)&gt;$O$3,AND($O$11=1,B825&lt;$O$12)),1,0)</f>
        <v/>
      </c>
      <c r="I825">
        <f>IF(H825=1,NA(),D825)</f>
        <v/>
      </c>
      <c r="J825">
        <f>IF(AND(ISNUMBER(D825),D825&gt;=$O$4,OR($O$11=0,B825&gt;=$O$12)),1,0)</f>
        <v/>
      </c>
      <c r="K825">
        <f>B825-$O$14</f>
        <v/>
      </c>
    </row>
    <row r="826">
      <c r="A826" t="n">
        <v>2472</v>
      </c>
      <c r="B826" t="n">
        <v>82.40000000000001</v>
      </c>
      <c r="C826" t="inlineStr">
        <is>
          <t>312</t>
        </is>
      </c>
      <c r="D826" t="n">
        <v>3.12</v>
      </c>
      <c r="E826">
        <f>MEDIAN(D806:D846)</f>
        <v/>
      </c>
      <c r="F826">
        <f>E806</f>
        <v/>
      </c>
      <c r="G826">
        <f>F826-E826</f>
        <v/>
      </c>
      <c r="H826">
        <f>IF(OR(NOT(ISNUMBER(D826)),ABS(D826-E826)&gt;$O$3,AND($O$11=1,B826&lt;$O$12)),1,0)</f>
        <v/>
      </c>
      <c r="I826">
        <f>IF(H826=1,NA(),D826)</f>
        <v/>
      </c>
      <c r="J826">
        <f>IF(AND(ISNUMBER(D826),D826&gt;=$O$4,OR($O$11=0,B826&gt;=$O$12)),1,0)</f>
        <v/>
      </c>
      <c r="K826">
        <f>B826-$O$14</f>
        <v/>
      </c>
    </row>
    <row r="827">
      <c r="A827" t="n">
        <v>2475</v>
      </c>
      <c r="B827" t="n">
        <v>82.5</v>
      </c>
      <c r="C827" t="inlineStr">
        <is>
          <t>?12</t>
        </is>
      </c>
      <c r="E827">
        <f>MEDIAN(D807:D847)</f>
        <v/>
      </c>
      <c r="F827">
        <f>E807</f>
        <v/>
      </c>
      <c r="G827">
        <f>F827-E827</f>
        <v/>
      </c>
      <c r="H827">
        <f>IF(OR(NOT(ISNUMBER(D827)),ABS(D827-E827)&gt;$O$3,AND($O$11=1,B827&lt;$O$12)),1,0)</f>
        <v/>
      </c>
      <c r="I827">
        <f>IF(H827=1,NA(),D827)</f>
        <v/>
      </c>
      <c r="J827">
        <f>IF(AND(ISNUMBER(D827),D827&gt;=$O$4,OR($O$11=0,B827&gt;=$O$12)),1,0)</f>
        <v/>
      </c>
      <c r="K827">
        <f>B827-$O$14</f>
        <v/>
      </c>
    </row>
    <row r="828">
      <c r="A828" t="n">
        <v>2478</v>
      </c>
      <c r="B828" t="n">
        <v>82.59999999999999</v>
      </c>
      <c r="C828" t="inlineStr">
        <is>
          <t>312</t>
        </is>
      </c>
      <c r="D828" t="n">
        <v>3.12</v>
      </c>
      <c r="E828">
        <f>MEDIAN(D808:D848)</f>
        <v/>
      </c>
      <c r="F828">
        <f>E808</f>
        <v/>
      </c>
      <c r="G828">
        <f>F828-E828</f>
        <v/>
      </c>
      <c r="H828">
        <f>IF(OR(NOT(ISNUMBER(D828)),ABS(D828-E828)&gt;$O$3,AND($O$11=1,B828&lt;$O$12)),1,0)</f>
        <v/>
      </c>
      <c r="I828">
        <f>IF(H828=1,NA(),D828)</f>
        <v/>
      </c>
      <c r="J828">
        <f>IF(AND(ISNUMBER(D828),D828&gt;=$O$4,OR($O$11=0,B828&gt;=$O$12)),1,0)</f>
        <v/>
      </c>
      <c r="K828">
        <f>B828-$O$14</f>
        <v/>
      </c>
    </row>
    <row r="829">
      <c r="A829" t="n">
        <v>2481</v>
      </c>
      <c r="B829" t="n">
        <v>82.7</v>
      </c>
      <c r="C829" t="inlineStr">
        <is>
          <t>312</t>
        </is>
      </c>
      <c r="D829" t="n">
        <v>3.12</v>
      </c>
      <c r="E829">
        <f>MEDIAN(D809:D849)</f>
        <v/>
      </c>
      <c r="F829">
        <f>E809</f>
        <v/>
      </c>
      <c r="G829">
        <f>F829-E829</f>
        <v/>
      </c>
      <c r="H829">
        <f>IF(OR(NOT(ISNUMBER(D829)),ABS(D829-E829)&gt;$O$3,AND($O$11=1,B829&lt;$O$12)),1,0)</f>
        <v/>
      </c>
      <c r="I829">
        <f>IF(H829=1,NA(),D829)</f>
        <v/>
      </c>
      <c r="J829">
        <f>IF(AND(ISNUMBER(D829),D829&gt;=$O$4,OR($O$11=0,B829&gt;=$O$12)),1,0)</f>
        <v/>
      </c>
      <c r="K829">
        <f>B829-$O$14</f>
        <v/>
      </c>
    </row>
    <row r="830">
      <c r="A830" t="n">
        <v>2484</v>
      </c>
      <c r="B830" t="n">
        <v>82.8</v>
      </c>
      <c r="C830" t="inlineStr">
        <is>
          <t>?12</t>
        </is>
      </c>
      <c r="E830">
        <f>MEDIAN(D810:D850)</f>
        <v/>
      </c>
      <c r="F830">
        <f>E810</f>
        <v/>
      </c>
      <c r="G830">
        <f>F830-E830</f>
        <v/>
      </c>
      <c r="H830">
        <f>IF(OR(NOT(ISNUMBER(D830)),ABS(D830-E830)&gt;$O$3,AND($O$11=1,B830&lt;$O$12)),1,0)</f>
        <v/>
      </c>
      <c r="I830">
        <f>IF(H830=1,NA(),D830)</f>
        <v/>
      </c>
      <c r="J830">
        <f>IF(AND(ISNUMBER(D830),D830&gt;=$O$4,OR($O$11=0,B830&gt;=$O$12)),1,0)</f>
        <v/>
      </c>
      <c r="K830">
        <f>B830-$O$14</f>
        <v/>
      </c>
    </row>
    <row r="831">
      <c r="A831" t="n">
        <v>2487</v>
      </c>
      <c r="B831" t="n">
        <v>82.90000000000001</v>
      </c>
      <c r="C831" t="inlineStr">
        <is>
          <t>?12</t>
        </is>
      </c>
      <c r="E831">
        <f>MEDIAN(D811:D851)</f>
        <v/>
      </c>
      <c r="F831">
        <f>E811</f>
        <v/>
      </c>
      <c r="G831">
        <f>F831-E831</f>
        <v/>
      </c>
      <c r="H831">
        <f>IF(OR(NOT(ISNUMBER(D831)),ABS(D831-E831)&gt;$O$3,AND($O$11=1,B831&lt;$O$12)),1,0)</f>
        <v/>
      </c>
      <c r="I831">
        <f>IF(H831=1,NA(),D831)</f>
        <v/>
      </c>
      <c r="J831">
        <f>IF(AND(ISNUMBER(D831),D831&gt;=$O$4,OR($O$11=0,B831&gt;=$O$12)),1,0)</f>
        <v/>
      </c>
      <c r="K831">
        <f>B831-$O$14</f>
        <v/>
      </c>
    </row>
    <row r="832">
      <c r="A832" t="n">
        <v>2490</v>
      </c>
      <c r="B832" t="n">
        <v>83</v>
      </c>
      <c r="C832" t="inlineStr">
        <is>
          <t>312</t>
        </is>
      </c>
      <c r="D832" t="n">
        <v>3.12</v>
      </c>
      <c r="E832">
        <f>MEDIAN(D812:D852)</f>
        <v/>
      </c>
      <c r="F832">
        <f>E812</f>
        <v/>
      </c>
      <c r="G832">
        <f>F832-E832</f>
        <v/>
      </c>
      <c r="H832">
        <f>IF(OR(NOT(ISNUMBER(D832)),ABS(D832-E832)&gt;$O$3,AND($O$11=1,B832&lt;$O$12)),1,0)</f>
        <v/>
      </c>
      <c r="I832">
        <f>IF(H832=1,NA(),D832)</f>
        <v/>
      </c>
      <c r="J832">
        <f>IF(AND(ISNUMBER(D832),D832&gt;=$O$4,OR($O$11=0,B832&gt;=$O$12)),1,0)</f>
        <v/>
      </c>
      <c r="K832">
        <f>B832-$O$14</f>
        <v/>
      </c>
    </row>
    <row r="833">
      <c r="A833" t="n">
        <v>2493</v>
      </c>
      <c r="B833" t="n">
        <v>83.09999999999999</v>
      </c>
      <c r="C833" t="inlineStr">
        <is>
          <t>?12</t>
        </is>
      </c>
      <c r="E833">
        <f>MEDIAN(D813:D853)</f>
        <v/>
      </c>
      <c r="F833">
        <f>E813</f>
        <v/>
      </c>
      <c r="G833">
        <f>F833-E833</f>
        <v/>
      </c>
      <c r="H833">
        <f>IF(OR(NOT(ISNUMBER(D833)),ABS(D833-E833)&gt;$O$3,AND($O$11=1,B833&lt;$O$12)),1,0)</f>
        <v/>
      </c>
      <c r="I833">
        <f>IF(H833=1,NA(),D833)</f>
        <v/>
      </c>
      <c r="J833">
        <f>IF(AND(ISNUMBER(D833),D833&gt;=$O$4,OR($O$11=0,B833&gt;=$O$12)),1,0)</f>
        <v/>
      </c>
      <c r="K833">
        <f>B833-$O$14</f>
        <v/>
      </c>
    </row>
    <row r="834">
      <c r="A834" t="n">
        <v>2496</v>
      </c>
      <c r="B834" t="n">
        <v>83.2</v>
      </c>
      <c r="C834" t="inlineStr">
        <is>
          <t>?12</t>
        </is>
      </c>
      <c r="E834">
        <f>MEDIAN(D814:D854)</f>
        <v/>
      </c>
      <c r="F834">
        <f>E814</f>
        <v/>
      </c>
      <c r="G834">
        <f>F834-E834</f>
        <v/>
      </c>
      <c r="H834">
        <f>IF(OR(NOT(ISNUMBER(D834)),ABS(D834-E834)&gt;$O$3,AND($O$11=1,B834&lt;$O$12)),1,0)</f>
        <v/>
      </c>
      <c r="I834">
        <f>IF(H834=1,NA(),D834)</f>
        <v/>
      </c>
      <c r="J834">
        <f>IF(AND(ISNUMBER(D834),D834&gt;=$O$4,OR($O$11=0,B834&gt;=$O$12)),1,0)</f>
        <v/>
      </c>
      <c r="K834">
        <f>B834-$O$14</f>
        <v/>
      </c>
    </row>
    <row r="835">
      <c r="A835" t="n">
        <v>2499</v>
      </c>
      <c r="B835" t="n">
        <v>83.3</v>
      </c>
      <c r="C835" t="inlineStr">
        <is>
          <t>?12</t>
        </is>
      </c>
      <c r="E835">
        <f>MEDIAN(D815:D855)</f>
        <v/>
      </c>
      <c r="F835">
        <f>E815</f>
        <v/>
      </c>
      <c r="G835">
        <f>F835-E835</f>
        <v/>
      </c>
      <c r="H835">
        <f>IF(OR(NOT(ISNUMBER(D835)),ABS(D835-E835)&gt;$O$3,AND($O$11=1,B835&lt;$O$12)),1,0)</f>
        <v/>
      </c>
      <c r="I835">
        <f>IF(H835=1,NA(),D835)</f>
        <v/>
      </c>
      <c r="J835">
        <f>IF(AND(ISNUMBER(D835),D835&gt;=$O$4,OR($O$11=0,B835&gt;=$O$12)),1,0)</f>
        <v/>
      </c>
      <c r="K835">
        <f>B835-$O$14</f>
        <v/>
      </c>
    </row>
    <row r="836">
      <c r="A836" t="n">
        <v>2502</v>
      </c>
      <c r="B836" t="n">
        <v>83.40000000000001</v>
      </c>
      <c r="C836" t="inlineStr">
        <is>
          <t>312</t>
        </is>
      </c>
      <c r="D836" t="n">
        <v>3.12</v>
      </c>
      <c r="E836">
        <f>MEDIAN(D816:D856)</f>
        <v/>
      </c>
      <c r="F836">
        <f>E816</f>
        <v/>
      </c>
      <c r="G836">
        <f>F836-E836</f>
        <v/>
      </c>
      <c r="H836">
        <f>IF(OR(NOT(ISNUMBER(D836)),ABS(D836-E836)&gt;$O$3,AND($O$11=1,B836&lt;$O$12)),1,0)</f>
        <v/>
      </c>
      <c r="I836">
        <f>IF(H836=1,NA(),D836)</f>
        <v/>
      </c>
      <c r="J836">
        <f>IF(AND(ISNUMBER(D836),D836&gt;=$O$4,OR($O$11=0,B836&gt;=$O$12)),1,0)</f>
        <v/>
      </c>
      <c r="K836">
        <f>B836-$O$14</f>
        <v/>
      </c>
    </row>
    <row r="837">
      <c r="A837" t="n">
        <v>2505</v>
      </c>
      <c r="B837" t="n">
        <v>83.5</v>
      </c>
      <c r="C837" t="inlineStr">
        <is>
          <t>12</t>
        </is>
      </c>
      <c r="D837" t="n">
        <v>0.12</v>
      </c>
      <c r="E837">
        <f>MEDIAN(D817:D857)</f>
        <v/>
      </c>
      <c r="F837">
        <f>E817</f>
        <v/>
      </c>
      <c r="G837">
        <f>F837-E837</f>
        <v/>
      </c>
      <c r="H837">
        <f>IF(OR(NOT(ISNUMBER(D837)),ABS(D837-E837)&gt;$O$3,AND($O$11=1,B837&lt;$O$12)),1,0)</f>
        <v/>
      </c>
      <c r="I837">
        <f>IF(H837=1,NA(),D837)</f>
        <v/>
      </c>
      <c r="J837">
        <f>IF(AND(ISNUMBER(D837),D837&gt;=$O$4,OR($O$11=0,B837&gt;=$O$12)),1,0)</f>
        <v/>
      </c>
      <c r="K837">
        <f>B837-$O$14</f>
        <v/>
      </c>
    </row>
    <row r="838">
      <c r="A838" t="n">
        <v>2508</v>
      </c>
      <c r="B838" t="n">
        <v>83.59999999999999</v>
      </c>
      <c r="C838" t="inlineStr">
        <is>
          <t>?12</t>
        </is>
      </c>
      <c r="E838">
        <f>MEDIAN(D818:D858)</f>
        <v/>
      </c>
      <c r="F838">
        <f>E818</f>
        <v/>
      </c>
      <c r="G838">
        <f>F838-E838</f>
        <v/>
      </c>
      <c r="H838">
        <f>IF(OR(NOT(ISNUMBER(D838)),ABS(D838-E838)&gt;$O$3,AND($O$11=1,B838&lt;$O$12)),1,0)</f>
        <v/>
      </c>
      <c r="I838">
        <f>IF(H838=1,NA(),D838)</f>
        <v/>
      </c>
      <c r="J838">
        <f>IF(AND(ISNUMBER(D838),D838&gt;=$O$4,OR($O$11=0,B838&gt;=$O$12)),1,0)</f>
        <v/>
      </c>
      <c r="K838">
        <f>B838-$O$14</f>
        <v/>
      </c>
    </row>
    <row r="839">
      <c r="A839" t="n">
        <v>2511</v>
      </c>
      <c r="B839" t="n">
        <v>83.7</v>
      </c>
      <c r="C839" t="inlineStr">
        <is>
          <t>312</t>
        </is>
      </c>
      <c r="D839" t="n">
        <v>3.12</v>
      </c>
      <c r="E839">
        <f>MEDIAN(D819:D859)</f>
        <v/>
      </c>
      <c r="F839">
        <f>E819</f>
        <v/>
      </c>
      <c r="G839">
        <f>F839-E839</f>
        <v/>
      </c>
      <c r="H839">
        <f>IF(OR(NOT(ISNUMBER(D839)),ABS(D839-E839)&gt;$O$3,AND($O$11=1,B839&lt;$O$12)),1,0)</f>
        <v/>
      </c>
      <c r="I839">
        <f>IF(H839=1,NA(),D839)</f>
        <v/>
      </c>
      <c r="J839">
        <f>IF(AND(ISNUMBER(D839),D839&gt;=$O$4,OR($O$11=0,B839&gt;=$O$12)),1,0)</f>
        <v/>
      </c>
      <c r="K839">
        <f>B839-$O$14</f>
        <v/>
      </c>
    </row>
    <row r="840">
      <c r="A840" t="n">
        <v>2514</v>
      </c>
      <c r="B840" t="n">
        <v>83.8</v>
      </c>
      <c r="C840" t="inlineStr">
        <is>
          <t>?12</t>
        </is>
      </c>
      <c r="E840">
        <f>MEDIAN(D820:D860)</f>
        <v/>
      </c>
      <c r="F840">
        <f>E820</f>
        <v/>
      </c>
      <c r="G840">
        <f>F840-E840</f>
        <v/>
      </c>
      <c r="H840">
        <f>IF(OR(NOT(ISNUMBER(D840)),ABS(D840-E840)&gt;$O$3,AND($O$11=1,B840&lt;$O$12)),1,0)</f>
        <v/>
      </c>
      <c r="I840">
        <f>IF(H840=1,NA(),D840)</f>
        <v/>
      </c>
      <c r="J840">
        <f>IF(AND(ISNUMBER(D840),D840&gt;=$O$4,OR($O$11=0,B840&gt;=$O$12)),1,0)</f>
        <v/>
      </c>
      <c r="K840">
        <f>B840-$O$14</f>
        <v/>
      </c>
    </row>
    <row r="841">
      <c r="A841" t="n">
        <v>2517</v>
      </c>
      <c r="B841" t="n">
        <v>83.90000000000001</v>
      </c>
      <c r="C841" t="inlineStr">
        <is>
          <t>312</t>
        </is>
      </c>
      <c r="D841" t="n">
        <v>3.12</v>
      </c>
      <c r="E841">
        <f>MEDIAN(D821:D861)</f>
        <v/>
      </c>
      <c r="F841">
        <f>E821</f>
        <v/>
      </c>
      <c r="G841">
        <f>F841-E841</f>
        <v/>
      </c>
      <c r="H841">
        <f>IF(OR(NOT(ISNUMBER(D841)),ABS(D841-E841)&gt;$O$3,AND($O$11=1,B841&lt;$O$12)),1,0)</f>
        <v/>
      </c>
      <c r="I841">
        <f>IF(H841=1,NA(),D841)</f>
        <v/>
      </c>
      <c r="J841">
        <f>IF(AND(ISNUMBER(D841),D841&gt;=$O$4,OR($O$11=0,B841&gt;=$O$12)),1,0)</f>
        <v/>
      </c>
      <c r="K841">
        <f>B841-$O$14</f>
        <v/>
      </c>
    </row>
    <row r="842">
      <c r="A842" t="n">
        <v>2520</v>
      </c>
      <c r="B842" t="n">
        <v>84</v>
      </c>
      <c r="C842" t="inlineStr">
        <is>
          <t>312</t>
        </is>
      </c>
      <c r="D842" t="n">
        <v>3.12</v>
      </c>
      <c r="E842">
        <f>MEDIAN(D822:D862)</f>
        <v/>
      </c>
      <c r="F842">
        <f>E822</f>
        <v/>
      </c>
      <c r="G842">
        <f>F842-E842</f>
        <v/>
      </c>
      <c r="H842">
        <f>IF(OR(NOT(ISNUMBER(D842)),ABS(D842-E842)&gt;$O$3,AND($O$11=1,B842&lt;$O$12)),1,0)</f>
        <v/>
      </c>
      <c r="I842">
        <f>IF(H842=1,NA(),D842)</f>
        <v/>
      </c>
      <c r="J842">
        <f>IF(AND(ISNUMBER(D842),D842&gt;=$O$4,OR($O$11=0,B842&gt;=$O$12)),1,0)</f>
        <v/>
      </c>
      <c r="K842">
        <f>B842-$O$14</f>
        <v/>
      </c>
    </row>
    <row r="843">
      <c r="A843" t="n">
        <v>2523</v>
      </c>
      <c r="B843" t="n">
        <v>84.09999999999999</v>
      </c>
      <c r="C843" t="inlineStr">
        <is>
          <t>12</t>
        </is>
      </c>
      <c r="D843" t="n">
        <v>0.12</v>
      </c>
      <c r="E843">
        <f>MEDIAN(D823:D863)</f>
        <v/>
      </c>
      <c r="F843">
        <f>E823</f>
        <v/>
      </c>
      <c r="G843">
        <f>F843-E843</f>
        <v/>
      </c>
      <c r="H843">
        <f>IF(OR(NOT(ISNUMBER(D843)),ABS(D843-E843)&gt;$O$3,AND($O$11=1,B843&lt;$O$12)),1,0)</f>
        <v/>
      </c>
      <c r="I843">
        <f>IF(H843=1,NA(),D843)</f>
        <v/>
      </c>
      <c r="J843">
        <f>IF(AND(ISNUMBER(D843),D843&gt;=$O$4,OR($O$11=0,B843&gt;=$O$12)),1,0)</f>
        <v/>
      </c>
      <c r="K843">
        <f>B843-$O$14</f>
        <v/>
      </c>
    </row>
    <row r="844">
      <c r="A844" t="n">
        <v>2526</v>
      </c>
      <c r="B844" t="n">
        <v>84.2</v>
      </c>
      <c r="C844" t="inlineStr">
        <is>
          <t>?12</t>
        </is>
      </c>
      <c r="E844">
        <f>MEDIAN(D824:D864)</f>
        <v/>
      </c>
      <c r="F844">
        <f>E824</f>
        <v/>
      </c>
      <c r="G844">
        <f>F844-E844</f>
        <v/>
      </c>
      <c r="H844">
        <f>IF(OR(NOT(ISNUMBER(D844)),ABS(D844-E844)&gt;$O$3,AND($O$11=1,B844&lt;$O$12)),1,0)</f>
        <v/>
      </c>
      <c r="I844">
        <f>IF(H844=1,NA(),D844)</f>
        <v/>
      </c>
      <c r="J844">
        <f>IF(AND(ISNUMBER(D844),D844&gt;=$O$4,OR($O$11=0,B844&gt;=$O$12)),1,0)</f>
        <v/>
      </c>
      <c r="K844">
        <f>B844-$O$14</f>
        <v/>
      </c>
    </row>
    <row r="845">
      <c r="A845" t="n">
        <v>2529</v>
      </c>
      <c r="B845" t="n">
        <v>84.3</v>
      </c>
      <c r="C845" t="inlineStr">
        <is>
          <t>?12</t>
        </is>
      </c>
      <c r="E845">
        <f>MEDIAN(D825:D865)</f>
        <v/>
      </c>
      <c r="F845">
        <f>E825</f>
        <v/>
      </c>
      <c r="G845">
        <f>F845-E845</f>
        <v/>
      </c>
      <c r="H845">
        <f>IF(OR(NOT(ISNUMBER(D845)),ABS(D845-E845)&gt;$O$3,AND($O$11=1,B845&lt;$O$12)),1,0)</f>
        <v/>
      </c>
      <c r="I845">
        <f>IF(H845=1,NA(),D845)</f>
        <v/>
      </c>
      <c r="J845">
        <f>IF(AND(ISNUMBER(D845),D845&gt;=$O$4,OR($O$11=0,B845&gt;=$O$12)),1,0)</f>
        <v/>
      </c>
      <c r="K845">
        <f>B845-$O$14</f>
        <v/>
      </c>
    </row>
    <row r="846">
      <c r="A846" t="n">
        <v>2532</v>
      </c>
      <c r="B846" t="n">
        <v>84.40000000000001</v>
      </c>
      <c r="C846" t="inlineStr">
        <is>
          <t>312</t>
        </is>
      </c>
      <c r="D846" t="n">
        <v>3.12</v>
      </c>
      <c r="E846">
        <f>MEDIAN(D826:D866)</f>
        <v/>
      </c>
      <c r="F846">
        <f>E826</f>
        <v/>
      </c>
      <c r="G846">
        <f>F846-E846</f>
        <v/>
      </c>
      <c r="H846">
        <f>IF(OR(NOT(ISNUMBER(D846)),ABS(D846-E846)&gt;$O$3,AND($O$11=1,B846&lt;$O$12)),1,0)</f>
        <v/>
      </c>
      <c r="I846">
        <f>IF(H846=1,NA(),D846)</f>
        <v/>
      </c>
      <c r="J846">
        <f>IF(AND(ISNUMBER(D846),D846&gt;=$O$4,OR($O$11=0,B846&gt;=$O$12)),1,0)</f>
        <v/>
      </c>
      <c r="K846">
        <f>B846-$O$14</f>
        <v/>
      </c>
    </row>
    <row r="847">
      <c r="A847" t="n">
        <v>2535</v>
      </c>
      <c r="B847" t="n">
        <v>84.5</v>
      </c>
      <c r="C847" t="inlineStr">
        <is>
          <t>12</t>
        </is>
      </c>
      <c r="D847" t="n">
        <v>0.12</v>
      </c>
      <c r="E847">
        <f>MEDIAN(D827:D867)</f>
        <v/>
      </c>
      <c r="F847">
        <f>E827</f>
        <v/>
      </c>
      <c r="G847">
        <f>F847-E847</f>
        <v/>
      </c>
      <c r="H847">
        <f>IF(OR(NOT(ISNUMBER(D847)),ABS(D847-E847)&gt;$O$3,AND($O$11=1,B847&lt;$O$12)),1,0)</f>
        <v/>
      </c>
      <c r="I847">
        <f>IF(H847=1,NA(),D847)</f>
        <v/>
      </c>
      <c r="J847">
        <f>IF(AND(ISNUMBER(D847),D847&gt;=$O$4,OR($O$11=0,B847&gt;=$O$12)),1,0)</f>
        <v/>
      </c>
      <c r="K847">
        <f>B847-$O$14</f>
        <v/>
      </c>
    </row>
    <row r="848">
      <c r="A848" t="n">
        <v>2538</v>
      </c>
      <c r="B848" t="n">
        <v>84.59999999999999</v>
      </c>
      <c r="C848" t="inlineStr">
        <is>
          <t>312</t>
        </is>
      </c>
      <c r="D848" t="n">
        <v>3.12</v>
      </c>
      <c r="E848">
        <f>MEDIAN(D828:D868)</f>
        <v/>
      </c>
      <c r="F848">
        <f>E828</f>
        <v/>
      </c>
      <c r="G848">
        <f>F848-E848</f>
        <v/>
      </c>
      <c r="H848">
        <f>IF(OR(NOT(ISNUMBER(D848)),ABS(D848-E848)&gt;$O$3,AND($O$11=1,B848&lt;$O$12)),1,0)</f>
        <v/>
      </c>
      <c r="I848">
        <f>IF(H848=1,NA(),D848)</f>
        <v/>
      </c>
      <c r="J848">
        <f>IF(AND(ISNUMBER(D848),D848&gt;=$O$4,OR($O$11=0,B848&gt;=$O$12)),1,0)</f>
        <v/>
      </c>
      <c r="K848">
        <f>B848-$O$14</f>
        <v/>
      </c>
    </row>
    <row r="849">
      <c r="A849" t="n">
        <v>2541</v>
      </c>
      <c r="B849" t="n">
        <v>84.7</v>
      </c>
      <c r="C849" t="inlineStr">
        <is>
          <t>12</t>
        </is>
      </c>
      <c r="D849" t="n">
        <v>0.12</v>
      </c>
      <c r="E849">
        <f>MEDIAN(D829:D869)</f>
        <v/>
      </c>
      <c r="F849">
        <f>E829</f>
        <v/>
      </c>
      <c r="G849">
        <f>F849-E849</f>
        <v/>
      </c>
      <c r="H849">
        <f>IF(OR(NOT(ISNUMBER(D849)),ABS(D849-E849)&gt;$O$3,AND($O$11=1,B849&lt;$O$12)),1,0)</f>
        <v/>
      </c>
      <c r="I849">
        <f>IF(H849=1,NA(),D849)</f>
        <v/>
      </c>
      <c r="J849">
        <f>IF(AND(ISNUMBER(D849),D849&gt;=$O$4,OR($O$11=0,B849&gt;=$O$12)),1,0)</f>
        <v/>
      </c>
      <c r="K849">
        <f>B849-$O$14</f>
        <v/>
      </c>
    </row>
    <row r="850">
      <c r="A850" t="n">
        <v>2544</v>
      </c>
      <c r="B850" t="n">
        <v>84.8</v>
      </c>
      <c r="C850" t="inlineStr">
        <is>
          <t>312</t>
        </is>
      </c>
      <c r="D850" t="n">
        <v>3.12</v>
      </c>
      <c r="E850">
        <f>MEDIAN(D830:D870)</f>
        <v/>
      </c>
      <c r="F850">
        <f>E830</f>
        <v/>
      </c>
      <c r="G850">
        <f>F850-E850</f>
        <v/>
      </c>
      <c r="H850">
        <f>IF(OR(NOT(ISNUMBER(D850)),ABS(D850-E850)&gt;$O$3,AND($O$11=1,B850&lt;$O$12)),1,0)</f>
        <v/>
      </c>
      <c r="I850">
        <f>IF(H850=1,NA(),D850)</f>
        <v/>
      </c>
      <c r="J850">
        <f>IF(AND(ISNUMBER(D850),D850&gt;=$O$4,OR($O$11=0,B850&gt;=$O$12)),1,0)</f>
        <v/>
      </c>
      <c r="K850">
        <f>B850-$O$14</f>
        <v/>
      </c>
    </row>
    <row r="851">
      <c r="A851" t="n">
        <v>2547</v>
      </c>
      <c r="B851" t="n">
        <v>84.90000000000001</v>
      </c>
      <c r="C851" t="inlineStr">
        <is>
          <t>12</t>
        </is>
      </c>
      <c r="D851" t="n">
        <v>0.12</v>
      </c>
      <c r="E851">
        <f>MEDIAN(D831:D871)</f>
        <v/>
      </c>
      <c r="F851">
        <f>E831</f>
        <v/>
      </c>
      <c r="G851">
        <f>F851-E851</f>
        <v/>
      </c>
      <c r="H851">
        <f>IF(OR(NOT(ISNUMBER(D851)),ABS(D851-E851)&gt;$O$3,AND($O$11=1,B851&lt;$O$12)),1,0)</f>
        <v/>
      </c>
      <c r="I851">
        <f>IF(H851=1,NA(),D851)</f>
        <v/>
      </c>
      <c r="J851">
        <f>IF(AND(ISNUMBER(D851),D851&gt;=$O$4,OR($O$11=0,B851&gt;=$O$12)),1,0)</f>
        <v/>
      </c>
      <c r="K851">
        <f>B851-$O$14</f>
        <v/>
      </c>
    </row>
    <row r="852">
      <c r="A852" t="n">
        <v>2550</v>
      </c>
      <c r="B852" t="n">
        <v>85</v>
      </c>
      <c r="C852" t="inlineStr">
        <is>
          <t>312</t>
        </is>
      </c>
      <c r="D852" t="n">
        <v>3.12</v>
      </c>
      <c r="E852">
        <f>MEDIAN(D832:D872)</f>
        <v/>
      </c>
      <c r="F852">
        <f>E832</f>
        <v/>
      </c>
      <c r="G852">
        <f>F852-E852</f>
        <v/>
      </c>
      <c r="H852">
        <f>IF(OR(NOT(ISNUMBER(D852)),ABS(D852-E852)&gt;$O$3,AND($O$11=1,B852&lt;$O$12)),1,0)</f>
        <v/>
      </c>
      <c r="I852">
        <f>IF(H852=1,NA(),D852)</f>
        <v/>
      </c>
      <c r="J852">
        <f>IF(AND(ISNUMBER(D852),D852&gt;=$O$4,OR($O$11=0,B852&gt;=$O$12)),1,0)</f>
        <v/>
      </c>
      <c r="K852">
        <f>B852-$O$14</f>
        <v/>
      </c>
    </row>
    <row r="853">
      <c r="A853" t="n">
        <v>2553</v>
      </c>
      <c r="B853" t="n">
        <v>85.09999999999999</v>
      </c>
      <c r="C853" t="inlineStr">
        <is>
          <t>?2</t>
        </is>
      </c>
      <c r="E853">
        <f>MEDIAN(D833:D873)</f>
        <v/>
      </c>
      <c r="F853">
        <f>E833</f>
        <v/>
      </c>
      <c r="G853">
        <f>F853-E853</f>
        <v/>
      </c>
      <c r="H853">
        <f>IF(OR(NOT(ISNUMBER(D853)),ABS(D853-E853)&gt;$O$3,AND($O$11=1,B853&lt;$O$12)),1,0)</f>
        <v/>
      </c>
      <c r="I853">
        <f>IF(H853=1,NA(),D853)</f>
        <v/>
      </c>
      <c r="J853">
        <f>IF(AND(ISNUMBER(D853),D853&gt;=$O$4,OR($O$11=0,B853&gt;=$O$12)),1,0)</f>
        <v/>
      </c>
      <c r="K853">
        <f>B853-$O$14</f>
        <v/>
      </c>
    </row>
    <row r="854">
      <c r="A854" t="n">
        <v>2556</v>
      </c>
      <c r="B854" t="n">
        <v>85.2</v>
      </c>
      <c r="C854" t="inlineStr">
        <is>
          <t>?12</t>
        </is>
      </c>
      <c r="E854">
        <f>MEDIAN(D834:D874)</f>
        <v/>
      </c>
      <c r="F854">
        <f>E834</f>
        <v/>
      </c>
      <c r="G854">
        <f>F854-E854</f>
        <v/>
      </c>
      <c r="H854">
        <f>IF(OR(NOT(ISNUMBER(D854)),ABS(D854-E854)&gt;$O$3,AND($O$11=1,B854&lt;$O$12)),1,0)</f>
        <v/>
      </c>
      <c r="I854">
        <f>IF(H854=1,NA(),D854)</f>
        <v/>
      </c>
      <c r="J854">
        <f>IF(AND(ISNUMBER(D854),D854&gt;=$O$4,OR($O$11=0,B854&gt;=$O$12)),1,0)</f>
        <v/>
      </c>
      <c r="K854">
        <f>B854-$O$14</f>
        <v/>
      </c>
    </row>
    <row r="855">
      <c r="A855" t="n">
        <v>2559</v>
      </c>
      <c r="B855" t="n">
        <v>85.3</v>
      </c>
      <c r="C855" t="inlineStr">
        <is>
          <t>12</t>
        </is>
      </c>
      <c r="D855" t="n">
        <v>0.12</v>
      </c>
      <c r="E855">
        <f>MEDIAN(D835:D875)</f>
        <v/>
      </c>
      <c r="F855">
        <f>E835</f>
        <v/>
      </c>
      <c r="G855">
        <f>F855-E855</f>
        <v/>
      </c>
      <c r="H855">
        <f>IF(OR(NOT(ISNUMBER(D855)),ABS(D855-E855)&gt;$O$3,AND($O$11=1,B855&lt;$O$12)),1,0)</f>
        <v/>
      </c>
      <c r="I855">
        <f>IF(H855=1,NA(),D855)</f>
        <v/>
      </c>
      <c r="J855">
        <f>IF(AND(ISNUMBER(D855),D855&gt;=$O$4,OR($O$11=0,B855&gt;=$O$12)),1,0)</f>
        <v/>
      </c>
      <c r="K855">
        <f>B855-$O$14</f>
        <v/>
      </c>
    </row>
    <row r="856">
      <c r="A856" t="n">
        <v>2562</v>
      </c>
      <c r="B856" t="n">
        <v>85.40000000000001</v>
      </c>
      <c r="C856" t="inlineStr">
        <is>
          <t>312</t>
        </is>
      </c>
      <c r="D856" t="n">
        <v>3.12</v>
      </c>
      <c r="E856">
        <f>MEDIAN(D836:D876)</f>
        <v/>
      </c>
      <c r="F856">
        <f>E836</f>
        <v/>
      </c>
      <c r="G856">
        <f>F856-E856</f>
        <v/>
      </c>
      <c r="H856">
        <f>IF(OR(NOT(ISNUMBER(D856)),ABS(D856-E856)&gt;$O$3,AND($O$11=1,B856&lt;$O$12)),1,0)</f>
        <v/>
      </c>
      <c r="I856">
        <f>IF(H856=1,NA(),D856)</f>
        <v/>
      </c>
      <c r="J856">
        <f>IF(AND(ISNUMBER(D856),D856&gt;=$O$4,OR($O$11=0,B856&gt;=$O$12)),1,0)</f>
        <v/>
      </c>
      <c r="K856">
        <f>B856-$O$14</f>
        <v/>
      </c>
    </row>
    <row r="857">
      <c r="A857" t="n">
        <v>2565</v>
      </c>
      <c r="B857" t="n">
        <v>85.5</v>
      </c>
      <c r="C857" t="inlineStr">
        <is>
          <t>12</t>
        </is>
      </c>
      <c r="D857" t="n">
        <v>0.12</v>
      </c>
      <c r="E857">
        <f>MEDIAN(D837:D877)</f>
        <v/>
      </c>
      <c r="F857">
        <f>E837</f>
        <v/>
      </c>
      <c r="G857">
        <f>F857-E857</f>
        <v/>
      </c>
      <c r="H857">
        <f>IF(OR(NOT(ISNUMBER(D857)),ABS(D857-E857)&gt;$O$3,AND($O$11=1,B857&lt;$O$12)),1,0)</f>
        <v/>
      </c>
      <c r="I857">
        <f>IF(H857=1,NA(),D857)</f>
        <v/>
      </c>
      <c r="J857">
        <f>IF(AND(ISNUMBER(D857),D857&gt;=$O$4,OR($O$11=0,B857&gt;=$O$12)),1,0)</f>
        <v/>
      </c>
      <c r="K857">
        <f>B857-$O$14</f>
        <v/>
      </c>
    </row>
    <row r="858">
      <c r="A858" t="n">
        <v>2568</v>
      </c>
      <c r="B858" t="n">
        <v>85.59999999999999</v>
      </c>
      <c r="C858" t="inlineStr">
        <is>
          <t>12</t>
        </is>
      </c>
      <c r="D858" t="n">
        <v>0.12</v>
      </c>
      <c r="E858">
        <f>MEDIAN(D838:D878)</f>
        <v/>
      </c>
      <c r="F858">
        <f>E838</f>
        <v/>
      </c>
      <c r="G858">
        <f>F858-E858</f>
        <v/>
      </c>
      <c r="H858">
        <f>IF(OR(NOT(ISNUMBER(D858)),ABS(D858-E858)&gt;$O$3,AND($O$11=1,B858&lt;$O$12)),1,0)</f>
        <v/>
      </c>
      <c r="I858">
        <f>IF(H858=1,NA(),D858)</f>
        <v/>
      </c>
      <c r="J858">
        <f>IF(AND(ISNUMBER(D858),D858&gt;=$O$4,OR($O$11=0,B858&gt;=$O$12)),1,0)</f>
        <v/>
      </c>
      <c r="K858">
        <f>B858-$O$14</f>
        <v/>
      </c>
    </row>
    <row r="859">
      <c r="A859" t="n">
        <v>2571</v>
      </c>
      <c r="B859" t="n">
        <v>85.7</v>
      </c>
      <c r="C859" t="inlineStr">
        <is>
          <t>12</t>
        </is>
      </c>
      <c r="D859" t="n">
        <v>0.12</v>
      </c>
      <c r="E859">
        <f>MEDIAN(D839:D879)</f>
        <v/>
      </c>
      <c r="F859">
        <f>E839</f>
        <v/>
      </c>
      <c r="G859">
        <f>F859-E859</f>
        <v/>
      </c>
      <c r="H859">
        <f>IF(OR(NOT(ISNUMBER(D859)),ABS(D859-E859)&gt;$O$3,AND($O$11=1,B859&lt;$O$12)),1,0)</f>
        <v/>
      </c>
      <c r="I859">
        <f>IF(H859=1,NA(),D859)</f>
        <v/>
      </c>
      <c r="J859">
        <f>IF(AND(ISNUMBER(D859),D859&gt;=$O$4,OR($O$11=0,B859&gt;=$O$12)),1,0)</f>
        <v/>
      </c>
      <c r="K859">
        <f>B859-$O$14</f>
        <v/>
      </c>
    </row>
    <row r="860">
      <c r="A860" t="n">
        <v>2574</v>
      </c>
      <c r="B860" t="n">
        <v>85.8</v>
      </c>
      <c r="C860" t="inlineStr">
        <is>
          <t>?12</t>
        </is>
      </c>
      <c r="E860">
        <f>MEDIAN(D840:D880)</f>
        <v/>
      </c>
      <c r="F860">
        <f>E840</f>
        <v/>
      </c>
      <c r="G860">
        <f>F860-E860</f>
        <v/>
      </c>
      <c r="H860">
        <f>IF(OR(NOT(ISNUMBER(D860)),ABS(D860-E860)&gt;$O$3,AND($O$11=1,B860&lt;$O$12)),1,0)</f>
        <v/>
      </c>
      <c r="I860">
        <f>IF(H860=1,NA(),D860)</f>
        <v/>
      </c>
      <c r="J860">
        <f>IF(AND(ISNUMBER(D860),D860&gt;=$O$4,OR($O$11=0,B860&gt;=$O$12)),1,0)</f>
        <v/>
      </c>
      <c r="K860">
        <f>B860-$O$14</f>
        <v/>
      </c>
    </row>
    <row r="861">
      <c r="A861" t="n">
        <v>2577</v>
      </c>
      <c r="B861" t="n">
        <v>85.90000000000001</v>
      </c>
      <c r="C861" t="inlineStr">
        <is>
          <t>12</t>
        </is>
      </c>
      <c r="D861" t="n">
        <v>0.12</v>
      </c>
      <c r="E861">
        <f>MEDIAN(D841:D881)</f>
        <v/>
      </c>
      <c r="F861">
        <f>E841</f>
        <v/>
      </c>
      <c r="G861">
        <f>F861-E861</f>
        <v/>
      </c>
      <c r="H861">
        <f>IF(OR(NOT(ISNUMBER(D861)),ABS(D861-E861)&gt;$O$3,AND($O$11=1,B861&lt;$O$12)),1,0)</f>
        <v/>
      </c>
      <c r="I861">
        <f>IF(H861=1,NA(),D861)</f>
        <v/>
      </c>
      <c r="J861">
        <f>IF(AND(ISNUMBER(D861),D861&gt;=$O$4,OR($O$11=0,B861&gt;=$O$12)),1,0)</f>
        <v/>
      </c>
      <c r="K861">
        <f>B861-$O$14</f>
        <v/>
      </c>
    </row>
    <row r="862">
      <c r="A862" t="n">
        <v>2580</v>
      </c>
      <c r="B862" t="n">
        <v>86</v>
      </c>
      <c r="C862" t="inlineStr">
        <is>
          <t>312</t>
        </is>
      </c>
      <c r="D862" t="n">
        <v>3.12</v>
      </c>
      <c r="E862">
        <f>MEDIAN(D842:D882)</f>
        <v/>
      </c>
      <c r="F862">
        <f>E842</f>
        <v/>
      </c>
      <c r="G862">
        <f>F862-E862</f>
        <v/>
      </c>
      <c r="H862">
        <f>IF(OR(NOT(ISNUMBER(D862)),ABS(D862-E862)&gt;$O$3,AND($O$11=1,B862&lt;$O$12)),1,0)</f>
        <v/>
      </c>
      <c r="I862">
        <f>IF(H862=1,NA(),D862)</f>
        <v/>
      </c>
      <c r="J862">
        <f>IF(AND(ISNUMBER(D862),D862&gt;=$O$4,OR($O$11=0,B862&gt;=$O$12)),1,0)</f>
        <v/>
      </c>
      <c r="K862">
        <f>B862-$O$14</f>
        <v/>
      </c>
    </row>
    <row r="863">
      <c r="A863" t="n">
        <v>2583</v>
      </c>
      <c r="B863" t="n">
        <v>86.09999999999999</v>
      </c>
      <c r="C863" t="inlineStr">
        <is>
          <t>312</t>
        </is>
      </c>
      <c r="D863" t="n">
        <v>3.12</v>
      </c>
      <c r="E863">
        <f>MEDIAN(D843:D883)</f>
        <v/>
      </c>
      <c r="F863">
        <f>E843</f>
        <v/>
      </c>
      <c r="G863">
        <f>F863-E863</f>
        <v/>
      </c>
      <c r="H863">
        <f>IF(OR(NOT(ISNUMBER(D863)),ABS(D863-E863)&gt;$O$3,AND($O$11=1,B863&lt;$O$12)),1,0)</f>
        <v/>
      </c>
      <c r="I863">
        <f>IF(H863=1,NA(),D863)</f>
        <v/>
      </c>
      <c r="J863">
        <f>IF(AND(ISNUMBER(D863),D863&gt;=$O$4,OR($O$11=0,B863&gt;=$O$12)),1,0)</f>
        <v/>
      </c>
      <c r="K863">
        <f>B863-$O$14</f>
        <v/>
      </c>
    </row>
    <row r="864">
      <c r="A864" t="n">
        <v>2586</v>
      </c>
      <c r="B864" t="n">
        <v>86.2</v>
      </c>
      <c r="C864" t="inlineStr">
        <is>
          <t>?12</t>
        </is>
      </c>
      <c r="E864">
        <f>MEDIAN(D844:D884)</f>
        <v/>
      </c>
      <c r="F864">
        <f>E844</f>
        <v/>
      </c>
      <c r="G864">
        <f>F864-E864</f>
        <v/>
      </c>
      <c r="H864">
        <f>IF(OR(NOT(ISNUMBER(D864)),ABS(D864-E864)&gt;$O$3,AND($O$11=1,B864&lt;$O$12)),1,0)</f>
        <v/>
      </c>
      <c r="I864">
        <f>IF(H864=1,NA(),D864)</f>
        <v/>
      </c>
      <c r="J864">
        <f>IF(AND(ISNUMBER(D864),D864&gt;=$O$4,OR($O$11=0,B864&gt;=$O$12)),1,0)</f>
        <v/>
      </c>
      <c r="K864">
        <f>B864-$O$14</f>
        <v/>
      </c>
    </row>
    <row r="865">
      <c r="A865" t="n">
        <v>2589</v>
      </c>
      <c r="B865" t="n">
        <v>86.3</v>
      </c>
      <c r="C865" t="inlineStr">
        <is>
          <t>?12</t>
        </is>
      </c>
      <c r="E865">
        <f>MEDIAN(D845:D885)</f>
        <v/>
      </c>
      <c r="F865">
        <f>E845</f>
        <v/>
      </c>
      <c r="G865">
        <f>F865-E865</f>
        <v/>
      </c>
      <c r="H865">
        <f>IF(OR(NOT(ISNUMBER(D865)),ABS(D865-E865)&gt;$O$3,AND($O$11=1,B865&lt;$O$12)),1,0)</f>
        <v/>
      </c>
      <c r="I865">
        <f>IF(H865=1,NA(),D865)</f>
        <v/>
      </c>
      <c r="J865">
        <f>IF(AND(ISNUMBER(D865),D865&gt;=$O$4,OR($O$11=0,B865&gt;=$O$12)),1,0)</f>
        <v/>
      </c>
      <c r="K865">
        <f>B865-$O$14</f>
        <v/>
      </c>
    </row>
    <row r="866">
      <c r="A866" t="n">
        <v>2592</v>
      </c>
      <c r="B866" t="n">
        <v>86.40000000000001</v>
      </c>
      <c r="C866" t="inlineStr">
        <is>
          <t>?12</t>
        </is>
      </c>
      <c r="E866">
        <f>MEDIAN(D846:D886)</f>
        <v/>
      </c>
      <c r="F866">
        <f>E846</f>
        <v/>
      </c>
      <c r="G866">
        <f>F866-E866</f>
        <v/>
      </c>
      <c r="H866">
        <f>IF(OR(NOT(ISNUMBER(D866)),ABS(D866-E866)&gt;$O$3,AND($O$11=1,B866&lt;$O$12)),1,0)</f>
        <v/>
      </c>
      <c r="I866">
        <f>IF(H866=1,NA(),D866)</f>
        <v/>
      </c>
      <c r="J866">
        <f>IF(AND(ISNUMBER(D866),D866&gt;=$O$4,OR($O$11=0,B866&gt;=$O$12)),1,0)</f>
        <v/>
      </c>
      <c r="K866">
        <f>B866-$O$14</f>
        <v/>
      </c>
    </row>
    <row r="867">
      <c r="A867" t="n">
        <v>2595</v>
      </c>
      <c r="B867" t="n">
        <v>86.5</v>
      </c>
      <c r="C867" t="inlineStr">
        <is>
          <t>312</t>
        </is>
      </c>
      <c r="D867" t="n">
        <v>3.12</v>
      </c>
      <c r="E867">
        <f>MEDIAN(D847:D887)</f>
        <v/>
      </c>
      <c r="F867">
        <f>E847</f>
        <v/>
      </c>
      <c r="G867">
        <f>F867-E867</f>
        <v/>
      </c>
      <c r="H867">
        <f>IF(OR(NOT(ISNUMBER(D867)),ABS(D867-E867)&gt;$O$3,AND($O$11=1,B867&lt;$O$12)),1,0)</f>
        <v/>
      </c>
      <c r="I867">
        <f>IF(H867=1,NA(),D867)</f>
        <v/>
      </c>
      <c r="J867">
        <f>IF(AND(ISNUMBER(D867),D867&gt;=$O$4,OR($O$11=0,B867&gt;=$O$12)),1,0)</f>
        <v/>
      </c>
      <c r="K867">
        <f>B867-$O$14</f>
        <v/>
      </c>
    </row>
    <row r="868">
      <c r="A868" t="n">
        <v>2598</v>
      </c>
      <c r="B868" t="n">
        <v>86.59999999999999</v>
      </c>
      <c r="C868" t="inlineStr">
        <is>
          <t>312</t>
        </is>
      </c>
      <c r="D868" t="n">
        <v>3.12</v>
      </c>
      <c r="E868">
        <f>MEDIAN(D848:D888)</f>
        <v/>
      </c>
      <c r="F868">
        <f>E848</f>
        <v/>
      </c>
      <c r="G868">
        <f>F868-E868</f>
        <v/>
      </c>
      <c r="H868">
        <f>IF(OR(NOT(ISNUMBER(D868)),ABS(D868-E868)&gt;$O$3,AND($O$11=1,B868&lt;$O$12)),1,0)</f>
        <v/>
      </c>
      <c r="I868">
        <f>IF(H868=1,NA(),D868)</f>
        <v/>
      </c>
      <c r="J868">
        <f>IF(AND(ISNUMBER(D868),D868&gt;=$O$4,OR($O$11=0,B868&gt;=$O$12)),1,0)</f>
        <v/>
      </c>
      <c r="K868">
        <f>B868-$O$14</f>
        <v/>
      </c>
    </row>
    <row r="869">
      <c r="A869" t="n">
        <v>2601</v>
      </c>
      <c r="B869" t="n">
        <v>86.7</v>
      </c>
      <c r="C869" t="inlineStr">
        <is>
          <t>312</t>
        </is>
      </c>
      <c r="D869" t="n">
        <v>3.12</v>
      </c>
      <c r="E869">
        <f>MEDIAN(D849:D889)</f>
        <v/>
      </c>
      <c r="F869">
        <f>E849</f>
        <v/>
      </c>
      <c r="G869">
        <f>F869-E869</f>
        <v/>
      </c>
      <c r="H869">
        <f>IF(OR(NOT(ISNUMBER(D869)),ABS(D869-E869)&gt;$O$3,AND($O$11=1,B869&lt;$O$12)),1,0)</f>
        <v/>
      </c>
      <c r="I869">
        <f>IF(H869=1,NA(),D869)</f>
        <v/>
      </c>
      <c r="J869">
        <f>IF(AND(ISNUMBER(D869),D869&gt;=$O$4,OR($O$11=0,B869&gt;=$O$12)),1,0)</f>
        <v/>
      </c>
      <c r="K869">
        <f>B869-$O$14</f>
        <v/>
      </c>
    </row>
    <row r="870">
      <c r="A870" t="n">
        <v>2604</v>
      </c>
      <c r="B870" t="n">
        <v>86.8</v>
      </c>
      <c r="C870" t="inlineStr">
        <is>
          <t>?12</t>
        </is>
      </c>
      <c r="E870">
        <f>MEDIAN(D850:D890)</f>
        <v/>
      </c>
      <c r="F870">
        <f>E850</f>
        <v/>
      </c>
      <c r="G870">
        <f>F870-E870</f>
        <v/>
      </c>
      <c r="H870">
        <f>IF(OR(NOT(ISNUMBER(D870)),ABS(D870-E870)&gt;$O$3,AND($O$11=1,B870&lt;$O$12)),1,0)</f>
        <v/>
      </c>
      <c r="I870">
        <f>IF(H870=1,NA(),D870)</f>
        <v/>
      </c>
      <c r="J870">
        <f>IF(AND(ISNUMBER(D870),D870&gt;=$O$4,OR($O$11=0,B870&gt;=$O$12)),1,0)</f>
        <v/>
      </c>
      <c r="K870">
        <f>B870-$O$14</f>
        <v/>
      </c>
    </row>
    <row r="871">
      <c r="A871" t="n">
        <v>2607</v>
      </c>
      <c r="B871" t="n">
        <v>86.90000000000001</v>
      </c>
      <c r="C871" t="inlineStr">
        <is>
          <t>312</t>
        </is>
      </c>
      <c r="D871" t="n">
        <v>3.12</v>
      </c>
      <c r="E871">
        <f>MEDIAN(D851:D891)</f>
        <v/>
      </c>
      <c r="F871">
        <f>E851</f>
        <v/>
      </c>
      <c r="G871">
        <f>F871-E871</f>
        <v/>
      </c>
      <c r="H871">
        <f>IF(OR(NOT(ISNUMBER(D871)),ABS(D871-E871)&gt;$O$3,AND($O$11=1,B871&lt;$O$12)),1,0)</f>
        <v/>
      </c>
      <c r="I871">
        <f>IF(H871=1,NA(),D871)</f>
        <v/>
      </c>
      <c r="J871">
        <f>IF(AND(ISNUMBER(D871),D871&gt;=$O$4,OR($O$11=0,B871&gt;=$O$12)),1,0)</f>
        <v/>
      </c>
      <c r="K871">
        <f>B871-$O$14</f>
        <v/>
      </c>
    </row>
    <row r="872">
      <c r="A872" t="n">
        <v>2610</v>
      </c>
      <c r="B872" t="n">
        <v>87</v>
      </c>
      <c r="C872" t="inlineStr">
        <is>
          <t>?12</t>
        </is>
      </c>
      <c r="E872">
        <f>MEDIAN(D852:D892)</f>
        <v/>
      </c>
      <c r="F872">
        <f>E852</f>
        <v/>
      </c>
      <c r="G872">
        <f>F872-E872</f>
        <v/>
      </c>
      <c r="H872">
        <f>IF(OR(NOT(ISNUMBER(D872)),ABS(D872-E872)&gt;$O$3,AND($O$11=1,B872&lt;$O$12)),1,0)</f>
        <v/>
      </c>
      <c r="I872">
        <f>IF(H872=1,NA(),D872)</f>
        <v/>
      </c>
      <c r="J872">
        <f>IF(AND(ISNUMBER(D872),D872&gt;=$O$4,OR($O$11=0,B872&gt;=$O$12)),1,0)</f>
        <v/>
      </c>
      <c r="K872">
        <f>B872-$O$14</f>
        <v/>
      </c>
    </row>
    <row r="873">
      <c r="A873" t="n">
        <v>2613</v>
      </c>
      <c r="B873" t="n">
        <v>87.09999999999999</v>
      </c>
      <c r="C873" t="inlineStr">
        <is>
          <t>312</t>
        </is>
      </c>
      <c r="D873" t="n">
        <v>3.12</v>
      </c>
      <c r="E873">
        <f>MEDIAN(D853:D893)</f>
        <v/>
      </c>
      <c r="F873">
        <f>E853</f>
        <v/>
      </c>
      <c r="G873">
        <f>F873-E873</f>
        <v/>
      </c>
      <c r="H873">
        <f>IF(OR(NOT(ISNUMBER(D873)),ABS(D873-E873)&gt;$O$3,AND($O$11=1,B873&lt;$O$12)),1,0)</f>
        <v/>
      </c>
      <c r="I873">
        <f>IF(H873=1,NA(),D873)</f>
        <v/>
      </c>
      <c r="J873">
        <f>IF(AND(ISNUMBER(D873),D873&gt;=$O$4,OR($O$11=0,B873&gt;=$O$12)),1,0)</f>
        <v/>
      </c>
      <c r="K873">
        <f>B873-$O$14</f>
        <v/>
      </c>
    </row>
    <row r="874">
      <c r="A874" t="n">
        <v>2616</v>
      </c>
      <c r="B874" t="n">
        <v>87.2</v>
      </c>
      <c r="C874" t="inlineStr">
        <is>
          <t>?12</t>
        </is>
      </c>
      <c r="E874">
        <f>MEDIAN(D854:D894)</f>
        <v/>
      </c>
      <c r="F874">
        <f>E854</f>
        <v/>
      </c>
      <c r="G874">
        <f>F874-E874</f>
        <v/>
      </c>
      <c r="H874">
        <f>IF(OR(NOT(ISNUMBER(D874)),ABS(D874-E874)&gt;$O$3,AND($O$11=1,B874&lt;$O$12)),1,0)</f>
        <v/>
      </c>
      <c r="I874">
        <f>IF(H874=1,NA(),D874)</f>
        <v/>
      </c>
      <c r="J874">
        <f>IF(AND(ISNUMBER(D874),D874&gt;=$O$4,OR($O$11=0,B874&gt;=$O$12)),1,0)</f>
        <v/>
      </c>
      <c r="K874">
        <f>B874-$O$14</f>
        <v/>
      </c>
    </row>
    <row r="875">
      <c r="A875" t="n">
        <v>2619</v>
      </c>
      <c r="B875" t="n">
        <v>87.3</v>
      </c>
      <c r="C875" t="inlineStr">
        <is>
          <t>312</t>
        </is>
      </c>
      <c r="D875" t="n">
        <v>3.12</v>
      </c>
      <c r="E875">
        <f>MEDIAN(D855:D895)</f>
        <v/>
      </c>
      <c r="F875">
        <f>E855</f>
        <v/>
      </c>
      <c r="G875">
        <f>F875-E875</f>
        <v/>
      </c>
      <c r="H875">
        <f>IF(OR(NOT(ISNUMBER(D875)),ABS(D875-E875)&gt;$O$3,AND($O$11=1,B875&lt;$O$12)),1,0)</f>
        <v/>
      </c>
      <c r="I875">
        <f>IF(H875=1,NA(),D875)</f>
        <v/>
      </c>
      <c r="J875">
        <f>IF(AND(ISNUMBER(D875),D875&gt;=$O$4,OR($O$11=0,B875&gt;=$O$12)),1,0)</f>
        <v/>
      </c>
      <c r="K875">
        <f>B875-$O$14</f>
        <v/>
      </c>
    </row>
    <row r="876">
      <c r="A876" t="n">
        <v>2622</v>
      </c>
      <c r="B876" t="n">
        <v>87.40000000000001</v>
      </c>
      <c r="C876" t="inlineStr">
        <is>
          <t>?12</t>
        </is>
      </c>
      <c r="E876">
        <f>MEDIAN(D856:D896)</f>
        <v/>
      </c>
      <c r="F876">
        <f>E856</f>
        <v/>
      </c>
      <c r="G876">
        <f>F876-E876</f>
        <v/>
      </c>
      <c r="H876">
        <f>IF(OR(NOT(ISNUMBER(D876)),ABS(D876-E876)&gt;$O$3,AND($O$11=1,B876&lt;$O$12)),1,0)</f>
        <v/>
      </c>
      <c r="I876">
        <f>IF(H876=1,NA(),D876)</f>
        <v/>
      </c>
      <c r="J876">
        <f>IF(AND(ISNUMBER(D876),D876&gt;=$O$4,OR($O$11=0,B876&gt;=$O$12)),1,0)</f>
        <v/>
      </c>
      <c r="K876">
        <f>B876-$O$14</f>
        <v/>
      </c>
    </row>
    <row r="877">
      <c r="A877" t="n">
        <v>2625</v>
      </c>
      <c r="B877" t="n">
        <v>87.5</v>
      </c>
      <c r="C877" t="inlineStr">
        <is>
          <t>312</t>
        </is>
      </c>
      <c r="D877" t="n">
        <v>3.12</v>
      </c>
      <c r="E877">
        <f>MEDIAN(D857:D897)</f>
        <v/>
      </c>
      <c r="F877">
        <f>E857</f>
        <v/>
      </c>
      <c r="G877">
        <f>F877-E877</f>
        <v/>
      </c>
      <c r="H877">
        <f>IF(OR(NOT(ISNUMBER(D877)),ABS(D877-E877)&gt;$O$3,AND($O$11=1,B877&lt;$O$12)),1,0)</f>
        <v/>
      </c>
      <c r="I877">
        <f>IF(H877=1,NA(),D877)</f>
        <v/>
      </c>
      <c r="J877">
        <f>IF(AND(ISNUMBER(D877),D877&gt;=$O$4,OR($O$11=0,B877&gt;=$O$12)),1,0)</f>
        <v/>
      </c>
      <c r="K877">
        <f>B877-$O$14</f>
        <v/>
      </c>
    </row>
    <row r="878">
      <c r="A878" t="n">
        <v>2628</v>
      </c>
      <c r="B878" t="n">
        <v>87.59999999999999</v>
      </c>
      <c r="C878" t="inlineStr">
        <is>
          <t>?12</t>
        </is>
      </c>
      <c r="E878">
        <f>MEDIAN(D858:D898)</f>
        <v/>
      </c>
      <c r="F878">
        <f>E858</f>
        <v/>
      </c>
      <c r="G878">
        <f>F878-E878</f>
        <v/>
      </c>
      <c r="H878">
        <f>IF(OR(NOT(ISNUMBER(D878)),ABS(D878-E878)&gt;$O$3,AND($O$11=1,B878&lt;$O$12)),1,0)</f>
        <v/>
      </c>
      <c r="I878">
        <f>IF(H878=1,NA(),D878)</f>
        <v/>
      </c>
      <c r="J878">
        <f>IF(AND(ISNUMBER(D878),D878&gt;=$O$4,OR($O$11=0,B878&gt;=$O$12)),1,0)</f>
        <v/>
      </c>
      <c r="K878">
        <f>B878-$O$14</f>
        <v/>
      </c>
    </row>
    <row r="879">
      <c r="A879" t="n">
        <v>2631</v>
      </c>
      <c r="B879" t="n">
        <v>87.7</v>
      </c>
      <c r="C879" t="inlineStr">
        <is>
          <t>?12</t>
        </is>
      </c>
      <c r="E879">
        <f>MEDIAN(D859:D899)</f>
        <v/>
      </c>
      <c r="F879">
        <f>E859</f>
        <v/>
      </c>
      <c r="G879">
        <f>F879-E879</f>
        <v/>
      </c>
      <c r="H879">
        <f>IF(OR(NOT(ISNUMBER(D879)),ABS(D879-E879)&gt;$O$3,AND($O$11=1,B879&lt;$O$12)),1,0)</f>
        <v/>
      </c>
      <c r="I879">
        <f>IF(H879=1,NA(),D879)</f>
        <v/>
      </c>
      <c r="J879">
        <f>IF(AND(ISNUMBER(D879),D879&gt;=$O$4,OR($O$11=0,B879&gt;=$O$12)),1,0)</f>
        <v/>
      </c>
      <c r="K879">
        <f>B879-$O$14</f>
        <v/>
      </c>
    </row>
    <row r="880">
      <c r="A880" t="n">
        <v>2634</v>
      </c>
      <c r="B880" t="n">
        <v>87.8</v>
      </c>
      <c r="C880" t="inlineStr">
        <is>
          <t>312</t>
        </is>
      </c>
      <c r="D880" t="n">
        <v>3.12</v>
      </c>
      <c r="E880">
        <f>MEDIAN(D860:D900)</f>
        <v/>
      </c>
      <c r="F880">
        <f>E860</f>
        <v/>
      </c>
      <c r="G880">
        <f>F880-E880</f>
        <v/>
      </c>
      <c r="H880">
        <f>IF(OR(NOT(ISNUMBER(D880)),ABS(D880-E880)&gt;$O$3,AND($O$11=1,B880&lt;$O$12)),1,0)</f>
        <v/>
      </c>
      <c r="I880">
        <f>IF(H880=1,NA(),D880)</f>
        <v/>
      </c>
      <c r="J880">
        <f>IF(AND(ISNUMBER(D880),D880&gt;=$O$4,OR($O$11=0,B880&gt;=$O$12)),1,0)</f>
        <v/>
      </c>
      <c r="K880">
        <f>B880-$O$14</f>
        <v/>
      </c>
    </row>
    <row r="881">
      <c r="A881" t="n">
        <v>2637</v>
      </c>
      <c r="B881" t="n">
        <v>87.90000000000001</v>
      </c>
      <c r="C881" t="inlineStr">
        <is>
          <t>312</t>
        </is>
      </c>
      <c r="D881" t="n">
        <v>3.12</v>
      </c>
      <c r="E881">
        <f>MEDIAN(D861:D901)</f>
        <v/>
      </c>
      <c r="F881">
        <f>E861</f>
        <v/>
      </c>
      <c r="G881">
        <f>F881-E881</f>
        <v/>
      </c>
      <c r="H881">
        <f>IF(OR(NOT(ISNUMBER(D881)),ABS(D881-E881)&gt;$O$3,AND($O$11=1,B881&lt;$O$12)),1,0)</f>
        <v/>
      </c>
      <c r="I881">
        <f>IF(H881=1,NA(),D881)</f>
        <v/>
      </c>
      <c r="J881">
        <f>IF(AND(ISNUMBER(D881),D881&gt;=$O$4,OR($O$11=0,B881&gt;=$O$12)),1,0)</f>
        <v/>
      </c>
      <c r="K881">
        <f>B881-$O$14</f>
        <v/>
      </c>
    </row>
    <row r="882">
      <c r="A882" t="n">
        <v>2640</v>
      </c>
      <c r="B882" t="n">
        <v>88</v>
      </c>
      <c r="C882" t="inlineStr">
        <is>
          <t>?12</t>
        </is>
      </c>
      <c r="E882">
        <f>MEDIAN(D862:D902)</f>
        <v/>
      </c>
      <c r="F882">
        <f>E862</f>
        <v/>
      </c>
      <c r="G882">
        <f>F882-E882</f>
        <v/>
      </c>
      <c r="H882">
        <f>IF(OR(NOT(ISNUMBER(D882)),ABS(D882-E882)&gt;$O$3,AND($O$11=1,B882&lt;$O$12)),1,0)</f>
        <v/>
      </c>
      <c r="I882">
        <f>IF(H882=1,NA(),D882)</f>
        <v/>
      </c>
      <c r="J882">
        <f>IF(AND(ISNUMBER(D882),D882&gt;=$O$4,OR($O$11=0,B882&gt;=$O$12)),1,0)</f>
        <v/>
      </c>
      <c r="K882">
        <f>B882-$O$14</f>
        <v/>
      </c>
    </row>
    <row r="883">
      <c r="A883" t="n">
        <v>2643</v>
      </c>
      <c r="B883" t="n">
        <v>88.09999999999999</v>
      </c>
      <c r="C883" t="inlineStr">
        <is>
          <t>?12</t>
        </is>
      </c>
      <c r="E883">
        <f>MEDIAN(D863:D903)</f>
        <v/>
      </c>
      <c r="F883">
        <f>E863</f>
        <v/>
      </c>
      <c r="G883">
        <f>F883-E883</f>
        <v/>
      </c>
      <c r="H883">
        <f>IF(OR(NOT(ISNUMBER(D883)),ABS(D883-E883)&gt;$O$3,AND($O$11=1,B883&lt;$O$12)),1,0)</f>
        <v/>
      </c>
      <c r="I883">
        <f>IF(H883=1,NA(),D883)</f>
        <v/>
      </c>
      <c r="J883">
        <f>IF(AND(ISNUMBER(D883),D883&gt;=$O$4,OR($O$11=0,B883&gt;=$O$12)),1,0)</f>
        <v/>
      </c>
      <c r="K883">
        <f>B883-$O$14</f>
        <v/>
      </c>
    </row>
    <row r="884">
      <c r="A884" t="n">
        <v>2646</v>
      </c>
      <c r="B884" t="n">
        <v>88.2</v>
      </c>
      <c r="C884" t="inlineStr">
        <is>
          <t>312</t>
        </is>
      </c>
      <c r="D884" t="n">
        <v>3.12</v>
      </c>
      <c r="E884">
        <f>MEDIAN(D864:D904)</f>
        <v/>
      </c>
      <c r="F884">
        <f>E864</f>
        <v/>
      </c>
      <c r="G884">
        <f>F884-E884</f>
        <v/>
      </c>
      <c r="H884">
        <f>IF(OR(NOT(ISNUMBER(D884)),ABS(D884-E884)&gt;$O$3,AND($O$11=1,B884&lt;$O$12)),1,0)</f>
        <v/>
      </c>
      <c r="I884">
        <f>IF(H884=1,NA(),D884)</f>
        <v/>
      </c>
      <c r="J884">
        <f>IF(AND(ISNUMBER(D884),D884&gt;=$O$4,OR($O$11=0,B884&gt;=$O$12)),1,0)</f>
        <v/>
      </c>
      <c r="K884">
        <f>B884-$O$14</f>
        <v/>
      </c>
    </row>
    <row r="885">
      <c r="A885" t="n">
        <v>2649</v>
      </c>
      <c r="B885" t="n">
        <v>88.3</v>
      </c>
      <c r="C885" t="inlineStr">
        <is>
          <t>312</t>
        </is>
      </c>
      <c r="D885" t="n">
        <v>3.12</v>
      </c>
      <c r="E885">
        <f>MEDIAN(D865:D905)</f>
        <v/>
      </c>
      <c r="F885">
        <f>E865</f>
        <v/>
      </c>
      <c r="G885">
        <f>F885-E885</f>
        <v/>
      </c>
      <c r="H885">
        <f>IF(OR(NOT(ISNUMBER(D885)),ABS(D885-E885)&gt;$O$3,AND($O$11=1,B885&lt;$O$12)),1,0)</f>
        <v/>
      </c>
      <c r="I885">
        <f>IF(H885=1,NA(),D885)</f>
        <v/>
      </c>
      <c r="J885">
        <f>IF(AND(ISNUMBER(D885),D885&gt;=$O$4,OR($O$11=0,B885&gt;=$O$12)),1,0)</f>
        <v/>
      </c>
      <c r="K885">
        <f>B885-$O$14</f>
        <v/>
      </c>
    </row>
    <row r="886">
      <c r="A886" t="n">
        <v>2652</v>
      </c>
      <c r="B886" t="n">
        <v>88.40000000000001</v>
      </c>
      <c r="C886" t="inlineStr">
        <is>
          <t>312</t>
        </is>
      </c>
      <c r="D886" t="n">
        <v>3.12</v>
      </c>
      <c r="E886">
        <f>MEDIAN(D866:D906)</f>
        <v/>
      </c>
      <c r="F886">
        <f>E866</f>
        <v/>
      </c>
      <c r="G886">
        <f>F886-E886</f>
        <v/>
      </c>
      <c r="H886">
        <f>IF(OR(NOT(ISNUMBER(D886)),ABS(D886-E886)&gt;$O$3,AND($O$11=1,B886&lt;$O$12)),1,0)</f>
        <v/>
      </c>
      <c r="I886">
        <f>IF(H886=1,NA(),D886)</f>
        <v/>
      </c>
      <c r="J886">
        <f>IF(AND(ISNUMBER(D886),D886&gt;=$O$4,OR($O$11=0,B886&gt;=$O$12)),1,0)</f>
        <v/>
      </c>
      <c r="K886">
        <f>B886-$O$14</f>
        <v/>
      </c>
    </row>
    <row r="887">
      <c r="A887" t="n">
        <v>2655</v>
      </c>
      <c r="B887" t="n">
        <v>88.5</v>
      </c>
      <c r="C887" t="inlineStr">
        <is>
          <t>312</t>
        </is>
      </c>
      <c r="D887" t="n">
        <v>3.12</v>
      </c>
      <c r="E887">
        <f>MEDIAN(D867:D907)</f>
        <v/>
      </c>
      <c r="F887">
        <f>E867</f>
        <v/>
      </c>
      <c r="G887">
        <f>F887-E887</f>
        <v/>
      </c>
      <c r="H887">
        <f>IF(OR(NOT(ISNUMBER(D887)),ABS(D887-E887)&gt;$O$3,AND($O$11=1,B887&lt;$O$12)),1,0)</f>
        <v/>
      </c>
      <c r="I887">
        <f>IF(H887=1,NA(),D887)</f>
        <v/>
      </c>
      <c r="J887">
        <f>IF(AND(ISNUMBER(D887),D887&gt;=$O$4,OR($O$11=0,B887&gt;=$O$12)),1,0)</f>
        <v/>
      </c>
      <c r="K887">
        <f>B887-$O$14</f>
        <v/>
      </c>
    </row>
    <row r="888">
      <c r="A888" t="n">
        <v>2658</v>
      </c>
      <c r="B888" t="n">
        <v>88.59999999999999</v>
      </c>
      <c r="C888" t="inlineStr">
        <is>
          <t>312</t>
        </is>
      </c>
      <c r="D888" t="n">
        <v>3.12</v>
      </c>
      <c r="E888">
        <f>MEDIAN(D868:D908)</f>
        <v/>
      </c>
      <c r="F888">
        <f>E868</f>
        <v/>
      </c>
      <c r="G888">
        <f>F888-E888</f>
        <v/>
      </c>
      <c r="H888">
        <f>IF(OR(NOT(ISNUMBER(D888)),ABS(D888-E888)&gt;$O$3,AND($O$11=1,B888&lt;$O$12)),1,0)</f>
        <v/>
      </c>
      <c r="I888">
        <f>IF(H888=1,NA(),D888)</f>
        <v/>
      </c>
      <c r="J888">
        <f>IF(AND(ISNUMBER(D888),D888&gt;=$O$4,OR($O$11=0,B888&gt;=$O$12)),1,0)</f>
        <v/>
      </c>
      <c r="K888">
        <f>B888-$O$14</f>
        <v/>
      </c>
    </row>
    <row r="889">
      <c r="A889" t="n">
        <v>2661</v>
      </c>
      <c r="B889" t="n">
        <v>88.7</v>
      </c>
      <c r="C889" t="inlineStr">
        <is>
          <t>12</t>
        </is>
      </c>
      <c r="D889" t="n">
        <v>0.12</v>
      </c>
      <c r="E889">
        <f>MEDIAN(D869:D909)</f>
        <v/>
      </c>
      <c r="F889">
        <f>E869</f>
        <v/>
      </c>
      <c r="G889">
        <f>F889-E889</f>
        <v/>
      </c>
      <c r="H889">
        <f>IF(OR(NOT(ISNUMBER(D889)),ABS(D889-E889)&gt;$O$3,AND($O$11=1,B889&lt;$O$12)),1,0)</f>
        <v/>
      </c>
      <c r="I889">
        <f>IF(H889=1,NA(),D889)</f>
        <v/>
      </c>
      <c r="J889">
        <f>IF(AND(ISNUMBER(D889),D889&gt;=$O$4,OR($O$11=0,B889&gt;=$O$12)),1,0)</f>
        <v/>
      </c>
      <c r="K889">
        <f>B889-$O$14</f>
        <v/>
      </c>
    </row>
    <row r="890">
      <c r="A890" t="n">
        <v>2664</v>
      </c>
      <c r="B890" t="n">
        <v>88.8</v>
      </c>
      <c r="C890" t="inlineStr">
        <is>
          <t>312</t>
        </is>
      </c>
      <c r="D890" t="n">
        <v>3.12</v>
      </c>
      <c r="E890">
        <f>MEDIAN(D870:D910)</f>
        <v/>
      </c>
      <c r="F890">
        <f>E870</f>
        <v/>
      </c>
      <c r="G890">
        <f>F890-E890</f>
        <v/>
      </c>
      <c r="H890">
        <f>IF(OR(NOT(ISNUMBER(D890)),ABS(D890-E890)&gt;$O$3,AND($O$11=1,B890&lt;$O$12)),1,0)</f>
        <v/>
      </c>
      <c r="I890">
        <f>IF(H890=1,NA(),D890)</f>
        <v/>
      </c>
      <c r="J890">
        <f>IF(AND(ISNUMBER(D890),D890&gt;=$O$4,OR($O$11=0,B890&gt;=$O$12)),1,0)</f>
        <v/>
      </c>
      <c r="K890">
        <f>B890-$O$14</f>
        <v/>
      </c>
    </row>
    <row r="891">
      <c r="A891" t="n">
        <v>2667</v>
      </c>
      <c r="B891" t="n">
        <v>88.90000000000001</v>
      </c>
      <c r="C891" t="inlineStr">
        <is>
          <t>312</t>
        </is>
      </c>
      <c r="D891" t="n">
        <v>3.12</v>
      </c>
      <c r="E891">
        <f>MEDIAN(D871:D911)</f>
        <v/>
      </c>
      <c r="F891">
        <f>E871</f>
        <v/>
      </c>
      <c r="G891">
        <f>F891-E891</f>
        <v/>
      </c>
      <c r="H891">
        <f>IF(OR(NOT(ISNUMBER(D891)),ABS(D891-E891)&gt;$O$3,AND($O$11=1,B891&lt;$O$12)),1,0)</f>
        <v/>
      </c>
      <c r="I891">
        <f>IF(H891=1,NA(),D891)</f>
        <v/>
      </c>
      <c r="J891">
        <f>IF(AND(ISNUMBER(D891),D891&gt;=$O$4,OR($O$11=0,B891&gt;=$O$12)),1,0)</f>
        <v/>
      </c>
      <c r="K891">
        <f>B891-$O$14</f>
        <v/>
      </c>
    </row>
    <row r="892">
      <c r="A892" t="n">
        <v>2670</v>
      </c>
      <c r="B892" t="n">
        <v>89</v>
      </c>
      <c r="C892" t="inlineStr">
        <is>
          <t>312</t>
        </is>
      </c>
      <c r="D892" t="n">
        <v>3.12</v>
      </c>
      <c r="E892">
        <f>MEDIAN(D872:D912)</f>
        <v/>
      </c>
      <c r="F892">
        <f>E872</f>
        <v/>
      </c>
      <c r="G892">
        <f>F892-E892</f>
        <v/>
      </c>
      <c r="H892">
        <f>IF(OR(NOT(ISNUMBER(D892)),ABS(D892-E892)&gt;$O$3,AND($O$11=1,B892&lt;$O$12)),1,0)</f>
        <v/>
      </c>
      <c r="I892">
        <f>IF(H892=1,NA(),D892)</f>
        <v/>
      </c>
      <c r="J892">
        <f>IF(AND(ISNUMBER(D892),D892&gt;=$O$4,OR($O$11=0,B892&gt;=$O$12)),1,0)</f>
        <v/>
      </c>
      <c r="K892">
        <f>B892-$O$14</f>
        <v/>
      </c>
    </row>
    <row r="893">
      <c r="A893" t="n">
        <v>2673</v>
      </c>
      <c r="B893" t="n">
        <v>89.09999999999999</v>
      </c>
      <c r="C893" t="inlineStr">
        <is>
          <t>312</t>
        </is>
      </c>
      <c r="D893" t="n">
        <v>3.12</v>
      </c>
      <c r="E893">
        <f>MEDIAN(D873:D913)</f>
        <v/>
      </c>
      <c r="F893">
        <f>E873</f>
        <v/>
      </c>
      <c r="G893">
        <f>F893-E893</f>
        <v/>
      </c>
      <c r="H893">
        <f>IF(OR(NOT(ISNUMBER(D893)),ABS(D893-E893)&gt;$O$3,AND($O$11=1,B893&lt;$O$12)),1,0)</f>
        <v/>
      </c>
      <c r="I893">
        <f>IF(H893=1,NA(),D893)</f>
        <v/>
      </c>
      <c r="J893">
        <f>IF(AND(ISNUMBER(D893),D893&gt;=$O$4,OR($O$11=0,B893&gt;=$O$12)),1,0)</f>
        <v/>
      </c>
      <c r="K893">
        <f>B893-$O$14</f>
        <v/>
      </c>
    </row>
    <row r="894">
      <c r="A894" t="n">
        <v>2676</v>
      </c>
      <c r="B894" t="n">
        <v>89.2</v>
      </c>
      <c r="C894" t="inlineStr">
        <is>
          <t>?12</t>
        </is>
      </c>
      <c r="E894">
        <f>MEDIAN(D874:D914)</f>
        <v/>
      </c>
      <c r="F894">
        <f>E874</f>
        <v/>
      </c>
      <c r="G894">
        <f>F894-E894</f>
        <v/>
      </c>
      <c r="H894">
        <f>IF(OR(NOT(ISNUMBER(D894)),ABS(D894-E894)&gt;$O$3,AND($O$11=1,B894&lt;$O$12)),1,0)</f>
        <v/>
      </c>
      <c r="I894">
        <f>IF(H894=1,NA(),D894)</f>
        <v/>
      </c>
      <c r="J894">
        <f>IF(AND(ISNUMBER(D894),D894&gt;=$O$4,OR($O$11=0,B894&gt;=$O$12)),1,0)</f>
        <v/>
      </c>
      <c r="K894">
        <f>B894-$O$14</f>
        <v/>
      </c>
    </row>
    <row r="895">
      <c r="A895" t="n">
        <v>2679</v>
      </c>
      <c r="B895" t="n">
        <v>89.3</v>
      </c>
      <c r="C895" t="inlineStr">
        <is>
          <t>?12</t>
        </is>
      </c>
      <c r="E895">
        <f>MEDIAN(D875:D915)</f>
        <v/>
      </c>
      <c r="F895">
        <f>E875</f>
        <v/>
      </c>
      <c r="G895">
        <f>F895-E895</f>
        <v/>
      </c>
      <c r="H895">
        <f>IF(OR(NOT(ISNUMBER(D895)),ABS(D895-E895)&gt;$O$3,AND($O$11=1,B895&lt;$O$12)),1,0)</f>
        <v/>
      </c>
      <c r="I895">
        <f>IF(H895=1,NA(),D895)</f>
        <v/>
      </c>
      <c r="J895">
        <f>IF(AND(ISNUMBER(D895),D895&gt;=$O$4,OR($O$11=0,B895&gt;=$O$12)),1,0)</f>
        <v/>
      </c>
      <c r="K895">
        <f>B895-$O$14</f>
        <v/>
      </c>
    </row>
    <row r="896">
      <c r="A896" t="n">
        <v>2682</v>
      </c>
      <c r="B896" t="n">
        <v>89.40000000000001</v>
      </c>
      <c r="C896" t="inlineStr">
        <is>
          <t>312</t>
        </is>
      </c>
      <c r="D896" t="n">
        <v>3.12</v>
      </c>
      <c r="E896">
        <f>MEDIAN(D876:D916)</f>
        <v/>
      </c>
      <c r="F896">
        <f>E876</f>
        <v/>
      </c>
      <c r="G896">
        <f>F896-E896</f>
        <v/>
      </c>
      <c r="H896">
        <f>IF(OR(NOT(ISNUMBER(D896)),ABS(D896-E896)&gt;$O$3,AND($O$11=1,B896&lt;$O$12)),1,0)</f>
        <v/>
      </c>
      <c r="I896">
        <f>IF(H896=1,NA(),D896)</f>
        <v/>
      </c>
      <c r="J896">
        <f>IF(AND(ISNUMBER(D896),D896&gt;=$O$4,OR($O$11=0,B896&gt;=$O$12)),1,0)</f>
        <v/>
      </c>
      <c r="K896">
        <f>B896-$O$14</f>
        <v/>
      </c>
    </row>
    <row r="897">
      <c r="A897" t="n">
        <v>2685</v>
      </c>
      <c r="B897" t="n">
        <v>89.5</v>
      </c>
      <c r="C897" t="inlineStr">
        <is>
          <t>312</t>
        </is>
      </c>
      <c r="D897" t="n">
        <v>3.12</v>
      </c>
      <c r="E897">
        <f>MEDIAN(D877:D917)</f>
        <v/>
      </c>
      <c r="F897">
        <f>E877</f>
        <v/>
      </c>
      <c r="G897">
        <f>F897-E897</f>
        <v/>
      </c>
      <c r="H897">
        <f>IF(OR(NOT(ISNUMBER(D897)),ABS(D897-E897)&gt;$O$3,AND($O$11=1,B897&lt;$O$12)),1,0)</f>
        <v/>
      </c>
      <c r="I897">
        <f>IF(H897=1,NA(),D897)</f>
        <v/>
      </c>
      <c r="J897">
        <f>IF(AND(ISNUMBER(D897),D897&gt;=$O$4,OR($O$11=0,B897&gt;=$O$12)),1,0)</f>
        <v/>
      </c>
      <c r="K897">
        <f>B897-$O$14</f>
        <v/>
      </c>
    </row>
    <row r="898">
      <c r="A898" t="n">
        <v>2688</v>
      </c>
      <c r="B898" t="n">
        <v>89.59999999999999</v>
      </c>
      <c r="C898" t="inlineStr">
        <is>
          <t>?12</t>
        </is>
      </c>
      <c r="E898">
        <f>MEDIAN(D878:D918)</f>
        <v/>
      </c>
      <c r="F898">
        <f>E878</f>
        <v/>
      </c>
      <c r="G898">
        <f>F898-E898</f>
        <v/>
      </c>
      <c r="H898">
        <f>IF(OR(NOT(ISNUMBER(D898)),ABS(D898-E898)&gt;$O$3,AND($O$11=1,B898&lt;$O$12)),1,0)</f>
        <v/>
      </c>
      <c r="I898">
        <f>IF(H898=1,NA(),D898)</f>
        <v/>
      </c>
      <c r="J898">
        <f>IF(AND(ISNUMBER(D898),D898&gt;=$O$4,OR($O$11=0,B898&gt;=$O$12)),1,0)</f>
        <v/>
      </c>
      <c r="K898">
        <f>B898-$O$14</f>
        <v/>
      </c>
    </row>
    <row r="899">
      <c r="A899" t="n">
        <v>2691</v>
      </c>
      <c r="B899" t="n">
        <v>89.7</v>
      </c>
      <c r="C899" t="inlineStr">
        <is>
          <t>312</t>
        </is>
      </c>
      <c r="D899" t="n">
        <v>3.12</v>
      </c>
      <c r="E899">
        <f>MEDIAN(D879:D919)</f>
        <v/>
      </c>
      <c r="F899">
        <f>E879</f>
        <v/>
      </c>
      <c r="G899">
        <f>F899-E899</f>
        <v/>
      </c>
      <c r="H899">
        <f>IF(OR(NOT(ISNUMBER(D899)),ABS(D899-E899)&gt;$O$3,AND($O$11=1,B899&lt;$O$12)),1,0)</f>
        <v/>
      </c>
      <c r="I899">
        <f>IF(H899=1,NA(),D899)</f>
        <v/>
      </c>
      <c r="J899">
        <f>IF(AND(ISNUMBER(D899),D899&gt;=$O$4,OR($O$11=0,B899&gt;=$O$12)),1,0)</f>
        <v/>
      </c>
      <c r="K899">
        <f>B899-$O$14</f>
        <v/>
      </c>
    </row>
    <row r="900">
      <c r="A900" t="n">
        <v>2694</v>
      </c>
      <c r="B900" t="n">
        <v>89.8</v>
      </c>
      <c r="C900" t="inlineStr">
        <is>
          <t>?12</t>
        </is>
      </c>
      <c r="E900">
        <f>MEDIAN(D880:D920)</f>
        <v/>
      </c>
      <c r="F900">
        <f>E880</f>
        <v/>
      </c>
      <c r="G900">
        <f>F900-E900</f>
        <v/>
      </c>
      <c r="H900">
        <f>IF(OR(NOT(ISNUMBER(D900)),ABS(D900-E900)&gt;$O$3,AND($O$11=1,B900&lt;$O$12)),1,0)</f>
        <v/>
      </c>
      <c r="I900">
        <f>IF(H900=1,NA(),D900)</f>
        <v/>
      </c>
      <c r="J900">
        <f>IF(AND(ISNUMBER(D900),D900&gt;=$O$4,OR($O$11=0,B900&gt;=$O$12)),1,0)</f>
        <v/>
      </c>
      <c r="K900">
        <f>B900-$O$14</f>
        <v/>
      </c>
    </row>
    <row r="901">
      <c r="A901" t="n">
        <v>2697</v>
      </c>
      <c r="B901" t="n">
        <v>89.90000000000001</v>
      </c>
      <c r="C901" t="inlineStr">
        <is>
          <t>12</t>
        </is>
      </c>
      <c r="D901" t="n">
        <v>0.12</v>
      </c>
      <c r="E901">
        <f>MEDIAN(D881:D921)</f>
        <v/>
      </c>
      <c r="F901">
        <f>E881</f>
        <v/>
      </c>
      <c r="G901">
        <f>F901-E901</f>
        <v/>
      </c>
      <c r="H901">
        <f>IF(OR(NOT(ISNUMBER(D901)),ABS(D901-E901)&gt;$O$3,AND($O$11=1,B901&lt;$O$12)),1,0)</f>
        <v/>
      </c>
      <c r="I901">
        <f>IF(H901=1,NA(),D901)</f>
        <v/>
      </c>
      <c r="J901">
        <f>IF(AND(ISNUMBER(D901),D901&gt;=$O$4,OR($O$11=0,B901&gt;=$O$12)),1,0)</f>
        <v/>
      </c>
      <c r="K901">
        <f>B901-$O$14</f>
        <v/>
      </c>
    </row>
    <row r="902">
      <c r="A902" t="n">
        <v>2700</v>
      </c>
      <c r="B902" t="n">
        <v>90</v>
      </c>
      <c r="C902" t="inlineStr">
        <is>
          <t>312</t>
        </is>
      </c>
      <c r="D902" t="n">
        <v>3.12</v>
      </c>
      <c r="E902">
        <f>MEDIAN(D882:D922)</f>
        <v/>
      </c>
      <c r="F902">
        <f>E882</f>
        <v/>
      </c>
      <c r="G902">
        <f>F902-E902</f>
        <v/>
      </c>
      <c r="H902">
        <f>IF(OR(NOT(ISNUMBER(D902)),ABS(D902-E902)&gt;$O$3,AND($O$11=1,B902&lt;$O$12)),1,0)</f>
        <v/>
      </c>
      <c r="I902">
        <f>IF(H902=1,NA(),D902)</f>
        <v/>
      </c>
      <c r="J902">
        <f>IF(AND(ISNUMBER(D902),D902&gt;=$O$4,OR($O$11=0,B902&gt;=$O$12)),1,0)</f>
        <v/>
      </c>
      <c r="K902">
        <f>B902-$O$14</f>
        <v/>
      </c>
    </row>
    <row r="903">
      <c r="A903" t="n">
        <v>2703</v>
      </c>
      <c r="B903" t="n">
        <v>90.09999999999999</v>
      </c>
      <c r="C903" t="inlineStr">
        <is>
          <t>?12</t>
        </is>
      </c>
      <c r="E903">
        <f>MEDIAN(D883:D923)</f>
        <v/>
      </c>
      <c r="F903">
        <f>E883</f>
        <v/>
      </c>
      <c r="G903">
        <f>F903-E903</f>
        <v/>
      </c>
      <c r="H903">
        <f>IF(OR(NOT(ISNUMBER(D903)),ABS(D903-E903)&gt;$O$3,AND($O$11=1,B903&lt;$O$12)),1,0)</f>
        <v/>
      </c>
      <c r="I903">
        <f>IF(H903=1,NA(),D903)</f>
        <v/>
      </c>
      <c r="J903">
        <f>IF(AND(ISNUMBER(D903),D903&gt;=$O$4,OR($O$11=0,B903&gt;=$O$12)),1,0)</f>
        <v/>
      </c>
      <c r="K903">
        <f>B903-$O$14</f>
        <v/>
      </c>
    </row>
    <row r="904">
      <c r="A904" t="n">
        <v>2706</v>
      </c>
      <c r="B904" t="n">
        <v>90.2</v>
      </c>
      <c r="C904" t="inlineStr">
        <is>
          <t>312</t>
        </is>
      </c>
      <c r="D904" t="n">
        <v>3.12</v>
      </c>
      <c r="E904">
        <f>MEDIAN(D884:D924)</f>
        <v/>
      </c>
      <c r="F904">
        <f>E884</f>
        <v/>
      </c>
      <c r="G904">
        <f>F904-E904</f>
        <v/>
      </c>
      <c r="H904">
        <f>IF(OR(NOT(ISNUMBER(D904)),ABS(D904-E904)&gt;$O$3,AND($O$11=1,B904&lt;$O$12)),1,0)</f>
        <v/>
      </c>
      <c r="I904">
        <f>IF(H904=1,NA(),D904)</f>
        <v/>
      </c>
      <c r="J904">
        <f>IF(AND(ISNUMBER(D904),D904&gt;=$O$4,OR($O$11=0,B904&gt;=$O$12)),1,0)</f>
        <v/>
      </c>
      <c r="K904">
        <f>B904-$O$14</f>
        <v/>
      </c>
    </row>
    <row r="905">
      <c r="A905" t="n">
        <v>2709</v>
      </c>
      <c r="B905" t="n">
        <v>90.3</v>
      </c>
      <c r="C905" t="inlineStr">
        <is>
          <t>?12</t>
        </is>
      </c>
      <c r="E905">
        <f>MEDIAN(D885:D925)</f>
        <v/>
      </c>
      <c r="F905">
        <f>E885</f>
        <v/>
      </c>
      <c r="G905">
        <f>F905-E905</f>
        <v/>
      </c>
      <c r="H905">
        <f>IF(OR(NOT(ISNUMBER(D905)),ABS(D905-E905)&gt;$O$3,AND($O$11=1,B905&lt;$O$12)),1,0)</f>
        <v/>
      </c>
      <c r="I905">
        <f>IF(H905=1,NA(),D905)</f>
        <v/>
      </c>
      <c r="J905">
        <f>IF(AND(ISNUMBER(D905),D905&gt;=$O$4,OR($O$11=0,B905&gt;=$O$12)),1,0)</f>
        <v/>
      </c>
      <c r="K905">
        <f>B905-$O$14</f>
        <v/>
      </c>
    </row>
    <row r="906">
      <c r="A906" t="n">
        <v>2712</v>
      </c>
      <c r="B906" t="n">
        <v>90.40000000000001</v>
      </c>
      <c r="C906" t="inlineStr">
        <is>
          <t>12</t>
        </is>
      </c>
      <c r="D906" t="n">
        <v>0.12</v>
      </c>
      <c r="E906">
        <f>MEDIAN(D886:D926)</f>
        <v/>
      </c>
      <c r="F906">
        <f>E886</f>
        <v/>
      </c>
      <c r="G906">
        <f>F906-E906</f>
        <v/>
      </c>
      <c r="H906">
        <f>IF(OR(NOT(ISNUMBER(D906)),ABS(D906-E906)&gt;$O$3,AND($O$11=1,B906&lt;$O$12)),1,0)</f>
        <v/>
      </c>
      <c r="I906">
        <f>IF(H906=1,NA(),D906)</f>
        <v/>
      </c>
      <c r="J906">
        <f>IF(AND(ISNUMBER(D906),D906&gt;=$O$4,OR($O$11=0,B906&gt;=$O$12)),1,0)</f>
        <v/>
      </c>
      <c r="K906">
        <f>B906-$O$14</f>
        <v/>
      </c>
    </row>
    <row r="907">
      <c r="A907" t="n">
        <v>2715</v>
      </c>
      <c r="B907" t="n">
        <v>90.5</v>
      </c>
      <c r="C907" t="inlineStr">
        <is>
          <t>12</t>
        </is>
      </c>
      <c r="D907" t="n">
        <v>0.12</v>
      </c>
      <c r="E907">
        <f>MEDIAN(D887:D927)</f>
        <v/>
      </c>
      <c r="F907">
        <f>E887</f>
        <v/>
      </c>
      <c r="G907">
        <f>F907-E907</f>
        <v/>
      </c>
      <c r="H907">
        <f>IF(OR(NOT(ISNUMBER(D907)),ABS(D907-E907)&gt;$O$3,AND($O$11=1,B907&lt;$O$12)),1,0)</f>
        <v/>
      </c>
      <c r="I907">
        <f>IF(H907=1,NA(),D907)</f>
        <v/>
      </c>
      <c r="J907">
        <f>IF(AND(ISNUMBER(D907),D907&gt;=$O$4,OR($O$11=0,B907&gt;=$O$12)),1,0)</f>
        <v/>
      </c>
      <c r="K907">
        <f>B907-$O$14</f>
        <v/>
      </c>
    </row>
    <row r="908">
      <c r="A908" t="n">
        <v>2718</v>
      </c>
      <c r="B908" t="n">
        <v>90.59999999999999</v>
      </c>
      <c r="C908" t="inlineStr">
        <is>
          <t>?12</t>
        </is>
      </c>
      <c r="E908">
        <f>MEDIAN(D888:D928)</f>
        <v/>
      </c>
      <c r="F908">
        <f>E888</f>
        <v/>
      </c>
      <c r="G908">
        <f>F908-E908</f>
        <v/>
      </c>
      <c r="H908">
        <f>IF(OR(NOT(ISNUMBER(D908)),ABS(D908-E908)&gt;$O$3,AND($O$11=1,B908&lt;$O$12)),1,0)</f>
        <v/>
      </c>
      <c r="I908">
        <f>IF(H908=1,NA(),D908)</f>
        <v/>
      </c>
      <c r="J908">
        <f>IF(AND(ISNUMBER(D908),D908&gt;=$O$4,OR($O$11=0,B908&gt;=$O$12)),1,0)</f>
        <v/>
      </c>
      <c r="K908">
        <f>B908-$O$14</f>
        <v/>
      </c>
    </row>
    <row r="909">
      <c r="A909" t="n">
        <v>2721</v>
      </c>
      <c r="B909" t="n">
        <v>90.7</v>
      </c>
      <c r="C909" t="inlineStr">
        <is>
          <t>312</t>
        </is>
      </c>
      <c r="D909" t="n">
        <v>3.12</v>
      </c>
      <c r="E909">
        <f>MEDIAN(D889:D929)</f>
        <v/>
      </c>
      <c r="F909">
        <f>E889</f>
        <v/>
      </c>
      <c r="G909">
        <f>F909-E909</f>
        <v/>
      </c>
      <c r="H909">
        <f>IF(OR(NOT(ISNUMBER(D909)),ABS(D909-E909)&gt;$O$3,AND($O$11=1,B909&lt;$O$12)),1,0)</f>
        <v/>
      </c>
      <c r="I909">
        <f>IF(H909=1,NA(),D909)</f>
        <v/>
      </c>
      <c r="J909">
        <f>IF(AND(ISNUMBER(D909),D909&gt;=$O$4,OR($O$11=0,B909&gt;=$O$12)),1,0)</f>
        <v/>
      </c>
      <c r="K909">
        <f>B909-$O$14</f>
        <v/>
      </c>
    </row>
    <row r="910">
      <c r="A910" t="n">
        <v>2724</v>
      </c>
      <c r="B910" t="n">
        <v>90.8</v>
      </c>
      <c r="C910" t="inlineStr">
        <is>
          <t>312</t>
        </is>
      </c>
      <c r="D910" t="n">
        <v>3.12</v>
      </c>
      <c r="E910">
        <f>MEDIAN(D890:D930)</f>
        <v/>
      </c>
      <c r="F910">
        <f>E890</f>
        <v/>
      </c>
      <c r="G910">
        <f>F910-E910</f>
        <v/>
      </c>
      <c r="H910">
        <f>IF(OR(NOT(ISNUMBER(D910)),ABS(D910-E910)&gt;$O$3,AND($O$11=1,B910&lt;$O$12)),1,0)</f>
        <v/>
      </c>
      <c r="I910">
        <f>IF(H910=1,NA(),D910)</f>
        <v/>
      </c>
      <c r="J910">
        <f>IF(AND(ISNUMBER(D910),D910&gt;=$O$4,OR($O$11=0,B910&gt;=$O$12)),1,0)</f>
        <v/>
      </c>
      <c r="K910">
        <f>B910-$O$14</f>
        <v/>
      </c>
    </row>
    <row r="911">
      <c r="A911" t="n">
        <v>2727</v>
      </c>
      <c r="B911" t="n">
        <v>90.90000000000001</v>
      </c>
      <c r="C911" t="inlineStr">
        <is>
          <t>12</t>
        </is>
      </c>
      <c r="D911" t="n">
        <v>0.12</v>
      </c>
      <c r="E911">
        <f>MEDIAN(D891:D931)</f>
        <v/>
      </c>
      <c r="F911">
        <f>E891</f>
        <v/>
      </c>
      <c r="G911">
        <f>F911-E911</f>
        <v/>
      </c>
      <c r="H911">
        <f>IF(OR(NOT(ISNUMBER(D911)),ABS(D911-E911)&gt;$O$3,AND($O$11=1,B911&lt;$O$12)),1,0)</f>
        <v/>
      </c>
      <c r="I911">
        <f>IF(H911=1,NA(),D911)</f>
        <v/>
      </c>
      <c r="J911">
        <f>IF(AND(ISNUMBER(D911),D911&gt;=$O$4,OR($O$11=0,B911&gt;=$O$12)),1,0)</f>
        <v/>
      </c>
      <c r="K911">
        <f>B911-$O$14</f>
        <v/>
      </c>
    </row>
    <row r="912">
      <c r="A912" t="n">
        <v>2730</v>
      </c>
      <c r="B912" t="n">
        <v>91</v>
      </c>
      <c r="C912" t="inlineStr">
        <is>
          <t>312</t>
        </is>
      </c>
      <c r="D912" t="n">
        <v>3.12</v>
      </c>
      <c r="E912">
        <f>MEDIAN(D892:D932)</f>
        <v/>
      </c>
      <c r="F912">
        <f>E892</f>
        <v/>
      </c>
      <c r="G912">
        <f>F912-E912</f>
        <v/>
      </c>
      <c r="H912">
        <f>IF(OR(NOT(ISNUMBER(D912)),ABS(D912-E912)&gt;$O$3,AND($O$11=1,B912&lt;$O$12)),1,0)</f>
        <v/>
      </c>
      <c r="I912">
        <f>IF(H912=1,NA(),D912)</f>
        <v/>
      </c>
      <c r="J912">
        <f>IF(AND(ISNUMBER(D912),D912&gt;=$O$4,OR($O$11=0,B912&gt;=$O$12)),1,0)</f>
        <v/>
      </c>
      <c r="K912">
        <f>B912-$O$14</f>
        <v/>
      </c>
    </row>
    <row r="913">
      <c r="A913" t="n">
        <v>2733</v>
      </c>
      <c r="B913" t="n">
        <v>91.09999999999999</v>
      </c>
      <c r="C913" t="inlineStr">
        <is>
          <t>?12</t>
        </is>
      </c>
      <c r="E913">
        <f>MEDIAN(D893:D933)</f>
        <v/>
      </c>
      <c r="F913">
        <f>E893</f>
        <v/>
      </c>
      <c r="G913">
        <f>F913-E913</f>
        <v/>
      </c>
      <c r="H913">
        <f>IF(OR(NOT(ISNUMBER(D913)),ABS(D913-E913)&gt;$O$3,AND($O$11=1,B913&lt;$O$12)),1,0)</f>
        <v/>
      </c>
      <c r="I913">
        <f>IF(H913=1,NA(),D913)</f>
        <v/>
      </c>
      <c r="J913">
        <f>IF(AND(ISNUMBER(D913),D913&gt;=$O$4,OR($O$11=0,B913&gt;=$O$12)),1,0)</f>
        <v/>
      </c>
      <c r="K913">
        <f>B913-$O$14</f>
        <v/>
      </c>
    </row>
    <row r="914">
      <c r="A914" t="n">
        <v>2736</v>
      </c>
      <c r="B914" t="n">
        <v>91.2</v>
      </c>
      <c r="C914" t="inlineStr">
        <is>
          <t>?12</t>
        </is>
      </c>
      <c r="E914">
        <f>MEDIAN(D894:D934)</f>
        <v/>
      </c>
      <c r="F914">
        <f>E894</f>
        <v/>
      </c>
      <c r="G914">
        <f>F914-E914</f>
        <v/>
      </c>
      <c r="H914">
        <f>IF(OR(NOT(ISNUMBER(D914)),ABS(D914-E914)&gt;$O$3,AND($O$11=1,B914&lt;$O$12)),1,0)</f>
        <v/>
      </c>
      <c r="I914">
        <f>IF(H914=1,NA(),D914)</f>
        <v/>
      </c>
      <c r="J914">
        <f>IF(AND(ISNUMBER(D914),D914&gt;=$O$4,OR($O$11=0,B914&gt;=$O$12)),1,0)</f>
        <v/>
      </c>
      <c r="K914">
        <f>B914-$O$14</f>
        <v/>
      </c>
    </row>
    <row r="915">
      <c r="A915" t="n">
        <v>2739</v>
      </c>
      <c r="B915" t="n">
        <v>91.3</v>
      </c>
      <c r="C915" t="inlineStr">
        <is>
          <t>?12</t>
        </is>
      </c>
      <c r="E915">
        <f>MEDIAN(D895:D935)</f>
        <v/>
      </c>
      <c r="F915">
        <f>E895</f>
        <v/>
      </c>
      <c r="G915">
        <f>F915-E915</f>
        <v/>
      </c>
      <c r="H915">
        <f>IF(OR(NOT(ISNUMBER(D915)),ABS(D915-E915)&gt;$O$3,AND($O$11=1,B915&lt;$O$12)),1,0)</f>
        <v/>
      </c>
      <c r="I915">
        <f>IF(H915=1,NA(),D915)</f>
        <v/>
      </c>
      <c r="J915">
        <f>IF(AND(ISNUMBER(D915),D915&gt;=$O$4,OR($O$11=0,B915&gt;=$O$12)),1,0)</f>
        <v/>
      </c>
      <c r="K915">
        <f>B915-$O$14</f>
        <v/>
      </c>
    </row>
    <row r="916">
      <c r="A916" t="n">
        <v>2742</v>
      </c>
      <c r="B916" t="n">
        <v>91.40000000000001</v>
      </c>
      <c r="C916" t="inlineStr">
        <is>
          <t>312</t>
        </is>
      </c>
      <c r="D916" t="n">
        <v>3.12</v>
      </c>
      <c r="E916">
        <f>MEDIAN(D896:D936)</f>
        <v/>
      </c>
      <c r="F916">
        <f>E896</f>
        <v/>
      </c>
      <c r="G916">
        <f>F916-E916</f>
        <v/>
      </c>
      <c r="H916">
        <f>IF(OR(NOT(ISNUMBER(D916)),ABS(D916-E916)&gt;$O$3,AND($O$11=1,B916&lt;$O$12)),1,0)</f>
        <v/>
      </c>
      <c r="I916">
        <f>IF(H916=1,NA(),D916)</f>
        <v/>
      </c>
      <c r="J916">
        <f>IF(AND(ISNUMBER(D916),D916&gt;=$O$4,OR($O$11=0,B916&gt;=$O$12)),1,0)</f>
        <v/>
      </c>
      <c r="K916">
        <f>B916-$O$14</f>
        <v/>
      </c>
    </row>
    <row r="917">
      <c r="A917" t="n">
        <v>2745</v>
      </c>
      <c r="B917" t="n">
        <v>91.5</v>
      </c>
      <c r="C917" t="inlineStr">
        <is>
          <t>312</t>
        </is>
      </c>
      <c r="D917" t="n">
        <v>3.12</v>
      </c>
      <c r="E917">
        <f>MEDIAN(D897:D937)</f>
        <v/>
      </c>
      <c r="F917">
        <f>E897</f>
        <v/>
      </c>
      <c r="G917">
        <f>F917-E917</f>
        <v/>
      </c>
      <c r="H917">
        <f>IF(OR(NOT(ISNUMBER(D917)),ABS(D917-E917)&gt;$O$3,AND($O$11=1,B917&lt;$O$12)),1,0)</f>
        <v/>
      </c>
      <c r="I917">
        <f>IF(H917=1,NA(),D917)</f>
        <v/>
      </c>
      <c r="J917">
        <f>IF(AND(ISNUMBER(D917),D917&gt;=$O$4,OR($O$11=0,B917&gt;=$O$12)),1,0)</f>
        <v/>
      </c>
      <c r="K917">
        <f>B917-$O$14</f>
        <v/>
      </c>
    </row>
    <row r="918">
      <c r="A918" t="n">
        <v>2748</v>
      </c>
      <c r="B918" t="n">
        <v>91.59999999999999</v>
      </c>
      <c r="C918" t="inlineStr">
        <is>
          <t>312</t>
        </is>
      </c>
      <c r="D918" t="n">
        <v>3.12</v>
      </c>
      <c r="E918">
        <f>MEDIAN(D898:D938)</f>
        <v/>
      </c>
      <c r="F918">
        <f>E898</f>
        <v/>
      </c>
      <c r="G918">
        <f>F918-E918</f>
        <v/>
      </c>
      <c r="H918">
        <f>IF(OR(NOT(ISNUMBER(D918)),ABS(D918-E918)&gt;$O$3,AND($O$11=1,B918&lt;$O$12)),1,0)</f>
        <v/>
      </c>
      <c r="I918">
        <f>IF(H918=1,NA(),D918)</f>
        <v/>
      </c>
      <c r="J918">
        <f>IF(AND(ISNUMBER(D918),D918&gt;=$O$4,OR($O$11=0,B918&gt;=$O$12)),1,0)</f>
        <v/>
      </c>
      <c r="K918">
        <f>B918-$O$14</f>
        <v/>
      </c>
    </row>
    <row r="919">
      <c r="A919" t="n">
        <v>2751</v>
      </c>
      <c r="B919" t="n">
        <v>91.7</v>
      </c>
      <c r="C919" t="inlineStr">
        <is>
          <t>?12</t>
        </is>
      </c>
      <c r="E919">
        <f>MEDIAN(D899:D939)</f>
        <v/>
      </c>
      <c r="F919">
        <f>E899</f>
        <v/>
      </c>
      <c r="G919">
        <f>F919-E919</f>
        <v/>
      </c>
      <c r="H919">
        <f>IF(OR(NOT(ISNUMBER(D919)),ABS(D919-E919)&gt;$O$3,AND($O$11=1,B919&lt;$O$12)),1,0)</f>
        <v/>
      </c>
      <c r="I919">
        <f>IF(H919=1,NA(),D919)</f>
        <v/>
      </c>
      <c r="J919">
        <f>IF(AND(ISNUMBER(D919),D919&gt;=$O$4,OR($O$11=0,B919&gt;=$O$12)),1,0)</f>
        <v/>
      </c>
      <c r="K919">
        <f>B919-$O$14</f>
        <v/>
      </c>
    </row>
    <row r="920">
      <c r="A920" t="n">
        <v>2754</v>
      </c>
      <c r="B920" t="n">
        <v>91.8</v>
      </c>
      <c r="C920" t="inlineStr">
        <is>
          <t>?12</t>
        </is>
      </c>
      <c r="E920">
        <f>MEDIAN(D900:D940)</f>
        <v/>
      </c>
      <c r="F920">
        <f>E900</f>
        <v/>
      </c>
      <c r="G920">
        <f>F920-E920</f>
        <v/>
      </c>
      <c r="H920">
        <f>IF(OR(NOT(ISNUMBER(D920)),ABS(D920-E920)&gt;$O$3,AND($O$11=1,B920&lt;$O$12)),1,0)</f>
        <v/>
      </c>
      <c r="I920">
        <f>IF(H920=1,NA(),D920)</f>
        <v/>
      </c>
      <c r="J920">
        <f>IF(AND(ISNUMBER(D920),D920&gt;=$O$4,OR($O$11=0,B920&gt;=$O$12)),1,0)</f>
        <v/>
      </c>
      <c r="K920">
        <f>B920-$O$14</f>
        <v/>
      </c>
    </row>
    <row r="921">
      <c r="A921" t="n">
        <v>2757</v>
      </c>
      <c r="B921" t="n">
        <v>91.90000000000001</v>
      </c>
      <c r="C921" t="inlineStr">
        <is>
          <t>?12</t>
        </is>
      </c>
      <c r="E921">
        <f>MEDIAN(D901:D941)</f>
        <v/>
      </c>
      <c r="F921">
        <f>E901</f>
        <v/>
      </c>
      <c r="G921">
        <f>F921-E921</f>
        <v/>
      </c>
      <c r="H921">
        <f>IF(OR(NOT(ISNUMBER(D921)),ABS(D921-E921)&gt;$O$3,AND($O$11=1,B921&lt;$O$12)),1,0)</f>
        <v/>
      </c>
      <c r="I921">
        <f>IF(H921=1,NA(),D921)</f>
        <v/>
      </c>
      <c r="J921">
        <f>IF(AND(ISNUMBER(D921),D921&gt;=$O$4,OR($O$11=0,B921&gt;=$O$12)),1,0)</f>
        <v/>
      </c>
      <c r="K921">
        <f>B921-$O$14</f>
        <v/>
      </c>
    </row>
    <row r="922">
      <c r="A922" t="n">
        <v>2760</v>
      </c>
      <c r="B922" t="n">
        <v>92</v>
      </c>
      <c r="C922" t="inlineStr">
        <is>
          <t>?12</t>
        </is>
      </c>
      <c r="E922">
        <f>MEDIAN(D902:D942)</f>
        <v/>
      </c>
      <c r="F922">
        <f>E902</f>
        <v/>
      </c>
      <c r="G922">
        <f>F922-E922</f>
        <v/>
      </c>
      <c r="H922">
        <f>IF(OR(NOT(ISNUMBER(D922)),ABS(D922-E922)&gt;$O$3,AND($O$11=1,B922&lt;$O$12)),1,0)</f>
        <v/>
      </c>
      <c r="I922">
        <f>IF(H922=1,NA(),D922)</f>
        <v/>
      </c>
      <c r="J922">
        <f>IF(AND(ISNUMBER(D922),D922&gt;=$O$4,OR($O$11=0,B922&gt;=$O$12)),1,0)</f>
        <v/>
      </c>
      <c r="K922">
        <f>B922-$O$14</f>
        <v/>
      </c>
    </row>
    <row r="923">
      <c r="A923" t="n">
        <v>2763</v>
      </c>
      <c r="B923" t="n">
        <v>92.09999999999999</v>
      </c>
      <c r="C923" t="inlineStr">
        <is>
          <t>312</t>
        </is>
      </c>
      <c r="D923" t="n">
        <v>3.12</v>
      </c>
      <c r="E923">
        <f>MEDIAN(D903:D943)</f>
        <v/>
      </c>
      <c r="F923">
        <f>E903</f>
        <v/>
      </c>
      <c r="G923">
        <f>F923-E923</f>
        <v/>
      </c>
      <c r="H923">
        <f>IF(OR(NOT(ISNUMBER(D923)),ABS(D923-E923)&gt;$O$3,AND($O$11=1,B923&lt;$O$12)),1,0)</f>
        <v/>
      </c>
      <c r="I923">
        <f>IF(H923=1,NA(),D923)</f>
        <v/>
      </c>
      <c r="J923">
        <f>IF(AND(ISNUMBER(D923),D923&gt;=$O$4,OR($O$11=0,B923&gt;=$O$12)),1,0)</f>
        <v/>
      </c>
      <c r="K923">
        <f>B923-$O$14</f>
        <v/>
      </c>
    </row>
    <row r="924">
      <c r="A924" t="n">
        <v>2766</v>
      </c>
      <c r="B924" t="n">
        <v>92.2</v>
      </c>
      <c r="C924" t="inlineStr">
        <is>
          <t>312</t>
        </is>
      </c>
      <c r="D924" t="n">
        <v>3.12</v>
      </c>
      <c r="E924">
        <f>MEDIAN(D904:D944)</f>
        <v/>
      </c>
      <c r="F924">
        <f>E904</f>
        <v/>
      </c>
      <c r="G924">
        <f>F924-E924</f>
        <v/>
      </c>
      <c r="H924">
        <f>IF(OR(NOT(ISNUMBER(D924)),ABS(D924-E924)&gt;$O$3,AND($O$11=1,B924&lt;$O$12)),1,0)</f>
        <v/>
      </c>
      <c r="I924">
        <f>IF(H924=1,NA(),D924)</f>
        <v/>
      </c>
      <c r="J924">
        <f>IF(AND(ISNUMBER(D924),D924&gt;=$O$4,OR($O$11=0,B924&gt;=$O$12)),1,0)</f>
        <v/>
      </c>
      <c r="K924">
        <f>B924-$O$14</f>
        <v/>
      </c>
    </row>
    <row r="925">
      <c r="A925" t="n">
        <v>2769</v>
      </c>
      <c r="B925" t="n">
        <v>92.3</v>
      </c>
      <c r="C925" t="inlineStr">
        <is>
          <t>?12</t>
        </is>
      </c>
      <c r="E925">
        <f>MEDIAN(D905:D945)</f>
        <v/>
      </c>
      <c r="F925">
        <f>E905</f>
        <v/>
      </c>
      <c r="G925">
        <f>F925-E925</f>
        <v/>
      </c>
      <c r="H925">
        <f>IF(OR(NOT(ISNUMBER(D925)),ABS(D925-E925)&gt;$O$3,AND($O$11=1,B925&lt;$O$12)),1,0)</f>
        <v/>
      </c>
      <c r="I925">
        <f>IF(H925=1,NA(),D925)</f>
        <v/>
      </c>
      <c r="J925">
        <f>IF(AND(ISNUMBER(D925),D925&gt;=$O$4,OR($O$11=0,B925&gt;=$O$12)),1,0)</f>
        <v/>
      </c>
      <c r="K925">
        <f>B925-$O$14</f>
        <v/>
      </c>
    </row>
    <row r="926">
      <c r="A926" t="n">
        <v>2772</v>
      </c>
      <c r="B926" t="n">
        <v>92.40000000000001</v>
      </c>
      <c r="C926" t="inlineStr">
        <is>
          <t>?16</t>
        </is>
      </c>
      <c r="E926">
        <f>MEDIAN(D906:D946)</f>
        <v/>
      </c>
      <c r="F926">
        <f>E906</f>
        <v/>
      </c>
      <c r="G926">
        <f>F926-E926</f>
        <v/>
      </c>
      <c r="H926">
        <f>IF(OR(NOT(ISNUMBER(D926)),ABS(D926-E926)&gt;$O$3,AND($O$11=1,B926&lt;$O$12)),1,0)</f>
        <v/>
      </c>
      <c r="I926">
        <f>IF(H926=1,NA(),D926)</f>
        <v/>
      </c>
      <c r="J926">
        <f>IF(AND(ISNUMBER(D926),D926&gt;=$O$4,OR($O$11=0,B926&gt;=$O$12)),1,0)</f>
        <v/>
      </c>
      <c r="K926">
        <f>B926-$O$14</f>
        <v/>
      </c>
    </row>
    <row r="927">
      <c r="A927" t="n">
        <v>2775</v>
      </c>
      <c r="B927" t="n">
        <v>92.5</v>
      </c>
      <c r="C927" t="inlineStr">
        <is>
          <t>313</t>
        </is>
      </c>
      <c r="D927" t="n">
        <v>3.13</v>
      </c>
      <c r="E927">
        <f>MEDIAN(D907:D947)</f>
        <v/>
      </c>
      <c r="F927">
        <f>E907</f>
        <v/>
      </c>
      <c r="G927">
        <f>F927-E927</f>
        <v/>
      </c>
      <c r="H927">
        <f>IF(OR(NOT(ISNUMBER(D927)),ABS(D927-E927)&gt;$O$3,AND($O$11=1,B927&lt;$O$12)),1,0)</f>
        <v/>
      </c>
      <c r="I927">
        <f>IF(H927=1,NA(),D927)</f>
        <v/>
      </c>
      <c r="J927">
        <f>IF(AND(ISNUMBER(D927),D927&gt;=$O$4,OR($O$11=0,B927&gt;=$O$12)),1,0)</f>
        <v/>
      </c>
      <c r="K927">
        <f>B927-$O$14</f>
        <v/>
      </c>
    </row>
    <row r="928">
      <c r="A928" t="n">
        <v>2778</v>
      </c>
      <c r="B928" t="n">
        <v>92.59999999999999</v>
      </c>
      <c r="C928" t="inlineStr">
        <is>
          <t>13</t>
        </is>
      </c>
      <c r="D928" t="n">
        <v>0.13</v>
      </c>
      <c r="E928">
        <f>MEDIAN(D908:D948)</f>
        <v/>
      </c>
      <c r="F928">
        <f>E908</f>
        <v/>
      </c>
      <c r="G928">
        <f>F928-E928</f>
        <v/>
      </c>
      <c r="H928">
        <f>IF(OR(NOT(ISNUMBER(D928)),ABS(D928-E928)&gt;$O$3,AND($O$11=1,B928&lt;$O$12)),1,0)</f>
        <v/>
      </c>
      <c r="I928">
        <f>IF(H928=1,NA(),D928)</f>
        <v/>
      </c>
      <c r="J928">
        <f>IF(AND(ISNUMBER(D928),D928&gt;=$O$4,OR($O$11=0,B928&gt;=$O$12)),1,0)</f>
        <v/>
      </c>
      <c r="K928">
        <f>B928-$O$14</f>
        <v/>
      </c>
    </row>
    <row r="929">
      <c r="A929" t="n">
        <v>2781</v>
      </c>
      <c r="B929" t="n">
        <v>92.7</v>
      </c>
      <c r="C929" t="inlineStr">
        <is>
          <t>?13</t>
        </is>
      </c>
      <c r="E929">
        <f>MEDIAN(D909:D949)</f>
        <v/>
      </c>
      <c r="F929">
        <f>E909</f>
        <v/>
      </c>
      <c r="G929">
        <f>F929-E929</f>
        <v/>
      </c>
      <c r="H929">
        <f>IF(OR(NOT(ISNUMBER(D929)),ABS(D929-E929)&gt;$O$3,AND($O$11=1,B929&lt;$O$12)),1,0)</f>
        <v/>
      </c>
      <c r="I929">
        <f>IF(H929=1,NA(),D929)</f>
        <v/>
      </c>
      <c r="J929">
        <f>IF(AND(ISNUMBER(D929),D929&gt;=$O$4,OR($O$11=0,B929&gt;=$O$12)),1,0)</f>
        <v/>
      </c>
      <c r="K929">
        <f>B929-$O$14</f>
        <v/>
      </c>
    </row>
    <row r="930">
      <c r="A930" t="n">
        <v>2784</v>
      </c>
      <c r="B930" t="n">
        <v>92.8</v>
      </c>
      <c r="C930" t="inlineStr">
        <is>
          <t>313</t>
        </is>
      </c>
      <c r="D930" t="n">
        <v>3.13</v>
      </c>
      <c r="E930">
        <f>MEDIAN(D910:D950)</f>
        <v/>
      </c>
      <c r="F930">
        <f>E910</f>
        <v/>
      </c>
      <c r="G930">
        <f>F930-E930</f>
        <v/>
      </c>
      <c r="H930">
        <f>IF(OR(NOT(ISNUMBER(D930)),ABS(D930-E930)&gt;$O$3,AND($O$11=1,B930&lt;$O$12)),1,0)</f>
        <v/>
      </c>
      <c r="I930">
        <f>IF(H930=1,NA(),D930)</f>
        <v/>
      </c>
      <c r="J930">
        <f>IF(AND(ISNUMBER(D930),D930&gt;=$O$4,OR($O$11=0,B930&gt;=$O$12)),1,0)</f>
        <v/>
      </c>
      <c r="K930">
        <f>B930-$O$14</f>
        <v/>
      </c>
    </row>
    <row r="931">
      <c r="A931" t="n">
        <v>2787</v>
      </c>
      <c r="B931" t="n">
        <v>92.90000000000001</v>
      </c>
      <c r="C931" t="inlineStr">
        <is>
          <t>313</t>
        </is>
      </c>
      <c r="D931" t="n">
        <v>3.13</v>
      </c>
      <c r="E931">
        <f>MEDIAN(D911:D951)</f>
        <v/>
      </c>
      <c r="F931">
        <f>E911</f>
        <v/>
      </c>
      <c r="G931">
        <f>F931-E931</f>
        <v/>
      </c>
      <c r="H931">
        <f>IF(OR(NOT(ISNUMBER(D931)),ABS(D931-E931)&gt;$O$3,AND($O$11=1,B931&lt;$O$12)),1,0)</f>
        <v/>
      </c>
      <c r="I931">
        <f>IF(H931=1,NA(),D931)</f>
        <v/>
      </c>
      <c r="J931">
        <f>IF(AND(ISNUMBER(D931),D931&gt;=$O$4,OR($O$11=0,B931&gt;=$O$12)),1,0)</f>
        <v/>
      </c>
      <c r="K931">
        <f>B931-$O$14</f>
        <v/>
      </c>
    </row>
    <row r="932">
      <c r="A932" t="n">
        <v>2790</v>
      </c>
      <c r="B932" t="n">
        <v>93</v>
      </c>
      <c r="C932" t="inlineStr">
        <is>
          <t>314</t>
        </is>
      </c>
      <c r="D932" t="n">
        <v>3.14</v>
      </c>
      <c r="E932">
        <f>MEDIAN(D912:D952)</f>
        <v/>
      </c>
      <c r="F932">
        <f>E912</f>
        <v/>
      </c>
      <c r="G932">
        <f>F932-E932</f>
        <v/>
      </c>
      <c r="H932">
        <f>IF(OR(NOT(ISNUMBER(D932)),ABS(D932-E932)&gt;$O$3,AND($O$11=1,B932&lt;$O$12)),1,0)</f>
        <v/>
      </c>
      <c r="I932">
        <f>IF(H932=1,NA(),D932)</f>
        <v/>
      </c>
      <c r="J932">
        <f>IF(AND(ISNUMBER(D932),D932&gt;=$O$4,OR($O$11=0,B932&gt;=$O$12)),1,0)</f>
        <v/>
      </c>
      <c r="K932">
        <f>B932-$O$14</f>
        <v/>
      </c>
    </row>
    <row r="933">
      <c r="A933" t="n">
        <v>2793</v>
      </c>
      <c r="B933" t="n">
        <v>93.09999999999999</v>
      </c>
      <c r="C933" t="inlineStr">
        <is>
          <t>314</t>
        </is>
      </c>
      <c r="D933" t="n">
        <v>3.14</v>
      </c>
      <c r="E933">
        <f>MEDIAN(D913:D953)</f>
        <v/>
      </c>
      <c r="F933">
        <f>E913</f>
        <v/>
      </c>
      <c r="G933">
        <f>F933-E933</f>
        <v/>
      </c>
      <c r="H933">
        <f>IF(OR(NOT(ISNUMBER(D933)),ABS(D933-E933)&gt;$O$3,AND($O$11=1,B933&lt;$O$12)),1,0)</f>
        <v/>
      </c>
      <c r="I933">
        <f>IF(H933=1,NA(),D933)</f>
        <v/>
      </c>
      <c r="J933">
        <f>IF(AND(ISNUMBER(D933),D933&gt;=$O$4,OR($O$11=0,B933&gt;=$O$12)),1,0)</f>
        <v/>
      </c>
      <c r="K933">
        <f>B933-$O$14</f>
        <v/>
      </c>
    </row>
    <row r="934">
      <c r="A934" t="n">
        <v>2796</v>
      </c>
      <c r="B934" t="n">
        <v>93.2</v>
      </c>
      <c r="C934" t="inlineStr">
        <is>
          <t>314</t>
        </is>
      </c>
      <c r="D934" t="n">
        <v>3.14</v>
      </c>
      <c r="E934">
        <f>MEDIAN(D914:D954)</f>
        <v/>
      </c>
      <c r="F934">
        <f>E914</f>
        <v/>
      </c>
      <c r="G934">
        <f>F934-E934</f>
        <v/>
      </c>
      <c r="H934">
        <f>IF(OR(NOT(ISNUMBER(D934)),ABS(D934-E934)&gt;$O$3,AND($O$11=1,B934&lt;$O$12)),1,0)</f>
        <v/>
      </c>
      <c r="I934">
        <f>IF(H934=1,NA(),D934)</f>
        <v/>
      </c>
      <c r="J934">
        <f>IF(AND(ISNUMBER(D934),D934&gt;=$O$4,OR($O$11=0,B934&gt;=$O$12)),1,0)</f>
        <v/>
      </c>
      <c r="K934">
        <f>B934-$O$14</f>
        <v/>
      </c>
    </row>
    <row r="935">
      <c r="A935" t="n">
        <v>2799</v>
      </c>
      <c r="B935" t="n">
        <v>93.3</v>
      </c>
      <c r="C935" t="inlineStr">
        <is>
          <t>314</t>
        </is>
      </c>
      <c r="D935" t="n">
        <v>3.14</v>
      </c>
      <c r="E935">
        <f>MEDIAN(D915:D955)</f>
        <v/>
      </c>
      <c r="F935">
        <f>E915</f>
        <v/>
      </c>
      <c r="G935">
        <f>F935-E935</f>
        <v/>
      </c>
      <c r="H935">
        <f>IF(OR(NOT(ISNUMBER(D935)),ABS(D935-E935)&gt;$O$3,AND($O$11=1,B935&lt;$O$12)),1,0)</f>
        <v/>
      </c>
      <c r="I935">
        <f>IF(H935=1,NA(),D935)</f>
        <v/>
      </c>
      <c r="J935">
        <f>IF(AND(ISNUMBER(D935),D935&gt;=$O$4,OR($O$11=0,B935&gt;=$O$12)),1,0)</f>
        <v/>
      </c>
      <c r="K935">
        <f>B935-$O$14</f>
        <v/>
      </c>
    </row>
    <row r="936">
      <c r="A936" t="n">
        <v>2802</v>
      </c>
      <c r="B936" t="n">
        <v>93.40000000000001</v>
      </c>
      <c r="C936" t="inlineStr">
        <is>
          <t>315</t>
        </is>
      </c>
      <c r="D936" t="n">
        <v>3.15</v>
      </c>
      <c r="E936">
        <f>MEDIAN(D916:D956)</f>
        <v/>
      </c>
      <c r="F936">
        <f>E916</f>
        <v/>
      </c>
      <c r="G936">
        <f>F936-E936</f>
        <v/>
      </c>
      <c r="H936">
        <f>IF(OR(NOT(ISNUMBER(D936)),ABS(D936-E936)&gt;$O$3,AND($O$11=1,B936&lt;$O$12)),1,0)</f>
        <v/>
      </c>
      <c r="I936">
        <f>IF(H936=1,NA(),D936)</f>
        <v/>
      </c>
      <c r="J936">
        <f>IF(AND(ISNUMBER(D936),D936&gt;=$O$4,OR($O$11=0,B936&gt;=$O$12)),1,0)</f>
        <v/>
      </c>
      <c r="K936">
        <f>B936-$O$14</f>
        <v/>
      </c>
    </row>
    <row r="937">
      <c r="A937" t="n">
        <v>2805</v>
      </c>
      <c r="B937" t="n">
        <v>93.5</v>
      </c>
      <c r="C937" t="inlineStr">
        <is>
          <t>315</t>
        </is>
      </c>
      <c r="D937" t="n">
        <v>3.15</v>
      </c>
      <c r="E937">
        <f>MEDIAN(D917:D957)</f>
        <v/>
      </c>
      <c r="F937">
        <f>E917</f>
        <v/>
      </c>
      <c r="G937">
        <f>F937-E937</f>
        <v/>
      </c>
      <c r="H937">
        <f>IF(OR(NOT(ISNUMBER(D937)),ABS(D937-E937)&gt;$O$3,AND($O$11=1,B937&lt;$O$12)),1,0)</f>
        <v/>
      </c>
      <c r="I937">
        <f>IF(H937=1,NA(),D937)</f>
        <v/>
      </c>
      <c r="J937">
        <f>IF(AND(ISNUMBER(D937),D937&gt;=$O$4,OR($O$11=0,B937&gt;=$O$12)),1,0)</f>
        <v/>
      </c>
      <c r="K937">
        <f>B937-$O$14</f>
        <v/>
      </c>
    </row>
    <row r="938">
      <c r="A938" t="n">
        <v>2808</v>
      </c>
      <c r="B938" t="n">
        <v>93.59999999999999</v>
      </c>
      <c r="C938" t="inlineStr">
        <is>
          <t>315</t>
        </is>
      </c>
      <c r="D938" t="n">
        <v>3.15</v>
      </c>
      <c r="E938">
        <f>MEDIAN(D918:D958)</f>
        <v/>
      </c>
      <c r="F938">
        <f>E918</f>
        <v/>
      </c>
      <c r="G938">
        <f>F938-E938</f>
        <v/>
      </c>
      <c r="H938">
        <f>IF(OR(NOT(ISNUMBER(D938)),ABS(D938-E938)&gt;$O$3,AND($O$11=1,B938&lt;$O$12)),1,0)</f>
        <v/>
      </c>
      <c r="I938">
        <f>IF(H938=1,NA(),D938)</f>
        <v/>
      </c>
      <c r="J938">
        <f>IF(AND(ISNUMBER(D938),D938&gt;=$O$4,OR($O$11=0,B938&gt;=$O$12)),1,0)</f>
        <v/>
      </c>
      <c r="K938">
        <f>B938-$O$14</f>
        <v/>
      </c>
    </row>
    <row r="939">
      <c r="A939" t="n">
        <v>2811</v>
      </c>
      <c r="B939" t="n">
        <v>93.7</v>
      </c>
      <c r="C939" t="inlineStr">
        <is>
          <t>?17</t>
        </is>
      </c>
      <c r="E939">
        <f>MEDIAN(D919:D959)</f>
        <v/>
      </c>
      <c r="F939">
        <f>E919</f>
        <v/>
      </c>
      <c r="G939">
        <f>F939-E939</f>
        <v/>
      </c>
      <c r="H939">
        <f>IF(OR(NOT(ISNUMBER(D939)),ABS(D939-E939)&gt;$O$3,AND($O$11=1,B939&lt;$O$12)),1,0)</f>
        <v/>
      </c>
      <c r="I939">
        <f>IF(H939=1,NA(),D939)</f>
        <v/>
      </c>
      <c r="J939">
        <f>IF(AND(ISNUMBER(D939),D939&gt;=$O$4,OR($O$11=0,B939&gt;=$O$12)),1,0)</f>
        <v/>
      </c>
      <c r="K939">
        <f>B939-$O$14</f>
        <v/>
      </c>
    </row>
    <row r="940">
      <c r="A940" t="n">
        <v>2814</v>
      </c>
      <c r="B940" t="n">
        <v>93.8</v>
      </c>
      <c r="C940" t="inlineStr">
        <is>
          <t>317</t>
        </is>
      </c>
      <c r="D940" t="n">
        <v>3.17</v>
      </c>
      <c r="E940">
        <f>MEDIAN(D920:D960)</f>
        <v/>
      </c>
      <c r="F940">
        <f>E920</f>
        <v/>
      </c>
      <c r="G940">
        <f>F940-E940</f>
        <v/>
      </c>
      <c r="H940">
        <f>IF(OR(NOT(ISNUMBER(D940)),ABS(D940-E940)&gt;$O$3,AND($O$11=1,B940&lt;$O$12)),1,0)</f>
        <v/>
      </c>
      <c r="I940">
        <f>IF(H940=1,NA(),D940)</f>
        <v/>
      </c>
      <c r="J940">
        <f>IF(AND(ISNUMBER(D940),D940&gt;=$O$4,OR($O$11=0,B940&gt;=$O$12)),1,0)</f>
        <v/>
      </c>
      <c r="K940">
        <f>B940-$O$14</f>
        <v/>
      </c>
    </row>
    <row r="941">
      <c r="A941" t="n">
        <v>2817</v>
      </c>
      <c r="B941" t="n">
        <v>93.90000000000001</v>
      </c>
      <c r="C941" t="inlineStr">
        <is>
          <t>?17</t>
        </is>
      </c>
      <c r="E941">
        <f>MEDIAN(D921:D961)</f>
        <v/>
      </c>
      <c r="F941">
        <f>E921</f>
        <v/>
      </c>
      <c r="G941">
        <f>F941-E941</f>
        <v/>
      </c>
      <c r="H941">
        <f>IF(OR(NOT(ISNUMBER(D941)),ABS(D941-E941)&gt;$O$3,AND($O$11=1,B941&lt;$O$12)),1,0)</f>
        <v/>
      </c>
      <c r="I941">
        <f>IF(H941=1,NA(),D941)</f>
        <v/>
      </c>
      <c r="J941">
        <f>IF(AND(ISNUMBER(D941),D941&gt;=$O$4,OR($O$11=0,B941&gt;=$O$12)),1,0)</f>
        <v/>
      </c>
      <c r="K941">
        <f>B941-$O$14</f>
        <v/>
      </c>
    </row>
    <row r="942">
      <c r="A942" t="n">
        <v>2820</v>
      </c>
      <c r="B942" t="n">
        <v>94</v>
      </c>
      <c r="C942" t="inlineStr">
        <is>
          <t>?17</t>
        </is>
      </c>
      <c r="E942">
        <f>MEDIAN(D922:D962)</f>
        <v/>
      </c>
      <c r="F942">
        <f>E922</f>
        <v/>
      </c>
      <c r="G942">
        <f>F942-E942</f>
        <v/>
      </c>
      <c r="H942">
        <f>IF(OR(NOT(ISNUMBER(D942)),ABS(D942-E942)&gt;$O$3,AND($O$11=1,B942&lt;$O$12)),1,0)</f>
        <v/>
      </c>
      <c r="I942">
        <f>IF(H942=1,NA(),D942)</f>
        <v/>
      </c>
      <c r="J942">
        <f>IF(AND(ISNUMBER(D942),D942&gt;=$O$4,OR($O$11=0,B942&gt;=$O$12)),1,0)</f>
        <v/>
      </c>
      <c r="K942">
        <f>B942-$O$14</f>
        <v/>
      </c>
    </row>
    <row r="943">
      <c r="A943" t="n">
        <v>2823</v>
      </c>
      <c r="B943" t="n">
        <v>94.09999999999999</v>
      </c>
      <c r="C943" t="inlineStr">
        <is>
          <t>317</t>
        </is>
      </c>
      <c r="D943" t="n">
        <v>3.17</v>
      </c>
      <c r="E943">
        <f>MEDIAN(D923:D963)</f>
        <v/>
      </c>
      <c r="F943">
        <f>E923</f>
        <v/>
      </c>
      <c r="G943">
        <f>F943-E943</f>
        <v/>
      </c>
      <c r="H943">
        <f>IF(OR(NOT(ISNUMBER(D943)),ABS(D943-E943)&gt;$O$3,AND($O$11=1,B943&lt;$O$12)),1,0)</f>
        <v/>
      </c>
      <c r="I943">
        <f>IF(H943=1,NA(),D943)</f>
        <v/>
      </c>
      <c r="J943">
        <f>IF(AND(ISNUMBER(D943),D943&gt;=$O$4,OR($O$11=0,B943&gt;=$O$12)),1,0)</f>
        <v/>
      </c>
      <c r="K943">
        <f>B943-$O$14</f>
        <v/>
      </c>
    </row>
    <row r="944">
      <c r="A944" t="n">
        <v>2826</v>
      </c>
      <c r="B944" t="n">
        <v>94.2</v>
      </c>
      <c r="C944" t="inlineStr">
        <is>
          <t>?17</t>
        </is>
      </c>
      <c r="E944">
        <f>MEDIAN(D924:D964)</f>
        <v/>
      </c>
      <c r="F944">
        <f>E924</f>
        <v/>
      </c>
      <c r="G944">
        <f>F944-E944</f>
        <v/>
      </c>
      <c r="H944">
        <f>IF(OR(NOT(ISNUMBER(D944)),ABS(D944-E944)&gt;$O$3,AND($O$11=1,B944&lt;$O$12)),1,0)</f>
        <v/>
      </c>
      <c r="I944">
        <f>IF(H944=1,NA(),D944)</f>
        <v/>
      </c>
      <c r="J944">
        <f>IF(AND(ISNUMBER(D944),D944&gt;=$O$4,OR($O$11=0,B944&gt;=$O$12)),1,0)</f>
        <v/>
      </c>
      <c r="K944">
        <f>B944-$O$14</f>
        <v/>
      </c>
    </row>
    <row r="945">
      <c r="A945" t="n">
        <v>2829</v>
      </c>
      <c r="B945" t="n">
        <v>94.3</v>
      </c>
      <c r="C945" t="inlineStr">
        <is>
          <t>317</t>
        </is>
      </c>
      <c r="D945" t="n">
        <v>3.17</v>
      </c>
      <c r="E945">
        <f>MEDIAN(D925:D965)</f>
        <v/>
      </c>
      <c r="F945">
        <f>E925</f>
        <v/>
      </c>
      <c r="G945">
        <f>F945-E945</f>
        <v/>
      </c>
      <c r="H945">
        <f>IF(OR(NOT(ISNUMBER(D945)),ABS(D945-E945)&gt;$O$3,AND($O$11=1,B945&lt;$O$12)),1,0)</f>
        <v/>
      </c>
      <c r="I945">
        <f>IF(H945=1,NA(),D945)</f>
        <v/>
      </c>
      <c r="J945">
        <f>IF(AND(ISNUMBER(D945),D945&gt;=$O$4,OR($O$11=0,B945&gt;=$O$12)),1,0)</f>
        <v/>
      </c>
      <c r="K945">
        <f>B945-$O$14</f>
        <v/>
      </c>
    </row>
    <row r="946">
      <c r="A946" t="n">
        <v>2832</v>
      </c>
      <c r="B946" t="n">
        <v>94.40000000000001</v>
      </c>
      <c r="C946" t="inlineStr">
        <is>
          <t>317</t>
        </is>
      </c>
      <c r="D946" t="n">
        <v>3.17</v>
      </c>
      <c r="E946">
        <f>MEDIAN(D926:D966)</f>
        <v/>
      </c>
      <c r="F946">
        <f>E926</f>
        <v/>
      </c>
      <c r="G946">
        <f>F946-E946</f>
        <v/>
      </c>
      <c r="H946">
        <f>IF(OR(NOT(ISNUMBER(D946)),ABS(D946-E946)&gt;$O$3,AND($O$11=1,B946&lt;$O$12)),1,0)</f>
        <v/>
      </c>
      <c r="I946">
        <f>IF(H946=1,NA(),D946)</f>
        <v/>
      </c>
      <c r="J946">
        <f>IF(AND(ISNUMBER(D946),D946&gt;=$O$4,OR($O$11=0,B946&gt;=$O$12)),1,0)</f>
        <v/>
      </c>
      <c r="K946">
        <f>B946-$O$14</f>
        <v/>
      </c>
    </row>
    <row r="947">
      <c r="A947" t="n">
        <v>2835</v>
      </c>
      <c r="B947" t="n">
        <v>94.5</v>
      </c>
      <c r="C947" t="inlineStr">
        <is>
          <t>?17</t>
        </is>
      </c>
      <c r="E947">
        <f>MEDIAN(D927:D967)</f>
        <v/>
      </c>
      <c r="F947">
        <f>E927</f>
        <v/>
      </c>
      <c r="G947">
        <f>F947-E947</f>
        <v/>
      </c>
      <c r="H947">
        <f>IF(OR(NOT(ISNUMBER(D947)),ABS(D947-E947)&gt;$O$3,AND($O$11=1,B947&lt;$O$12)),1,0)</f>
        <v/>
      </c>
      <c r="I947">
        <f>IF(H947=1,NA(),D947)</f>
        <v/>
      </c>
      <c r="J947">
        <f>IF(AND(ISNUMBER(D947),D947&gt;=$O$4,OR($O$11=0,B947&gt;=$O$12)),1,0)</f>
        <v/>
      </c>
      <c r="K947">
        <f>B947-$O$14</f>
        <v/>
      </c>
    </row>
    <row r="948">
      <c r="A948" t="n">
        <v>2838</v>
      </c>
      <c r="B948" t="n">
        <v>94.59999999999999</v>
      </c>
      <c r="C948" t="inlineStr">
        <is>
          <t>?17</t>
        </is>
      </c>
      <c r="E948">
        <f>MEDIAN(D928:D968)</f>
        <v/>
      </c>
      <c r="F948">
        <f>E928</f>
        <v/>
      </c>
      <c r="G948">
        <f>F948-E948</f>
        <v/>
      </c>
      <c r="H948">
        <f>IF(OR(NOT(ISNUMBER(D948)),ABS(D948-E948)&gt;$O$3,AND($O$11=1,B948&lt;$O$12)),1,0)</f>
        <v/>
      </c>
      <c r="I948">
        <f>IF(H948=1,NA(),D948)</f>
        <v/>
      </c>
      <c r="J948">
        <f>IF(AND(ISNUMBER(D948),D948&gt;=$O$4,OR($O$11=0,B948&gt;=$O$12)),1,0)</f>
        <v/>
      </c>
      <c r="K948">
        <f>B948-$O$14</f>
        <v/>
      </c>
    </row>
    <row r="949">
      <c r="A949" t="n">
        <v>2841</v>
      </c>
      <c r="B949" t="n">
        <v>94.7</v>
      </c>
      <c r="C949" t="inlineStr">
        <is>
          <t>317</t>
        </is>
      </c>
      <c r="D949" t="n">
        <v>3.17</v>
      </c>
      <c r="E949">
        <f>MEDIAN(D929:D969)</f>
        <v/>
      </c>
      <c r="F949">
        <f>E929</f>
        <v/>
      </c>
      <c r="G949">
        <f>F949-E949</f>
        <v/>
      </c>
      <c r="H949">
        <f>IF(OR(NOT(ISNUMBER(D949)),ABS(D949-E949)&gt;$O$3,AND($O$11=1,B949&lt;$O$12)),1,0)</f>
        <v/>
      </c>
      <c r="I949">
        <f>IF(H949=1,NA(),D949)</f>
        <v/>
      </c>
      <c r="J949">
        <f>IF(AND(ISNUMBER(D949),D949&gt;=$O$4,OR($O$11=0,B949&gt;=$O$12)),1,0)</f>
        <v/>
      </c>
      <c r="K949">
        <f>B949-$O$14</f>
        <v/>
      </c>
    </row>
    <row r="950">
      <c r="A950" t="n">
        <v>2844</v>
      </c>
      <c r="B950" t="n">
        <v>94.8</v>
      </c>
      <c r="C950" t="inlineStr">
        <is>
          <t>17</t>
        </is>
      </c>
      <c r="D950" t="n">
        <v>0.17</v>
      </c>
      <c r="E950">
        <f>MEDIAN(D930:D970)</f>
        <v/>
      </c>
      <c r="F950">
        <f>E930</f>
        <v/>
      </c>
      <c r="G950">
        <f>F950-E950</f>
        <v/>
      </c>
      <c r="H950">
        <f>IF(OR(NOT(ISNUMBER(D950)),ABS(D950-E950)&gt;$O$3,AND($O$11=1,B950&lt;$O$12)),1,0)</f>
        <v/>
      </c>
      <c r="I950">
        <f>IF(H950=1,NA(),D950)</f>
        <v/>
      </c>
      <c r="J950">
        <f>IF(AND(ISNUMBER(D950),D950&gt;=$O$4,OR($O$11=0,B950&gt;=$O$12)),1,0)</f>
        <v/>
      </c>
      <c r="K950">
        <f>B950-$O$14</f>
        <v/>
      </c>
    </row>
    <row r="951">
      <c r="A951" t="n">
        <v>2847</v>
      </c>
      <c r="B951" t="n">
        <v>94.90000000000001</v>
      </c>
      <c r="C951" t="inlineStr">
        <is>
          <t>?17</t>
        </is>
      </c>
      <c r="E951">
        <f>MEDIAN(D931:D971)</f>
        <v/>
      </c>
      <c r="F951">
        <f>E931</f>
        <v/>
      </c>
      <c r="G951">
        <f>F951-E951</f>
        <v/>
      </c>
      <c r="H951">
        <f>IF(OR(NOT(ISNUMBER(D951)),ABS(D951-E951)&gt;$O$3,AND($O$11=1,B951&lt;$O$12)),1,0)</f>
        <v/>
      </c>
      <c r="I951">
        <f>IF(H951=1,NA(),D951)</f>
        <v/>
      </c>
      <c r="J951">
        <f>IF(AND(ISNUMBER(D951),D951&gt;=$O$4,OR($O$11=0,B951&gt;=$O$12)),1,0)</f>
        <v/>
      </c>
      <c r="K951">
        <f>B951-$O$14</f>
        <v/>
      </c>
    </row>
    <row r="952">
      <c r="A952" t="n">
        <v>2850</v>
      </c>
      <c r="B952" t="n">
        <v>95</v>
      </c>
      <c r="C952" t="inlineStr">
        <is>
          <t>?16</t>
        </is>
      </c>
      <c r="E952">
        <f>MEDIAN(D932:D972)</f>
        <v/>
      </c>
      <c r="F952">
        <f>E932</f>
        <v/>
      </c>
      <c r="G952">
        <f>F952-E952</f>
        <v/>
      </c>
      <c r="H952">
        <f>IF(OR(NOT(ISNUMBER(D952)),ABS(D952-E952)&gt;$O$3,AND($O$11=1,B952&lt;$O$12)),1,0)</f>
        <v/>
      </c>
      <c r="I952">
        <f>IF(H952=1,NA(),D952)</f>
        <v/>
      </c>
      <c r="J952">
        <f>IF(AND(ISNUMBER(D952),D952&gt;=$O$4,OR($O$11=0,B952&gt;=$O$12)),1,0)</f>
        <v/>
      </c>
      <c r="K952">
        <f>B952-$O$14</f>
        <v/>
      </c>
    </row>
    <row r="953">
      <c r="A953" t="n">
        <v>2853</v>
      </c>
      <c r="B953" t="n">
        <v>95.09999999999999</v>
      </c>
      <c r="C953" t="inlineStr">
        <is>
          <t>317</t>
        </is>
      </c>
      <c r="D953" t="n">
        <v>3.17</v>
      </c>
      <c r="E953">
        <f>MEDIAN(D933:D973)</f>
        <v/>
      </c>
      <c r="F953">
        <f>E933</f>
        <v/>
      </c>
      <c r="G953">
        <f>F953-E953</f>
        <v/>
      </c>
      <c r="H953">
        <f>IF(OR(NOT(ISNUMBER(D953)),ABS(D953-E953)&gt;$O$3,AND($O$11=1,B953&lt;$O$12)),1,0)</f>
        <v/>
      </c>
      <c r="I953">
        <f>IF(H953=1,NA(),D953)</f>
        <v/>
      </c>
      <c r="J953">
        <f>IF(AND(ISNUMBER(D953),D953&gt;=$O$4,OR($O$11=0,B953&gt;=$O$12)),1,0)</f>
        <v/>
      </c>
      <c r="K953">
        <f>B953-$O$14</f>
        <v/>
      </c>
    </row>
    <row r="954">
      <c r="A954" t="n">
        <v>2856</v>
      </c>
      <c r="B954" t="n">
        <v>95.2</v>
      </c>
      <c r="C954" t="inlineStr">
        <is>
          <t>317</t>
        </is>
      </c>
      <c r="D954" t="n">
        <v>3.17</v>
      </c>
      <c r="E954">
        <f>MEDIAN(D934:D974)</f>
        <v/>
      </c>
      <c r="F954">
        <f>E934</f>
        <v/>
      </c>
      <c r="G954">
        <f>F954-E954</f>
        <v/>
      </c>
      <c r="H954">
        <f>IF(OR(NOT(ISNUMBER(D954)),ABS(D954-E954)&gt;$O$3,AND($O$11=1,B954&lt;$O$12)),1,0)</f>
        <v/>
      </c>
      <c r="I954">
        <f>IF(H954=1,NA(),D954)</f>
        <v/>
      </c>
      <c r="J954">
        <f>IF(AND(ISNUMBER(D954),D954&gt;=$O$4,OR($O$11=0,B954&gt;=$O$12)),1,0)</f>
        <v/>
      </c>
      <c r="K954">
        <f>B954-$O$14</f>
        <v/>
      </c>
    </row>
    <row r="955">
      <c r="A955" t="n">
        <v>2859</v>
      </c>
      <c r="B955" t="n">
        <v>95.3</v>
      </c>
      <c r="C955" t="inlineStr">
        <is>
          <t>317</t>
        </is>
      </c>
      <c r="D955" t="n">
        <v>3.17</v>
      </c>
      <c r="E955">
        <f>MEDIAN(D935:D975)</f>
        <v/>
      </c>
      <c r="F955">
        <f>E935</f>
        <v/>
      </c>
      <c r="G955">
        <f>F955-E955</f>
        <v/>
      </c>
      <c r="H955">
        <f>IF(OR(NOT(ISNUMBER(D955)),ABS(D955-E955)&gt;$O$3,AND($O$11=1,B955&lt;$O$12)),1,0)</f>
        <v/>
      </c>
      <c r="I955">
        <f>IF(H955=1,NA(),D955)</f>
        <v/>
      </c>
      <c r="J955">
        <f>IF(AND(ISNUMBER(D955),D955&gt;=$O$4,OR($O$11=0,B955&gt;=$O$12)),1,0)</f>
        <v/>
      </c>
      <c r="K955">
        <f>B955-$O$14</f>
        <v/>
      </c>
    </row>
    <row r="956">
      <c r="A956" t="n">
        <v>2862</v>
      </c>
      <c r="B956" t="n">
        <v>95.40000000000001</v>
      </c>
      <c r="C956" t="inlineStr">
        <is>
          <t>316</t>
        </is>
      </c>
      <c r="D956" t="n">
        <v>3.16</v>
      </c>
      <c r="E956">
        <f>MEDIAN(D936:D976)</f>
        <v/>
      </c>
      <c r="F956">
        <f>E936</f>
        <v/>
      </c>
      <c r="G956">
        <f>F956-E956</f>
        <v/>
      </c>
      <c r="H956">
        <f>IF(OR(NOT(ISNUMBER(D956)),ABS(D956-E956)&gt;$O$3,AND($O$11=1,B956&lt;$O$12)),1,0)</f>
        <v/>
      </c>
      <c r="I956">
        <f>IF(H956=1,NA(),D956)</f>
        <v/>
      </c>
      <c r="J956">
        <f>IF(AND(ISNUMBER(D956),D956&gt;=$O$4,OR($O$11=0,B956&gt;=$O$12)),1,0)</f>
        <v/>
      </c>
      <c r="K956">
        <f>B956-$O$14</f>
        <v/>
      </c>
    </row>
    <row r="957">
      <c r="A957" t="n">
        <v>2865</v>
      </c>
      <c r="B957" t="n">
        <v>95.5</v>
      </c>
      <c r="C957" t="inlineStr">
        <is>
          <t>?16</t>
        </is>
      </c>
      <c r="E957">
        <f>MEDIAN(D937:D977)</f>
        <v/>
      </c>
      <c r="F957">
        <f>E937</f>
        <v/>
      </c>
      <c r="G957">
        <f>F957-E957</f>
        <v/>
      </c>
      <c r="H957">
        <f>IF(OR(NOT(ISNUMBER(D957)),ABS(D957-E957)&gt;$O$3,AND($O$11=1,B957&lt;$O$12)),1,0)</f>
        <v/>
      </c>
      <c r="I957">
        <f>IF(H957=1,NA(),D957)</f>
        <v/>
      </c>
      <c r="J957">
        <f>IF(AND(ISNUMBER(D957),D957&gt;=$O$4,OR($O$11=0,B957&gt;=$O$12)),1,0)</f>
        <v/>
      </c>
      <c r="K957">
        <f>B957-$O$14</f>
        <v/>
      </c>
    </row>
    <row r="958">
      <c r="A958" t="n">
        <v>2868</v>
      </c>
      <c r="B958" t="n">
        <v>95.59999999999999</v>
      </c>
      <c r="C958" t="inlineStr">
        <is>
          <t>?16</t>
        </is>
      </c>
      <c r="E958">
        <f>MEDIAN(D938:D978)</f>
        <v/>
      </c>
      <c r="F958">
        <f>E938</f>
        <v/>
      </c>
      <c r="G958">
        <f>F958-E958</f>
        <v/>
      </c>
      <c r="H958">
        <f>IF(OR(NOT(ISNUMBER(D958)),ABS(D958-E958)&gt;$O$3,AND($O$11=1,B958&lt;$O$12)),1,0)</f>
        <v/>
      </c>
      <c r="I958">
        <f>IF(H958=1,NA(),D958)</f>
        <v/>
      </c>
      <c r="J958">
        <f>IF(AND(ISNUMBER(D958),D958&gt;=$O$4,OR($O$11=0,B958&gt;=$O$12)),1,0)</f>
        <v/>
      </c>
      <c r="K958">
        <f>B958-$O$14</f>
        <v/>
      </c>
    </row>
    <row r="959">
      <c r="A959" t="n">
        <v>2871</v>
      </c>
      <c r="B959" t="n">
        <v>95.7</v>
      </c>
      <c r="C959" t="inlineStr">
        <is>
          <t>316</t>
        </is>
      </c>
      <c r="D959" t="n">
        <v>3.16</v>
      </c>
      <c r="E959">
        <f>MEDIAN(D939:D979)</f>
        <v/>
      </c>
      <c r="F959">
        <f>E939</f>
        <v/>
      </c>
      <c r="G959">
        <f>F959-E959</f>
        <v/>
      </c>
      <c r="H959">
        <f>IF(OR(NOT(ISNUMBER(D959)),ABS(D959-E959)&gt;$O$3,AND($O$11=1,B959&lt;$O$12)),1,0)</f>
        <v/>
      </c>
      <c r="I959">
        <f>IF(H959=1,NA(),D959)</f>
        <v/>
      </c>
      <c r="J959">
        <f>IF(AND(ISNUMBER(D959),D959&gt;=$O$4,OR($O$11=0,B959&gt;=$O$12)),1,0)</f>
        <v/>
      </c>
      <c r="K959">
        <f>B959-$O$14</f>
        <v/>
      </c>
    </row>
    <row r="960">
      <c r="A960" t="n">
        <v>2874</v>
      </c>
      <c r="B960" t="n">
        <v>95.8</v>
      </c>
      <c r="C960" t="inlineStr">
        <is>
          <t>?1?</t>
        </is>
      </c>
      <c r="E960">
        <f>MEDIAN(D940:D980)</f>
        <v/>
      </c>
      <c r="F960">
        <f>E940</f>
        <v/>
      </c>
      <c r="G960">
        <f>F960-E960</f>
        <v/>
      </c>
      <c r="H960">
        <f>IF(OR(NOT(ISNUMBER(D960)),ABS(D960-E960)&gt;$O$3,AND($O$11=1,B960&lt;$O$12)),1,0)</f>
        <v/>
      </c>
      <c r="I960">
        <f>IF(H960=1,NA(),D960)</f>
        <v/>
      </c>
      <c r="J960">
        <f>IF(AND(ISNUMBER(D960),D960&gt;=$O$4,OR($O$11=0,B960&gt;=$O$12)),1,0)</f>
        <v/>
      </c>
      <c r="K960">
        <f>B960-$O$14</f>
        <v/>
      </c>
    </row>
    <row r="961">
      <c r="A961" t="n">
        <v>2877</v>
      </c>
      <c r="B961" t="n">
        <v>95.90000000000001</v>
      </c>
      <c r="C961" t="inlineStr">
        <is>
          <t>17</t>
        </is>
      </c>
      <c r="D961" t="n">
        <v>0.17</v>
      </c>
      <c r="E961">
        <f>MEDIAN(D941:D981)</f>
        <v/>
      </c>
      <c r="F961">
        <f>E941</f>
        <v/>
      </c>
      <c r="G961">
        <f>F961-E961</f>
        <v/>
      </c>
      <c r="H961">
        <f>IF(OR(NOT(ISNUMBER(D961)),ABS(D961-E961)&gt;$O$3,AND($O$11=1,B961&lt;$O$12)),1,0)</f>
        <v/>
      </c>
      <c r="I961">
        <f>IF(H961=1,NA(),D961)</f>
        <v/>
      </c>
      <c r="J961">
        <f>IF(AND(ISNUMBER(D961),D961&gt;=$O$4,OR($O$11=0,B961&gt;=$O$12)),1,0)</f>
        <v/>
      </c>
      <c r="K961">
        <f>B961-$O$14</f>
        <v/>
      </c>
    </row>
    <row r="962">
      <c r="A962" t="n">
        <v>2880</v>
      </c>
      <c r="B962" t="n">
        <v>96</v>
      </c>
      <c r="C962" t="inlineStr">
        <is>
          <t>?17</t>
        </is>
      </c>
      <c r="E962">
        <f>MEDIAN(D942:D982)</f>
        <v/>
      </c>
      <c r="F962">
        <f>E942</f>
        <v/>
      </c>
      <c r="G962">
        <f>F962-E962</f>
        <v/>
      </c>
      <c r="H962">
        <f>IF(OR(NOT(ISNUMBER(D962)),ABS(D962-E962)&gt;$O$3,AND($O$11=1,B962&lt;$O$12)),1,0)</f>
        <v/>
      </c>
      <c r="I962">
        <f>IF(H962=1,NA(),D962)</f>
        <v/>
      </c>
      <c r="J962">
        <f>IF(AND(ISNUMBER(D962),D962&gt;=$O$4,OR($O$11=0,B962&gt;=$O$12)),1,0)</f>
        <v/>
      </c>
      <c r="K962">
        <f>B962-$O$14</f>
        <v/>
      </c>
    </row>
    <row r="963">
      <c r="A963" t="n">
        <v>2883</v>
      </c>
      <c r="B963" t="n">
        <v>96.09999999999999</v>
      </c>
      <c r="C963" t="inlineStr">
        <is>
          <t>317</t>
        </is>
      </c>
      <c r="D963" t="n">
        <v>3.17</v>
      </c>
      <c r="E963">
        <f>MEDIAN(D943:D983)</f>
        <v/>
      </c>
      <c r="F963">
        <f>E943</f>
        <v/>
      </c>
      <c r="G963">
        <f>F963-E963</f>
        <v/>
      </c>
      <c r="H963">
        <f>IF(OR(NOT(ISNUMBER(D963)),ABS(D963-E963)&gt;$O$3,AND($O$11=1,B963&lt;$O$12)),1,0)</f>
        <v/>
      </c>
      <c r="I963">
        <f>IF(H963=1,NA(),D963)</f>
        <v/>
      </c>
      <c r="J963">
        <f>IF(AND(ISNUMBER(D963),D963&gt;=$O$4,OR($O$11=0,B963&gt;=$O$12)),1,0)</f>
        <v/>
      </c>
      <c r="K963">
        <f>B963-$O$14</f>
        <v/>
      </c>
    </row>
    <row r="964">
      <c r="A964" t="n">
        <v>2886</v>
      </c>
      <c r="B964" t="n">
        <v>96.2</v>
      </c>
      <c r="C964" t="inlineStr">
        <is>
          <t>?17</t>
        </is>
      </c>
      <c r="E964">
        <f>MEDIAN(D944:D984)</f>
        <v/>
      </c>
      <c r="F964">
        <f>E944</f>
        <v/>
      </c>
      <c r="G964">
        <f>F964-E964</f>
        <v/>
      </c>
      <c r="H964">
        <f>IF(OR(NOT(ISNUMBER(D964)),ABS(D964-E964)&gt;$O$3,AND($O$11=1,B964&lt;$O$12)),1,0)</f>
        <v/>
      </c>
      <c r="I964">
        <f>IF(H964=1,NA(),D964)</f>
        <v/>
      </c>
      <c r="J964">
        <f>IF(AND(ISNUMBER(D964),D964&gt;=$O$4,OR($O$11=0,B964&gt;=$O$12)),1,0)</f>
        <v/>
      </c>
      <c r="K964">
        <f>B964-$O$14</f>
        <v/>
      </c>
    </row>
    <row r="965">
      <c r="A965" t="n">
        <v>2889</v>
      </c>
      <c r="B965" t="n">
        <v>96.3</v>
      </c>
      <c r="C965" t="inlineStr">
        <is>
          <t>17</t>
        </is>
      </c>
      <c r="D965" t="n">
        <v>0.17</v>
      </c>
      <c r="E965">
        <f>MEDIAN(D945:D985)</f>
        <v/>
      </c>
      <c r="F965">
        <f>E945</f>
        <v/>
      </c>
      <c r="G965">
        <f>F965-E965</f>
        <v/>
      </c>
      <c r="H965">
        <f>IF(OR(NOT(ISNUMBER(D965)),ABS(D965-E965)&gt;$O$3,AND($O$11=1,B965&lt;$O$12)),1,0)</f>
        <v/>
      </c>
      <c r="I965">
        <f>IF(H965=1,NA(),D965)</f>
        <v/>
      </c>
      <c r="J965">
        <f>IF(AND(ISNUMBER(D965),D965&gt;=$O$4,OR($O$11=0,B965&gt;=$O$12)),1,0)</f>
        <v/>
      </c>
      <c r="K965">
        <f>B965-$O$14</f>
        <v/>
      </c>
    </row>
    <row r="966">
      <c r="A966" t="n">
        <v>2892</v>
      </c>
      <c r="B966" t="n">
        <v>96.40000000000001</v>
      </c>
      <c r="C966" t="inlineStr">
        <is>
          <t>17</t>
        </is>
      </c>
      <c r="D966" t="n">
        <v>0.17</v>
      </c>
      <c r="E966">
        <f>MEDIAN(D946:D986)</f>
        <v/>
      </c>
      <c r="F966">
        <f>E946</f>
        <v/>
      </c>
      <c r="G966">
        <f>F966-E966</f>
        <v/>
      </c>
      <c r="H966">
        <f>IF(OR(NOT(ISNUMBER(D966)),ABS(D966-E966)&gt;$O$3,AND($O$11=1,B966&lt;$O$12)),1,0)</f>
        <v/>
      </c>
      <c r="I966">
        <f>IF(H966=1,NA(),D966)</f>
        <v/>
      </c>
      <c r="J966">
        <f>IF(AND(ISNUMBER(D966),D966&gt;=$O$4,OR($O$11=0,B966&gt;=$O$12)),1,0)</f>
        <v/>
      </c>
      <c r="K966">
        <f>B966-$O$14</f>
        <v/>
      </c>
    </row>
    <row r="967">
      <c r="A967" t="n">
        <v>2895</v>
      </c>
      <c r="B967" t="n">
        <v>96.5</v>
      </c>
      <c r="C967" t="inlineStr">
        <is>
          <t>?17</t>
        </is>
      </c>
      <c r="E967">
        <f>MEDIAN(D947:D987)</f>
        <v/>
      </c>
      <c r="F967">
        <f>E947</f>
        <v/>
      </c>
      <c r="G967">
        <f>F967-E967</f>
        <v/>
      </c>
      <c r="H967">
        <f>IF(OR(NOT(ISNUMBER(D967)),ABS(D967-E967)&gt;$O$3,AND($O$11=1,B967&lt;$O$12)),1,0)</f>
        <v/>
      </c>
      <c r="I967">
        <f>IF(H967=1,NA(),D967)</f>
        <v/>
      </c>
      <c r="J967">
        <f>IF(AND(ISNUMBER(D967),D967&gt;=$O$4,OR($O$11=0,B967&gt;=$O$12)),1,0)</f>
        <v/>
      </c>
      <c r="K967">
        <f>B967-$O$14</f>
        <v/>
      </c>
    </row>
    <row r="968">
      <c r="A968" t="n">
        <v>2898</v>
      </c>
      <c r="B968" t="n">
        <v>96.59999999999999</v>
      </c>
      <c r="C968" t="inlineStr">
        <is>
          <t>?17</t>
        </is>
      </c>
      <c r="E968">
        <f>MEDIAN(D948:D988)</f>
        <v/>
      </c>
      <c r="F968">
        <f>E948</f>
        <v/>
      </c>
      <c r="G968">
        <f>F968-E968</f>
        <v/>
      </c>
      <c r="H968">
        <f>IF(OR(NOT(ISNUMBER(D968)),ABS(D968-E968)&gt;$O$3,AND($O$11=1,B968&lt;$O$12)),1,0)</f>
        <v/>
      </c>
      <c r="I968">
        <f>IF(H968=1,NA(),D968)</f>
        <v/>
      </c>
      <c r="J968">
        <f>IF(AND(ISNUMBER(D968),D968&gt;=$O$4,OR($O$11=0,B968&gt;=$O$12)),1,0)</f>
        <v/>
      </c>
      <c r="K968">
        <f>B968-$O$14</f>
        <v/>
      </c>
    </row>
    <row r="969">
      <c r="A969" t="n">
        <v>2901</v>
      </c>
      <c r="B969" t="n">
        <v>96.7</v>
      </c>
      <c r="C969" t="inlineStr">
        <is>
          <t>317</t>
        </is>
      </c>
      <c r="D969" t="n">
        <v>3.17</v>
      </c>
      <c r="E969">
        <f>MEDIAN(D949:D989)</f>
        <v/>
      </c>
      <c r="F969">
        <f>E949</f>
        <v/>
      </c>
      <c r="G969">
        <f>F969-E969</f>
        <v/>
      </c>
      <c r="H969">
        <f>IF(OR(NOT(ISNUMBER(D969)),ABS(D969-E969)&gt;$O$3,AND($O$11=1,B969&lt;$O$12)),1,0)</f>
        <v/>
      </c>
      <c r="I969">
        <f>IF(H969=1,NA(),D969)</f>
        <v/>
      </c>
      <c r="J969">
        <f>IF(AND(ISNUMBER(D969),D969&gt;=$O$4,OR($O$11=0,B969&gt;=$O$12)),1,0)</f>
        <v/>
      </c>
      <c r="K969">
        <f>B969-$O$14</f>
        <v/>
      </c>
    </row>
    <row r="970">
      <c r="A970" t="n">
        <v>2904</v>
      </c>
      <c r="B970" t="n">
        <v>96.8</v>
      </c>
      <c r="C970" t="inlineStr">
        <is>
          <t>?17</t>
        </is>
      </c>
      <c r="E970">
        <f>MEDIAN(D950:D990)</f>
        <v/>
      </c>
      <c r="F970">
        <f>E950</f>
        <v/>
      </c>
      <c r="G970">
        <f>F970-E970</f>
        <v/>
      </c>
      <c r="H970">
        <f>IF(OR(NOT(ISNUMBER(D970)),ABS(D970-E970)&gt;$O$3,AND($O$11=1,B970&lt;$O$12)),1,0)</f>
        <v/>
      </c>
      <c r="I970">
        <f>IF(H970=1,NA(),D970)</f>
        <v/>
      </c>
      <c r="J970">
        <f>IF(AND(ISNUMBER(D970),D970&gt;=$O$4,OR($O$11=0,B970&gt;=$O$12)),1,0)</f>
        <v/>
      </c>
      <c r="K970">
        <f>B970-$O$14</f>
        <v/>
      </c>
    </row>
    <row r="971">
      <c r="A971" t="n">
        <v>2907</v>
      </c>
      <c r="B971" t="n">
        <v>96.90000000000001</v>
      </c>
      <c r="C971" t="inlineStr">
        <is>
          <t>317</t>
        </is>
      </c>
      <c r="D971" t="n">
        <v>3.17</v>
      </c>
      <c r="E971">
        <f>MEDIAN(D951:D991)</f>
        <v/>
      </c>
      <c r="F971">
        <f>E951</f>
        <v/>
      </c>
      <c r="G971">
        <f>F971-E971</f>
        <v/>
      </c>
      <c r="H971">
        <f>IF(OR(NOT(ISNUMBER(D971)),ABS(D971-E971)&gt;$O$3,AND($O$11=1,B971&lt;$O$12)),1,0)</f>
        <v/>
      </c>
      <c r="I971">
        <f>IF(H971=1,NA(),D971)</f>
        <v/>
      </c>
      <c r="J971">
        <f>IF(AND(ISNUMBER(D971),D971&gt;=$O$4,OR($O$11=0,B971&gt;=$O$12)),1,0)</f>
        <v/>
      </c>
      <c r="K971">
        <f>B971-$O$14</f>
        <v/>
      </c>
    </row>
    <row r="972">
      <c r="A972" t="n">
        <v>2910</v>
      </c>
      <c r="B972" t="n">
        <v>97</v>
      </c>
      <c r="C972" t="inlineStr">
        <is>
          <t>317</t>
        </is>
      </c>
      <c r="D972" t="n">
        <v>3.17</v>
      </c>
      <c r="E972">
        <f>MEDIAN(D952:D992)</f>
        <v/>
      </c>
      <c r="F972">
        <f>E952</f>
        <v/>
      </c>
      <c r="G972">
        <f>F972-E972</f>
        <v/>
      </c>
      <c r="H972">
        <f>IF(OR(NOT(ISNUMBER(D972)),ABS(D972-E972)&gt;$O$3,AND($O$11=1,B972&lt;$O$12)),1,0)</f>
        <v/>
      </c>
      <c r="I972">
        <f>IF(H972=1,NA(),D972)</f>
        <v/>
      </c>
      <c r="J972">
        <f>IF(AND(ISNUMBER(D972),D972&gt;=$O$4,OR($O$11=0,B972&gt;=$O$12)),1,0)</f>
        <v/>
      </c>
      <c r="K972">
        <f>B972-$O$14</f>
        <v/>
      </c>
    </row>
    <row r="973">
      <c r="A973" t="n">
        <v>2913</v>
      </c>
      <c r="B973" t="n">
        <v>97.09999999999999</v>
      </c>
      <c r="C973" t="inlineStr">
        <is>
          <t>17</t>
        </is>
      </c>
      <c r="D973" t="n">
        <v>0.17</v>
      </c>
      <c r="E973">
        <f>MEDIAN(D953:D993)</f>
        <v/>
      </c>
      <c r="F973">
        <f>E953</f>
        <v/>
      </c>
      <c r="G973">
        <f>F973-E973</f>
        <v/>
      </c>
      <c r="H973">
        <f>IF(OR(NOT(ISNUMBER(D973)),ABS(D973-E973)&gt;$O$3,AND($O$11=1,B973&lt;$O$12)),1,0)</f>
        <v/>
      </c>
      <c r="I973">
        <f>IF(H973=1,NA(),D973)</f>
        <v/>
      </c>
      <c r="J973">
        <f>IF(AND(ISNUMBER(D973),D973&gt;=$O$4,OR($O$11=0,B973&gt;=$O$12)),1,0)</f>
        <v/>
      </c>
      <c r="K973">
        <f>B973-$O$14</f>
        <v/>
      </c>
    </row>
    <row r="974">
      <c r="A974" t="n">
        <v>2916</v>
      </c>
      <c r="B974" t="n">
        <v>97.2</v>
      </c>
      <c r="C974" t="inlineStr">
        <is>
          <t>17</t>
        </is>
      </c>
      <c r="D974" t="n">
        <v>0.17</v>
      </c>
      <c r="E974">
        <f>MEDIAN(D954:D994)</f>
        <v/>
      </c>
      <c r="F974">
        <f>E954</f>
        <v/>
      </c>
      <c r="G974">
        <f>F974-E974</f>
        <v/>
      </c>
      <c r="H974">
        <f>IF(OR(NOT(ISNUMBER(D974)),ABS(D974-E974)&gt;$O$3,AND($O$11=1,B974&lt;$O$12)),1,0)</f>
        <v/>
      </c>
      <c r="I974">
        <f>IF(H974=1,NA(),D974)</f>
        <v/>
      </c>
      <c r="J974">
        <f>IF(AND(ISNUMBER(D974),D974&gt;=$O$4,OR($O$11=0,B974&gt;=$O$12)),1,0)</f>
        <v/>
      </c>
      <c r="K974">
        <f>B974-$O$14</f>
        <v/>
      </c>
    </row>
    <row r="975">
      <c r="A975" t="n">
        <v>2919</v>
      </c>
      <c r="B975" t="n">
        <v>97.3</v>
      </c>
      <c r="C975" t="inlineStr">
        <is>
          <t>?17</t>
        </is>
      </c>
      <c r="E975">
        <f>MEDIAN(D955:D995)</f>
        <v/>
      </c>
      <c r="F975">
        <f>E955</f>
        <v/>
      </c>
      <c r="G975">
        <f>F975-E975</f>
        <v/>
      </c>
      <c r="H975">
        <f>IF(OR(NOT(ISNUMBER(D975)),ABS(D975-E975)&gt;$O$3,AND($O$11=1,B975&lt;$O$12)),1,0)</f>
        <v/>
      </c>
      <c r="I975">
        <f>IF(H975=1,NA(),D975)</f>
        <v/>
      </c>
      <c r="J975">
        <f>IF(AND(ISNUMBER(D975),D975&gt;=$O$4,OR($O$11=0,B975&gt;=$O$12)),1,0)</f>
        <v/>
      </c>
      <c r="K975">
        <f>B975-$O$14</f>
        <v/>
      </c>
    </row>
    <row r="976">
      <c r="A976" t="n">
        <v>2922</v>
      </c>
      <c r="B976" t="n">
        <v>97.40000000000001</v>
      </c>
      <c r="C976" t="inlineStr">
        <is>
          <t>317</t>
        </is>
      </c>
      <c r="D976" t="n">
        <v>3.17</v>
      </c>
      <c r="E976">
        <f>MEDIAN(D956:D996)</f>
        <v/>
      </c>
      <c r="F976">
        <f>E956</f>
        <v/>
      </c>
      <c r="G976">
        <f>F976-E976</f>
        <v/>
      </c>
      <c r="H976">
        <f>IF(OR(NOT(ISNUMBER(D976)),ABS(D976-E976)&gt;$O$3,AND($O$11=1,B976&lt;$O$12)),1,0)</f>
        <v/>
      </c>
      <c r="I976">
        <f>IF(H976=1,NA(),D976)</f>
        <v/>
      </c>
      <c r="J976">
        <f>IF(AND(ISNUMBER(D976),D976&gt;=$O$4,OR($O$11=0,B976&gt;=$O$12)),1,0)</f>
        <v/>
      </c>
      <c r="K976">
        <f>B976-$O$14</f>
        <v/>
      </c>
    </row>
    <row r="977">
      <c r="A977" t="n">
        <v>2925</v>
      </c>
      <c r="B977" t="n">
        <v>97.5</v>
      </c>
      <c r="C977" t="inlineStr">
        <is>
          <t>?17</t>
        </is>
      </c>
      <c r="E977">
        <f>MEDIAN(D957:D997)</f>
        <v/>
      </c>
      <c r="F977">
        <f>E957</f>
        <v/>
      </c>
      <c r="G977">
        <f>F977-E977</f>
        <v/>
      </c>
      <c r="H977">
        <f>IF(OR(NOT(ISNUMBER(D977)),ABS(D977-E977)&gt;$O$3,AND($O$11=1,B977&lt;$O$12)),1,0)</f>
        <v/>
      </c>
      <c r="I977">
        <f>IF(H977=1,NA(),D977)</f>
        <v/>
      </c>
      <c r="J977">
        <f>IF(AND(ISNUMBER(D977),D977&gt;=$O$4,OR($O$11=0,B977&gt;=$O$12)),1,0)</f>
        <v/>
      </c>
      <c r="K977">
        <f>B977-$O$14</f>
        <v/>
      </c>
    </row>
    <row r="978">
      <c r="A978" t="n">
        <v>2928</v>
      </c>
      <c r="B978" t="n">
        <v>97.59999999999999</v>
      </c>
      <c r="C978" t="inlineStr">
        <is>
          <t>17</t>
        </is>
      </c>
      <c r="D978" t="n">
        <v>0.17</v>
      </c>
      <c r="E978">
        <f>MEDIAN(D958:D998)</f>
        <v/>
      </c>
      <c r="F978">
        <f>E958</f>
        <v/>
      </c>
      <c r="G978">
        <f>F978-E978</f>
        <v/>
      </c>
      <c r="H978">
        <f>IF(OR(NOT(ISNUMBER(D978)),ABS(D978-E978)&gt;$O$3,AND($O$11=1,B978&lt;$O$12)),1,0)</f>
        <v/>
      </c>
      <c r="I978">
        <f>IF(H978=1,NA(),D978)</f>
        <v/>
      </c>
      <c r="J978">
        <f>IF(AND(ISNUMBER(D978),D978&gt;=$O$4,OR($O$11=0,B978&gt;=$O$12)),1,0)</f>
        <v/>
      </c>
      <c r="K978">
        <f>B978-$O$14</f>
        <v/>
      </c>
    </row>
    <row r="979">
      <c r="A979" t="n">
        <v>2931</v>
      </c>
      <c r="B979" t="n">
        <v>97.7</v>
      </c>
      <c r="C979" t="inlineStr">
        <is>
          <t>317</t>
        </is>
      </c>
      <c r="D979" t="n">
        <v>3.17</v>
      </c>
      <c r="E979">
        <f>MEDIAN(D959:D999)</f>
        <v/>
      </c>
      <c r="F979">
        <f>E959</f>
        <v/>
      </c>
      <c r="G979">
        <f>F979-E979</f>
        <v/>
      </c>
      <c r="H979">
        <f>IF(OR(NOT(ISNUMBER(D979)),ABS(D979-E979)&gt;$O$3,AND($O$11=1,B979&lt;$O$12)),1,0)</f>
        <v/>
      </c>
      <c r="I979">
        <f>IF(H979=1,NA(),D979)</f>
        <v/>
      </c>
      <c r="J979">
        <f>IF(AND(ISNUMBER(D979),D979&gt;=$O$4,OR($O$11=0,B979&gt;=$O$12)),1,0)</f>
        <v/>
      </c>
      <c r="K979">
        <f>B979-$O$14</f>
        <v/>
      </c>
    </row>
    <row r="980">
      <c r="A980" t="n">
        <v>2934</v>
      </c>
      <c r="B980" t="n">
        <v>97.8</v>
      </c>
      <c r="C980" t="inlineStr">
        <is>
          <t>?17</t>
        </is>
      </c>
      <c r="E980">
        <f>MEDIAN(D960:D1000)</f>
        <v/>
      </c>
      <c r="F980">
        <f>E960</f>
        <v/>
      </c>
      <c r="G980">
        <f>F980-E980</f>
        <v/>
      </c>
      <c r="H980">
        <f>IF(OR(NOT(ISNUMBER(D980)),ABS(D980-E980)&gt;$O$3,AND($O$11=1,B980&lt;$O$12)),1,0)</f>
        <v/>
      </c>
      <c r="I980">
        <f>IF(H980=1,NA(),D980)</f>
        <v/>
      </c>
      <c r="J980">
        <f>IF(AND(ISNUMBER(D980),D980&gt;=$O$4,OR($O$11=0,B980&gt;=$O$12)),1,0)</f>
        <v/>
      </c>
      <c r="K980">
        <f>B980-$O$14</f>
        <v/>
      </c>
    </row>
    <row r="981">
      <c r="A981" t="n">
        <v>2937</v>
      </c>
      <c r="B981" t="n">
        <v>97.90000000000001</v>
      </c>
      <c r="C981" t="inlineStr">
        <is>
          <t>317</t>
        </is>
      </c>
      <c r="D981" t="n">
        <v>3.17</v>
      </c>
      <c r="E981">
        <f>MEDIAN(D961:D1001)</f>
        <v/>
      </c>
      <c r="F981">
        <f>E961</f>
        <v/>
      </c>
      <c r="G981">
        <f>F981-E981</f>
        <v/>
      </c>
      <c r="H981">
        <f>IF(OR(NOT(ISNUMBER(D981)),ABS(D981-E981)&gt;$O$3,AND($O$11=1,B981&lt;$O$12)),1,0)</f>
        <v/>
      </c>
      <c r="I981">
        <f>IF(H981=1,NA(),D981)</f>
        <v/>
      </c>
      <c r="J981">
        <f>IF(AND(ISNUMBER(D981),D981&gt;=$O$4,OR($O$11=0,B981&gt;=$O$12)),1,0)</f>
        <v/>
      </c>
      <c r="K981">
        <f>B981-$O$14</f>
        <v/>
      </c>
    </row>
    <row r="982">
      <c r="A982" t="n">
        <v>2940</v>
      </c>
      <c r="B982" t="n">
        <v>98</v>
      </c>
      <c r="C982" t="inlineStr">
        <is>
          <t>?17</t>
        </is>
      </c>
      <c r="E982">
        <f>MEDIAN(D962:D1002)</f>
        <v/>
      </c>
      <c r="F982">
        <f>E962</f>
        <v/>
      </c>
      <c r="G982">
        <f>F982-E982</f>
        <v/>
      </c>
      <c r="H982">
        <f>IF(OR(NOT(ISNUMBER(D982)),ABS(D982-E982)&gt;$O$3,AND($O$11=1,B982&lt;$O$12)),1,0)</f>
        <v/>
      </c>
      <c r="I982">
        <f>IF(H982=1,NA(),D982)</f>
        <v/>
      </c>
      <c r="J982">
        <f>IF(AND(ISNUMBER(D982),D982&gt;=$O$4,OR($O$11=0,B982&gt;=$O$12)),1,0)</f>
        <v/>
      </c>
      <c r="K982">
        <f>B982-$O$14</f>
        <v/>
      </c>
    </row>
    <row r="983">
      <c r="A983" t="n">
        <v>2943</v>
      </c>
      <c r="B983" t="n">
        <v>98.09999999999999</v>
      </c>
      <c r="C983" t="inlineStr">
        <is>
          <t>?17</t>
        </is>
      </c>
      <c r="E983">
        <f>MEDIAN(D963:D1003)</f>
        <v/>
      </c>
      <c r="F983">
        <f>E963</f>
        <v/>
      </c>
      <c r="G983">
        <f>F983-E983</f>
        <v/>
      </c>
      <c r="H983">
        <f>IF(OR(NOT(ISNUMBER(D983)),ABS(D983-E983)&gt;$O$3,AND($O$11=1,B983&lt;$O$12)),1,0)</f>
        <v/>
      </c>
      <c r="I983">
        <f>IF(H983=1,NA(),D983)</f>
        <v/>
      </c>
      <c r="J983">
        <f>IF(AND(ISNUMBER(D983),D983&gt;=$O$4,OR($O$11=0,B983&gt;=$O$12)),1,0)</f>
        <v/>
      </c>
      <c r="K983">
        <f>B983-$O$14</f>
        <v/>
      </c>
    </row>
    <row r="984">
      <c r="A984" t="n">
        <v>2946</v>
      </c>
      <c r="B984" t="n">
        <v>98.2</v>
      </c>
      <c r="C984" t="inlineStr">
        <is>
          <t>?17</t>
        </is>
      </c>
      <c r="E984">
        <f>MEDIAN(D964:D1004)</f>
        <v/>
      </c>
      <c r="F984">
        <f>E964</f>
        <v/>
      </c>
      <c r="G984">
        <f>F984-E984</f>
        <v/>
      </c>
      <c r="H984">
        <f>IF(OR(NOT(ISNUMBER(D984)),ABS(D984-E984)&gt;$O$3,AND($O$11=1,B984&lt;$O$12)),1,0)</f>
        <v/>
      </c>
      <c r="I984">
        <f>IF(H984=1,NA(),D984)</f>
        <v/>
      </c>
      <c r="J984">
        <f>IF(AND(ISNUMBER(D984),D984&gt;=$O$4,OR($O$11=0,B984&gt;=$O$12)),1,0)</f>
        <v/>
      </c>
      <c r="K984">
        <f>B984-$O$14</f>
        <v/>
      </c>
    </row>
    <row r="985">
      <c r="A985" t="n">
        <v>2949</v>
      </c>
      <c r="B985" t="n">
        <v>98.3</v>
      </c>
      <c r="C985" t="inlineStr">
        <is>
          <t>317</t>
        </is>
      </c>
      <c r="D985" t="n">
        <v>3.17</v>
      </c>
      <c r="E985">
        <f>MEDIAN(D965:D1005)</f>
        <v/>
      </c>
      <c r="F985">
        <f>E965</f>
        <v/>
      </c>
      <c r="G985">
        <f>F985-E985</f>
        <v/>
      </c>
      <c r="H985">
        <f>IF(OR(NOT(ISNUMBER(D985)),ABS(D985-E985)&gt;$O$3,AND($O$11=1,B985&lt;$O$12)),1,0)</f>
        <v/>
      </c>
      <c r="I985">
        <f>IF(H985=1,NA(),D985)</f>
        <v/>
      </c>
      <c r="J985">
        <f>IF(AND(ISNUMBER(D985),D985&gt;=$O$4,OR($O$11=0,B985&gt;=$O$12)),1,0)</f>
        <v/>
      </c>
      <c r="K985">
        <f>B985-$O$14</f>
        <v/>
      </c>
    </row>
    <row r="986">
      <c r="A986" t="n">
        <v>2952</v>
      </c>
      <c r="B986" t="n">
        <v>98.40000000000001</v>
      </c>
      <c r="C986" t="inlineStr">
        <is>
          <t>17</t>
        </is>
      </c>
      <c r="D986" t="n">
        <v>0.17</v>
      </c>
      <c r="E986">
        <f>MEDIAN(D966:D1006)</f>
        <v/>
      </c>
      <c r="F986">
        <f>E966</f>
        <v/>
      </c>
      <c r="G986">
        <f>F986-E986</f>
        <v/>
      </c>
      <c r="H986">
        <f>IF(OR(NOT(ISNUMBER(D986)),ABS(D986-E986)&gt;$O$3,AND($O$11=1,B986&lt;$O$12)),1,0)</f>
        <v/>
      </c>
      <c r="I986">
        <f>IF(H986=1,NA(),D986)</f>
        <v/>
      </c>
      <c r="J986">
        <f>IF(AND(ISNUMBER(D986),D986&gt;=$O$4,OR($O$11=0,B986&gt;=$O$12)),1,0)</f>
        <v/>
      </c>
      <c r="K986">
        <f>B986-$O$14</f>
        <v/>
      </c>
    </row>
    <row r="987">
      <c r="A987" t="n">
        <v>2955</v>
      </c>
      <c r="B987" t="n">
        <v>98.5</v>
      </c>
      <c r="C987" t="inlineStr">
        <is>
          <t>317</t>
        </is>
      </c>
      <c r="D987" t="n">
        <v>3.17</v>
      </c>
      <c r="E987">
        <f>MEDIAN(D967:D1007)</f>
        <v/>
      </c>
      <c r="F987">
        <f>E967</f>
        <v/>
      </c>
      <c r="G987">
        <f>F987-E987</f>
        <v/>
      </c>
      <c r="H987">
        <f>IF(OR(NOT(ISNUMBER(D987)),ABS(D987-E987)&gt;$O$3,AND($O$11=1,B987&lt;$O$12)),1,0)</f>
        <v/>
      </c>
      <c r="I987">
        <f>IF(H987=1,NA(),D987)</f>
        <v/>
      </c>
      <c r="J987">
        <f>IF(AND(ISNUMBER(D987),D987&gt;=$O$4,OR($O$11=0,B987&gt;=$O$12)),1,0)</f>
        <v/>
      </c>
      <c r="K987">
        <f>B987-$O$14</f>
        <v/>
      </c>
    </row>
    <row r="988">
      <c r="A988" t="n">
        <v>2958</v>
      </c>
      <c r="B988" t="n">
        <v>98.59999999999999</v>
      </c>
      <c r="C988" t="inlineStr">
        <is>
          <t>317</t>
        </is>
      </c>
      <c r="D988" t="n">
        <v>3.17</v>
      </c>
      <c r="E988">
        <f>MEDIAN(D968:D1008)</f>
        <v/>
      </c>
      <c r="F988">
        <f>E968</f>
        <v/>
      </c>
      <c r="G988">
        <f>F988-E988</f>
        <v/>
      </c>
      <c r="H988">
        <f>IF(OR(NOT(ISNUMBER(D988)),ABS(D988-E988)&gt;$O$3,AND($O$11=1,B988&lt;$O$12)),1,0)</f>
        <v/>
      </c>
      <c r="I988">
        <f>IF(H988=1,NA(),D988)</f>
        <v/>
      </c>
      <c r="J988">
        <f>IF(AND(ISNUMBER(D988),D988&gt;=$O$4,OR($O$11=0,B988&gt;=$O$12)),1,0)</f>
        <v/>
      </c>
      <c r="K988">
        <f>B988-$O$14</f>
        <v/>
      </c>
    </row>
    <row r="989">
      <c r="A989" t="n">
        <v>2961</v>
      </c>
      <c r="B989" t="n">
        <v>98.7</v>
      </c>
      <c r="C989" t="inlineStr">
        <is>
          <t>?17</t>
        </is>
      </c>
      <c r="E989">
        <f>MEDIAN(D969:D1009)</f>
        <v/>
      </c>
      <c r="F989">
        <f>E969</f>
        <v/>
      </c>
      <c r="G989">
        <f>F989-E989</f>
        <v/>
      </c>
      <c r="H989">
        <f>IF(OR(NOT(ISNUMBER(D989)),ABS(D989-E989)&gt;$O$3,AND($O$11=1,B989&lt;$O$12)),1,0)</f>
        <v/>
      </c>
      <c r="I989">
        <f>IF(H989=1,NA(),D989)</f>
        <v/>
      </c>
      <c r="J989">
        <f>IF(AND(ISNUMBER(D989),D989&gt;=$O$4,OR($O$11=0,B989&gt;=$O$12)),1,0)</f>
        <v/>
      </c>
      <c r="K989">
        <f>B989-$O$14</f>
        <v/>
      </c>
    </row>
    <row r="990">
      <c r="A990" t="n">
        <v>2964</v>
      </c>
      <c r="B990" t="n">
        <v>98.8</v>
      </c>
      <c r="C990" t="inlineStr">
        <is>
          <t>?17</t>
        </is>
      </c>
      <c r="E990">
        <f>MEDIAN(D970:D1010)</f>
        <v/>
      </c>
      <c r="F990">
        <f>E970</f>
        <v/>
      </c>
      <c r="G990">
        <f>F990-E990</f>
        <v/>
      </c>
      <c r="H990">
        <f>IF(OR(NOT(ISNUMBER(D990)),ABS(D990-E990)&gt;$O$3,AND($O$11=1,B990&lt;$O$12)),1,0)</f>
        <v/>
      </c>
      <c r="I990">
        <f>IF(H990=1,NA(),D990)</f>
        <v/>
      </c>
      <c r="J990">
        <f>IF(AND(ISNUMBER(D990),D990&gt;=$O$4,OR($O$11=0,B990&gt;=$O$12)),1,0)</f>
        <v/>
      </c>
      <c r="K990">
        <f>B990-$O$14</f>
        <v/>
      </c>
    </row>
    <row r="991">
      <c r="A991" t="n">
        <v>2967</v>
      </c>
      <c r="B991" t="n">
        <v>98.90000000000001</v>
      </c>
      <c r="C991" t="inlineStr">
        <is>
          <t>317</t>
        </is>
      </c>
      <c r="D991" t="n">
        <v>3.17</v>
      </c>
      <c r="E991">
        <f>MEDIAN(D971:D1011)</f>
        <v/>
      </c>
      <c r="F991">
        <f>E971</f>
        <v/>
      </c>
      <c r="G991">
        <f>F991-E991</f>
        <v/>
      </c>
      <c r="H991">
        <f>IF(OR(NOT(ISNUMBER(D991)),ABS(D991-E991)&gt;$O$3,AND($O$11=1,B991&lt;$O$12)),1,0)</f>
        <v/>
      </c>
      <c r="I991">
        <f>IF(H991=1,NA(),D991)</f>
        <v/>
      </c>
      <c r="J991">
        <f>IF(AND(ISNUMBER(D991),D991&gt;=$O$4,OR($O$11=0,B991&gt;=$O$12)),1,0)</f>
        <v/>
      </c>
      <c r="K991">
        <f>B991-$O$14</f>
        <v/>
      </c>
    </row>
    <row r="992">
      <c r="A992" t="n">
        <v>2970</v>
      </c>
      <c r="B992" t="n">
        <v>99</v>
      </c>
      <c r="C992" t="inlineStr">
        <is>
          <t>?17</t>
        </is>
      </c>
      <c r="E992">
        <f>MEDIAN(D972:D1012)</f>
        <v/>
      </c>
      <c r="F992">
        <f>E972</f>
        <v/>
      </c>
      <c r="G992">
        <f>F992-E992</f>
        <v/>
      </c>
      <c r="H992">
        <f>IF(OR(NOT(ISNUMBER(D992)),ABS(D992-E992)&gt;$O$3,AND($O$11=1,B992&lt;$O$12)),1,0)</f>
        <v/>
      </c>
      <c r="I992">
        <f>IF(H992=1,NA(),D992)</f>
        <v/>
      </c>
      <c r="J992">
        <f>IF(AND(ISNUMBER(D992),D992&gt;=$O$4,OR($O$11=0,B992&gt;=$O$12)),1,0)</f>
        <v/>
      </c>
      <c r="K992">
        <f>B992-$O$14</f>
        <v/>
      </c>
    </row>
    <row r="993">
      <c r="A993" t="n">
        <v>2973</v>
      </c>
      <c r="B993" t="n">
        <v>99.09999999999999</v>
      </c>
      <c r="C993" t="inlineStr">
        <is>
          <t>17</t>
        </is>
      </c>
      <c r="D993" t="n">
        <v>0.17</v>
      </c>
      <c r="E993">
        <f>MEDIAN(D973:D1013)</f>
        <v/>
      </c>
      <c r="F993">
        <f>E973</f>
        <v/>
      </c>
      <c r="G993">
        <f>F993-E993</f>
        <v/>
      </c>
      <c r="H993">
        <f>IF(OR(NOT(ISNUMBER(D993)),ABS(D993-E993)&gt;$O$3,AND($O$11=1,B993&lt;$O$12)),1,0)</f>
        <v/>
      </c>
      <c r="I993">
        <f>IF(H993=1,NA(),D993)</f>
        <v/>
      </c>
      <c r="J993">
        <f>IF(AND(ISNUMBER(D993),D993&gt;=$O$4,OR($O$11=0,B993&gt;=$O$12)),1,0)</f>
        <v/>
      </c>
      <c r="K993">
        <f>B993-$O$14</f>
        <v/>
      </c>
    </row>
    <row r="994">
      <c r="A994" t="n">
        <v>2976</v>
      </c>
      <c r="B994" t="n">
        <v>99.2</v>
      </c>
      <c r="C994" t="inlineStr">
        <is>
          <t>?17</t>
        </is>
      </c>
      <c r="E994">
        <f>MEDIAN(D974:D1014)</f>
        <v/>
      </c>
      <c r="F994">
        <f>E974</f>
        <v/>
      </c>
      <c r="G994">
        <f>F994-E994</f>
        <v/>
      </c>
      <c r="H994">
        <f>IF(OR(NOT(ISNUMBER(D994)),ABS(D994-E994)&gt;$O$3,AND($O$11=1,B994&lt;$O$12)),1,0)</f>
        <v/>
      </c>
      <c r="I994">
        <f>IF(H994=1,NA(),D994)</f>
        <v/>
      </c>
      <c r="J994">
        <f>IF(AND(ISNUMBER(D994),D994&gt;=$O$4,OR($O$11=0,B994&gt;=$O$12)),1,0)</f>
        <v/>
      </c>
      <c r="K994">
        <f>B994-$O$14</f>
        <v/>
      </c>
    </row>
    <row r="995">
      <c r="A995" t="n">
        <v>2979</v>
      </c>
      <c r="B995" t="n">
        <v>99.3</v>
      </c>
      <c r="C995" t="inlineStr">
        <is>
          <t>?17</t>
        </is>
      </c>
      <c r="E995">
        <f>MEDIAN(D975:D1015)</f>
        <v/>
      </c>
      <c r="F995">
        <f>E975</f>
        <v/>
      </c>
      <c r="G995">
        <f>F995-E995</f>
        <v/>
      </c>
      <c r="H995">
        <f>IF(OR(NOT(ISNUMBER(D995)),ABS(D995-E995)&gt;$O$3,AND($O$11=1,B995&lt;$O$12)),1,0)</f>
        <v/>
      </c>
      <c r="I995">
        <f>IF(H995=1,NA(),D995)</f>
        <v/>
      </c>
      <c r="J995">
        <f>IF(AND(ISNUMBER(D995),D995&gt;=$O$4,OR($O$11=0,B995&gt;=$O$12)),1,0)</f>
        <v/>
      </c>
      <c r="K995">
        <f>B995-$O$14</f>
        <v/>
      </c>
    </row>
    <row r="996">
      <c r="A996" t="n">
        <v>2982</v>
      </c>
      <c r="B996" t="n">
        <v>99.40000000000001</v>
      </c>
      <c r="C996" t="inlineStr">
        <is>
          <t>317</t>
        </is>
      </c>
      <c r="D996" t="n">
        <v>3.17</v>
      </c>
      <c r="E996">
        <f>MEDIAN(D976:D1016)</f>
        <v/>
      </c>
      <c r="F996">
        <f>E976</f>
        <v/>
      </c>
      <c r="G996">
        <f>F996-E996</f>
        <v/>
      </c>
      <c r="H996">
        <f>IF(OR(NOT(ISNUMBER(D996)),ABS(D996-E996)&gt;$O$3,AND($O$11=1,B996&lt;$O$12)),1,0)</f>
        <v/>
      </c>
      <c r="I996">
        <f>IF(H996=1,NA(),D996)</f>
        <v/>
      </c>
      <c r="J996">
        <f>IF(AND(ISNUMBER(D996),D996&gt;=$O$4,OR($O$11=0,B996&gt;=$O$12)),1,0)</f>
        <v/>
      </c>
      <c r="K996">
        <f>B996-$O$14</f>
        <v/>
      </c>
    </row>
    <row r="997">
      <c r="A997" t="n">
        <v>2985</v>
      </c>
      <c r="B997" t="n">
        <v>99.5</v>
      </c>
      <c r="C997" t="inlineStr">
        <is>
          <t>317</t>
        </is>
      </c>
      <c r="D997" t="n">
        <v>3.17</v>
      </c>
      <c r="E997">
        <f>MEDIAN(D977:D1017)</f>
        <v/>
      </c>
      <c r="F997">
        <f>E977</f>
        <v/>
      </c>
      <c r="G997">
        <f>F997-E997</f>
        <v/>
      </c>
      <c r="H997">
        <f>IF(OR(NOT(ISNUMBER(D997)),ABS(D997-E997)&gt;$O$3,AND($O$11=1,B997&lt;$O$12)),1,0)</f>
        <v/>
      </c>
      <c r="I997">
        <f>IF(H997=1,NA(),D997)</f>
        <v/>
      </c>
      <c r="J997">
        <f>IF(AND(ISNUMBER(D997),D997&gt;=$O$4,OR($O$11=0,B997&gt;=$O$12)),1,0)</f>
        <v/>
      </c>
      <c r="K997">
        <f>B997-$O$14</f>
        <v/>
      </c>
    </row>
    <row r="998">
      <c r="A998" t="n">
        <v>2988</v>
      </c>
      <c r="B998" t="n">
        <v>99.59999999999999</v>
      </c>
      <c r="C998" t="inlineStr">
        <is>
          <t>317</t>
        </is>
      </c>
      <c r="D998" t="n">
        <v>3.17</v>
      </c>
      <c r="E998">
        <f>MEDIAN(D978:D1018)</f>
        <v/>
      </c>
      <c r="F998">
        <f>E978</f>
        <v/>
      </c>
      <c r="G998">
        <f>F998-E998</f>
        <v/>
      </c>
      <c r="H998">
        <f>IF(OR(NOT(ISNUMBER(D998)),ABS(D998-E998)&gt;$O$3,AND($O$11=1,B998&lt;$O$12)),1,0)</f>
        <v/>
      </c>
      <c r="I998">
        <f>IF(H998=1,NA(),D998)</f>
        <v/>
      </c>
      <c r="J998">
        <f>IF(AND(ISNUMBER(D998),D998&gt;=$O$4,OR($O$11=0,B998&gt;=$O$12)),1,0)</f>
        <v/>
      </c>
      <c r="K998">
        <f>B998-$O$14</f>
        <v/>
      </c>
    </row>
    <row r="999">
      <c r="A999" t="n">
        <v>2991</v>
      </c>
      <c r="B999" t="n">
        <v>99.7</v>
      </c>
      <c r="C999" t="inlineStr">
        <is>
          <t>317</t>
        </is>
      </c>
      <c r="D999" t="n">
        <v>3.17</v>
      </c>
      <c r="E999">
        <f>MEDIAN(D979:D1019)</f>
        <v/>
      </c>
      <c r="F999">
        <f>E979</f>
        <v/>
      </c>
      <c r="G999">
        <f>F999-E999</f>
        <v/>
      </c>
      <c r="H999">
        <f>IF(OR(NOT(ISNUMBER(D999)),ABS(D999-E999)&gt;$O$3,AND($O$11=1,B999&lt;$O$12)),1,0)</f>
        <v/>
      </c>
      <c r="I999">
        <f>IF(H999=1,NA(),D999)</f>
        <v/>
      </c>
      <c r="J999">
        <f>IF(AND(ISNUMBER(D999),D999&gt;=$O$4,OR($O$11=0,B999&gt;=$O$12)),1,0)</f>
        <v/>
      </c>
      <c r="K999">
        <f>B999-$O$14</f>
        <v/>
      </c>
    </row>
    <row r="1000">
      <c r="A1000" t="n">
        <v>2994</v>
      </c>
      <c r="B1000" t="n">
        <v>99.8</v>
      </c>
      <c r="C1000" t="inlineStr">
        <is>
          <t>317</t>
        </is>
      </c>
      <c r="D1000" t="n">
        <v>3.17</v>
      </c>
      <c r="E1000">
        <f>MEDIAN(D980:D1020)</f>
        <v/>
      </c>
      <c r="F1000">
        <f>E980</f>
        <v/>
      </c>
      <c r="G1000">
        <f>F1000-E1000</f>
        <v/>
      </c>
      <c r="H1000">
        <f>IF(OR(NOT(ISNUMBER(D1000)),ABS(D1000-E1000)&gt;$O$3,AND($O$11=1,B1000&lt;$O$12)),1,0)</f>
        <v/>
      </c>
      <c r="I1000">
        <f>IF(H1000=1,NA(),D1000)</f>
        <v/>
      </c>
      <c r="J1000">
        <f>IF(AND(ISNUMBER(D1000),D1000&gt;=$O$4,OR($O$11=0,B1000&gt;=$O$12)),1,0)</f>
        <v/>
      </c>
      <c r="K1000">
        <f>B1000-$O$14</f>
        <v/>
      </c>
    </row>
    <row r="1001">
      <c r="A1001" t="n">
        <v>2997</v>
      </c>
      <c r="B1001" t="n">
        <v>99.90000000000001</v>
      </c>
      <c r="C1001" t="inlineStr">
        <is>
          <t>317</t>
        </is>
      </c>
      <c r="D1001" t="n">
        <v>3.17</v>
      </c>
      <c r="E1001">
        <f>MEDIAN(D981:D1021)</f>
        <v/>
      </c>
      <c r="F1001">
        <f>E981</f>
        <v/>
      </c>
      <c r="G1001">
        <f>F1001-E1001</f>
        <v/>
      </c>
      <c r="H1001">
        <f>IF(OR(NOT(ISNUMBER(D1001)),ABS(D1001-E1001)&gt;$O$3,AND($O$11=1,B1001&lt;$O$12)),1,0)</f>
        <v/>
      </c>
      <c r="I1001">
        <f>IF(H1001=1,NA(),D1001)</f>
        <v/>
      </c>
      <c r="J1001">
        <f>IF(AND(ISNUMBER(D1001),D1001&gt;=$O$4,OR($O$11=0,B1001&gt;=$O$12)),1,0)</f>
        <v/>
      </c>
      <c r="K1001">
        <f>B1001-$O$14</f>
        <v/>
      </c>
    </row>
    <row r="1002">
      <c r="A1002" t="n">
        <v>3000</v>
      </c>
      <c r="B1002" t="n">
        <v>100</v>
      </c>
      <c r="C1002" t="inlineStr">
        <is>
          <t>?17</t>
        </is>
      </c>
      <c r="E1002">
        <f>MEDIAN(D982:D1022)</f>
        <v/>
      </c>
      <c r="F1002">
        <f>E982</f>
        <v/>
      </c>
      <c r="G1002">
        <f>F1002-E1002</f>
        <v/>
      </c>
      <c r="H1002">
        <f>IF(OR(NOT(ISNUMBER(D1002)),ABS(D1002-E1002)&gt;$O$3,AND($O$11=1,B1002&lt;$O$12)),1,0)</f>
        <v/>
      </c>
      <c r="I1002">
        <f>IF(H1002=1,NA(),D1002)</f>
        <v/>
      </c>
      <c r="J1002">
        <f>IF(AND(ISNUMBER(D1002),D1002&gt;=$O$4,OR($O$11=0,B1002&gt;=$O$12)),1,0)</f>
        <v/>
      </c>
      <c r="K1002">
        <f>B1002-$O$14</f>
        <v/>
      </c>
    </row>
    <row r="1003">
      <c r="A1003" t="n">
        <v>3003</v>
      </c>
      <c r="B1003" t="n">
        <v>100.1</v>
      </c>
      <c r="C1003" t="inlineStr">
        <is>
          <t>?17</t>
        </is>
      </c>
      <c r="E1003">
        <f>MEDIAN(D983:D1023)</f>
        <v/>
      </c>
      <c r="F1003">
        <f>E983</f>
        <v/>
      </c>
      <c r="G1003">
        <f>F1003-E1003</f>
        <v/>
      </c>
      <c r="H1003">
        <f>IF(OR(NOT(ISNUMBER(D1003)),ABS(D1003-E1003)&gt;$O$3,AND($O$11=1,B1003&lt;$O$12)),1,0)</f>
        <v/>
      </c>
      <c r="I1003">
        <f>IF(H1003=1,NA(),D1003)</f>
        <v/>
      </c>
      <c r="J1003">
        <f>IF(AND(ISNUMBER(D1003),D1003&gt;=$O$4,OR($O$11=0,B1003&gt;=$O$12)),1,0)</f>
        <v/>
      </c>
      <c r="K1003">
        <f>B1003-$O$14</f>
        <v/>
      </c>
    </row>
    <row r="1004">
      <c r="A1004" t="n">
        <v>3006</v>
      </c>
      <c r="B1004" t="n">
        <v>100.2</v>
      </c>
      <c r="C1004" t="inlineStr">
        <is>
          <t>317</t>
        </is>
      </c>
      <c r="D1004" t="n">
        <v>3.17</v>
      </c>
      <c r="E1004">
        <f>MEDIAN(D984:D1024)</f>
        <v/>
      </c>
      <c r="F1004">
        <f>E984</f>
        <v/>
      </c>
      <c r="G1004">
        <f>F1004-E1004</f>
        <v/>
      </c>
      <c r="H1004">
        <f>IF(OR(NOT(ISNUMBER(D1004)),ABS(D1004-E1004)&gt;$O$3,AND($O$11=1,B1004&lt;$O$12)),1,0)</f>
        <v/>
      </c>
      <c r="I1004">
        <f>IF(H1004=1,NA(),D1004)</f>
        <v/>
      </c>
      <c r="J1004">
        <f>IF(AND(ISNUMBER(D1004),D1004&gt;=$O$4,OR($O$11=0,B1004&gt;=$O$12)),1,0)</f>
        <v/>
      </c>
      <c r="K1004">
        <f>B1004-$O$14</f>
        <v/>
      </c>
    </row>
    <row r="1005">
      <c r="A1005" t="n">
        <v>3009</v>
      </c>
      <c r="B1005" t="n">
        <v>100.3</v>
      </c>
      <c r="C1005" t="inlineStr">
        <is>
          <t>?17</t>
        </is>
      </c>
      <c r="E1005">
        <f>MEDIAN(D985:D1025)</f>
        <v/>
      </c>
      <c r="F1005">
        <f>E985</f>
        <v/>
      </c>
      <c r="G1005">
        <f>F1005-E1005</f>
        <v/>
      </c>
      <c r="H1005">
        <f>IF(OR(NOT(ISNUMBER(D1005)),ABS(D1005-E1005)&gt;$O$3,AND($O$11=1,B1005&lt;$O$12)),1,0)</f>
        <v/>
      </c>
      <c r="I1005">
        <f>IF(H1005=1,NA(),D1005)</f>
        <v/>
      </c>
      <c r="J1005">
        <f>IF(AND(ISNUMBER(D1005),D1005&gt;=$O$4,OR($O$11=0,B1005&gt;=$O$12)),1,0)</f>
        <v/>
      </c>
      <c r="K1005">
        <f>B1005-$O$14</f>
        <v/>
      </c>
    </row>
    <row r="1006">
      <c r="A1006" t="n">
        <v>3012</v>
      </c>
      <c r="B1006" t="n">
        <v>100.4</v>
      </c>
      <c r="C1006" t="inlineStr">
        <is>
          <t>317</t>
        </is>
      </c>
      <c r="D1006" t="n">
        <v>3.17</v>
      </c>
      <c r="E1006">
        <f>MEDIAN(D986:D1026)</f>
        <v/>
      </c>
      <c r="F1006">
        <f>E986</f>
        <v/>
      </c>
      <c r="G1006">
        <f>F1006-E1006</f>
        <v/>
      </c>
      <c r="H1006">
        <f>IF(OR(NOT(ISNUMBER(D1006)),ABS(D1006-E1006)&gt;$O$3,AND($O$11=1,B1006&lt;$O$12)),1,0)</f>
        <v/>
      </c>
      <c r="I1006">
        <f>IF(H1006=1,NA(),D1006)</f>
        <v/>
      </c>
      <c r="J1006">
        <f>IF(AND(ISNUMBER(D1006),D1006&gt;=$O$4,OR($O$11=0,B1006&gt;=$O$12)),1,0)</f>
        <v/>
      </c>
      <c r="K1006">
        <f>B1006-$O$14</f>
        <v/>
      </c>
    </row>
    <row r="1007">
      <c r="A1007" t="n">
        <v>3015</v>
      </c>
      <c r="B1007" t="n">
        <v>100.5</v>
      </c>
      <c r="C1007" t="inlineStr">
        <is>
          <t>17</t>
        </is>
      </c>
      <c r="D1007" t="n">
        <v>0.17</v>
      </c>
      <c r="E1007">
        <f>MEDIAN(D987:D1027)</f>
        <v/>
      </c>
      <c r="F1007">
        <f>E987</f>
        <v/>
      </c>
      <c r="G1007">
        <f>F1007-E1007</f>
        <v/>
      </c>
      <c r="H1007">
        <f>IF(OR(NOT(ISNUMBER(D1007)),ABS(D1007-E1007)&gt;$O$3,AND($O$11=1,B1007&lt;$O$12)),1,0)</f>
        <v/>
      </c>
      <c r="I1007">
        <f>IF(H1007=1,NA(),D1007)</f>
        <v/>
      </c>
      <c r="J1007">
        <f>IF(AND(ISNUMBER(D1007),D1007&gt;=$O$4,OR($O$11=0,B1007&gt;=$O$12)),1,0)</f>
        <v/>
      </c>
      <c r="K1007">
        <f>B1007-$O$14</f>
        <v/>
      </c>
    </row>
    <row r="1008">
      <c r="A1008" t="n">
        <v>3018</v>
      </c>
      <c r="B1008" t="n">
        <v>100.6</v>
      </c>
      <c r="C1008" t="inlineStr">
        <is>
          <t>317</t>
        </is>
      </c>
      <c r="D1008" t="n">
        <v>3.17</v>
      </c>
      <c r="E1008">
        <f>MEDIAN(D988:D1028)</f>
        <v/>
      </c>
      <c r="F1008">
        <f>E988</f>
        <v/>
      </c>
      <c r="G1008">
        <f>F1008-E1008</f>
        <v/>
      </c>
      <c r="H1008">
        <f>IF(OR(NOT(ISNUMBER(D1008)),ABS(D1008-E1008)&gt;$O$3,AND($O$11=1,B1008&lt;$O$12)),1,0)</f>
        <v/>
      </c>
      <c r="I1008">
        <f>IF(H1008=1,NA(),D1008)</f>
        <v/>
      </c>
      <c r="J1008">
        <f>IF(AND(ISNUMBER(D1008),D1008&gt;=$O$4,OR($O$11=0,B1008&gt;=$O$12)),1,0)</f>
        <v/>
      </c>
      <c r="K1008">
        <f>B1008-$O$14</f>
        <v/>
      </c>
    </row>
    <row r="1009">
      <c r="A1009" t="n">
        <v>3021</v>
      </c>
      <c r="B1009" t="n">
        <v>100.7</v>
      </c>
      <c r="C1009" t="inlineStr">
        <is>
          <t>317</t>
        </is>
      </c>
      <c r="D1009" t="n">
        <v>3.17</v>
      </c>
      <c r="E1009">
        <f>MEDIAN(D989:D1029)</f>
        <v/>
      </c>
      <c r="F1009">
        <f>E989</f>
        <v/>
      </c>
      <c r="G1009">
        <f>F1009-E1009</f>
        <v/>
      </c>
      <c r="H1009">
        <f>IF(OR(NOT(ISNUMBER(D1009)),ABS(D1009-E1009)&gt;$O$3,AND($O$11=1,B1009&lt;$O$12)),1,0)</f>
        <v/>
      </c>
      <c r="I1009">
        <f>IF(H1009=1,NA(),D1009)</f>
        <v/>
      </c>
      <c r="J1009">
        <f>IF(AND(ISNUMBER(D1009),D1009&gt;=$O$4,OR($O$11=0,B1009&gt;=$O$12)),1,0)</f>
        <v/>
      </c>
      <c r="K1009">
        <f>B1009-$O$14</f>
        <v/>
      </c>
    </row>
    <row r="1010">
      <c r="A1010" t="n">
        <v>3024</v>
      </c>
      <c r="B1010" t="n">
        <v>100.8</v>
      </c>
      <c r="C1010" t="inlineStr">
        <is>
          <t>?17</t>
        </is>
      </c>
      <c r="E1010">
        <f>MEDIAN(D990:D1030)</f>
        <v/>
      </c>
      <c r="F1010">
        <f>E990</f>
        <v/>
      </c>
      <c r="G1010">
        <f>F1010-E1010</f>
        <v/>
      </c>
      <c r="H1010">
        <f>IF(OR(NOT(ISNUMBER(D1010)),ABS(D1010-E1010)&gt;$O$3,AND($O$11=1,B1010&lt;$O$12)),1,0)</f>
        <v/>
      </c>
      <c r="I1010">
        <f>IF(H1010=1,NA(),D1010)</f>
        <v/>
      </c>
      <c r="J1010">
        <f>IF(AND(ISNUMBER(D1010),D1010&gt;=$O$4,OR($O$11=0,B1010&gt;=$O$12)),1,0)</f>
        <v/>
      </c>
      <c r="K1010">
        <f>B1010-$O$14</f>
        <v/>
      </c>
    </row>
    <row r="1011">
      <c r="A1011" t="n">
        <v>3027</v>
      </c>
      <c r="B1011" t="n">
        <v>100.9</v>
      </c>
      <c r="C1011" t="inlineStr">
        <is>
          <t>317</t>
        </is>
      </c>
      <c r="D1011" t="n">
        <v>3.17</v>
      </c>
      <c r="E1011">
        <f>MEDIAN(D991:D1031)</f>
        <v/>
      </c>
      <c r="F1011">
        <f>E991</f>
        <v/>
      </c>
      <c r="G1011">
        <f>F1011-E1011</f>
        <v/>
      </c>
      <c r="H1011">
        <f>IF(OR(NOT(ISNUMBER(D1011)),ABS(D1011-E1011)&gt;$O$3,AND($O$11=1,B1011&lt;$O$12)),1,0)</f>
        <v/>
      </c>
      <c r="I1011">
        <f>IF(H1011=1,NA(),D1011)</f>
        <v/>
      </c>
      <c r="J1011">
        <f>IF(AND(ISNUMBER(D1011),D1011&gt;=$O$4,OR($O$11=0,B1011&gt;=$O$12)),1,0)</f>
        <v/>
      </c>
      <c r="K1011">
        <f>B1011-$O$14</f>
        <v/>
      </c>
    </row>
    <row r="1012">
      <c r="A1012" t="n">
        <v>3030</v>
      </c>
      <c r="B1012" t="n">
        <v>101</v>
      </c>
      <c r="C1012" t="inlineStr">
        <is>
          <t>317</t>
        </is>
      </c>
      <c r="D1012" t="n">
        <v>3.17</v>
      </c>
      <c r="E1012">
        <f>MEDIAN(D992:D1032)</f>
        <v/>
      </c>
      <c r="F1012">
        <f>E992</f>
        <v/>
      </c>
      <c r="G1012">
        <f>F1012-E1012</f>
        <v/>
      </c>
      <c r="H1012">
        <f>IF(OR(NOT(ISNUMBER(D1012)),ABS(D1012-E1012)&gt;$O$3,AND($O$11=1,B1012&lt;$O$12)),1,0)</f>
        <v/>
      </c>
      <c r="I1012">
        <f>IF(H1012=1,NA(),D1012)</f>
        <v/>
      </c>
      <c r="J1012">
        <f>IF(AND(ISNUMBER(D1012),D1012&gt;=$O$4,OR($O$11=0,B1012&gt;=$O$12)),1,0)</f>
        <v/>
      </c>
      <c r="K1012">
        <f>B1012-$O$14</f>
        <v/>
      </c>
    </row>
    <row r="1013">
      <c r="A1013" t="n">
        <v>3033</v>
      </c>
      <c r="B1013" t="n">
        <v>101.1</v>
      </c>
      <c r="C1013" t="inlineStr">
        <is>
          <t>?17</t>
        </is>
      </c>
      <c r="E1013">
        <f>MEDIAN(D993:D1033)</f>
        <v/>
      </c>
      <c r="F1013">
        <f>E993</f>
        <v/>
      </c>
      <c r="G1013">
        <f>F1013-E1013</f>
        <v/>
      </c>
      <c r="H1013">
        <f>IF(OR(NOT(ISNUMBER(D1013)),ABS(D1013-E1013)&gt;$O$3,AND($O$11=1,B1013&lt;$O$12)),1,0)</f>
        <v/>
      </c>
      <c r="I1013">
        <f>IF(H1013=1,NA(),D1013)</f>
        <v/>
      </c>
      <c r="J1013">
        <f>IF(AND(ISNUMBER(D1013),D1013&gt;=$O$4,OR($O$11=0,B1013&gt;=$O$12)),1,0)</f>
        <v/>
      </c>
      <c r="K1013">
        <f>B1013-$O$14</f>
        <v/>
      </c>
    </row>
    <row r="1014">
      <c r="A1014" t="n">
        <v>3036</v>
      </c>
      <c r="B1014" t="n">
        <v>101.2</v>
      </c>
      <c r="C1014" t="inlineStr">
        <is>
          <t>317</t>
        </is>
      </c>
      <c r="D1014" t="n">
        <v>3.17</v>
      </c>
      <c r="E1014">
        <f>MEDIAN(D994:D1034)</f>
        <v/>
      </c>
      <c r="F1014">
        <f>E994</f>
        <v/>
      </c>
      <c r="G1014">
        <f>F1014-E1014</f>
        <v/>
      </c>
      <c r="H1014">
        <f>IF(OR(NOT(ISNUMBER(D1014)),ABS(D1014-E1014)&gt;$O$3,AND($O$11=1,B1014&lt;$O$12)),1,0)</f>
        <v/>
      </c>
      <c r="I1014">
        <f>IF(H1014=1,NA(),D1014)</f>
        <v/>
      </c>
      <c r="J1014">
        <f>IF(AND(ISNUMBER(D1014),D1014&gt;=$O$4,OR($O$11=0,B1014&gt;=$O$12)),1,0)</f>
        <v/>
      </c>
      <c r="K1014">
        <f>B1014-$O$14</f>
        <v/>
      </c>
    </row>
    <row r="1015">
      <c r="A1015" t="n">
        <v>3039</v>
      </c>
      <c r="B1015" t="n">
        <v>101.3</v>
      </c>
      <c r="C1015" t="inlineStr">
        <is>
          <t>?17</t>
        </is>
      </c>
      <c r="E1015">
        <f>MEDIAN(D995:D1035)</f>
        <v/>
      </c>
      <c r="F1015">
        <f>E995</f>
        <v/>
      </c>
      <c r="G1015">
        <f>F1015-E1015</f>
        <v/>
      </c>
      <c r="H1015">
        <f>IF(OR(NOT(ISNUMBER(D1015)),ABS(D1015-E1015)&gt;$O$3,AND($O$11=1,B1015&lt;$O$12)),1,0)</f>
        <v/>
      </c>
      <c r="I1015">
        <f>IF(H1015=1,NA(),D1015)</f>
        <v/>
      </c>
      <c r="J1015">
        <f>IF(AND(ISNUMBER(D1015),D1015&gt;=$O$4,OR($O$11=0,B1015&gt;=$O$12)),1,0)</f>
        <v/>
      </c>
      <c r="K1015">
        <f>B1015-$O$14</f>
        <v/>
      </c>
    </row>
    <row r="1016">
      <c r="A1016" t="n">
        <v>3042</v>
      </c>
      <c r="B1016" t="n">
        <v>101.4</v>
      </c>
      <c r="C1016" t="inlineStr">
        <is>
          <t>?17</t>
        </is>
      </c>
      <c r="E1016">
        <f>MEDIAN(D996:D1036)</f>
        <v/>
      </c>
      <c r="F1016">
        <f>E996</f>
        <v/>
      </c>
      <c r="G1016">
        <f>F1016-E1016</f>
        <v/>
      </c>
      <c r="H1016">
        <f>IF(OR(NOT(ISNUMBER(D1016)),ABS(D1016-E1016)&gt;$O$3,AND($O$11=1,B1016&lt;$O$12)),1,0)</f>
        <v/>
      </c>
      <c r="I1016">
        <f>IF(H1016=1,NA(),D1016)</f>
        <v/>
      </c>
      <c r="J1016">
        <f>IF(AND(ISNUMBER(D1016),D1016&gt;=$O$4,OR($O$11=0,B1016&gt;=$O$12)),1,0)</f>
        <v/>
      </c>
      <c r="K1016">
        <f>B1016-$O$14</f>
        <v/>
      </c>
    </row>
    <row r="1017">
      <c r="A1017" t="n">
        <v>3045</v>
      </c>
      <c r="B1017" t="n">
        <v>101.5</v>
      </c>
      <c r="C1017" t="inlineStr">
        <is>
          <t>17</t>
        </is>
      </c>
      <c r="D1017" t="n">
        <v>0.17</v>
      </c>
      <c r="E1017">
        <f>MEDIAN(D997:D1037)</f>
        <v/>
      </c>
      <c r="F1017">
        <f>E997</f>
        <v/>
      </c>
      <c r="G1017">
        <f>F1017-E1017</f>
        <v/>
      </c>
      <c r="H1017">
        <f>IF(OR(NOT(ISNUMBER(D1017)),ABS(D1017-E1017)&gt;$O$3,AND($O$11=1,B1017&lt;$O$12)),1,0)</f>
        <v/>
      </c>
      <c r="I1017">
        <f>IF(H1017=1,NA(),D1017)</f>
        <v/>
      </c>
      <c r="J1017">
        <f>IF(AND(ISNUMBER(D1017),D1017&gt;=$O$4,OR($O$11=0,B1017&gt;=$O$12)),1,0)</f>
        <v/>
      </c>
      <c r="K1017">
        <f>B1017-$O$14</f>
        <v/>
      </c>
    </row>
    <row r="1018">
      <c r="A1018" t="n">
        <v>3048</v>
      </c>
      <c r="B1018" t="n">
        <v>101.6</v>
      </c>
      <c r="C1018" t="inlineStr">
        <is>
          <t>317</t>
        </is>
      </c>
      <c r="D1018" t="n">
        <v>3.17</v>
      </c>
      <c r="E1018">
        <f>MEDIAN(D998:D1038)</f>
        <v/>
      </c>
      <c r="F1018">
        <f>E998</f>
        <v/>
      </c>
      <c r="G1018">
        <f>F1018-E1018</f>
        <v/>
      </c>
      <c r="H1018">
        <f>IF(OR(NOT(ISNUMBER(D1018)),ABS(D1018-E1018)&gt;$O$3,AND($O$11=1,B1018&lt;$O$12)),1,0)</f>
        <v/>
      </c>
      <c r="I1018">
        <f>IF(H1018=1,NA(),D1018)</f>
        <v/>
      </c>
      <c r="J1018">
        <f>IF(AND(ISNUMBER(D1018),D1018&gt;=$O$4,OR($O$11=0,B1018&gt;=$O$12)),1,0)</f>
        <v/>
      </c>
      <c r="K1018">
        <f>B1018-$O$14</f>
        <v/>
      </c>
    </row>
    <row r="1019">
      <c r="A1019" t="n">
        <v>3051</v>
      </c>
      <c r="B1019" t="n">
        <v>101.7</v>
      </c>
      <c r="C1019" t="inlineStr">
        <is>
          <t>?17</t>
        </is>
      </c>
      <c r="E1019">
        <f>MEDIAN(D999:D1039)</f>
        <v/>
      </c>
      <c r="F1019">
        <f>E999</f>
        <v/>
      </c>
      <c r="G1019">
        <f>F1019-E1019</f>
        <v/>
      </c>
      <c r="H1019">
        <f>IF(OR(NOT(ISNUMBER(D1019)),ABS(D1019-E1019)&gt;$O$3,AND($O$11=1,B1019&lt;$O$12)),1,0)</f>
        <v/>
      </c>
      <c r="I1019">
        <f>IF(H1019=1,NA(),D1019)</f>
        <v/>
      </c>
      <c r="J1019">
        <f>IF(AND(ISNUMBER(D1019),D1019&gt;=$O$4,OR($O$11=0,B1019&gt;=$O$12)),1,0)</f>
        <v/>
      </c>
      <c r="K1019">
        <f>B1019-$O$14</f>
        <v/>
      </c>
    </row>
    <row r="1020">
      <c r="A1020" t="n">
        <v>3054</v>
      </c>
      <c r="B1020" t="n">
        <v>101.8</v>
      </c>
      <c r="C1020" t="inlineStr">
        <is>
          <t>317</t>
        </is>
      </c>
      <c r="D1020" t="n">
        <v>3.17</v>
      </c>
      <c r="E1020">
        <f>MEDIAN(D1000:D1040)</f>
        <v/>
      </c>
      <c r="F1020">
        <f>E1000</f>
        <v/>
      </c>
      <c r="G1020">
        <f>F1020-E1020</f>
        <v/>
      </c>
      <c r="H1020">
        <f>IF(OR(NOT(ISNUMBER(D1020)),ABS(D1020-E1020)&gt;$O$3,AND($O$11=1,B1020&lt;$O$12)),1,0)</f>
        <v/>
      </c>
      <c r="I1020">
        <f>IF(H1020=1,NA(),D1020)</f>
        <v/>
      </c>
      <c r="J1020">
        <f>IF(AND(ISNUMBER(D1020),D1020&gt;=$O$4,OR($O$11=0,B1020&gt;=$O$12)),1,0)</f>
        <v/>
      </c>
      <c r="K1020">
        <f>B1020-$O$14</f>
        <v/>
      </c>
    </row>
    <row r="1021">
      <c r="A1021" t="n">
        <v>3057</v>
      </c>
      <c r="B1021" t="n">
        <v>101.9</v>
      </c>
      <c r="C1021" t="inlineStr">
        <is>
          <t>317</t>
        </is>
      </c>
      <c r="D1021" t="n">
        <v>3.17</v>
      </c>
      <c r="E1021">
        <f>MEDIAN(D1001:D1041)</f>
        <v/>
      </c>
      <c r="F1021">
        <f>E1001</f>
        <v/>
      </c>
      <c r="G1021">
        <f>F1021-E1021</f>
        <v/>
      </c>
      <c r="H1021">
        <f>IF(OR(NOT(ISNUMBER(D1021)),ABS(D1021-E1021)&gt;$O$3,AND($O$11=1,B1021&lt;$O$12)),1,0)</f>
        <v/>
      </c>
      <c r="I1021">
        <f>IF(H1021=1,NA(),D1021)</f>
        <v/>
      </c>
      <c r="J1021">
        <f>IF(AND(ISNUMBER(D1021),D1021&gt;=$O$4,OR($O$11=0,B1021&gt;=$O$12)),1,0)</f>
        <v/>
      </c>
      <c r="K1021">
        <f>B1021-$O$14</f>
        <v/>
      </c>
    </row>
    <row r="1022">
      <c r="A1022" t="n">
        <v>3060</v>
      </c>
      <c r="B1022" t="n">
        <v>102</v>
      </c>
      <c r="C1022" t="inlineStr">
        <is>
          <t>?17</t>
        </is>
      </c>
      <c r="E1022">
        <f>MEDIAN(D1002:D1042)</f>
        <v/>
      </c>
      <c r="F1022">
        <f>E1002</f>
        <v/>
      </c>
      <c r="G1022">
        <f>F1022-E1022</f>
        <v/>
      </c>
      <c r="H1022">
        <f>IF(OR(NOT(ISNUMBER(D1022)),ABS(D1022-E1022)&gt;$O$3,AND($O$11=1,B1022&lt;$O$12)),1,0)</f>
        <v/>
      </c>
      <c r="I1022">
        <f>IF(H1022=1,NA(),D1022)</f>
        <v/>
      </c>
      <c r="J1022">
        <f>IF(AND(ISNUMBER(D1022),D1022&gt;=$O$4,OR($O$11=0,B1022&gt;=$O$12)),1,0)</f>
        <v/>
      </c>
      <c r="K1022">
        <f>B1022-$O$14</f>
        <v/>
      </c>
    </row>
    <row r="1023">
      <c r="A1023" t="n">
        <v>3063</v>
      </c>
      <c r="B1023" t="n">
        <v>102.1</v>
      </c>
      <c r="C1023" t="inlineStr">
        <is>
          <t>317</t>
        </is>
      </c>
      <c r="D1023" t="n">
        <v>3.17</v>
      </c>
      <c r="E1023">
        <f>MEDIAN(D1003:D1043)</f>
        <v/>
      </c>
      <c r="F1023">
        <f>E1003</f>
        <v/>
      </c>
      <c r="G1023">
        <f>F1023-E1023</f>
        <v/>
      </c>
      <c r="H1023">
        <f>IF(OR(NOT(ISNUMBER(D1023)),ABS(D1023-E1023)&gt;$O$3,AND($O$11=1,B1023&lt;$O$12)),1,0)</f>
        <v/>
      </c>
      <c r="I1023">
        <f>IF(H1023=1,NA(),D1023)</f>
        <v/>
      </c>
      <c r="J1023">
        <f>IF(AND(ISNUMBER(D1023),D1023&gt;=$O$4,OR($O$11=0,B1023&gt;=$O$12)),1,0)</f>
        <v/>
      </c>
      <c r="K1023">
        <f>B1023-$O$14</f>
        <v/>
      </c>
    </row>
    <row r="1024">
      <c r="A1024" t="n">
        <v>3066</v>
      </c>
      <c r="B1024" t="n">
        <v>102.2</v>
      </c>
      <c r="C1024" t="inlineStr">
        <is>
          <t>317</t>
        </is>
      </c>
      <c r="D1024" t="n">
        <v>3.17</v>
      </c>
      <c r="E1024">
        <f>MEDIAN(D1004:D1044)</f>
        <v/>
      </c>
      <c r="F1024">
        <f>E1004</f>
        <v/>
      </c>
      <c r="G1024">
        <f>F1024-E1024</f>
        <v/>
      </c>
      <c r="H1024">
        <f>IF(OR(NOT(ISNUMBER(D1024)),ABS(D1024-E1024)&gt;$O$3,AND($O$11=1,B1024&lt;$O$12)),1,0)</f>
        <v/>
      </c>
      <c r="I1024">
        <f>IF(H1024=1,NA(),D1024)</f>
        <v/>
      </c>
      <c r="J1024">
        <f>IF(AND(ISNUMBER(D1024),D1024&gt;=$O$4,OR($O$11=0,B1024&gt;=$O$12)),1,0)</f>
        <v/>
      </c>
      <c r="K1024">
        <f>B1024-$O$14</f>
        <v/>
      </c>
    </row>
    <row r="1025">
      <c r="A1025" t="n">
        <v>3069</v>
      </c>
      <c r="B1025" t="n">
        <v>102.3</v>
      </c>
      <c r="C1025" t="inlineStr">
        <is>
          <t>317</t>
        </is>
      </c>
      <c r="D1025" t="n">
        <v>3.17</v>
      </c>
      <c r="E1025">
        <f>MEDIAN(D1005:D1045)</f>
        <v/>
      </c>
      <c r="F1025">
        <f>E1005</f>
        <v/>
      </c>
      <c r="G1025">
        <f>F1025-E1025</f>
        <v/>
      </c>
      <c r="H1025">
        <f>IF(OR(NOT(ISNUMBER(D1025)),ABS(D1025-E1025)&gt;$O$3,AND($O$11=1,B1025&lt;$O$12)),1,0)</f>
        <v/>
      </c>
      <c r="I1025">
        <f>IF(H1025=1,NA(),D1025)</f>
        <v/>
      </c>
      <c r="J1025">
        <f>IF(AND(ISNUMBER(D1025),D1025&gt;=$O$4,OR($O$11=0,B1025&gt;=$O$12)),1,0)</f>
        <v/>
      </c>
      <c r="K1025">
        <f>B1025-$O$14</f>
        <v/>
      </c>
    </row>
    <row r="1026">
      <c r="A1026" t="n">
        <v>3072</v>
      </c>
      <c r="B1026" t="n">
        <v>102.4</v>
      </c>
      <c r="C1026" t="inlineStr">
        <is>
          <t>317</t>
        </is>
      </c>
      <c r="D1026" t="n">
        <v>3.17</v>
      </c>
      <c r="E1026">
        <f>MEDIAN(D1006:D1046)</f>
        <v/>
      </c>
      <c r="F1026">
        <f>E1006</f>
        <v/>
      </c>
      <c r="G1026">
        <f>F1026-E1026</f>
        <v/>
      </c>
      <c r="H1026">
        <f>IF(OR(NOT(ISNUMBER(D1026)),ABS(D1026-E1026)&gt;$O$3,AND($O$11=1,B1026&lt;$O$12)),1,0)</f>
        <v/>
      </c>
      <c r="I1026">
        <f>IF(H1026=1,NA(),D1026)</f>
        <v/>
      </c>
      <c r="J1026">
        <f>IF(AND(ISNUMBER(D1026),D1026&gt;=$O$4,OR($O$11=0,B1026&gt;=$O$12)),1,0)</f>
        <v/>
      </c>
      <c r="K1026">
        <f>B1026-$O$14</f>
        <v/>
      </c>
    </row>
    <row r="1027">
      <c r="A1027" t="n">
        <v>3075</v>
      </c>
      <c r="B1027" t="n">
        <v>102.5</v>
      </c>
      <c r="C1027" t="inlineStr">
        <is>
          <t>17</t>
        </is>
      </c>
      <c r="D1027" t="n">
        <v>0.17</v>
      </c>
      <c r="E1027">
        <f>MEDIAN(D1007:D1047)</f>
        <v/>
      </c>
      <c r="F1027">
        <f>E1007</f>
        <v/>
      </c>
      <c r="G1027">
        <f>F1027-E1027</f>
        <v/>
      </c>
      <c r="H1027">
        <f>IF(OR(NOT(ISNUMBER(D1027)),ABS(D1027-E1027)&gt;$O$3,AND($O$11=1,B1027&lt;$O$12)),1,0)</f>
        <v/>
      </c>
      <c r="I1027">
        <f>IF(H1027=1,NA(),D1027)</f>
        <v/>
      </c>
      <c r="J1027">
        <f>IF(AND(ISNUMBER(D1027),D1027&gt;=$O$4,OR($O$11=0,B1027&gt;=$O$12)),1,0)</f>
        <v/>
      </c>
      <c r="K1027">
        <f>B1027-$O$14</f>
        <v/>
      </c>
    </row>
    <row r="1028">
      <c r="A1028" t="n">
        <v>3078</v>
      </c>
      <c r="B1028" t="n">
        <v>102.6</v>
      </c>
      <c r="C1028" t="inlineStr">
        <is>
          <t>317</t>
        </is>
      </c>
      <c r="D1028" t="n">
        <v>3.17</v>
      </c>
      <c r="E1028">
        <f>MEDIAN(D1008:D1048)</f>
        <v/>
      </c>
      <c r="F1028">
        <f>E1008</f>
        <v/>
      </c>
      <c r="G1028">
        <f>F1028-E1028</f>
        <v/>
      </c>
      <c r="H1028">
        <f>IF(OR(NOT(ISNUMBER(D1028)),ABS(D1028-E1028)&gt;$O$3,AND($O$11=1,B1028&lt;$O$12)),1,0)</f>
        <v/>
      </c>
      <c r="I1028">
        <f>IF(H1028=1,NA(),D1028)</f>
        <v/>
      </c>
      <c r="J1028">
        <f>IF(AND(ISNUMBER(D1028),D1028&gt;=$O$4,OR($O$11=0,B1028&gt;=$O$12)),1,0)</f>
        <v/>
      </c>
      <c r="K1028">
        <f>B1028-$O$14</f>
        <v/>
      </c>
    </row>
    <row r="1029">
      <c r="A1029" t="n">
        <v>3081</v>
      </c>
      <c r="B1029" t="n">
        <v>102.7</v>
      </c>
      <c r="C1029" t="inlineStr">
        <is>
          <t>17</t>
        </is>
      </c>
      <c r="D1029" t="n">
        <v>0.17</v>
      </c>
      <c r="E1029">
        <f>MEDIAN(D1009:D1049)</f>
        <v/>
      </c>
      <c r="F1029">
        <f>E1009</f>
        <v/>
      </c>
      <c r="G1029">
        <f>F1029-E1029</f>
        <v/>
      </c>
      <c r="H1029">
        <f>IF(OR(NOT(ISNUMBER(D1029)),ABS(D1029-E1029)&gt;$O$3,AND($O$11=1,B1029&lt;$O$12)),1,0)</f>
        <v/>
      </c>
      <c r="I1029">
        <f>IF(H1029=1,NA(),D1029)</f>
        <v/>
      </c>
      <c r="J1029">
        <f>IF(AND(ISNUMBER(D1029),D1029&gt;=$O$4,OR($O$11=0,B1029&gt;=$O$12)),1,0)</f>
        <v/>
      </c>
      <c r="K1029">
        <f>B1029-$O$14</f>
        <v/>
      </c>
    </row>
    <row r="1030">
      <c r="A1030" t="n">
        <v>3084</v>
      </c>
      <c r="B1030" t="n">
        <v>102.8</v>
      </c>
      <c r="C1030" t="inlineStr">
        <is>
          <t>317</t>
        </is>
      </c>
      <c r="D1030" t="n">
        <v>3.17</v>
      </c>
      <c r="E1030">
        <f>MEDIAN(D1010:D1050)</f>
        <v/>
      </c>
      <c r="F1030">
        <f>E1010</f>
        <v/>
      </c>
      <c r="G1030">
        <f>F1030-E1030</f>
        <v/>
      </c>
      <c r="H1030">
        <f>IF(OR(NOT(ISNUMBER(D1030)),ABS(D1030-E1030)&gt;$O$3,AND($O$11=1,B1030&lt;$O$12)),1,0)</f>
        <v/>
      </c>
      <c r="I1030">
        <f>IF(H1030=1,NA(),D1030)</f>
        <v/>
      </c>
      <c r="J1030">
        <f>IF(AND(ISNUMBER(D1030),D1030&gt;=$O$4,OR($O$11=0,B1030&gt;=$O$12)),1,0)</f>
        <v/>
      </c>
      <c r="K1030">
        <f>B1030-$O$14</f>
        <v/>
      </c>
    </row>
    <row r="1031">
      <c r="A1031" t="n">
        <v>3087</v>
      </c>
      <c r="B1031" t="n">
        <v>102.9</v>
      </c>
      <c r="C1031" t="inlineStr">
        <is>
          <t>?17</t>
        </is>
      </c>
      <c r="E1031">
        <f>MEDIAN(D1011:D1051)</f>
        <v/>
      </c>
      <c r="F1031">
        <f>E1011</f>
        <v/>
      </c>
      <c r="G1031">
        <f>F1031-E1031</f>
        <v/>
      </c>
      <c r="H1031">
        <f>IF(OR(NOT(ISNUMBER(D1031)),ABS(D1031-E1031)&gt;$O$3,AND($O$11=1,B1031&lt;$O$12)),1,0)</f>
        <v/>
      </c>
      <c r="I1031">
        <f>IF(H1031=1,NA(),D1031)</f>
        <v/>
      </c>
      <c r="J1031">
        <f>IF(AND(ISNUMBER(D1031),D1031&gt;=$O$4,OR($O$11=0,B1031&gt;=$O$12)),1,0)</f>
        <v/>
      </c>
      <c r="K1031">
        <f>B1031-$O$14</f>
        <v/>
      </c>
    </row>
    <row r="1032">
      <c r="A1032" t="n">
        <v>3090</v>
      </c>
      <c r="B1032" t="n">
        <v>103</v>
      </c>
      <c r="C1032" t="inlineStr">
        <is>
          <t>?17</t>
        </is>
      </c>
      <c r="E1032">
        <f>MEDIAN(D1012:D1052)</f>
        <v/>
      </c>
      <c r="F1032">
        <f>E1012</f>
        <v/>
      </c>
      <c r="G1032">
        <f>F1032-E1032</f>
        <v/>
      </c>
      <c r="H1032">
        <f>IF(OR(NOT(ISNUMBER(D1032)),ABS(D1032-E1032)&gt;$O$3,AND($O$11=1,B1032&lt;$O$12)),1,0)</f>
        <v/>
      </c>
      <c r="I1032">
        <f>IF(H1032=1,NA(),D1032)</f>
        <v/>
      </c>
      <c r="J1032">
        <f>IF(AND(ISNUMBER(D1032),D1032&gt;=$O$4,OR($O$11=0,B1032&gt;=$O$12)),1,0)</f>
        <v/>
      </c>
      <c r="K1032">
        <f>B1032-$O$14</f>
        <v/>
      </c>
    </row>
    <row r="1033">
      <c r="A1033" t="n">
        <v>3093</v>
      </c>
      <c r="B1033" t="n">
        <v>103.1</v>
      </c>
      <c r="C1033" t="inlineStr">
        <is>
          <t>17</t>
        </is>
      </c>
      <c r="D1033" t="n">
        <v>0.17</v>
      </c>
      <c r="E1033">
        <f>MEDIAN(D1013:D1053)</f>
        <v/>
      </c>
      <c r="F1033">
        <f>E1013</f>
        <v/>
      </c>
      <c r="G1033">
        <f>F1033-E1033</f>
        <v/>
      </c>
      <c r="H1033">
        <f>IF(OR(NOT(ISNUMBER(D1033)),ABS(D1033-E1033)&gt;$O$3,AND($O$11=1,B1033&lt;$O$12)),1,0)</f>
        <v/>
      </c>
      <c r="I1033">
        <f>IF(H1033=1,NA(),D1033)</f>
        <v/>
      </c>
      <c r="J1033">
        <f>IF(AND(ISNUMBER(D1033),D1033&gt;=$O$4,OR($O$11=0,B1033&gt;=$O$12)),1,0)</f>
        <v/>
      </c>
      <c r="K1033">
        <f>B1033-$O$14</f>
        <v/>
      </c>
    </row>
    <row r="1034">
      <c r="A1034" t="n">
        <v>3096</v>
      </c>
      <c r="B1034" t="n">
        <v>103.2</v>
      </c>
      <c r="C1034" t="inlineStr">
        <is>
          <t>?17</t>
        </is>
      </c>
      <c r="E1034">
        <f>MEDIAN(D1014:D1054)</f>
        <v/>
      </c>
      <c r="F1034">
        <f>E1014</f>
        <v/>
      </c>
      <c r="G1034">
        <f>F1034-E1034</f>
        <v/>
      </c>
      <c r="H1034">
        <f>IF(OR(NOT(ISNUMBER(D1034)),ABS(D1034-E1034)&gt;$O$3,AND($O$11=1,B1034&lt;$O$12)),1,0)</f>
        <v/>
      </c>
      <c r="I1034">
        <f>IF(H1034=1,NA(),D1034)</f>
        <v/>
      </c>
      <c r="J1034">
        <f>IF(AND(ISNUMBER(D1034),D1034&gt;=$O$4,OR($O$11=0,B1034&gt;=$O$12)),1,0)</f>
        <v/>
      </c>
      <c r="K1034">
        <f>B1034-$O$14</f>
        <v/>
      </c>
    </row>
    <row r="1035">
      <c r="A1035" t="n">
        <v>3099</v>
      </c>
      <c r="B1035" t="n">
        <v>103.3</v>
      </c>
      <c r="C1035" t="inlineStr">
        <is>
          <t>317</t>
        </is>
      </c>
      <c r="D1035" t="n">
        <v>3.17</v>
      </c>
      <c r="E1035">
        <f>MEDIAN(D1015:D1055)</f>
        <v/>
      </c>
      <c r="F1035">
        <f>E1015</f>
        <v/>
      </c>
      <c r="G1035">
        <f>F1035-E1035</f>
        <v/>
      </c>
      <c r="H1035">
        <f>IF(OR(NOT(ISNUMBER(D1035)),ABS(D1035-E1035)&gt;$O$3,AND($O$11=1,B1035&lt;$O$12)),1,0)</f>
        <v/>
      </c>
      <c r="I1035">
        <f>IF(H1035=1,NA(),D1035)</f>
        <v/>
      </c>
      <c r="J1035">
        <f>IF(AND(ISNUMBER(D1035),D1035&gt;=$O$4,OR($O$11=0,B1035&gt;=$O$12)),1,0)</f>
        <v/>
      </c>
      <c r="K1035">
        <f>B1035-$O$14</f>
        <v/>
      </c>
    </row>
    <row r="1036">
      <c r="A1036" t="n">
        <v>3102</v>
      </c>
      <c r="B1036" t="n">
        <v>103.4</v>
      </c>
      <c r="C1036" t="inlineStr">
        <is>
          <t>317</t>
        </is>
      </c>
      <c r="D1036" t="n">
        <v>3.17</v>
      </c>
      <c r="E1036">
        <f>MEDIAN(D1016:D1056)</f>
        <v/>
      </c>
      <c r="F1036">
        <f>E1016</f>
        <v/>
      </c>
      <c r="G1036">
        <f>F1036-E1036</f>
        <v/>
      </c>
      <c r="H1036">
        <f>IF(OR(NOT(ISNUMBER(D1036)),ABS(D1036-E1036)&gt;$O$3,AND($O$11=1,B1036&lt;$O$12)),1,0)</f>
        <v/>
      </c>
      <c r="I1036">
        <f>IF(H1036=1,NA(),D1036)</f>
        <v/>
      </c>
      <c r="J1036">
        <f>IF(AND(ISNUMBER(D1036),D1036&gt;=$O$4,OR($O$11=0,B1036&gt;=$O$12)),1,0)</f>
        <v/>
      </c>
      <c r="K1036">
        <f>B1036-$O$14</f>
        <v/>
      </c>
    </row>
    <row r="1037">
      <c r="A1037" t="n">
        <v>3105</v>
      </c>
      <c r="B1037" t="n">
        <v>103.5</v>
      </c>
      <c r="C1037" t="inlineStr">
        <is>
          <t>317</t>
        </is>
      </c>
      <c r="D1037" t="n">
        <v>3.17</v>
      </c>
      <c r="E1037">
        <f>MEDIAN(D1017:D1057)</f>
        <v/>
      </c>
      <c r="F1037">
        <f>E1017</f>
        <v/>
      </c>
      <c r="G1037">
        <f>F1037-E1037</f>
        <v/>
      </c>
      <c r="H1037">
        <f>IF(OR(NOT(ISNUMBER(D1037)),ABS(D1037-E1037)&gt;$O$3,AND($O$11=1,B1037&lt;$O$12)),1,0)</f>
        <v/>
      </c>
      <c r="I1037">
        <f>IF(H1037=1,NA(),D1037)</f>
        <v/>
      </c>
      <c r="J1037">
        <f>IF(AND(ISNUMBER(D1037),D1037&gt;=$O$4,OR($O$11=0,B1037&gt;=$O$12)),1,0)</f>
        <v/>
      </c>
      <c r="K1037">
        <f>B1037-$O$14</f>
        <v/>
      </c>
    </row>
    <row r="1038">
      <c r="A1038" t="n">
        <v>3108</v>
      </c>
      <c r="B1038" t="n">
        <v>103.6</v>
      </c>
      <c r="C1038" t="inlineStr">
        <is>
          <t>317</t>
        </is>
      </c>
      <c r="D1038" t="n">
        <v>3.17</v>
      </c>
      <c r="E1038">
        <f>MEDIAN(D1018:D1058)</f>
        <v/>
      </c>
      <c r="F1038">
        <f>E1018</f>
        <v/>
      </c>
      <c r="G1038">
        <f>F1038-E1038</f>
        <v/>
      </c>
      <c r="H1038">
        <f>IF(OR(NOT(ISNUMBER(D1038)),ABS(D1038-E1038)&gt;$O$3,AND($O$11=1,B1038&lt;$O$12)),1,0)</f>
        <v/>
      </c>
      <c r="I1038">
        <f>IF(H1038=1,NA(),D1038)</f>
        <v/>
      </c>
      <c r="J1038">
        <f>IF(AND(ISNUMBER(D1038),D1038&gt;=$O$4,OR($O$11=0,B1038&gt;=$O$12)),1,0)</f>
        <v/>
      </c>
      <c r="K1038">
        <f>B1038-$O$14</f>
        <v/>
      </c>
    </row>
    <row r="1039">
      <c r="A1039" t="n">
        <v>3111</v>
      </c>
      <c r="B1039" t="n">
        <v>103.7</v>
      </c>
      <c r="C1039" t="inlineStr">
        <is>
          <t>317</t>
        </is>
      </c>
      <c r="D1039" t="n">
        <v>3.17</v>
      </c>
      <c r="E1039">
        <f>MEDIAN(D1019:D1059)</f>
        <v/>
      </c>
      <c r="F1039">
        <f>E1019</f>
        <v/>
      </c>
      <c r="G1039">
        <f>F1039-E1039</f>
        <v/>
      </c>
      <c r="H1039">
        <f>IF(OR(NOT(ISNUMBER(D1039)),ABS(D1039-E1039)&gt;$O$3,AND($O$11=1,B1039&lt;$O$12)),1,0)</f>
        <v/>
      </c>
      <c r="I1039">
        <f>IF(H1039=1,NA(),D1039)</f>
        <v/>
      </c>
      <c r="J1039">
        <f>IF(AND(ISNUMBER(D1039),D1039&gt;=$O$4,OR($O$11=0,B1039&gt;=$O$12)),1,0)</f>
        <v/>
      </c>
      <c r="K1039">
        <f>B1039-$O$14</f>
        <v/>
      </c>
    </row>
    <row r="1040">
      <c r="A1040" t="n">
        <v>3114</v>
      </c>
      <c r="B1040" t="n">
        <v>103.8</v>
      </c>
      <c r="C1040" t="inlineStr">
        <is>
          <t>?17</t>
        </is>
      </c>
      <c r="E1040">
        <f>MEDIAN(D1020:D1060)</f>
        <v/>
      </c>
      <c r="F1040">
        <f>E1020</f>
        <v/>
      </c>
      <c r="G1040">
        <f>F1040-E1040</f>
        <v/>
      </c>
      <c r="H1040">
        <f>IF(OR(NOT(ISNUMBER(D1040)),ABS(D1040-E1040)&gt;$O$3,AND($O$11=1,B1040&lt;$O$12)),1,0)</f>
        <v/>
      </c>
      <c r="I1040">
        <f>IF(H1040=1,NA(),D1040)</f>
        <v/>
      </c>
      <c r="J1040">
        <f>IF(AND(ISNUMBER(D1040),D1040&gt;=$O$4,OR($O$11=0,B1040&gt;=$O$12)),1,0)</f>
        <v/>
      </c>
      <c r="K1040">
        <f>B1040-$O$14</f>
        <v/>
      </c>
    </row>
    <row r="1041">
      <c r="A1041" t="n">
        <v>3117</v>
      </c>
      <c r="B1041" t="n">
        <v>103.9</v>
      </c>
      <c r="C1041" t="inlineStr">
        <is>
          <t>317</t>
        </is>
      </c>
      <c r="D1041" t="n">
        <v>3.17</v>
      </c>
      <c r="E1041">
        <f>MEDIAN(D1021:D1061)</f>
        <v/>
      </c>
      <c r="F1041">
        <f>E1021</f>
        <v/>
      </c>
      <c r="G1041">
        <f>F1041-E1041</f>
        <v/>
      </c>
      <c r="H1041">
        <f>IF(OR(NOT(ISNUMBER(D1041)),ABS(D1041-E1041)&gt;$O$3,AND($O$11=1,B1041&lt;$O$12)),1,0)</f>
        <v/>
      </c>
      <c r="I1041">
        <f>IF(H1041=1,NA(),D1041)</f>
        <v/>
      </c>
      <c r="J1041">
        <f>IF(AND(ISNUMBER(D1041),D1041&gt;=$O$4,OR($O$11=0,B1041&gt;=$O$12)),1,0)</f>
        <v/>
      </c>
      <c r="K1041">
        <f>B1041-$O$14</f>
        <v/>
      </c>
    </row>
    <row r="1042">
      <c r="A1042" t="n">
        <v>3120</v>
      </c>
      <c r="B1042" t="n">
        <v>104</v>
      </c>
      <c r="C1042" t="inlineStr">
        <is>
          <t>317</t>
        </is>
      </c>
      <c r="D1042" t="n">
        <v>3.17</v>
      </c>
      <c r="E1042">
        <f>MEDIAN(D1022:D1062)</f>
        <v/>
      </c>
      <c r="F1042">
        <f>E1022</f>
        <v/>
      </c>
      <c r="G1042">
        <f>F1042-E1042</f>
        <v/>
      </c>
      <c r="H1042">
        <f>IF(OR(NOT(ISNUMBER(D1042)),ABS(D1042-E1042)&gt;$O$3,AND($O$11=1,B1042&lt;$O$12)),1,0)</f>
        <v/>
      </c>
      <c r="I1042">
        <f>IF(H1042=1,NA(),D1042)</f>
        <v/>
      </c>
      <c r="J1042">
        <f>IF(AND(ISNUMBER(D1042),D1042&gt;=$O$4,OR($O$11=0,B1042&gt;=$O$12)),1,0)</f>
        <v/>
      </c>
      <c r="K1042">
        <f>B1042-$O$14</f>
        <v/>
      </c>
    </row>
    <row r="1043">
      <c r="A1043" t="n">
        <v>3123</v>
      </c>
      <c r="B1043" t="n">
        <v>104.1</v>
      </c>
      <c r="C1043" t="inlineStr">
        <is>
          <t>?17</t>
        </is>
      </c>
      <c r="E1043">
        <f>MEDIAN(D1023:D1063)</f>
        <v/>
      </c>
      <c r="F1043">
        <f>E1023</f>
        <v/>
      </c>
      <c r="G1043">
        <f>F1043-E1043</f>
        <v/>
      </c>
      <c r="H1043">
        <f>IF(OR(NOT(ISNUMBER(D1043)),ABS(D1043-E1043)&gt;$O$3,AND($O$11=1,B1043&lt;$O$12)),1,0)</f>
        <v/>
      </c>
      <c r="I1043">
        <f>IF(H1043=1,NA(),D1043)</f>
        <v/>
      </c>
      <c r="J1043">
        <f>IF(AND(ISNUMBER(D1043),D1043&gt;=$O$4,OR($O$11=0,B1043&gt;=$O$12)),1,0)</f>
        <v/>
      </c>
      <c r="K1043">
        <f>B1043-$O$14</f>
        <v/>
      </c>
    </row>
    <row r="1044">
      <c r="A1044" t="n">
        <v>3126</v>
      </c>
      <c r="B1044" t="n">
        <v>104.2</v>
      </c>
      <c r="C1044" t="inlineStr">
        <is>
          <t>317</t>
        </is>
      </c>
      <c r="D1044" t="n">
        <v>3.17</v>
      </c>
      <c r="E1044">
        <f>MEDIAN(D1024:D1064)</f>
        <v/>
      </c>
      <c r="F1044">
        <f>E1024</f>
        <v/>
      </c>
      <c r="G1044">
        <f>F1044-E1044</f>
        <v/>
      </c>
      <c r="H1044">
        <f>IF(OR(NOT(ISNUMBER(D1044)),ABS(D1044-E1044)&gt;$O$3,AND($O$11=1,B1044&lt;$O$12)),1,0)</f>
        <v/>
      </c>
      <c r="I1044">
        <f>IF(H1044=1,NA(),D1044)</f>
        <v/>
      </c>
      <c r="J1044">
        <f>IF(AND(ISNUMBER(D1044),D1044&gt;=$O$4,OR($O$11=0,B1044&gt;=$O$12)),1,0)</f>
        <v/>
      </c>
      <c r="K1044">
        <f>B1044-$O$14</f>
        <v/>
      </c>
    </row>
    <row r="1045">
      <c r="A1045" t="n">
        <v>3129</v>
      </c>
      <c r="B1045" t="n">
        <v>104.3</v>
      </c>
      <c r="C1045" t="inlineStr">
        <is>
          <t>?7</t>
        </is>
      </c>
      <c r="E1045">
        <f>MEDIAN(D1025:D1065)</f>
        <v/>
      </c>
      <c r="F1045">
        <f>E1025</f>
        <v/>
      </c>
      <c r="G1045">
        <f>F1045-E1045</f>
        <v/>
      </c>
      <c r="H1045">
        <f>IF(OR(NOT(ISNUMBER(D1045)),ABS(D1045-E1045)&gt;$O$3,AND($O$11=1,B1045&lt;$O$12)),1,0)</f>
        <v/>
      </c>
      <c r="I1045">
        <f>IF(H1045=1,NA(),D1045)</f>
        <v/>
      </c>
      <c r="J1045">
        <f>IF(AND(ISNUMBER(D1045),D1045&gt;=$O$4,OR($O$11=0,B1045&gt;=$O$12)),1,0)</f>
        <v/>
      </c>
      <c r="K1045">
        <f>B1045-$O$14</f>
        <v/>
      </c>
    </row>
    <row r="1046">
      <c r="A1046" t="n">
        <v>3132</v>
      </c>
      <c r="B1046" t="n">
        <v>104.4</v>
      </c>
      <c r="C1046" t="inlineStr">
        <is>
          <t>317</t>
        </is>
      </c>
      <c r="D1046" t="n">
        <v>3.17</v>
      </c>
      <c r="E1046">
        <f>MEDIAN(D1026:D1066)</f>
        <v/>
      </c>
      <c r="F1046">
        <f>E1026</f>
        <v/>
      </c>
      <c r="G1046">
        <f>F1046-E1046</f>
        <v/>
      </c>
      <c r="H1046">
        <f>IF(OR(NOT(ISNUMBER(D1046)),ABS(D1046-E1046)&gt;$O$3,AND($O$11=1,B1046&lt;$O$12)),1,0)</f>
        <v/>
      </c>
      <c r="I1046">
        <f>IF(H1046=1,NA(),D1046)</f>
        <v/>
      </c>
      <c r="J1046">
        <f>IF(AND(ISNUMBER(D1046),D1046&gt;=$O$4,OR($O$11=0,B1046&gt;=$O$12)),1,0)</f>
        <v/>
      </c>
      <c r="K1046">
        <f>B1046-$O$14</f>
        <v/>
      </c>
    </row>
    <row r="1047">
      <c r="A1047" t="n">
        <v>3135</v>
      </c>
      <c r="B1047" t="n">
        <v>104.5</v>
      </c>
      <c r="C1047" t="inlineStr">
        <is>
          <t>317</t>
        </is>
      </c>
      <c r="D1047" t="n">
        <v>3.17</v>
      </c>
      <c r="E1047">
        <f>MEDIAN(D1027:D1067)</f>
        <v/>
      </c>
      <c r="F1047">
        <f>E1027</f>
        <v/>
      </c>
      <c r="G1047">
        <f>F1047-E1047</f>
        <v/>
      </c>
      <c r="H1047">
        <f>IF(OR(NOT(ISNUMBER(D1047)),ABS(D1047-E1047)&gt;$O$3,AND($O$11=1,B1047&lt;$O$12)),1,0)</f>
        <v/>
      </c>
      <c r="I1047">
        <f>IF(H1047=1,NA(),D1047)</f>
        <v/>
      </c>
      <c r="J1047">
        <f>IF(AND(ISNUMBER(D1047),D1047&gt;=$O$4,OR($O$11=0,B1047&gt;=$O$12)),1,0)</f>
        <v/>
      </c>
      <c r="K1047">
        <f>B1047-$O$14</f>
        <v/>
      </c>
    </row>
    <row r="1048">
      <c r="A1048" t="n">
        <v>3138</v>
      </c>
      <c r="B1048" t="n">
        <v>104.6</v>
      </c>
      <c r="C1048" t="inlineStr">
        <is>
          <t>?17</t>
        </is>
      </c>
      <c r="E1048">
        <f>MEDIAN(D1028:D1068)</f>
        <v/>
      </c>
      <c r="F1048">
        <f>E1028</f>
        <v/>
      </c>
      <c r="G1048">
        <f>F1048-E1048</f>
        <v/>
      </c>
      <c r="H1048">
        <f>IF(OR(NOT(ISNUMBER(D1048)),ABS(D1048-E1048)&gt;$O$3,AND($O$11=1,B1048&lt;$O$12)),1,0)</f>
        <v/>
      </c>
      <c r="I1048">
        <f>IF(H1048=1,NA(),D1048)</f>
        <v/>
      </c>
      <c r="J1048">
        <f>IF(AND(ISNUMBER(D1048),D1048&gt;=$O$4,OR($O$11=0,B1048&gt;=$O$12)),1,0)</f>
        <v/>
      </c>
      <c r="K1048">
        <f>B1048-$O$14</f>
        <v/>
      </c>
    </row>
    <row r="1049">
      <c r="A1049" t="n">
        <v>3141</v>
      </c>
      <c r="B1049" t="n">
        <v>104.7</v>
      </c>
      <c r="C1049" t="inlineStr">
        <is>
          <t>317</t>
        </is>
      </c>
      <c r="D1049" t="n">
        <v>3.17</v>
      </c>
      <c r="E1049">
        <f>MEDIAN(D1029:D1069)</f>
        <v/>
      </c>
      <c r="F1049">
        <f>E1029</f>
        <v/>
      </c>
      <c r="G1049">
        <f>F1049-E1049</f>
        <v/>
      </c>
      <c r="H1049">
        <f>IF(OR(NOT(ISNUMBER(D1049)),ABS(D1049-E1049)&gt;$O$3,AND($O$11=1,B1049&lt;$O$12)),1,0)</f>
        <v/>
      </c>
      <c r="I1049">
        <f>IF(H1049=1,NA(),D1049)</f>
        <v/>
      </c>
      <c r="J1049">
        <f>IF(AND(ISNUMBER(D1049),D1049&gt;=$O$4,OR($O$11=0,B1049&gt;=$O$12)),1,0)</f>
        <v/>
      </c>
      <c r="K1049">
        <f>B1049-$O$14</f>
        <v/>
      </c>
    </row>
    <row r="1050">
      <c r="A1050" t="n">
        <v>3144</v>
      </c>
      <c r="B1050" t="n">
        <v>104.8</v>
      </c>
      <c r="C1050" t="inlineStr">
        <is>
          <t>?17</t>
        </is>
      </c>
      <c r="E1050">
        <f>MEDIAN(D1030:D1070)</f>
        <v/>
      </c>
      <c r="F1050">
        <f>E1030</f>
        <v/>
      </c>
      <c r="G1050">
        <f>F1050-E1050</f>
        <v/>
      </c>
      <c r="H1050">
        <f>IF(OR(NOT(ISNUMBER(D1050)),ABS(D1050-E1050)&gt;$O$3,AND($O$11=1,B1050&lt;$O$12)),1,0)</f>
        <v/>
      </c>
      <c r="I1050">
        <f>IF(H1050=1,NA(),D1050)</f>
        <v/>
      </c>
      <c r="J1050">
        <f>IF(AND(ISNUMBER(D1050),D1050&gt;=$O$4,OR($O$11=0,B1050&gt;=$O$12)),1,0)</f>
        <v/>
      </c>
      <c r="K1050">
        <f>B1050-$O$14</f>
        <v/>
      </c>
    </row>
    <row r="1051">
      <c r="A1051" t="n">
        <v>3147</v>
      </c>
      <c r="B1051" t="n">
        <v>104.9</v>
      </c>
      <c r="C1051" t="inlineStr">
        <is>
          <t>317</t>
        </is>
      </c>
      <c r="D1051" t="n">
        <v>3.17</v>
      </c>
      <c r="E1051">
        <f>MEDIAN(D1031:D1071)</f>
        <v/>
      </c>
      <c r="F1051">
        <f>E1031</f>
        <v/>
      </c>
      <c r="G1051">
        <f>F1051-E1051</f>
        <v/>
      </c>
      <c r="H1051">
        <f>IF(OR(NOT(ISNUMBER(D1051)),ABS(D1051-E1051)&gt;$O$3,AND($O$11=1,B1051&lt;$O$12)),1,0)</f>
        <v/>
      </c>
      <c r="I1051">
        <f>IF(H1051=1,NA(),D1051)</f>
        <v/>
      </c>
      <c r="J1051">
        <f>IF(AND(ISNUMBER(D1051),D1051&gt;=$O$4,OR($O$11=0,B1051&gt;=$O$12)),1,0)</f>
        <v/>
      </c>
      <c r="K1051">
        <f>B1051-$O$14</f>
        <v/>
      </c>
    </row>
    <row r="1052">
      <c r="A1052" t="n">
        <v>3150</v>
      </c>
      <c r="B1052" t="n">
        <v>105</v>
      </c>
      <c r="C1052" t="inlineStr">
        <is>
          <t>317</t>
        </is>
      </c>
      <c r="D1052" t="n">
        <v>3.17</v>
      </c>
      <c r="E1052">
        <f>MEDIAN(D1032:D1072)</f>
        <v/>
      </c>
      <c r="F1052">
        <f>E1032</f>
        <v/>
      </c>
      <c r="G1052">
        <f>F1052-E1052</f>
        <v/>
      </c>
      <c r="H1052">
        <f>IF(OR(NOT(ISNUMBER(D1052)),ABS(D1052-E1052)&gt;$O$3,AND($O$11=1,B1052&lt;$O$12)),1,0)</f>
        <v/>
      </c>
      <c r="I1052">
        <f>IF(H1052=1,NA(),D1052)</f>
        <v/>
      </c>
      <c r="J1052">
        <f>IF(AND(ISNUMBER(D1052),D1052&gt;=$O$4,OR($O$11=0,B1052&gt;=$O$12)),1,0)</f>
        <v/>
      </c>
      <c r="K1052">
        <f>B1052-$O$14</f>
        <v/>
      </c>
    </row>
    <row r="1053">
      <c r="A1053" t="n">
        <v>3153</v>
      </c>
      <c r="B1053" t="n">
        <v>105.1</v>
      </c>
      <c r="C1053" t="inlineStr">
        <is>
          <t>317</t>
        </is>
      </c>
      <c r="D1053" t="n">
        <v>3.17</v>
      </c>
      <c r="E1053">
        <f>MEDIAN(D1033:D1073)</f>
        <v/>
      </c>
      <c r="F1053">
        <f>E1033</f>
        <v/>
      </c>
      <c r="G1053">
        <f>F1053-E1053</f>
        <v/>
      </c>
      <c r="H1053">
        <f>IF(OR(NOT(ISNUMBER(D1053)),ABS(D1053-E1053)&gt;$O$3,AND($O$11=1,B1053&lt;$O$12)),1,0)</f>
        <v/>
      </c>
      <c r="I1053">
        <f>IF(H1053=1,NA(),D1053)</f>
        <v/>
      </c>
      <c r="J1053">
        <f>IF(AND(ISNUMBER(D1053),D1053&gt;=$O$4,OR($O$11=0,B1053&gt;=$O$12)),1,0)</f>
        <v/>
      </c>
      <c r="K1053">
        <f>B1053-$O$14</f>
        <v/>
      </c>
    </row>
    <row r="1054">
      <c r="A1054" t="n">
        <v>3156</v>
      </c>
      <c r="B1054" t="n">
        <v>105.2</v>
      </c>
      <c r="C1054" t="inlineStr">
        <is>
          <t>?17</t>
        </is>
      </c>
      <c r="E1054">
        <f>MEDIAN(D1034:D1074)</f>
        <v/>
      </c>
      <c r="F1054">
        <f>E1034</f>
        <v/>
      </c>
      <c r="G1054">
        <f>F1054-E1054</f>
        <v/>
      </c>
      <c r="H1054">
        <f>IF(OR(NOT(ISNUMBER(D1054)),ABS(D1054-E1054)&gt;$O$3,AND($O$11=1,B1054&lt;$O$12)),1,0)</f>
        <v/>
      </c>
      <c r="I1054">
        <f>IF(H1054=1,NA(),D1054)</f>
        <v/>
      </c>
      <c r="J1054">
        <f>IF(AND(ISNUMBER(D1054),D1054&gt;=$O$4,OR($O$11=0,B1054&gt;=$O$12)),1,0)</f>
        <v/>
      </c>
      <c r="K1054">
        <f>B1054-$O$14</f>
        <v/>
      </c>
    </row>
    <row r="1055">
      <c r="A1055" t="n">
        <v>3159</v>
      </c>
      <c r="B1055" t="n">
        <v>105.3</v>
      </c>
      <c r="C1055" t="inlineStr">
        <is>
          <t>?17</t>
        </is>
      </c>
      <c r="E1055">
        <f>MEDIAN(D1035:D1075)</f>
        <v/>
      </c>
      <c r="F1055">
        <f>E1035</f>
        <v/>
      </c>
      <c r="G1055">
        <f>F1055-E1055</f>
        <v/>
      </c>
      <c r="H1055">
        <f>IF(OR(NOT(ISNUMBER(D1055)),ABS(D1055-E1055)&gt;$O$3,AND($O$11=1,B1055&lt;$O$12)),1,0)</f>
        <v/>
      </c>
      <c r="I1055">
        <f>IF(H1055=1,NA(),D1055)</f>
        <v/>
      </c>
      <c r="J1055">
        <f>IF(AND(ISNUMBER(D1055),D1055&gt;=$O$4,OR($O$11=0,B1055&gt;=$O$12)),1,0)</f>
        <v/>
      </c>
      <c r="K1055">
        <f>B1055-$O$14</f>
        <v/>
      </c>
    </row>
    <row r="1056">
      <c r="A1056" t="n">
        <v>3162</v>
      </c>
      <c r="B1056" t="n">
        <v>105.4</v>
      </c>
      <c r="C1056" t="inlineStr">
        <is>
          <t>?17</t>
        </is>
      </c>
      <c r="E1056">
        <f>MEDIAN(D1036:D1076)</f>
        <v/>
      </c>
      <c r="F1056">
        <f>E1036</f>
        <v/>
      </c>
      <c r="G1056">
        <f>F1056-E1056</f>
        <v/>
      </c>
      <c r="H1056">
        <f>IF(OR(NOT(ISNUMBER(D1056)),ABS(D1056-E1056)&gt;$O$3,AND($O$11=1,B1056&lt;$O$12)),1,0)</f>
        <v/>
      </c>
      <c r="I1056">
        <f>IF(H1056=1,NA(),D1056)</f>
        <v/>
      </c>
      <c r="J1056">
        <f>IF(AND(ISNUMBER(D1056),D1056&gt;=$O$4,OR($O$11=0,B1056&gt;=$O$12)),1,0)</f>
        <v/>
      </c>
      <c r="K1056">
        <f>B1056-$O$14</f>
        <v/>
      </c>
    </row>
    <row r="1057">
      <c r="A1057" t="n">
        <v>3165</v>
      </c>
      <c r="B1057" t="n">
        <v>105.5</v>
      </c>
      <c r="C1057" t="inlineStr">
        <is>
          <t>317</t>
        </is>
      </c>
      <c r="D1057" t="n">
        <v>3.17</v>
      </c>
      <c r="E1057">
        <f>MEDIAN(D1037:D1077)</f>
        <v/>
      </c>
      <c r="F1057">
        <f>E1037</f>
        <v/>
      </c>
      <c r="G1057">
        <f>F1057-E1057</f>
        <v/>
      </c>
      <c r="H1057">
        <f>IF(OR(NOT(ISNUMBER(D1057)),ABS(D1057-E1057)&gt;$O$3,AND($O$11=1,B1057&lt;$O$12)),1,0)</f>
        <v/>
      </c>
      <c r="I1057">
        <f>IF(H1057=1,NA(),D1057)</f>
        <v/>
      </c>
      <c r="J1057">
        <f>IF(AND(ISNUMBER(D1057),D1057&gt;=$O$4,OR($O$11=0,B1057&gt;=$O$12)),1,0)</f>
        <v/>
      </c>
      <c r="K1057">
        <f>B1057-$O$14</f>
        <v/>
      </c>
    </row>
    <row r="1058">
      <c r="A1058" t="n">
        <v>3168</v>
      </c>
      <c r="B1058" t="n">
        <v>105.6</v>
      </c>
      <c r="C1058" t="inlineStr">
        <is>
          <t>?17</t>
        </is>
      </c>
      <c r="E1058">
        <f>MEDIAN(D1038:D1078)</f>
        <v/>
      </c>
      <c r="F1058">
        <f>E1038</f>
        <v/>
      </c>
      <c r="G1058">
        <f>F1058-E1058</f>
        <v/>
      </c>
      <c r="H1058">
        <f>IF(OR(NOT(ISNUMBER(D1058)),ABS(D1058-E1058)&gt;$O$3,AND($O$11=1,B1058&lt;$O$12)),1,0)</f>
        <v/>
      </c>
      <c r="I1058">
        <f>IF(H1058=1,NA(),D1058)</f>
        <v/>
      </c>
      <c r="J1058">
        <f>IF(AND(ISNUMBER(D1058),D1058&gt;=$O$4,OR($O$11=0,B1058&gt;=$O$12)),1,0)</f>
        <v/>
      </c>
      <c r="K1058">
        <f>B1058-$O$14</f>
        <v/>
      </c>
    </row>
    <row r="1059">
      <c r="A1059" t="n">
        <v>3171</v>
      </c>
      <c r="B1059" t="n">
        <v>105.7</v>
      </c>
      <c r="C1059" t="inlineStr">
        <is>
          <t>317</t>
        </is>
      </c>
      <c r="D1059" t="n">
        <v>3.17</v>
      </c>
      <c r="E1059">
        <f>MEDIAN(D1039:D1079)</f>
        <v/>
      </c>
      <c r="F1059">
        <f>E1039</f>
        <v/>
      </c>
      <c r="G1059">
        <f>F1059-E1059</f>
        <v/>
      </c>
      <c r="H1059">
        <f>IF(OR(NOT(ISNUMBER(D1059)),ABS(D1059-E1059)&gt;$O$3,AND($O$11=1,B1059&lt;$O$12)),1,0)</f>
        <v/>
      </c>
      <c r="I1059">
        <f>IF(H1059=1,NA(),D1059)</f>
        <v/>
      </c>
      <c r="J1059">
        <f>IF(AND(ISNUMBER(D1059),D1059&gt;=$O$4,OR($O$11=0,B1059&gt;=$O$12)),1,0)</f>
        <v/>
      </c>
      <c r="K1059">
        <f>B1059-$O$14</f>
        <v/>
      </c>
    </row>
    <row r="1060">
      <c r="A1060" t="n">
        <v>3174</v>
      </c>
      <c r="B1060" t="n">
        <v>105.8</v>
      </c>
      <c r="C1060" t="inlineStr">
        <is>
          <t>?17</t>
        </is>
      </c>
      <c r="E1060">
        <f>MEDIAN(D1040:D1080)</f>
        <v/>
      </c>
      <c r="F1060">
        <f>E1040</f>
        <v/>
      </c>
      <c r="G1060">
        <f>F1060-E1060</f>
        <v/>
      </c>
      <c r="H1060">
        <f>IF(OR(NOT(ISNUMBER(D1060)),ABS(D1060-E1060)&gt;$O$3,AND($O$11=1,B1060&lt;$O$12)),1,0)</f>
        <v/>
      </c>
      <c r="I1060">
        <f>IF(H1060=1,NA(),D1060)</f>
        <v/>
      </c>
      <c r="J1060">
        <f>IF(AND(ISNUMBER(D1060),D1060&gt;=$O$4,OR($O$11=0,B1060&gt;=$O$12)),1,0)</f>
        <v/>
      </c>
      <c r="K1060">
        <f>B1060-$O$14</f>
        <v/>
      </c>
    </row>
    <row r="1061">
      <c r="A1061" t="n">
        <v>3177</v>
      </c>
      <c r="B1061" t="n">
        <v>105.9</v>
      </c>
      <c r="C1061" t="inlineStr">
        <is>
          <t>?17</t>
        </is>
      </c>
      <c r="E1061">
        <f>MEDIAN(D1041:D1081)</f>
        <v/>
      </c>
      <c r="F1061">
        <f>E1041</f>
        <v/>
      </c>
      <c r="G1061">
        <f>F1061-E1061</f>
        <v/>
      </c>
      <c r="H1061">
        <f>IF(OR(NOT(ISNUMBER(D1061)),ABS(D1061-E1061)&gt;$O$3,AND($O$11=1,B1061&lt;$O$12)),1,0)</f>
        <v/>
      </c>
      <c r="I1061">
        <f>IF(H1061=1,NA(),D1061)</f>
        <v/>
      </c>
      <c r="J1061">
        <f>IF(AND(ISNUMBER(D1061),D1061&gt;=$O$4,OR($O$11=0,B1061&gt;=$O$12)),1,0)</f>
        <v/>
      </c>
      <c r="K1061">
        <f>B1061-$O$14</f>
        <v/>
      </c>
    </row>
    <row r="1062">
      <c r="A1062" t="n">
        <v>3180</v>
      </c>
      <c r="B1062" t="n">
        <v>106</v>
      </c>
      <c r="C1062" t="inlineStr">
        <is>
          <t>?17</t>
        </is>
      </c>
      <c r="E1062">
        <f>MEDIAN(D1042:D1082)</f>
        <v/>
      </c>
      <c r="F1062">
        <f>E1042</f>
        <v/>
      </c>
      <c r="G1062">
        <f>F1062-E1062</f>
        <v/>
      </c>
      <c r="H1062">
        <f>IF(OR(NOT(ISNUMBER(D1062)),ABS(D1062-E1062)&gt;$O$3,AND($O$11=1,B1062&lt;$O$12)),1,0)</f>
        <v/>
      </c>
      <c r="I1062">
        <f>IF(H1062=1,NA(),D1062)</f>
        <v/>
      </c>
      <c r="J1062">
        <f>IF(AND(ISNUMBER(D1062),D1062&gt;=$O$4,OR($O$11=0,B1062&gt;=$O$12)),1,0)</f>
        <v/>
      </c>
      <c r="K1062">
        <f>B1062-$O$14</f>
        <v/>
      </c>
    </row>
    <row r="1063">
      <c r="A1063" t="n">
        <v>3183</v>
      </c>
      <c r="B1063" t="n">
        <v>106.1</v>
      </c>
      <c r="C1063" t="inlineStr">
        <is>
          <t>?17</t>
        </is>
      </c>
      <c r="E1063">
        <f>MEDIAN(D1043:D1083)</f>
        <v/>
      </c>
      <c r="F1063">
        <f>E1043</f>
        <v/>
      </c>
      <c r="G1063">
        <f>F1063-E1063</f>
        <v/>
      </c>
      <c r="H1063">
        <f>IF(OR(NOT(ISNUMBER(D1063)),ABS(D1063-E1063)&gt;$O$3,AND($O$11=1,B1063&lt;$O$12)),1,0)</f>
        <v/>
      </c>
      <c r="I1063">
        <f>IF(H1063=1,NA(),D1063)</f>
        <v/>
      </c>
      <c r="J1063">
        <f>IF(AND(ISNUMBER(D1063),D1063&gt;=$O$4,OR($O$11=0,B1063&gt;=$O$12)),1,0)</f>
        <v/>
      </c>
      <c r="K1063">
        <f>B1063-$O$14</f>
        <v/>
      </c>
    </row>
    <row r="1064">
      <c r="A1064" t="n">
        <v>3186</v>
      </c>
      <c r="B1064" t="n">
        <v>106.2</v>
      </c>
      <c r="C1064" t="inlineStr">
        <is>
          <t>?17</t>
        </is>
      </c>
      <c r="E1064">
        <f>MEDIAN(D1044:D1084)</f>
        <v/>
      </c>
      <c r="F1064">
        <f>E1044</f>
        <v/>
      </c>
      <c r="G1064">
        <f>F1064-E1064</f>
        <v/>
      </c>
      <c r="H1064">
        <f>IF(OR(NOT(ISNUMBER(D1064)),ABS(D1064-E1064)&gt;$O$3,AND($O$11=1,B1064&lt;$O$12)),1,0)</f>
        <v/>
      </c>
      <c r="I1064">
        <f>IF(H1064=1,NA(),D1064)</f>
        <v/>
      </c>
      <c r="J1064">
        <f>IF(AND(ISNUMBER(D1064),D1064&gt;=$O$4,OR($O$11=0,B1064&gt;=$O$12)),1,0)</f>
        <v/>
      </c>
      <c r="K1064">
        <f>B1064-$O$14</f>
        <v/>
      </c>
    </row>
    <row r="1065">
      <c r="A1065" t="n">
        <v>3189</v>
      </c>
      <c r="B1065" t="n">
        <v>106.3</v>
      </c>
      <c r="C1065" t="inlineStr">
        <is>
          <t>?17</t>
        </is>
      </c>
      <c r="E1065">
        <f>MEDIAN(D1045:D1085)</f>
        <v/>
      </c>
      <c r="F1065">
        <f>E1045</f>
        <v/>
      </c>
      <c r="G1065">
        <f>F1065-E1065</f>
        <v/>
      </c>
      <c r="H1065">
        <f>IF(OR(NOT(ISNUMBER(D1065)),ABS(D1065-E1065)&gt;$O$3,AND($O$11=1,B1065&lt;$O$12)),1,0)</f>
        <v/>
      </c>
      <c r="I1065">
        <f>IF(H1065=1,NA(),D1065)</f>
        <v/>
      </c>
      <c r="J1065">
        <f>IF(AND(ISNUMBER(D1065),D1065&gt;=$O$4,OR($O$11=0,B1065&gt;=$O$12)),1,0)</f>
        <v/>
      </c>
      <c r="K1065">
        <f>B1065-$O$14</f>
        <v/>
      </c>
    </row>
    <row r="1066">
      <c r="A1066" t="n">
        <v>3192</v>
      </c>
      <c r="B1066" t="n">
        <v>106.4</v>
      </c>
      <c r="C1066" t="inlineStr">
        <is>
          <t>317</t>
        </is>
      </c>
      <c r="D1066" t="n">
        <v>3.17</v>
      </c>
      <c r="E1066">
        <f>MEDIAN(D1046:D1086)</f>
        <v/>
      </c>
      <c r="F1066">
        <f>E1046</f>
        <v/>
      </c>
      <c r="G1066">
        <f>F1066-E1066</f>
        <v/>
      </c>
      <c r="H1066">
        <f>IF(OR(NOT(ISNUMBER(D1066)),ABS(D1066-E1066)&gt;$O$3,AND($O$11=1,B1066&lt;$O$12)),1,0)</f>
        <v/>
      </c>
      <c r="I1066">
        <f>IF(H1066=1,NA(),D1066)</f>
        <v/>
      </c>
      <c r="J1066">
        <f>IF(AND(ISNUMBER(D1066),D1066&gt;=$O$4,OR($O$11=0,B1066&gt;=$O$12)),1,0)</f>
        <v/>
      </c>
      <c r="K1066">
        <f>B1066-$O$14</f>
        <v/>
      </c>
    </row>
    <row r="1067">
      <c r="A1067" t="n">
        <v>3195</v>
      </c>
      <c r="B1067" t="n">
        <v>106.5</v>
      </c>
      <c r="C1067" t="inlineStr">
        <is>
          <t>?17</t>
        </is>
      </c>
      <c r="E1067">
        <f>MEDIAN(D1047:D1087)</f>
        <v/>
      </c>
      <c r="F1067">
        <f>E1047</f>
        <v/>
      </c>
      <c r="G1067">
        <f>F1067-E1067</f>
        <v/>
      </c>
      <c r="H1067">
        <f>IF(OR(NOT(ISNUMBER(D1067)),ABS(D1067-E1067)&gt;$O$3,AND($O$11=1,B1067&lt;$O$12)),1,0)</f>
        <v/>
      </c>
      <c r="I1067">
        <f>IF(H1067=1,NA(),D1067)</f>
        <v/>
      </c>
      <c r="J1067">
        <f>IF(AND(ISNUMBER(D1067),D1067&gt;=$O$4,OR($O$11=0,B1067&gt;=$O$12)),1,0)</f>
        <v/>
      </c>
      <c r="K1067">
        <f>B1067-$O$14</f>
        <v/>
      </c>
    </row>
    <row r="1068">
      <c r="A1068" t="n">
        <v>3198</v>
      </c>
      <c r="B1068" t="n">
        <v>106.6</v>
      </c>
      <c r="C1068" t="inlineStr">
        <is>
          <t>?17</t>
        </is>
      </c>
      <c r="E1068">
        <f>MEDIAN(D1048:D1088)</f>
        <v/>
      </c>
      <c r="F1068">
        <f>E1048</f>
        <v/>
      </c>
      <c r="G1068">
        <f>F1068-E1068</f>
        <v/>
      </c>
      <c r="H1068">
        <f>IF(OR(NOT(ISNUMBER(D1068)),ABS(D1068-E1068)&gt;$O$3,AND($O$11=1,B1068&lt;$O$12)),1,0)</f>
        <v/>
      </c>
      <c r="I1068">
        <f>IF(H1068=1,NA(),D1068)</f>
        <v/>
      </c>
      <c r="J1068">
        <f>IF(AND(ISNUMBER(D1068),D1068&gt;=$O$4,OR($O$11=0,B1068&gt;=$O$12)),1,0)</f>
        <v/>
      </c>
      <c r="K1068">
        <f>B1068-$O$14</f>
        <v/>
      </c>
    </row>
    <row r="1069">
      <c r="A1069" t="n">
        <v>3201</v>
      </c>
      <c r="B1069" t="n">
        <v>106.7</v>
      </c>
      <c r="C1069" t="inlineStr">
        <is>
          <t>17</t>
        </is>
      </c>
      <c r="D1069" t="n">
        <v>0.17</v>
      </c>
      <c r="E1069">
        <f>MEDIAN(D1049:D1089)</f>
        <v/>
      </c>
      <c r="F1069">
        <f>E1049</f>
        <v/>
      </c>
      <c r="G1069">
        <f>F1069-E1069</f>
        <v/>
      </c>
      <c r="H1069">
        <f>IF(OR(NOT(ISNUMBER(D1069)),ABS(D1069-E1069)&gt;$O$3,AND($O$11=1,B1069&lt;$O$12)),1,0)</f>
        <v/>
      </c>
      <c r="I1069">
        <f>IF(H1069=1,NA(),D1069)</f>
        <v/>
      </c>
      <c r="J1069">
        <f>IF(AND(ISNUMBER(D1069),D1069&gt;=$O$4,OR($O$11=0,B1069&gt;=$O$12)),1,0)</f>
        <v/>
      </c>
      <c r="K1069">
        <f>B1069-$O$14</f>
        <v/>
      </c>
    </row>
    <row r="1070">
      <c r="A1070" t="n">
        <v>3204</v>
      </c>
      <c r="B1070" t="n">
        <v>106.8</v>
      </c>
      <c r="C1070" t="inlineStr">
        <is>
          <t>317</t>
        </is>
      </c>
      <c r="D1070" t="n">
        <v>3.17</v>
      </c>
      <c r="E1070">
        <f>MEDIAN(D1050:D1090)</f>
        <v/>
      </c>
      <c r="F1070">
        <f>E1050</f>
        <v/>
      </c>
      <c r="G1070">
        <f>F1070-E1070</f>
        <v/>
      </c>
      <c r="H1070">
        <f>IF(OR(NOT(ISNUMBER(D1070)),ABS(D1070-E1070)&gt;$O$3,AND($O$11=1,B1070&lt;$O$12)),1,0)</f>
        <v/>
      </c>
      <c r="I1070">
        <f>IF(H1070=1,NA(),D1070)</f>
        <v/>
      </c>
      <c r="J1070">
        <f>IF(AND(ISNUMBER(D1070),D1070&gt;=$O$4,OR($O$11=0,B1070&gt;=$O$12)),1,0)</f>
        <v/>
      </c>
      <c r="K1070">
        <f>B1070-$O$14</f>
        <v/>
      </c>
    </row>
    <row r="1071">
      <c r="A1071" t="n">
        <v>3207</v>
      </c>
      <c r="B1071" t="n">
        <v>106.9</v>
      </c>
      <c r="C1071" t="inlineStr">
        <is>
          <t>317</t>
        </is>
      </c>
      <c r="D1071" t="n">
        <v>3.17</v>
      </c>
      <c r="E1071">
        <f>MEDIAN(D1051:D1091)</f>
        <v/>
      </c>
      <c r="F1071">
        <f>E1051</f>
        <v/>
      </c>
      <c r="G1071">
        <f>F1071-E1071</f>
        <v/>
      </c>
      <c r="H1071">
        <f>IF(OR(NOT(ISNUMBER(D1071)),ABS(D1071-E1071)&gt;$O$3,AND($O$11=1,B1071&lt;$O$12)),1,0)</f>
        <v/>
      </c>
      <c r="I1071">
        <f>IF(H1071=1,NA(),D1071)</f>
        <v/>
      </c>
      <c r="J1071">
        <f>IF(AND(ISNUMBER(D1071),D1071&gt;=$O$4,OR($O$11=0,B1071&gt;=$O$12)),1,0)</f>
        <v/>
      </c>
      <c r="K1071">
        <f>B1071-$O$14</f>
        <v/>
      </c>
    </row>
    <row r="1072">
      <c r="A1072" t="n">
        <v>3210</v>
      </c>
      <c r="B1072" t="n">
        <v>107</v>
      </c>
      <c r="C1072" t="inlineStr">
        <is>
          <t>?17</t>
        </is>
      </c>
      <c r="E1072">
        <f>MEDIAN(D1052:D1092)</f>
        <v/>
      </c>
      <c r="F1072">
        <f>E1052</f>
        <v/>
      </c>
      <c r="G1072">
        <f>F1072-E1072</f>
        <v/>
      </c>
      <c r="H1072">
        <f>IF(OR(NOT(ISNUMBER(D1072)),ABS(D1072-E1072)&gt;$O$3,AND($O$11=1,B1072&lt;$O$12)),1,0)</f>
        <v/>
      </c>
      <c r="I1072">
        <f>IF(H1072=1,NA(),D1072)</f>
        <v/>
      </c>
      <c r="J1072">
        <f>IF(AND(ISNUMBER(D1072),D1072&gt;=$O$4,OR($O$11=0,B1072&gt;=$O$12)),1,0)</f>
        <v/>
      </c>
      <c r="K1072">
        <f>B1072-$O$14</f>
        <v/>
      </c>
    </row>
    <row r="1073">
      <c r="A1073" t="n">
        <v>3213</v>
      </c>
      <c r="B1073" t="n">
        <v>107.1</v>
      </c>
      <c r="C1073" t="inlineStr">
        <is>
          <t>?17</t>
        </is>
      </c>
      <c r="E1073">
        <f>MEDIAN(D1053:D1093)</f>
        <v/>
      </c>
      <c r="F1073">
        <f>E1053</f>
        <v/>
      </c>
      <c r="G1073">
        <f>F1073-E1073</f>
        <v/>
      </c>
      <c r="H1073">
        <f>IF(OR(NOT(ISNUMBER(D1073)),ABS(D1073-E1073)&gt;$O$3,AND($O$11=1,B1073&lt;$O$12)),1,0)</f>
        <v/>
      </c>
      <c r="I1073">
        <f>IF(H1073=1,NA(),D1073)</f>
        <v/>
      </c>
      <c r="J1073">
        <f>IF(AND(ISNUMBER(D1073),D1073&gt;=$O$4,OR($O$11=0,B1073&gt;=$O$12)),1,0)</f>
        <v/>
      </c>
      <c r="K1073">
        <f>B1073-$O$14</f>
        <v/>
      </c>
    </row>
    <row r="1074">
      <c r="A1074" t="n">
        <v>3216</v>
      </c>
      <c r="B1074" t="n">
        <v>107.2</v>
      </c>
      <c r="C1074" t="inlineStr">
        <is>
          <t>317</t>
        </is>
      </c>
      <c r="D1074" t="n">
        <v>3.17</v>
      </c>
      <c r="E1074">
        <f>MEDIAN(D1054:D1094)</f>
        <v/>
      </c>
      <c r="F1074">
        <f>E1054</f>
        <v/>
      </c>
      <c r="G1074">
        <f>F1074-E1074</f>
        <v/>
      </c>
      <c r="H1074">
        <f>IF(OR(NOT(ISNUMBER(D1074)),ABS(D1074-E1074)&gt;$O$3,AND($O$11=1,B1074&lt;$O$12)),1,0)</f>
        <v/>
      </c>
      <c r="I1074">
        <f>IF(H1074=1,NA(),D1074)</f>
        <v/>
      </c>
      <c r="J1074">
        <f>IF(AND(ISNUMBER(D1074),D1074&gt;=$O$4,OR($O$11=0,B1074&gt;=$O$12)),1,0)</f>
        <v/>
      </c>
      <c r="K1074">
        <f>B1074-$O$14</f>
        <v/>
      </c>
    </row>
    <row r="1075">
      <c r="A1075" t="n">
        <v>3219</v>
      </c>
      <c r="B1075" t="n">
        <v>107.3</v>
      </c>
      <c r="C1075" t="inlineStr">
        <is>
          <t>?17</t>
        </is>
      </c>
      <c r="E1075">
        <f>MEDIAN(D1055:D1095)</f>
        <v/>
      </c>
      <c r="F1075">
        <f>E1055</f>
        <v/>
      </c>
      <c r="G1075">
        <f>F1075-E1075</f>
        <v/>
      </c>
      <c r="H1075">
        <f>IF(OR(NOT(ISNUMBER(D1075)),ABS(D1075-E1075)&gt;$O$3,AND($O$11=1,B1075&lt;$O$12)),1,0)</f>
        <v/>
      </c>
      <c r="I1075">
        <f>IF(H1075=1,NA(),D1075)</f>
        <v/>
      </c>
      <c r="J1075">
        <f>IF(AND(ISNUMBER(D1075),D1075&gt;=$O$4,OR($O$11=0,B1075&gt;=$O$12)),1,0)</f>
        <v/>
      </c>
      <c r="K1075">
        <f>B1075-$O$14</f>
        <v/>
      </c>
    </row>
    <row r="1076">
      <c r="A1076" t="n">
        <v>3222</v>
      </c>
      <c r="B1076" t="n">
        <v>107.4</v>
      </c>
      <c r="C1076" t="inlineStr">
        <is>
          <t>317</t>
        </is>
      </c>
      <c r="D1076" t="n">
        <v>3.17</v>
      </c>
      <c r="E1076">
        <f>MEDIAN(D1056:D1096)</f>
        <v/>
      </c>
      <c r="F1076">
        <f>E1056</f>
        <v/>
      </c>
      <c r="G1076">
        <f>F1076-E1076</f>
        <v/>
      </c>
      <c r="H1076">
        <f>IF(OR(NOT(ISNUMBER(D1076)),ABS(D1076-E1076)&gt;$O$3,AND($O$11=1,B1076&lt;$O$12)),1,0)</f>
        <v/>
      </c>
      <c r="I1076">
        <f>IF(H1076=1,NA(),D1076)</f>
        <v/>
      </c>
      <c r="J1076">
        <f>IF(AND(ISNUMBER(D1076),D1076&gt;=$O$4,OR($O$11=0,B1076&gt;=$O$12)),1,0)</f>
        <v/>
      </c>
      <c r="K1076">
        <f>B1076-$O$14</f>
        <v/>
      </c>
    </row>
    <row r="1077">
      <c r="A1077" t="n">
        <v>3225</v>
      </c>
      <c r="B1077" t="n">
        <v>107.5</v>
      </c>
      <c r="C1077" t="inlineStr">
        <is>
          <t>?17</t>
        </is>
      </c>
      <c r="E1077">
        <f>MEDIAN(D1057:D1097)</f>
        <v/>
      </c>
      <c r="F1077">
        <f>E1057</f>
        <v/>
      </c>
      <c r="G1077">
        <f>F1077-E1077</f>
        <v/>
      </c>
      <c r="H1077">
        <f>IF(OR(NOT(ISNUMBER(D1077)),ABS(D1077-E1077)&gt;$O$3,AND($O$11=1,B1077&lt;$O$12)),1,0)</f>
        <v/>
      </c>
      <c r="I1077">
        <f>IF(H1077=1,NA(),D1077)</f>
        <v/>
      </c>
      <c r="J1077">
        <f>IF(AND(ISNUMBER(D1077),D1077&gt;=$O$4,OR($O$11=0,B1077&gt;=$O$12)),1,0)</f>
        <v/>
      </c>
      <c r="K1077">
        <f>B1077-$O$14</f>
        <v/>
      </c>
    </row>
    <row r="1078">
      <c r="A1078" t="n">
        <v>3228</v>
      </c>
      <c r="B1078" t="n">
        <v>107.6</v>
      </c>
      <c r="C1078" t="inlineStr">
        <is>
          <t>317</t>
        </is>
      </c>
      <c r="D1078" t="n">
        <v>3.17</v>
      </c>
      <c r="E1078">
        <f>MEDIAN(D1058:D1098)</f>
        <v/>
      </c>
      <c r="F1078">
        <f>E1058</f>
        <v/>
      </c>
      <c r="G1078">
        <f>F1078-E1078</f>
        <v/>
      </c>
      <c r="H1078">
        <f>IF(OR(NOT(ISNUMBER(D1078)),ABS(D1078-E1078)&gt;$O$3,AND($O$11=1,B1078&lt;$O$12)),1,0)</f>
        <v/>
      </c>
      <c r="I1078">
        <f>IF(H1078=1,NA(),D1078)</f>
        <v/>
      </c>
      <c r="J1078">
        <f>IF(AND(ISNUMBER(D1078),D1078&gt;=$O$4,OR($O$11=0,B1078&gt;=$O$12)),1,0)</f>
        <v/>
      </c>
      <c r="K1078">
        <f>B1078-$O$14</f>
        <v/>
      </c>
    </row>
    <row r="1079">
      <c r="A1079" t="n">
        <v>3231</v>
      </c>
      <c r="B1079" t="n">
        <v>107.7</v>
      </c>
      <c r="C1079" t="inlineStr">
        <is>
          <t>?17</t>
        </is>
      </c>
      <c r="E1079">
        <f>MEDIAN(D1059:D1099)</f>
        <v/>
      </c>
      <c r="F1079">
        <f>E1059</f>
        <v/>
      </c>
      <c r="G1079">
        <f>F1079-E1079</f>
        <v/>
      </c>
      <c r="H1079">
        <f>IF(OR(NOT(ISNUMBER(D1079)),ABS(D1079-E1079)&gt;$O$3,AND($O$11=1,B1079&lt;$O$12)),1,0)</f>
        <v/>
      </c>
      <c r="I1079">
        <f>IF(H1079=1,NA(),D1079)</f>
        <v/>
      </c>
      <c r="J1079">
        <f>IF(AND(ISNUMBER(D1079),D1079&gt;=$O$4,OR($O$11=0,B1079&gt;=$O$12)),1,0)</f>
        <v/>
      </c>
      <c r="K1079">
        <f>B1079-$O$14</f>
        <v/>
      </c>
    </row>
    <row r="1080">
      <c r="A1080" t="n">
        <v>3234</v>
      </c>
      <c r="B1080" t="n">
        <v>107.8</v>
      </c>
      <c r="C1080" t="inlineStr">
        <is>
          <t>317</t>
        </is>
      </c>
      <c r="D1080" t="n">
        <v>3.17</v>
      </c>
      <c r="E1080">
        <f>MEDIAN(D1060:D1100)</f>
        <v/>
      </c>
      <c r="F1080">
        <f>E1060</f>
        <v/>
      </c>
      <c r="G1080">
        <f>F1080-E1080</f>
        <v/>
      </c>
      <c r="H1080">
        <f>IF(OR(NOT(ISNUMBER(D1080)),ABS(D1080-E1080)&gt;$O$3,AND($O$11=1,B1080&lt;$O$12)),1,0)</f>
        <v/>
      </c>
      <c r="I1080">
        <f>IF(H1080=1,NA(),D1080)</f>
        <v/>
      </c>
      <c r="J1080">
        <f>IF(AND(ISNUMBER(D1080),D1080&gt;=$O$4,OR($O$11=0,B1080&gt;=$O$12)),1,0)</f>
        <v/>
      </c>
      <c r="K1080">
        <f>B1080-$O$14</f>
        <v/>
      </c>
    </row>
    <row r="1081">
      <c r="A1081" t="n">
        <v>3237</v>
      </c>
      <c r="B1081" t="n">
        <v>107.9</v>
      </c>
      <c r="C1081" t="inlineStr">
        <is>
          <t>17</t>
        </is>
      </c>
      <c r="D1081" t="n">
        <v>0.17</v>
      </c>
      <c r="E1081">
        <f>MEDIAN(D1061:D1101)</f>
        <v/>
      </c>
      <c r="F1081">
        <f>E1061</f>
        <v/>
      </c>
      <c r="G1081">
        <f>F1081-E1081</f>
        <v/>
      </c>
      <c r="H1081">
        <f>IF(OR(NOT(ISNUMBER(D1081)),ABS(D1081-E1081)&gt;$O$3,AND($O$11=1,B1081&lt;$O$12)),1,0)</f>
        <v/>
      </c>
      <c r="I1081">
        <f>IF(H1081=1,NA(),D1081)</f>
        <v/>
      </c>
      <c r="J1081">
        <f>IF(AND(ISNUMBER(D1081),D1081&gt;=$O$4,OR($O$11=0,B1081&gt;=$O$12)),1,0)</f>
        <v/>
      </c>
      <c r="K1081">
        <f>B1081-$O$14</f>
        <v/>
      </c>
    </row>
    <row r="1082">
      <c r="A1082" t="n">
        <v>3240</v>
      </c>
      <c r="B1082" t="n">
        <v>108</v>
      </c>
      <c r="C1082" t="inlineStr">
        <is>
          <t>317</t>
        </is>
      </c>
      <c r="D1082" t="n">
        <v>3.17</v>
      </c>
      <c r="E1082">
        <f>MEDIAN(D1062:D1102)</f>
        <v/>
      </c>
      <c r="F1082">
        <f>E1062</f>
        <v/>
      </c>
      <c r="G1082">
        <f>F1082-E1082</f>
        <v/>
      </c>
      <c r="H1082">
        <f>IF(OR(NOT(ISNUMBER(D1082)),ABS(D1082-E1082)&gt;$O$3,AND($O$11=1,B1082&lt;$O$12)),1,0)</f>
        <v/>
      </c>
      <c r="I1082">
        <f>IF(H1082=1,NA(),D1082)</f>
        <v/>
      </c>
      <c r="J1082">
        <f>IF(AND(ISNUMBER(D1082),D1082&gt;=$O$4,OR($O$11=0,B1082&gt;=$O$12)),1,0)</f>
        <v/>
      </c>
      <c r="K1082">
        <f>B1082-$O$14</f>
        <v/>
      </c>
    </row>
    <row r="1083">
      <c r="A1083" t="n">
        <v>3243</v>
      </c>
      <c r="B1083" t="n">
        <v>108.1</v>
      </c>
      <c r="C1083" t="inlineStr">
        <is>
          <t>17</t>
        </is>
      </c>
      <c r="D1083" t="n">
        <v>0.17</v>
      </c>
      <c r="E1083">
        <f>MEDIAN(D1063:D1103)</f>
        <v/>
      </c>
      <c r="F1083">
        <f>E1063</f>
        <v/>
      </c>
      <c r="G1083">
        <f>F1083-E1083</f>
        <v/>
      </c>
      <c r="H1083">
        <f>IF(OR(NOT(ISNUMBER(D1083)),ABS(D1083-E1083)&gt;$O$3,AND($O$11=1,B1083&lt;$O$12)),1,0)</f>
        <v/>
      </c>
      <c r="I1083">
        <f>IF(H1083=1,NA(),D1083)</f>
        <v/>
      </c>
      <c r="J1083">
        <f>IF(AND(ISNUMBER(D1083),D1083&gt;=$O$4,OR($O$11=0,B1083&gt;=$O$12)),1,0)</f>
        <v/>
      </c>
      <c r="K1083">
        <f>B1083-$O$14</f>
        <v/>
      </c>
    </row>
    <row r="1084">
      <c r="A1084" t="n">
        <v>3246</v>
      </c>
      <c r="B1084" t="n">
        <v>108.2</v>
      </c>
      <c r="C1084" t="inlineStr">
        <is>
          <t>317</t>
        </is>
      </c>
      <c r="D1084" t="n">
        <v>3.17</v>
      </c>
      <c r="E1084">
        <f>MEDIAN(D1064:D1104)</f>
        <v/>
      </c>
      <c r="F1084">
        <f>E1064</f>
        <v/>
      </c>
      <c r="G1084">
        <f>F1084-E1084</f>
        <v/>
      </c>
      <c r="H1084">
        <f>IF(OR(NOT(ISNUMBER(D1084)),ABS(D1084-E1084)&gt;$O$3,AND($O$11=1,B1084&lt;$O$12)),1,0)</f>
        <v/>
      </c>
      <c r="I1084">
        <f>IF(H1084=1,NA(),D1084)</f>
        <v/>
      </c>
      <c r="J1084">
        <f>IF(AND(ISNUMBER(D1084),D1084&gt;=$O$4,OR($O$11=0,B1084&gt;=$O$12)),1,0)</f>
        <v/>
      </c>
      <c r="K1084">
        <f>B1084-$O$14</f>
        <v/>
      </c>
    </row>
    <row r="1085">
      <c r="A1085" t="n">
        <v>3249</v>
      </c>
      <c r="B1085" t="n">
        <v>108.3</v>
      </c>
      <c r="C1085" t="inlineStr">
        <is>
          <t>?15</t>
        </is>
      </c>
      <c r="E1085">
        <f>MEDIAN(D1065:D1105)</f>
        <v/>
      </c>
      <c r="F1085">
        <f>E1065</f>
        <v/>
      </c>
      <c r="G1085">
        <f>F1085-E1085</f>
        <v/>
      </c>
      <c r="H1085">
        <f>IF(OR(NOT(ISNUMBER(D1085)),ABS(D1085-E1085)&gt;$O$3,AND($O$11=1,B1085&lt;$O$12)),1,0)</f>
        <v/>
      </c>
      <c r="I1085">
        <f>IF(H1085=1,NA(),D1085)</f>
        <v/>
      </c>
      <c r="J1085">
        <f>IF(AND(ISNUMBER(D1085),D1085&gt;=$O$4,OR($O$11=0,B1085&gt;=$O$12)),1,0)</f>
        <v/>
      </c>
      <c r="K1085">
        <f>B1085-$O$14</f>
        <v/>
      </c>
    </row>
    <row r="1086">
      <c r="A1086" t="n">
        <v>3252</v>
      </c>
      <c r="B1086" t="n">
        <v>108.4</v>
      </c>
      <c r="C1086" t="inlineStr">
        <is>
          <t>?16</t>
        </is>
      </c>
      <c r="E1086">
        <f>MEDIAN(D1066:D1106)</f>
        <v/>
      </c>
      <c r="F1086">
        <f>E1066</f>
        <v/>
      </c>
      <c r="G1086">
        <f>F1086-E1086</f>
        <v/>
      </c>
      <c r="H1086">
        <f>IF(OR(NOT(ISNUMBER(D1086)),ABS(D1086-E1086)&gt;$O$3,AND($O$11=1,B1086&lt;$O$12)),1,0)</f>
        <v/>
      </c>
      <c r="I1086">
        <f>IF(H1086=1,NA(),D1086)</f>
        <v/>
      </c>
      <c r="J1086">
        <f>IF(AND(ISNUMBER(D1086),D1086&gt;=$O$4,OR($O$11=0,B1086&gt;=$O$12)),1,0)</f>
        <v/>
      </c>
      <c r="K1086">
        <f>B1086-$O$14</f>
        <v/>
      </c>
    </row>
    <row r="1087">
      <c r="A1087" t="n">
        <v>3255</v>
      </c>
      <c r="B1087" t="n">
        <v>108.5</v>
      </c>
      <c r="C1087" t="inlineStr">
        <is>
          <t>316</t>
        </is>
      </c>
      <c r="D1087" t="n">
        <v>3.16</v>
      </c>
      <c r="E1087">
        <f>MEDIAN(D1067:D1107)</f>
        <v/>
      </c>
      <c r="F1087">
        <f>E1067</f>
        <v/>
      </c>
      <c r="G1087">
        <f>F1087-E1087</f>
        <v/>
      </c>
      <c r="H1087">
        <f>IF(OR(NOT(ISNUMBER(D1087)),ABS(D1087-E1087)&gt;$O$3,AND($O$11=1,B1087&lt;$O$12)),1,0)</f>
        <v/>
      </c>
      <c r="I1087">
        <f>IF(H1087=1,NA(),D1087)</f>
        <v/>
      </c>
      <c r="J1087">
        <f>IF(AND(ISNUMBER(D1087),D1087&gt;=$O$4,OR($O$11=0,B1087&gt;=$O$12)),1,0)</f>
        <v/>
      </c>
      <c r="K1087">
        <f>B1087-$O$14</f>
        <v/>
      </c>
    </row>
    <row r="1088">
      <c r="A1088" t="n">
        <v>3258</v>
      </c>
      <c r="B1088" t="n">
        <v>108.6</v>
      </c>
      <c r="C1088" t="inlineStr">
        <is>
          <t>316</t>
        </is>
      </c>
      <c r="D1088" t="n">
        <v>3.16</v>
      </c>
      <c r="E1088">
        <f>MEDIAN(D1068:D1108)</f>
        <v/>
      </c>
      <c r="F1088">
        <f>E1068</f>
        <v/>
      </c>
      <c r="G1088">
        <f>F1088-E1088</f>
        <v/>
      </c>
      <c r="H1088">
        <f>IF(OR(NOT(ISNUMBER(D1088)),ABS(D1088-E1088)&gt;$O$3,AND($O$11=1,B1088&lt;$O$12)),1,0)</f>
        <v/>
      </c>
      <c r="I1088">
        <f>IF(H1088=1,NA(),D1088)</f>
        <v/>
      </c>
      <c r="J1088">
        <f>IF(AND(ISNUMBER(D1088),D1088&gt;=$O$4,OR($O$11=0,B1088&gt;=$O$12)),1,0)</f>
        <v/>
      </c>
      <c r="K1088">
        <f>B1088-$O$14</f>
        <v/>
      </c>
    </row>
    <row r="1089">
      <c r="A1089" t="n">
        <v>3261</v>
      </c>
      <c r="B1089" t="n">
        <v>108.7</v>
      </c>
      <c r="C1089" t="inlineStr">
        <is>
          <t>?16</t>
        </is>
      </c>
      <c r="E1089">
        <f>MEDIAN(D1069:D1109)</f>
        <v/>
      </c>
      <c r="F1089">
        <f>E1069</f>
        <v/>
      </c>
      <c r="G1089">
        <f>F1089-E1089</f>
        <v/>
      </c>
      <c r="H1089">
        <f>IF(OR(NOT(ISNUMBER(D1089)),ABS(D1089-E1089)&gt;$O$3,AND($O$11=1,B1089&lt;$O$12)),1,0)</f>
        <v/>
      </c>
      <c r="I1089">
        <f>IF(H1089=1,NA(),D1089)</f>
        <v/>
      </c>
      <c r="J1089">
        <f>IF(AND(ISNUMBER(D1089),D1089&gt;=$O$4,OR($O$11=0,B1089&gt;=$O$12)),1,0)</f>
        <v/>
      </c>
      <c r="K1089">
        <f>B1089-$O$14</f>
        <v/>
      </c>
    </row>
    <row r="1090">
      <c r="A1090" t="n">
        <v>3264</v>
      </c>
      <c r="B1090" t="n">
        <v>108.8</v>
      </c>
      <c r="C1090" t="inlineStr">
        <is>
          <t>?15</t>
        </is>
      </c>
      <c r="E1090">
        <f>MEDIAN(D1070:D1110)</f>
        <v/>
      </c>
      <c r="F1090">
        <f>E1070</f>
        <v/>
      </c>
      <c r="G1090">
        <f>F1090-E1090</f>
        <v/>
      </c>
      <c r="H1090">
        <f>IF(OR(NOT(ISNUMBER(D1090)),ABS(D1090-E1090)&gt;$O$3,AND($O$11=1,B1090&lt;$O$12)),1,0)</f>
        <v/>
      </c>
      <c r="I1090">
        <f>IF(H1090=1,NA(),D1090)</f>
        <v/>
      </c>
      <c r="J1090">
        <f>IF(AND(ISNUMBER(D1090),D1090&gt;=$O$4,OR($O$11=0,B1090&gt;=$O$12)),1,0)</f>
        <v/>
      </c>
      <c r="K1090">
        <f>B1090-$O$14</f>
        <v/>
      </c>
    </row>
    <row r="1091">
      <c r="A1091" t="n">
        <v>3267</v>
      </c>
      <c r="B1091" t="n">
        <v>108.9</v>
      </c>
      <c r="C1091" t="inlineStr">
        <is>
          <t>315</t>
        </is>
      </c>
      <c r="D1091" t="n">
        <v>3.15</v>
      </c>
      <c r="E1091">
        <f>MEDIAN(D1071:D1111)</f>
        <v/>
      </c>
      <c r="F1091">
        <f>E1071</f>
        <v/>
      </c>
      <c r="G1091">
        <f>F1091-E1091</f>
        <v/>
      </c>
      <c r="H1091">
        <f>IF(OR(NOT(ISNUMBER(D1091)),ABS(D1091-E1091)&gt;$O$3,AND($O$11=1,B1091&lt;$O$12)),1,0)</f>
        <v/>
      </c>
      <c r="I1091">
        <f>IF(H1091=1,NA(),D1091)</f>
        <v/>
      </c>
      <c r="J1091">
        <f>IF(AND(ISNUMBER(D1091),D1091&gt;=$O$4,OR($O$11=0,B1091&gt;=$O$12)),1,0)</f>
        <v/>
      </c>
      <c r="K1091">
        <f>B1091-$O$14</f>
        <v/>
      </c>
    </row>
    <row r="1092">
      <c r="A1092" t="n">
        <v>3270</v>
      </c>
      <c r="B1092" t="n">
        <v>109</v>
      </c>
      <c r="C1092" t="inlineStr">
        <is>
          <t>315</t>
        </is>
      </c>
      <c r="D1092" t="n">
        <v>3.15</v>
      </c>
      <c r="E1092">
        <f>MEDIAN(D1072:D1112)</f>
        <v/>
      </c>
      <c r="F1092">
        <f>E1072</f>
        <v/>
      </c>
      <c r="G1092">
        <f>F1092-E1092</f>
        <v/>
      </c>
      <c r="H1092">
        <f>IF(OR(NOT(ISNUMBER(D1092)),ABS(D1092-E1092)&gt;$O$3,AND($O$11=1,B1092&lt;$O$12)),1,0)</f>
        <v/>
      </c>
      <c r="I1092">
        <f>IF(H1092=1,NA(),D1092)</f>
        <v/>
      </c>
      <c r="J1092">
        <f>IF(AND(ISNUMBER(D1092),D1092&gt;=$O$4,OR($O$11=0,B1092&gt;=$O$12)),1,0)</f>
        <v/>
      </c>
      <c r="K1092">
        <f>B1092-$O$14</f>
        <v/>
      </c>
    </row>
    <row r="1093">
      <c r="A1093" t="n">
        <v>3273</v>
      </c>
      <c r="B1093" t="n">
        <v>109.1</v>
      </c>
      <c r="C1093" t="inlineStr">
        <is>
          <t>315</t>
        </is>
      </c>
      <c r="D1093" t="n">
        <v>3.15</v>
      </c>
      <c r="E1093">
        <f>MEDIAN(D1073:D1113)</f>
        <v/>
      </c>
      <c r="F1093">
        <f>E1073</f>
        <v/>
      </c>
      <c r="G1093">
        <f>F1093-E1093</f>
        <v/>
      </c>
      <c r="H1093">
        <f>IF(OR(NOT(ISNUMBER(D1093)),ABS(D1093-E1093)&gt;$O$3,AND($O$11=1,B1093&lt;$O$12)),1,0)</f>
        <v/>
      </c>
      <c r="I1093">
        <f>IF(H1093=1,NA(),D1093)</f>
        <v/>
      </c>
      <c r="J1093">
        <f>IF(AND(ISNUMBER(D1093),D1093&gt;=$O$4,OR($O$11=0,B1093&gt;=$O$12)),1,0)</f>
        <v/>
      </c>
      <c r="K1093">
        <f>B1093-$O$14</f>
        <v/>
      </c>
    </row>
    <row r="1094">
      <c r="A1094" t="n">
        <v>3276</v>
      </c>
      <c r="B1094" t="n">
        <v>109.2</v>
      </c>
      <c r="C1094" t="inlineStr">
        <is>
          <t>315</t>
        </is>
      </c>
      <c r="D1094" t="n">
        <v>3.15</v>
      </c>
      <c r="E1094">
        <f>MEDIAN(D1074:D1114)</f>
        <v/>
      </c>
      <c r="F1094">
        <f>E1074</f>
        <v/>
      </c>
      <c r="G1094">
        <f>F1094-E1094</f>
        <v/>
      </c>
      <c r="H1094">
        <f>IF(OR(NOT(ISNUMBER(D1094)),ABS(D1094-E1094)&gt;$O$3,AND($O$11=1,B1094&lt;$O$12)),1,0)</f>
        <v/>
      </c>
      <c r="I1094">
        <f>IF(H1094=1,NA(),D1094)</f>
        <v/>
      </c>
      <c r="J1094">
        <f>IF(AND(ISNUMBER(D1094),D1094&gt;=$O$4,OR($O$11=0,B1094&gt;=$O$12)),1,0)</f>
        <v/>
      </c>
      <c r="K1094">
        <f>B1094-$O$14</f>
        <v/>
      </c>
    </row>
    <row r="1095">
      <c r="A1095" t="n">
        <v>3279</v>
      </c>
      <c r="B1095" t="n">
        <v>109.3</v>
      </c>
      <c r="C1095" t="inlineStr">
        <is>
          <t>45</t>
        </is>
      </c>
      <c r="D1095" t="n">
        <v>0.45</v>
      </c>
      <c r="E1095">
        <f>MEDIAN(D1075:D1115)</f>
        <v/>
      </c>
      <c r="F1095">
        <f>E1075</f>
        <v/>
      </c>
      <c r="G1095">
        <f>F1095-E1095</f>
        <v/>
      </c>
      <c r="H1095">
        <f>IF(OR(NOT(ISNUMBER(D1095)),ABS(D1095-E1095)&gt;$O$3,AND($O$11=1,B1095&lt;$O$12)),1,0)</f>
        <v/>
      </c>
      <c r="I1095">
        <f>IF(H1095=1,NA(),D1095)</f>
        <v/>
      </c>
      <c r="J1095">
        <f>IF(AND(ISNUMBER(D1095),D1095&gt;=$O$4,OR($O$11=0,B1095&gt;=$O$12)),1,0)</f>
        <v/>
      </c>
      <c r="K1095">
        <f>B1095-$O$14</f>
        <v/>
      </c>
    </row>
    <row r="1096">
      <c r="A1096" t="n">
        <v>3282</v>
      </c>
      <c r="B1096" t="n">
        <v>109.4</v>
      </c>
      <c r="C1096" t="inlineStr">
        <is>
          <t>326</t>
        </is>
      </c>
      <c r="D1096" t="n">
        <v>3.26</v>
      </c>
      <c r="E1096">
        <f>MEDIAN(D1076:D1116)</f>
        <v/>
      </c>
      <c r="F1096">
        <f>E1076</f>
        <v/>
      </c>
      <c r="G1096">
        <f>F1096-E1096</f>
        <v/>
      </c>
      <c r="H1096">
        <f>IF(OR(NOT(ISNUMBER(D1096)),ABS(D1096-E1096)&gt;$O$3,AND($O$11=1,B1096&lt;$O$12)),1,0)</f>
        <v/>
      </c>
      <c r="I1096">
        <f>IF(H1096=1,NA(),D1096)</f>
        <v/>
      </c>
      <c r="J1096">
        <f>IF(AND(ISNUMBER(D1096),D1096&gt;=$O$4,OR($O$11=0,B1096&gt;=$O$12)),1,0)</f>
        <v/>
      </c>
      <c r="K1096">
        <f>B1096-$O$14</f>
        <v/>
      </c>
    </row>
    <row r="1097">
      <c r="A1097" t="n">
        <v>3285</v>
      </c>
      <c r="B1097" t="n">
        <v>109.5</v>
      </c>
      <c r="C1097" t="inlineStr">
        <is>
          <t>3</t>
        </is>
      </c>
      <c r="D1097" t="n">
        <v>0.03</v>
      </c>
      <c r="E1097">
        <f>MEDIAN(D1077:D1117)</f>
        <v/>
      </c>
      <c r="F1097">
        <f>E1077</f>
        <v/>
      </c>
      <c r="G1097">
        <f>F1097-E1097</f>
        <v/>
      </c>
      <c r="H1097">
        <f>IF(OR(NOT(ISNUMBER(D1097)),ABS(D1097-E1097)&gt;$O$3,AND($O$11=1,B1097&lt;$O$12)),1,0)</f>
        <v/>
      </c>
      <c r="I1097">
        <f>IF(H1097=1,NA(),D1097)</f>
        <v/>
      </c>
      <c r="J1097">
        <f>IF(AND(ISNUMBER(D1097),D1097&gt;=$O$4,OR($O$11=0,B1097&gt;=$O$12)),1,0)</f>
        <v/>
      </c>
      <c r="K1097">
        <f>B1097-$O$14</f>
        <v/>
      </c>
    </row>
    <row r="1098">
      <c r="A1098" t="n">
        <v>3288</v>
      </c>
      <c r="B1098" t="n">
        <v>109.6</v>
      </c>
      <c r="C1098" t="inlineStr">
        <is>
          <t>323</t>
        </is>
      </c>
      <c r="D1098" t="n">
        <v>3.23</v>
      </c>
      <c r="E1098">
        <f>MEDIAN(D1078:D1118)</f>
        <v/>
      </c>
      <c r="F1098">
        <f>E1078</f>
        <v/>
      </c>
      <c r="G1098">
        <f>F1098-E1098</f>
        <v/>
      </c>
      <c r="H1098">
        <f>IF(OR(NOT(ISNUMBER(D1098)),ABS(D1098-E1098)&gt;$O$3,AND($O$11=1,B1098&lt;$O$12)),1,0)</f>
        <v/>
      </c>
      <c r="I1098">
        <f>IF(H1098=1,NA(),D1098)</f>
        <v/>
      </c>
      <c r="J1098">
        <f>IF(AND(ISNUMBER(D1098),D1098&gt;=$O$4,OR($O$11=0,B1098&gt;=$O$12)),1,0)</f>
        <v/>
      </c>
      <c r="K1098">
        <f>B1098-$O$14</f>
        <v/>
      </c>
    </row>
    <row r="1099">
      <c r="A1099" t="n">
        <v>3291</v>
      </c>
      <c r="B1099" t="n">
        <v>109.7</v>
      </c>
      <c r="C1099" t="inlineStr">
        <is>
          <t>?3</t>
        </is>
      </c>
      <c r="E1099">
        <f>MEDIAN(D1079:D1119)</f>
        <v/>
      </c>
      <c r="F1099">
        <f>E1079</f>
        <v/>
      </c>
      <c r="G1099">
        <f>F1099-E1099</f>
        <v/>
      </c>
      <c r="H1099">
        <f>IF(OR(NOT(ISNUMBER(D1099)),ABS(D1099-E1099)&gt;$O$3,AND($O$11=1,B1099&lt;$O$12)),1,0)</f>
        <v/>
      </c>
      <c r="I1099">
        <f>IF(H1099=1,NA(),D1099)</f>
        <v/>
      </c>
      <c r="J1099">
        <f>IF(AND(ISNUMBER(D1099),D1099&gt;=$O$4,OR($O$11=0,B1099&gt;=$O$12)),1,0)</f>
        <v/>
      </c>
      <c r="K1099">
        <f>B1099-$O$14</f>
        <v/>
      </c>
    </row>
    <row r="1100">
      <c r="A1100" t="n">
        <v>3294</v>
      </c>
      <c r="B1100" t="n">
        <v>109.8</v>
      </c>
      <c r="C1100" t="inlineStr">
        <is>
          <t>323</t>
        </is>
      </c>
      <c r="D1100" t="n">
        <v>3.23</v>
      </c>
      <c r="E1100">
        <f>MEDIAN(D1080:D1120)</f>
        <v/>
      </c>
      <c r="F1100">
        <f>E1080</f>
        <v/>
      </c>
      <c r="G1100">
        <f>F1100-E1100</f>
        <v/>
      </c>
      <c r="H1100">
        <f>IF(OR(NOT(ISNUMBER(D1100)),ABS(D1100-E1100)&gt;$O$3,AND($O$11=1,B1100&lt;$O$12)),1,0)</f>
        <v/>
      </c>
      <c r="I1100">
        <f>IF(H1100=1,NA(),D1100)</f>
        <v/>
      </c>
      <c r="J1100">
        <f>IF(AND(ISNUMBER(D1100),D1100&gt;=$O$4,OR($O$11=0,B1100&gt;=$O$12)),1,0)</f>
        <v/>
      </c>
      <c r="K1100">
        <f>B1100-$O$14</f>
        <v/>
      </c>
    </row>
    <row r="1101">
      <c r="A1101" t="n">
        <v>3297</v>
      </c>
      <c r="B1101" t="n">
        <v>109.9</v>
      </c>
      <c r="C1101" t="inlineStr">
        <is>
          <t>323</t>
        </is>
      </c>
      <c r="D1101" t="n">
        <v>3.23</v>
      </c>
      <c r="E1101">
        <f>MEDIAN(D1081:D1121)</f>
        <v/>
      </c>
      <c r="F1101">
        <f>E1081</f>
        <v/>
      </c>
      <c r="G1101">
        <f>F1101-E1101</f>
        <v/>
      </c>
      <c r="H1101">
        <f>IF(OR(NOT(ISNUMBER(D1101)),ABS(D1101-E1101)&gt;$O$3,AND($O$11=1,B1101&lt;$O$12)),1,0)</f>
        <v/>
      </c>
      <c r="I1101">
        <f>IF(H1101=1,NA(),D1101)</f>
        <v/>
      </c>
      <c r="J1101">
        <f>IF(AND(ISNUMBER(D1101),D1101&gt;=$O$4,OR($O$11=0,B1101&gt;=$O$12)),1,0)</f>
        <v/>
      </c>
      <c r="K1101">
        <f>B1101-$O$14</f>
        <v/>
      </c>
    </row>
    <row r="1102">
      <c r="A1102" t="n">
        <v>3300</v>
      </c>
      <c r="B1102" t="n">
        <v>110</v>
      </c>
      <c r="C1102" t="inlineStr">
        <is>
          <t>323</t>
        </is>
      </c>
      <c r="D1102" t="n">
        <v>3.23</v>
      </c>
      <c r="E1102">
        <f>MEDIAN(D1082:D1122)</f>
        <v/>
      </c>
      <c r="F1102">
        <f>E1082</f>
        <v/>
      </c>
      <c r="G1102">
        <f>F1102-E1102</f>
        <v/>
      </c>
      <c r="H1102">
        <f>IF(OR(NOT(ISNUMBER(D1102)),ABS(D1102-E1102)&gt;$O$3,AND($O$11=1,B1102&lt;$O$12)),1,0)</f>
        <v/>
      </c>
      <c r="I1102">
        <f>IF(H1102=1,NA(),D1102)</f>
        <v/>
      </c>
      <c r="J1102">
        <f>IF(AND(ISNUMBER(D1102),D1102&gt;=$O$4,OR($O$11=0,B1102&gt;=$O$12)),1,0)</f>
        <v/>
      </c>
      <c r="K1102">
        <f>B1102-$O$14</f>
        <v/>
      </c>
    </row>
    <row r="1103">
      <c r="A1103" t="n">
        <v>3303</v>
      </c>
      <c r="B1103" t="n">
        <v>110.1</v>
      </c>
      <c r="C1103" t="inlineStr">
        <is>
          <t>323</t>
        </is>
      </c>
      <c r="D1103" t="n">
        <v>3.23</v>
      </c>
      <c r="E1103">
        <f>MEDIAN(D1083:D1123)</f>
        <v/>
      </c>
      <c r="F1103">
        <f>E1083</f>
        <v/>
      </c>
      <c r="G1103">
        <f>F1103-E1103</f>
        <v/>
      </c>
      <c r="H1103">
        <f>IF(OR(NOT(ISNUMBER(D1103)),ABS(D1103-E1103)&gt;$O$3,AND($O$11=1,B1103&lt;$O$12)),1,0)</f>
        <v/>
      </c>
      <c r="I1103">
        <f>IF(H1103=1,NA(),D1103)</f>
        <v/>
      </c>
      <c r="J1103">
        <f>IF(AND(ISNUMBER(D1103),D1103&gt;=$O$4,OR($O$11=0,B1103&gt;=$O$12)),1,0)</f>
        <v/>
      </c>
      <c r="K1103">
        <f>B1103-$O$14</f>
        <v/>
      </c>
    </row>
    <row r="1104">
      <c r="A1104" t="n">
        <v>3306</v>
      </c>
      <c r="B1104" t="n">
        <v>110.2</v>
      </c>
      <c r="C1104" t="inlineStr">
        <is>
          <t>323</t>
        </is>
      </c>
      <c r="D1104" t="n">
        <v>3.23</v>
      </c>
      <c r="E1104">
        <f>MEDIAN(D1084:D1124)</f>
        <v/>
      </c>
      <c r="F1104">
        <f>E1084</f>
        <v/>
      </c>
      <c r="G1104">
        <f>F1104-E1104</f>
        <v/>
      </c>
      <c r="H1104">
        <f>IF(OR(NOT(ISNUMBER(D1104)),ABS(D1104-E1104)&gt;$O$3,AND($O$11=1,B1104&lt;$O$12)),1,0)</f>
        <v/>
      </c>
      <c r="I1104">
        <f>IF(H1104=1,NA(),D1104)</f>
        <v/>
      </c>
      <c r="J1104">
        <f>IF(AND(ISNUMBER(D1104),D1104&gt;=$O$4,OR($O$11=0,B1104&gt;=$O$12)),1,0)</f>
        <v/>
      </c>
      <c r="K1104">
        <f>B1104-$O$14</f>
        <v/>
      </c>
    </row>
    <row r="1105">
      <c r="A1105" t="n">
        <v>3309</v>
      </c>
      <c r="B1105" t="n">
        <v>110.3</v>
      </c>
      <c r="C1105" t="inlineStr">
        <is>
          <t>?3</t>
        </is>
      </c>
      <c r="E1105">
        <f>MEDIAN(D1085:D1125)</f>
        <v/>
      </c>
      <c r="F1105">
        <f>E1085</f>
        <v/>
      </c>
      <c r="G1105">
        <f>F1105-E1105</f>
        <v/>
      </c>
      <c r="H1105">
        <f>IF(OR(NOT(ISNUMBER(D1105)),ABS(D1105-E1105)&gt;$O$3,AND($O$11=1,B1105&lt;$O$12)),1,0)</f>
        <v/>
      </c>
      <c r="I1105">
        <f>IF(H1105=1,NA(),D1105)</f>
        <v/>
      </c>
      <c r="J1105">
        <f>IF(AND(ISNUMBER(D1105),D1105&gt;=$O$4,OR($O$11=0,B1105&gt;=$O$12)),1,0)</f>
        <v/>
      </c>
      <c r="K1105">
        <f>B1105-$O$14</f>
        <v/>
      </c>
    </row>
    <row r="1106">
      <c r="A1106" t="n">
        <v>3312</v>
      </c>
      <c r="B1106" t="n">
        <v>110.4</v>
      </c>
      <c r="C1106" t="inlineStr">
        <is>
          <t>323</t>
        </is>
      </c>
      <c r="D1106" t="n">
        <v>3.23</v>
      </c>
      <c r="E1106">
        <f>MEDIAN(D1086:D1126)</f>
        <v/>
      </c>
      <c r="F1106">
        <f>E1086</f>
        <v/>
      </c>
      <c r="G1106">
        <f>F1106-E1106</f>
        <v/>
      </c>
      <c r="H1106">
        <f>IF(OR(NOT(ISNUMBER(D1106)),ABS(D1106-E1106)&gt;$O$3,AND($O$11=1,B1106&lt;$O$12)),1,0)</f>
        <v/>
      </c>
      <c r="I1106">
        <f>IF(H1106=1,NA(),D1106)</f>
        <v/>
      </c>
      <c r="J1106">
        <f>IF(AND(ISNUMBER(D1106),D1106&gt;=$O$4,OR($O$11=0,B1106&gt;=$O$12)),1,0)</f>
        <v/>
      </c>
      <c r="K1106">
        <f>B1106-$O$14</f>
        <v/>
      </c>
    </row>
    <row r="1107">
      <c r="A1107" t="n">
        <v>3315</v>
      </c>
      <c r="B1107" t="n">
        <v>110.5</v>
      </c>
      <c r="C1107" t="inlineStr">
        <is>
          <t>323</t>
        </is>
      </c>
      <c r="D1107" t="n">
        <v>3.23</v>
      </c>
      <c r="E1107">
        <f>MEDIAN(D1087:D1127)</f>
        <v/>
      </c>
      <c r="F1107">
        <f>E1087</f>
        <v/>
      </c>
      <c r="G1107">
        <f>F1107-E1107</f>
        <v/>
      </c>
      <c r="H1107">
        <f>IF(OR(NOT(ISNUMBER(D1107)),ABS(D1107-E1107)&gt;$O$3,AND($O$11=1,B1107&lt;$O$12)),1,0)</f>
        <v/>
      </c>
      <c r="I1107">
        <f>IF(H1107=1,NA(),D1107)</f>
        <v/>
      </c>
      <c r="J1107">
        <f>IF(AND(ISNUMBER(D1107),D1107&gt;=$O$4,OR($O$11=0,B1107&gt;=$O$12)),1,0)</f>
        <v/>
      </c>
      <c r="K1107">
        <f>B1107-$O$14</f>
        <v/>
      </c>
    </row>
    <row r="1108">
      <c r="A1108" t="n">
        <v>3318</v>
      </c>
      <c r="B1108" t="n">
        <v>110.6</v>
      </c>
      <c r="C1108" t="inlineStr">
        <is>
          <t>?5</t>
        </is>
      </c>
      <c r="E1108">
        <f>MEDIAN(D1088:D1128)</f>
        <v/>
      </c>
      <c r="F1108">
        <f>E1088</f>
        <v/>
      </c>
      <c r="G1108">
        <f>F1108-E1108</f>
        <v/>
      </c>
      <c r="H1108">
        <f>IF(OR(NOT(ISNUMBER(D1108)),ABS(D1108-E1108)&gt;$O$3,AND($O$11=1,B1108&lt;$O$12)),1,0)</f>
        <v/>
      </c>
      <c r="I1108">
        <f>IF(H1108=1,NA(),D1108)</f>
        <v/>
      </c>
      <c r="J1108">
        <f>IF(AND(ISNUMBER(D1108),D1108&gt;=$O$4,OR($O$11=0,B1108&gt;=$O$12)),1,0)</f>
        <v/>
      </c>
      <c r="K1108">
        <f>B1108-$O$14</f>
        <v/>
      </c>
    </row>
    <row r="1109">
      <c r="A1109" t="n">
        <v>3321</v>
      </c>
      <c r="B1109" t="n">
        <v>110.7</v>
      </c>
      <c r="C1109" t="inlineStr">
        <is>
          <t>4</t>
        </is>
      </c>
      <c r="D1109" t="n">
        <v>0.04</v>
      </c>
      <c r="E1109">
        <f>MEDIAN(D1089:D1129)</f>
        <v/>
      </c>
      <c r="F1109">
        <f>E1089</f>
        <v/>
      </c>
      <c r="G1109">
        <f>F1109-E1109</f>
        <v/>
      </c>
      <c r="H1109">
        <f>IF(OR(NOT(ISNUMBER(D1109)),ABS(D1109-E1109)&gt;$O$3,AND($O$11=1,B1109&lt;$O$12)),1,0)</f>
        <v/>
      </c>
      <c r="I1109">
        <f>IF(H1109=1,NA(),D1109)</f>
        <v/>
      </c>
      <c r="J1109">
        <f>IF(AND(ISNUMBER(D1109),D1109&gt;=$O$4,OR($O$11=0,B1109&gt;=$O$12)),1,0)</f>
        <v/>
      </c>
      <c r="K1109">
        <f>B1109-$O$14</f>
        <v/>
      </c>
    </row>
    <row r="1110">
      <c r="A1110" t="n">
        <v>3324</v>
      </c>
      <c r="B1110" t="n">
        <v>110.8</v>
      </c>
      <c r="C1110" t="inlineStr">
        <is>
          <t>?4</t>
        </is>
      </c>
      <c r="E1110">
        <f>MEDIAN(D1090:D1130)</f>
        <v/>
      </c>
      <c r="F1110">
        <f>E1090</f>
        <v/>
      </c>
      <c r="G1110">
        <f>F1110-E1110</f>
        <v/>
      </c>
      <c r="H1110">
        <f>IF(OR(NOT(ISNUMBER(D1110)),ABS(D1110-E1110)&gt;$O$3,AND($O$11=1,B1110&lt;$O$12)),1,0)</f>
        <v/>
      </c>
      <c r="I1110">
        <f>IF(H1110=1,NA(),D1110)</f>
        <v/>
      </c>
      <c r="J1110">
        <f>IF(AND(ISNUMBER(D1110),D1110&gt;=$O$4,OR($O$11=0,B1110&gt;=$O$12)),1,0)</f>
        <v/>
      </c>
      <c r="K1110">
        <f>B1110-$O$14</f>
        <v/>
      </c>
    </row>
    <row r="1111">
      <c r="A1111" t="n">
        <v>3327</v>
      </c>
      <c r="B1111" t="n">
        <v>110.9</v>
      </c>
      <c r="C1111" t="inlineStr">
        <is>
          <t>324</t>
        </is>
      </c>
      <c r="D1111" t="n">
        <v>3.24</v>
      </c>
      <c r="E1111">
        <f>MEDIAN(D1091:D1131)</f>
        <v/>
      </c>
      <c r="F1111">
        <f>E1091</f>
        <v/>
      </c>
      <c r="G1111">
        <f>F1111-E1111</f>
        <v/>
      </c>
      <c r="H1111">
        <f>IF(OR(NOT(ISNUMBER(D1111)),ABS(D1111-E1111)&gt;$O$3,AND($O$11=1,B1111&lt;$O$12)),1,0)</f>
        <v/>
      </c>
      <c r="I1111">
        <f>IF(H1111=1,NA(),D1111)</f>
        <v/>
      </c>
      <c r="J1111">
        <f>IF(AND(ISNUMBER(D1111),D1111&gt;=$O$4,OR($O$11=0,B1111&gt;=$O$12)),1,0)</f>
        <v/>
      </c>
      <c r="K1111">
        <f>B1111-$O$14</f>
        <v/>
      </c>
    </row>
    <row r="1112">
      <c r="A1112" t="n">
        <v>3330</v>
      </c>
      <c r="B1112" t="n">
        <v>111</v>
      </c>
      <c r="C1112" t="inlineStr">
        <is>
          <t>?4</t>
        </is>
      </c>
      <c r="E1112">
        <f>MEDIAN(D1092:D1132)</f>
        <v/>
      </c>
      <c r="F1112">
        <f>E1092</f>
        <v/>
      </c>
      <c r="G1112">
        <f>F1112-E1112</f>
        <v/>
      </c>
      <c r="H1112">
        <f>IF(OR(NOT(ISNUMBER(D1112)),ABS(D1112-E1112)&gt;$O$3,AND($O$11=1,B1112&lt;$O$12)),1,0)</f>
        <v/>
      </c>
      <c r="I1112">
        <f>IF(H1112=1,NA(),D1112)</f>
        <v/>
      </c>
      <c r="J1112">
        <f>IF(AND(ISNUMBER(D1112),D1112&gt;=$O$4,OR($O$11=0,B1112&gt;=$O$12)),1,0)</f>
        <v/>
      </c>
      <c r="K1112">
        <f>B1112-$O$14</f>
        <v/>
      </c>
    </row>
    <row r="1113">
      <c r="A1113" t="n">
        <v>3333</v>
      </c>
      <c r="B1113" t="n">
        <v>111.1</v>
      </c>
      <c r="C1113" t="inlineStr">
        <is>
          <t>324</t>
        </is>
      </c>
      <c r="D1113" t="n">
        <v>3.24</v>
      </c>
      <c r="E1113">
        <f>MEDIAN(D1093:D1133)</f>
        <v/>
      </c>
      <c r="F1113">
        <f>E1093</f>
        <v/>
      </c>
      <c r="G1113">
        <f>F1113-E1113</f>
        <v/>
      </c>
      <c r="H1113">
        <f>IF(OR(NOT(ISNUMBER(D1113)),ABS(D1113-E1113)&gt;$O$3,AND($O$11=1,B1113&lt;$O$12)),1,0)</f>
        <v/>
      </c>
      <c r="I1113">
        <f>IF(H1113=1,NA(),D1113)</f>
        <v/>
      </c>
      <c r="J1113">
        <f>IF(AND(ISNUMBER(D1113),D1113&gt;=$O$4,OR($O$11=0,B1113&gt;=$O$12)),1,0)</f>
        <v/>
      </c>
      <c r="K1113">
        <f>B1113-$O$14</f>
        <v/>
      </c>
    </row>
    <row r="1114">
      <c r="A1114" t="n">
        <v>3336</v>
      </c>
      <c r="B1114" t="n">
        <v>111.2</v>
      </c>
      <c r="C1114" t="inlineStr">
        <is>
          <t>?4</t>
        </is>
      </c>
      <c r="E1114">
        <f>MEDIAN(D1094:D1134)</f>
        <v/>
      </c>
      <c r="F1114">
        <f>E1094</f>
        <v/>
      </c>
      <c r="G1114">
        <f>F1114-E1114</f>
        <v/>
      </c>
      <c r="H1114">
        <f>IF(OR(NOT(ISNUMBER(D1114)),ABS(D1114-E1114)&gt;$O$3,AND($O$11=1,B1114&lt;$O$12)),1,0)</f>
        <v/>
      </c>
      <c r="I1114">
        <f>IF(H1114=1,NA(),D1114)</f>
        <v/>
      </c>
      <c r="J1114">
        <f>IF(AND(ISNUMBER(D1114),D1114&gt;=$O$4,OR($O$11=0,B1114&gt;=$O$12)),1,0)</f>
        <v/>
      </c>
      <c r="K1114">
        <f>B1114-$O$14</f>
        <v/>
      </c>
    </row>
    <row r="1115">
      <c r="A1115" t="n">
        <v>3339</v>
      </c>
      <c r="B1115" t="n">
        <v>111.3</v>
      </c>
      <c r="C1115" t="inlineStr">
        <is>
          <t>4</t>
        </is>
      </c>
      <c r="D1115" t="n">
        <v>0.04</v>
      </c>
      <c r="E1115">
        <f>MEDIAN(D1095:D1135)</f>
        <v/>
      </c>
      <c r="F1115">
        <f>E1095</f>
        <v/>
      </c>
      <c r="G1115">
        <f>F1115-E1115</f>
        <v/>
      </c>
      <c r="H1115">
        <f>IF(OR(NOT(ISNUMBER(D1115)),ABS(D1115-E1115)&gt;$O$3,AND($O$11=1,B1115&lt;$O$12)),1,0)</f>
        <v/>
      </c>
      <c r="I1115">
        <f>IF(H1115=1,NA(),D1115)</f>
        <v/>
      </c>
      <c r="J1115">
        <f>IF(AND(ISNUMBER(D1115),D1115&gt;=$O$4,OR($O$11=0,B1115&gt;=$O$12)),1,0)</f>
        <v/>
      </c>
      <c r="K1115">
        <f>B1115-$O$14</f>
        <v/>
      </c>
    </row>
    <row r="1116">
      <c r="A1116" t="n">
        <v>3342</v>
      </c>
      <c r="B1116" t="n">
        <v>111.4</v>
      </c>
      <c r="C1116" t="inlineStr">
        <is>
          <t>4</t>
        </is>
      </c>
      <c r="D1116" t="n">
        <v>0.04</v>
      </c>
      <c r="E1116">
        <f>MEDIAN(D1096:D1136)</f>
        <v/>
      </c>
      <c r="F1116">
        <f>E1096</f>
        <v/>
      </c>
      <c r="G1116">
        <f>F1116-E1116</f>
        <v/>
      </c>
      <c r="H1116">
        <f>IF(OR(NOT(ISNUMBER(D1116)),ABS(D1116-E1116)&gt;$O$3,AND($O$11=1,B1116&lt;$O$12)),1,0)</f>
        <v/>
      </c>
      <c r="I1116">
        <f>IF(H1116=1,NA(),D1116)</f>
        <v/>
      </c>
      <c r="J1116">
        <f>IF(AND(ISNUMBER(D1116),D1116&gt;=$O$4,OR($O$11=0,B1116&gt;=$O$12)),1,0)</f>
        <v/>
      </c>
      <c r="K1116">
        <f>B1116-$O$14</f>
        <v/>
      </c>
    </row>
    <row r="1117">
      <c r="A1117" t="n">
        <v>3345</v>
      </c>
      <c r="B1117" t="n">
        <v>111.5</v>
      </c>
      <c r="C1117" t="inlineStr">
        <is>
          <t>324</t>
        </is>
      </c>
      <c r="D1117" t="n">
        <v>3.24</v>
      </c>
      <c r="E1117">
        <f>MEDIAN(D1097:D1137)</f>
        <v/>
      </c>
      <c r="F1117">
        <f>E1097</f>
        <v/>
      </c>
      <c r="G1117">
        <f>F1117-E1117</f>
        <v/>
      </c>
      <c r="H1117">
        <f>IF(OR(NOT(ISNUMBER(D1117)),ABS(D1117-E1117)&gt;$O$3,AND($O$11=1,B1117&lt;$O$12)),1,0)</f>
        <v/>
      </c>
      <c r="I1117">
        <f>IF(H1117=1,NA(),D1117)</f>
        <v/>
      </c>
      <c r="J1117">
        <f>IF(AND(ISNUMBER(D1117),D1117&gt;=$O$4,OR($O$11=0,B1117&gt;=$O$12)),1,0)</f>
        <v/>
      </c>
      <c r="K1117">
        <f>B1117-$O$14</f>
        <v/>
      </c>
    </row>
    <row r="1118">
      <c r="A1118" t="n">
        <v>3348</v>
      </c>
      <c r="B1118" t="n">
        <v>111.6</v>
      </c>
      <c r="C1118" t="inlineStr">
        <is>
          <t>?4</t>
        </is>
      </c>
      <c r="E1118">
        <f>MEDIAN(D1098:D1138)</f>
        <v/>
      </c>
      <c r="F1118">
        <f>E1098</f>
        <v/>
      </c>
      <c r="G1118">
        <f>F1118-E1118</f>
        <v/>
      </c>
      <c r="H1118">
        <f>IF(OR(NOT(ISNUMBER(D1118)),ABS(D1118-E1118)&gt;$O$3,AND($O$11=1,B1118&lt;$O$12)),1,0)</f>
        <v/>
      </c>
      <c r="I1118">
        <f>IF(H1118=1,NA(),D1118)</f>
        <v/>
      </c>
      <c r="J1118">
        <f>IF(AND(ISNUMBER(D1118),D1118&gt;=$O$4,OR($O$11=0,B1118&gt;=$O$12)),1,0)</f>
        <v/>
      </c>
      <c r="K1118">
        <f>B1118-$O$14</f>
        <v/>
      </c>
    </row>
    <row r="1119">
      <c r="A1119" t="n">
        <v>3351</v>
      </c>
      <c r="B1119" t="n">
        <v>111.7</v>
      </c>
      <c r="C1119" t="inlineStr">
        <is>
          <t>324</t>
        </is>
      </c>
      <c r="D1119" t="n">
        <v>3.24</v>
      </c>
      <c r="E1119">
        <f>MEDIAN(D1099:D1139)</f>
        <v/>
      </c>
      <c r="F1119">
        <f>E1099</f>
        <v/>
      </c>
      <c r="G1119">
        <f>F1119-E1119</f>
        <v/>
      </c>
      <c r="H1119">
        <f>IF(OR(NOT(ISNUMBER(D1119)),ABS(D1119-E1119)&gt;$O$3,AND($O$11=1,B1119&lt;$O$12)),1,0)</f>
        <v/>
      </c>
      <c r="I1119">
        <f>IF(H1119=1,NA(),D1119)</f>
        <v/>
      </c>
      <c r="J1119">
        <f>IF(AND(ISNUMBER(D1119),D1119&gt;=$O$4,OR($O$11=0,B1119&gt;=$O$12)),1,0)</f>
        <v/>
      </c>
      <c r="K1119">
        <f>B1119-$O$14</f>
        <v/>
      </c>
    </row>
    <row r="1120">
      <c r="A1120" t="n">
        <v>3354</v>
      </c>
      <c r="B1120" t="n">
        <v>111.8</v>
      </c>
      <c r="C1120" t="inlineStr">
        <is>
          <t>?4</t>
        </is>
      </c>
      <c r="E1120">
        <f>MEDIAN(D1100:D1140)</f>
        <v/>
      </c>
      <c r="F1120">
        <f>E1100</f>
        <v/>
      </c>
      <c r="G1120">
        <f>F1120-E1120</f>
        <v/>
      </c>
      <c r="H1120">
        <f>IF(OR(NOT(ISNUMBER(D1120)),ABS(D1120-E1120)&gt;$O$3,AND($O$11=1,B1120&lt;$O$12)),1,0)</f>
        <v/>
      </c>
      <c r="I1120">
        <f>IF(H1120=1,NA(),D1120)</f>
        <v/>
      </c>
      <c r="J1120">
        <f>IF(AND(ISNUMBER(D1120),D1120&gt;=$O$4,OR($O$11=0,B1120&gt;=$O$12)),1,0)</f>
        <v/>
      </c>
      <c r="K1120">
        <f>B1120-$O$14</f>
        <v/>
      </c>
    </row>
    <row r="1121">
      <c r="A1121" t="n">
        <v>3357</v>
      </c>
      <c r="B1121" t="n">
        <v>111.9</v>
      </c>
      <c r="C1121" t="inlineStr">
        <is>
          <t>324</t>
        </is>
      </c>
      <c r="D1121" t="n">
        <v>3.24</v>
      </c>
      <c r="E1121">
        <f>MEDIAN(D1101:D1141)</f>
        <v/>
      </c>
      <c r="F1121">
        <f>E1101</f>
        <v/>
      </c>
      <c r="G1121">
        <f>F1121-E1121</f>
        <v/>
      </c>
      <c r="H1121">
        <f>IF(OR(NOT(ISNUMBER(D1121)),ABS(D1121-E1121)&gt;$O$3,AND($O$11=1,B1121&lt;$O$12)),1,0)</f>
        <v/>
      </c>
      <c r="I1121">
        <f>IF(H1121=1,NA(),D1121)</f>
        <v/>
      </c>
      <c r="J1121">
        <f>IF(AND(ISNUMBER(D1121),D1121&gt;=$O$4,OR($O$11=0,B1121&gt;=$O$12)),1,0)</f>
        <v/>
      </c>
      <c r="K1121">
        <f>B1121-$O$14</f>
        <v/>
      </c>
    </row>
    <row r="1122">
      <c r="A1122" t="n">
        <v>3360</v>
      </c>
      <c r="B1122" t="n">
        <v>112</v>
      </c>
      <c r="C1122" t="inlineStr">
        <is>
          <t>?4</t>
        </is>
      </c>
      <c r="E1122">
        <f>MEDIAN(D1102:D1142)</f>
        <v/>
      </c>
      <c r="F1122">
        <f>E1102</f>
        <v/>
      </c>
      <c r="G1122">
        <f>F1122-E1122</f>
        <v/>
      </c>
      <c r="H1122">
        <f>IF(OR(NOT(ISNUMBER(D1122)),ABS(D1122-E1122)&gt;$O$3,AND($O$11=1,B1122&lt;$O$12)),1,0)</f>
        <v/>
      </c>
      <c r="I1122">
        <f>IF(H1122=1,NA(),D1122)</f>
        <v/>
      </c>
      <c r="J1122">
        <f>IF(AND(ISNUMBER(D1122),D1122&gt;=$O$4,OR($O$11=0,B1122&gt;=$O$12)),1,0)</f>
        <v/>
      </c>
      <c r="K1122">
        <f>B1122-$O$14</f>
        <v/>
      </c>
    </row>
    <row r="1123">
      <c r="A1123" t="n">
        <v>3363</v>
      </c>
      <c r="B1123" t="n">
        <v>112.1</v>
      </c>
      <c r="C1123" t="inlineStr">
        <is>
          <t>324</t>
        </is>
      </c>
      <c r="D1123" t="n">
        <v>3.24</v>
      </c>
      <c r="E1123">
        <f>MEDIAN(D1103:D1143)</f>
        <v/>
      </c>
      <c r="F1123">
        <f>E1103</f>
        <v/>
      </c>
      <c r="G1123">
        <f>F1123-E1123</f>
        <v/>
      </c>
      <c r="H1123">
        <f>IF(OR(NOT(ISNUMBER(D1123)),ABS(D1123-E1123)&gt;$O$3,AND($O$11=1,B1123&lt;$O$12)),1,0)</f>
        <v/>
      </c>
      <c r="I1123">
        <f>IF(H1123=1,NA(),D1123)</f>
        <v/>
      </c>
      <c r="J1123">
        <f>IF(AND(ISNUMBER(D1123),D1123&gt;=$O$4,OR($O$11=0,B1123&gt;=$O$12)),1,0)</f>
        <v/>
      </c>
      <c r="K1123">
        <f>B1123-$O$14</f>
        <v/>
      </c>
    </row>
    <row r="1124">
      <c r="A1124" t="n">
        <v>3366</v>
      </c>
      <c r="B1124" t="n">
        <v>112.2</v>
      </c>
      <c r="C1124" t="inlineStr">
        <is>
          <t>324</t>
        </is>
      </c>
      <c r="D1124" t="n">
        <v>3.24</v>
      </c>
      <c r="E1124">
        <f>MEDIAN(D1104:D1144)</f>
        <v/>
      </c>
      <c r="F1124">
        <f>E1104</f>
        <v/>
      </c>
      <c r="G1124">
        <f>F1124-E1124</f>
        <v/>
      </c>
      <c r="H1124">
        <f>IF(OR(NOT(ISNUMBER(D1124)),ABS(D1124-E1124)&gt;$O$3,AND($O$11=1,B1124&lt;$O$12)),1,0)</f>
        <v/>
      </c>
      <c r="I1124">
        <f>IF(H1124=1,NA(),D1124)</f>
        <v/>
      </c>
      <c r="J1124">
        <f>IF(AND(ISNUMBER(D1124),D1124&gt;=$O$4,OR($O$11=0,B1124&gt;=$O$12)),1,0)</f>
        <v/>
      </c>
      <c r="K1124">
        <f>B1124-$O$14</f>
        <v/>
      </c>
    </row>
    <row r="1125">
      <c r="A1125" t="n">
        <v>3369</v>
      </c>
      <c r="B1125" t="n">
        <v>112.3</v>
      </c>
      <c r="C1125" t="inlineStr">
        <is>
          <t>?4</t>
        </is>
      </c>
      <c r="E1125">
        <f>MEDIAN(D1105:D1145)</f>
        <v/>
      </c>
      <c r="F1125">
        <f>E1105</f>
        <v/>
      </c>
      <c r="G1125">
        <f>F1125-E1125</f>
        <v/>
      </c>
      <c r="H1125">
        <f>IF(OR(NOT(ISNUMBER(D1125)),ABS(D1125-E1125)&gt;$O$3,AND($O$11=1,B1125&lt;$O$12)),1,0)</f>
        <v/>
      </c>
      <c r="I1125">
        <f>IF(H1125=1,NA(),D1125)</f>
        <v/>
      </c>
      <c r="J1125">
        <f>IF(AND(ISNUMBER(D1125),D1125&gt;=$O$4,OR($O$11=0,B1125&gt;=$O$12)),1,0)</f>
        <v/>
      </c>
      <c r="K1125">
        <f>B1125-$O$14</f>
        <v/>
      </c>
    </row>
    <row r="1126">
      <c r="A1126" t="n">
        <v>3372</v>
      </c>
      <c r="B1126" t="n">
        <v>112.4</v>
      </c>
      <c r="C1126" t="inlineStr">
        <is>
          <t>324</t>
        </is>
      </c>
      <c r="D1126" t="n">
        <v>3.24</v>
      </c>
      <c r="E1126">
        <f>MEDIAN(D1106:D1146)</f>
        <v/>
      </c>
      <c r="F1126">
        <f>E1106</f>
        <v/>
      </c>
      <c r="G1126">
        <f>F1126-E1126</f>
        <v/>
      </c>
      <c r="H1126">
        <f>IF(OR(NOT(ISNUMBER(D1126)),ABS(D1126-E1126)&gt;$O$3,AND($O$11=1,B1126&lt;$O$12)),1,0)</f>
        <v/>
      </c>
      <c r="I1126">
        <f>IF(H1126=1,NA(),D1126)</f>
        <v/>
      </c>
      <c r="J1126">
        <f>IF(AND(ISNUMBER(D1126),D1126&gt;=$O$4,OR($O$11=0,B1126&gt;=$O$12)),1,0)</f>
        <v/>
      </c>
      <c r="K1126">
        <f>B1126-$O$14</f>
        <v/>
      </c>
    </row>
    <row r="1127">
      <c r="A1127" t="n">
        <v>3375</v>
      </c>
      <c r="B1127" t="n">
        <v>112.5</v>
      </c>
      <c r="C1127" t="inlineStr">
        <is>
          <t>324</t>
        </is>
      </c>
      <c r="D1127" t="n">
        <v>3.24</v>
      </c>
      <c r="E1127">
        <f>MEDIAN(D1107:D1147)</f>
        <v/>
      </c>
      <c r="F1127">
        <f>E1107</f>
        <v/>
      </c>
      <c r="G1127">
        <f>F1127-E1127</f>
        <v/>
      </c>
      <c r="H1127">
        <f>IF(OR(NOT(ISNUMBER(D1127)),ABS(D1127-E1127)&gt;$O$3,AND($O$11=1,B1127&lt;$O$12)),1,0)</f>
        <v/>
      </c>
      <c r="I1127">
        <f>IF(H1127=1,NA(),D1127)</f>
        <v/>
      </c>
      <c r="J1127">
        <f>IF(AND(ISNUMBER(D1127),D1127&gt;=$O$4,OR($O$11=0,B1127&gt;=$O$12)),1,0)</f>
        <v/>
      </c>
      <c r="K1127">
        <f>B1127-$O$14</f>
        <v/>
      </c>
    </row>
    <row r="1128">
      <c r="A1128" t="n">
        <v>3378</v>
      </c>
      <c r="B1128" t="n">
        <v>112.6</v>
      </c>
      <c r="C1128" t="inlineStr">
        <is>
          <t>?5</t>
        </is>
      </c>
      <c r="E1128">
        <f>MEDIAN(D1108:D1148)</f>
        <v/>
      </c>
      <c r="F1128">
        <f>E1108</f>
        <v/>
      </c>
      <c r="G1128">
        <f>F1128-E1128</f>
        <v/>
      </c>
      <c r="H1128">
        <f>IF(OR(NOT(ISNUMBER(D1128)),ABS(D1128-E1128)&gt;$O$3,AND($O$11=1,B1128&lt;$O$12)),1,0)</f>
        <v/>
      </c>
      <c r="I1128">
        <f>IF(H1128=1,NA(),D1128)</f>
        <v/>
      </c>
      <c r="J1128">
        <f>IF(AND(ISNUMBER(D1128),D1128&gt;=$O$4,OR($O$11=0,B1128&gt;=$O$12)),1,0)</f>
        <v/>
      </c>
      <c r="K1128">
        <f>B1128-$O$14</f>
        <v/>
      </c>
    </row>
    <row r="1129">
      <c r="A1129" t="n">
        <v>3381</v>
      </c>
      <c r="B1129" t="n">
        <v>112.7</v>
      </c>
      <c r="C1129" t="inlineStr">
        <is>
          <t>324</t>
        </is>
      </c>
      <c r="D1129" t="n">
        <v>3.24</v>
      </c>
      <c r="E1129">
        <f>MEDIAN(D1109:D1149)</f>
        <v/>
      </c>
      <c r="F1129">
        <f>E1109</f>
        <v/>
      </c>
      <c r="G1129">
        <f>F1129-E1129</f>
        <v/>
      </c>
      <c r="H1129">
        <f>IF(OR(NOT(ISNUMBER(D1129)),ABS(D1129-E1129)&gt;$O$3,AND($O$11=1,B1129&lt;$O$12)),1,0)</f>
        <v/>
      </c>
      <c r="I1129">
        <f>IF(H1129=1,NA(),D1129)</f>
        <v/>
      </c>
      <c r="J1129">
        <f>IF(AND(ISNUMBER(D1129),D1129&gt;=$O$4,OR($O$11=0,B1129&gt;=$O$12)),1,0)</f>
        <v/>
      </c>
      <c r="K1129">
        <f>B1129-$O$14</f>
        <v/>
      </c>
    </row>
    <row r="1130">
      <c r="A1130" t="n">
        <v>3384</v>
      </c>
      <c r="B1130" t="n">
        <v>112.8</v>
      </c>
      <c r="C1130" t="inlineStr">
        <is>
          <t>324</t>
        </is>
      </c>
      <c r="D1130" t="n">
        <v>3.24</v>
      </c>
      <c r="E1130">
        <f>MEDIAN(D1110:D1150)</f>
        <v/>
      </c>
      <c r="F1130">
        <f>E1110</f>
        <v/>
      </c>
      <c r="G1130">
        <f>F1130-E1130</f>
        <v/>
      </c>
      <c r="H1130">
        <f>IF(OR(NOT(ISNUMBER(D1130)),ABS(D1130-E1130)&gt;$O$3,AND($O$11=1,B1130&lt;$O$12)),1,0)</f>
        <v/>
      </c>
      <c r="I1130">
        <f>IF(H1130=1,NA(),D1130)</f>
        <v/>
      </c>
      <c r="J1130">
        <f>IF(AND(ISNUMBER(D1130),D1130&gt;=$O$4,OR($O$11=0,B1130&gt;=$O$12)),1,0)</f>
        <v/>
      </c>
      <c r="K1130">
        <f>B1130-$O$14</f>
        <v/>
      </c>
    </row>
    <row r="1131">
      <c r="A1131" t="n">
        <v>3387</v>
      </c>
      <c r="B1131" t="n">
        <v>112.9</v>
      </c>
      <c r="C1131" t="inlineStr">
        <is>
          <t>324</t>
        </is>
      </c>
      <c r="D1131" t="n">
        <v>3.24</v>
      </c>
      <c r="E1131">
        <f>MEDIAN(D1111:D1151)</f>
        <v/>
      </c>
      <c r="F1131">
        <f>E1111</f>
        <v/>
      </c>
      <c r="G1131">
        <f>F1131-E1131</f>
        <v/>
      </c>
      <c r="H1131">
        <f>IF(OR(NOT(ISNUMBER(D1131)),ABS(D1131-E1131)&gt;$O$3,AND($O$11=1,B1131&lt;$O$12)),1,0)</f>
        <v/>
      </c>
      <c r="I1131">
        <f>IF(H1131=1,NA(),D1131)</f>
        <v/>
      </c>
      <c r="J1131">
        <f>IF(AND(ISNUMBER(D1131),D1131&gt;=$O$4,OR($O$11=0,B1131&gt;=$O$12)),1,0)</f>
        <v/>
      </c>
      <c r="K1131">
        <f>B1131-$O$14</f>
        <v/>
      </c>
    </row>
    <row r="1132">
      <c r="A1132" t="n">
        <v>3390</v>
      </c>
      <c r="B1132" t="n">
        <v>113</v>
      </c>
      <c r="C1132" t="inlineStr">
        <is>
          <t>324</t>
        </is>
      </c>
      <c r="D1132" t="n">
        <v>3.24</v>
      </c>
      <c r="E1132">
        <f>MEDIAN(D1112:D1152)</f>
        <v/>
      </c>
      <c r="F1132">
        <f>E1112</f>
        <v/>
      </c>
      <c r="G1132">
        <f>F1132-E1132</f>
        <v/>
      </c>
      <c r="H1132">
        <f>IF(OR(NOT(ISNUMBER(D1132)),ABS(D1132-E1132)&gt;$O$3,AND($O$11=1,B1132&lt;$O$12)),1,0)</f>
        <v/>
      </c>
      <c r="I1132">
        <f>IF(H1132=1,NA(),D1132)</f>
        <v/>
      </c>
      <c r="J1132">
        <f>IF(AND(ISNUMBER(D1132),D1132&gt;=$O$4,OR($O$11=0,B1132&gt;=$O$12)),1,0)</f>
        <v/>
      </c>
      <c r="K1132">
        <f>B1132-$O$14</f>
        <v/>
      </c>
    </row>
    <row r="1133">
      <c r="A1133" t="n">
        <v>3393</v>
      </c>
      <c r="B1133" t="n">
        <v>113.1</v>
      </c>
      <c r="C1133" t="inlineStr">
        <is>
          <t>?4</t>
        </is>
      </c>
      <c r="E1133">
        <f>MEDIAN(D1113:D1153)</f>
        <v/>
      </c>
      <c r="F1133">
        <f>E1113</f>
        <v/>
      </c>
      <c r="G1133">
        <f>F1133-E1133</f>
        <v/>
      </c>
      <c r="H1133">
        <f>IF(OR(NOT(ISNUMBER(D1133)),ABS(D1133-E1133)&gt;$O$3,AND($O$11=1,B1133&lt;$O$12)),1,0)</f>
        <v/>
      </c>
      <c r="I1133">
        <f>IF(H1133=1,NA(),D1133)</f>
        <v/>
      </c>
      <c r="J1133">
        <f>IF(AND(ISNUMBER(D1133),D1133&gt;=$O$4,OR($O$11=0,B1133&gt;=$O$12)),1,0)</f>
        <v/>
      </c>
      <c r="K1133">
        <f>B1133-$O$14</f>
        <v/>
      </c>
    </row>
    <row r="1134">
      <c r="A1134" t="n">
        <v>3396</v>
      </c>
      <c r="B1134" t="n">
        <v>113.2</v>
      </c>
      <c r="C1134" t="inlineStr">
        <is>
          <t>4</t>
        </is>
      </c>
      <c r="D1134" t="n">
        <v>0.04</v>
      </c>
      <c r="E1134">
        <f>MEDIAN(D1114:D1154)</f>
        <v/>
      </c>
      <c r="F1134">
        <f>E1114</f>
        <v/>
      </c>
      <c r="G1134">
        <f>F1134-E1134</f>
        <v/>
      </c>
      <c r="H1134">
        <f>IF(OR(NOT(ISNUMBER(D1134)),ABS(D1134-E1134)&gt;$O$3,AND($O$11=1,B1134&lt;$O$12)),1,0)</f>
        <v/>
      </c>
      <c r="I1134">
        <f>IF(H1134=1,NA(),D1134)</f>
        <v/>
      </c>
      <c r="J1134">
        <f>IF(AND(ISNUMBER(D1134),D1134&gt;=$O$4,OR($O$11=0,B1134&gt;=$O$12)),1,0)</f>
        <v/>
      </c>
      <c r="K1134">
        <f>B1134-$O$14</f>
        <v/>
      </c>
    </row>
    <row r="1135">
      <c r="A1135" t="n">
        <v>3399</v>
      </c>
      <c r="B1135" t="n">
        <v>113.3</v>
      </c>
      <c r="C1135" t="inlineStr">
        <is>
          <t>324</t>
        </is>
      </c>
      <c r="D1135" t="n">
        <v>3.24</v>
      </c>
      <c r="E1135">
        <f>MEDIAN(D1115:D1155)</f>
        <v/>
      </c>
      <c r="F1135">
        <f>E1115</f>
        <v/>
      </c>
      <c r="G1135">
        <f>F1135-E1135</f>
        <v/>
      </c>
      <c r="H1135">
        <f>IF(OR(NOT(ISNUMBER(D1135)),ABS(D1135-E1135)&gt;$O$3,AND($O$11=1,B1135&lt;$O$12)),1,0)</f>
        <v/>
      </c>
      <c r="I1135">
        <f>IF(H1135=1,NA(),D1135)</f>
        <v/>
      </c>
      <c r="J1135">
        <f>IF(AND(ISNUMBER(D1135),D1135&gt;=$O$4,OR($O$11=0,B1135&gt;=$O$12)),1,0)</f>
        <v/>
      </c>
      <c r="K1135">
        <f>B1135-$O$14</f>
        <v/>
      </c>
    </row>
    <row r="1136">
      <c r="A1136" t="n">
        <v>3402</v>
      </c>
      <c r="B1136" t="n">
        <v>113.4</v>
      </c>
      <c r="C1136" t="inlineStr">
        <is>
          <t>324</t>
        </is>
      </c>
      <c r="D1136" t="n">
        <v>3.24</v>
      </c>
      <c r="E1136">
        <f>MEDIAN(D1116:D1156)</f>
        <v/>
      </c>
      <c r="F1136">
        <f>E1116</f>
        <v/>
      </c>
      <c r="G1136">
        <f>F1136-E1136</f>
        <v/>
      </c>
      <c r="H1136">
        <f>IF(OR(NOT(ISNUMBER(D1136)),ABS(D1136-E1136)&gt;$O$3,AND($O$11=1,B1136&lt;$O$12)),1,0)</f>
        <v/>
      </c>
      <c r="I1136">
        <f>IF(H1136=1,NA(),D1136)</f>
        <v/>
      </c>
      <c r="J1136">
        <f>IF(AND(ISNUMBER(D1136),D1136&gt;=$O$4,OR($O$11=0,B1136&gt;=$O$12)),1,0)</f>
        <v/>
      </c>
      <c r="K1136">
        <f>B1136-$O$14</f>
        <v/>
      </c>
    </row>
    <row r="1137">
      <c r="A1137" t="n">
        <v>3405</v>
      </c>
      <c r="B1137" t="n">
        <v>113.5</v>
      </c>
      <c r="C1137" t="inlineStr">
        <is>
          <t>4</t>
        </is>
      </c>
      <c r="D1137" t="n">
        <v>0.04</v>
      </c>
      <c r="E1137">
        <f>MEDIAN(D1117:D1157)</f>
        <v/>
      </c>
      <c r="F1137">
        <f>E1117</f>
        <v/>
      </c>
      <c r="G1137">
        <f>F1137-E1137</f>
        <v/>
      </c>
      <c r="H1137">
        <f>IF(OR(NOT(ISNUMBER(D1137)),ABS(D1137-E1137)&gt;$O$3,AND($O$11=1,B1137&lt;$O$12)),1,0)</f>
        <v/>
      </c>
      <c r="I1137">
        <f>IF(H1137=1,NA(),D1137)</f>
        <v/>
      </c>
      <c r="J1137">
        <f>IF(AND(ISNUMBER(D1137),D1137&gt;=$O$4,OR($O$11=0,B1137&gt;=$O$12)),1,0)</f>
        <v/>
      </c>
      <c r="K1137">
        <f>B1137-$O$14</f>
        <v/>
      </c>
    </row>
    <row r="1138">
      <c r="A1138" t="n">
        <v>3408</v>
      </c>
      <c r="B1138" t="n">
        <v>113.6</v>
      </c>
      <c r="C1138" t="inlineStr">
        <is>
          <t>323</t>
        </is>
      </c>
      <c r="D1138" t="n">
        <v>3.23</v>
      </c>
      <c r="E1138">
        <f>MEDIAN(D1118:D1158)</f>
        <v/>
      </c>
      <c r="F1138">
        <f>E1118</f>
        <v/>
      </c>
      <c r="G1138">
        <f>F1138-E1138</f>
        <v/>
      </c>
      <c r="H1138">
        <f>IF(OR(NOT(ISNUMBER(D1138)),ABS(D1138-E1138)&gt;$O$3,AND($O$11=1,B1138&lt;$O$12)),1,0)</f>
        <v/>
      </c>
      <c r="I1138">
        <f>IF(H1138=1,NA(),D1138)</f>
        <v/>
      </c>
      <c r="J1138">
        <f>IF(AND(ISNUMBER(D1138),D1138&gt;=$O$4,OR($O$11=0,B1138&gt;=$O$12)),1,0)</f>
        <v/>
      </c>
      <c r="K1138">
        <f>B1138-$O$14</f>
        <v/>
      </c>
    </row>
    <row r="1139">
      <c r="A1139" t="n">
        <v>3411</v>
      </c>
      <c r="B1139" t="n">
        <v>113.7</v>
      </c>
      <c r="C1139" t="inlineStr">
        <is>
          <t>?3</t>
        </is>
      </c>
      <c r="E1139">
        <f>MEDIAN(D1119:D1159)</f>
        <v/>
      </c>
      <c r="F1139">
        <f>E1119</f>
        <v/>
      </c>
      <c r="G1139">
        <f>F1139-E1139</f>
        <v/>
      </c>
      <c r="H1139">
        <f>IF(OR(NOT(ISNUMBER(D1139)),ABS(D1139-E1139)&gt;$O$3,AND($O$11=1,B1139&lt;$O$12)),1,0)</f>
        <v/>
      </c>
      <c r="I1139">
        <f>IF(H1139=1,NA(),D1139)</f>
        <v/>
      </c>
      <c r="J1139">
        <f>IF(AND(ISNUMBER(D1139),D1139&gt;=$O$4,OR($O$11=0,B1139&gt;=$O$12)),1,0)</f>
        <v/>
      </c>
      <c r="K1139">
        <f>B1139-$O$14</f>
        <v/>
      </c>
    </row>
    <row r="1140">
      <c r="A1140" t="n">
        <v>3414</v>
      </c>
      <c r="B1140" t="n">
        <v>113.8</v>
      </c>
      <c r="C1140" t="inlineStr">
        <is>
          <t>?3</t>
        </is>
      </c>
      <c r="E1140">
        <f>MEDIAN(D1120:D1160)</f>
        <v/>
      </c>
      <c r="F1140">
        <f>E1120</f>
        <v/>
      </c>
      <c r="G1140">
        <f>F1140-E1140</f>
        <v/>
      </c>
      <c r="H1140">
        <f>IF(OR(NOT(ISNUMBER(D1140)),ABS(D1140-E1140)&gt;$O$3,AND($O$11=1,B1140&lt;$O$12)),1,0)</f>
        <v/>
      </c>
      <c r="I1140">
        <f>IF(H1140=1,NA(),D1140)</f>
        <v/>
      </c>
      <c r="J1140">
        <f>IF(AND(ISNUMBER(D1140),D1140&gt;=$O$4,OR($O$11=0,B1140&gt;=$O$12)),1,0)</f>
        <v/>
      </c>
      <c r="K1140">
        <f>B1140-$O$14</f>
        <v/>
      </c>
    </row>
    <row r="1141">
      <c r="A1141" t="n">
        <v>3417</v>
      </c>
      <c r="B1141" t="n">
        <v>113.9</v>
      </c>
      <c r="C1141" t="inlineStr">
        <is>
          <t>?3</t>
        </is>
      </c>
      <c r="E1141">
        <f>MEDIAN(D1121:D1161)</f>
        <v/>
      </c>
      <c r="F1141">
        <f>E1121</f>
        <v/>
      </c>
      <c r="G1141">
        <f>F1141-E1141</f>
        <v/>
      </c>
      <c r="H1141">
        <f>IF(OR(NOT(ISNUMBER(D1141)),ABS(D1141-E1141)&gt;$O$3,AND($O$11=1,B1141&lt;$O$12)),1,0)</f>
        <v/>
      </c>
      <c r="I1141">
        <f>IF(H1141=1,NA(),D1141)</f>
        <v/>
      </c>
      <c r="J1141">
        <f>IF(AND(ISNUMBER(D1141),D1141&gt;=$O$4,OR($O$11=0,B1141&gt;=$O$12)),1,0)</f>
        <v/>
      </c>
      <c r="K1141">
        <f>B1141-$O$14</f>
        <v/>
      </c>
    </row>
    <row r="1142">
      <c r="A1142" t="n">
        <v>3420</v>
      </c>
      <c r="B1142" t="n">
        <v>114</v>
      </c>
      <c r="C1142" t="inlineStr">
        <is>
          <t>?3</t>
        </is>
      </c>
      <c r="E1142">
        <f>MEDIAN(D1122:D1162)</f>
        <v/>
      </c>
      <c r="F1142">
        <f>E1122</f>
        <v/>
      </c>
      <c r="G1142">
        <f>F1142-E1142</f>
        <v/>
      </c>
      <c r="H1142">
        <f>IF(OR(NOT(ISNUMBER(D1142)),ABS(D1142-E1142)&gt;$O$3,AND($O$11=1,B1142&lt;$O$12)),1,0)</f>
        <v/>
      </c>
      <c r="I1142">
        <f>IF(H1142=1,NA(),D1142)</f>
        <v/>
      </c>
      <c r="J1142">
        <f>IF(AND(ISNUMBER(D1142),D1142&gt;=$O$4,OR($O$11=0,B1142&gt;=$O$12)),1,0)</f>
        <v/>
      </c>
      <c r="K1142">
        <f>B1142-$O$14</f>
        <v/>
      </c>
    </row>
    <row r="1143">
      <c r="A1143" t="n">
        <v>3423</v>
      </c>
      <c r="B1143" t="n">
        <v>114.1</v>
      </c>
      <c r="C1143" t="inlineStr">
        <is>
          <t>323</t>
        </is>
      </c>
      <c r="D1143" t="n">
        <v>3.23</v>
      </c>
      <c r="E1143">
        <f>MEDIAN(D1123:D1163)</f>
        <v/>
      </c>
      <c r="F1143">
        <f>E1123</f>
        <v/>
      </c>
      <c r="G1143">
        <f>F1143-E1143</f>
        <v/>
      </c>
      <c r="H1143">
        <f>IF(OR(NOT(ISNUMBER(D1143)),ABS(D1143-E1143)&gt;$O$3,AND($O$11=1,B1143&lt;$O$12)),1,0)</f>
        <v/>
      </c>
      <c r="I1143">
        <f>IF(H1143=1,NA(),D1143)</f>
        <v/>
      </c>
      <c r="J1143">
        <f>IF(AND(ISNUMBER(D1143),D1143&gt;=$O$4,OR($O$11=0,B1143&gt;=$O$12)),1,0)</f>
        <v/>
      </c>
      <c r="K1143">
        <f>B1143-$O$14</f>
        <v/>
      </c>
    </row>
    <row r="1144">
      <c r="A1144" t="n">
        <v>3426</v>
      </c>
      <c r="B1144" t="n">
        <v>114.2</v>
      </c>
      <c r="C1144" t="inlineStr">
        <is>
          <t>3</t>
        </is>
      </c>
      <c r="D1144" t="n">
        <v>0.03</v>
      </c>
      <c r="E1144">
        <f>MEDIAN(D1124:D1164)</f>
        <v/>
      </c>
      <c r="F1144">
        <f>E1124</f>
        <v/>
      </c>
      <c r="G1144">
        <f>F1144-E1144</f>
        <v/>
      </c>
      <c r="H1144">
        <f>IF(OR(NOT(ISNUMBER(D1144)),ABS(D1144-E1144)&gt;$O$3,AND($O$11=1,B1144&lt;$O$12)),1,0)</f>
        <v/>
      </c>
      <c r="I1144">
        <f>IF(H1144=1,NA(),D1144)</f>
        <v/>
      </c>
      <c r="J1144">
        <f>IF(AND(ISNUMBER(D1144),D1144&gt;=$O$4,OR($O$11=0,B1144&gt;=$O$12)),1,0)</f>
        <v/>
      </c>
      <c r="K1144">
        <f>B1144-$O$14</f>
        <v/>
      </c>
    </row>
    <row r="1145">
      <c r="A1145" t="n">
        <v>3429</v>
      </c>
      <c r="B1145" t="n">
        <v>114.3</v>
      </c>
      <c r="C1145" t="inlineStr">
        <is>
          <t>323</t>
        </is>
      </c>
      <c r="D1145" t="n">
        <v>3.23</v>
      </c>
      <c r="E1145">
        <f>MEDIAN(D1125:D1165)</f>
        <v/>
      </c>
      <c r="F1145">
        <f>E1125</f>
        <v/>
      </c>
      <c r="G1145">
        <f>F1145-E1145</f>
        <v/>
      </c>
      <c r="H1145">
        <f>IF(OR(NOT(ISNUMBER(D1145)),ABS(D1145-E1145)&gt;$O$3,AND($O$11=1,B1145&lt;$O$12)),1,0)</f>
        <v/>
      </c>
      <c r="I1145">
        <f>IF(H1145=1,NA(),D1145)</f>
        <v/>
      </c>
      <c r="J1145">
        <f>IF(AND(ISNUMBER(D1145),D1145&gt;=$O$4,OR($O$11=0,B1145&gt;=$O$12)),1,0)</f>
        <v/>
      </c>
      <c r="K1145">
        <f>B1145-$O$14</f>
        <v/>
      </c>
    </row>
    <row r="1146">
      <c r="A1146" t="n">
        <v>3432</v>
      </c>
      <c r="B1146" t="n">
        <v>114.4</v>
      </c>
      <c r="C1146" t="inlineStr">
        <is>
          <t>?3</t>
        </is>
      </c>
      <c r="E1146">
        <f>MEDIAN(D1126:D1166)</f>
        <v/>
      </c>
      <c r="F1146">
        <f>E1126</f>
        <v/>
      </c>
      <c r="G1146">
        <f>F1146-E1146</f>
        <v/>
      </c>
      <c r="H1146">
        <f>IF(OR(NOT(ISNUMBER(D1146)),ABS(D1146-E1146)&gt;$O$3,AND($O$11=1,B1146&lt;$O$12)),1,0)</f>
        <v/>
      </c>
      <c r="I1146">
        <f>IF(H1146=1,NA(),D1146)</f>
        <v/>
      </c>
      <c r="J1146">
        <f>IF(AND(ISNUMBER(D1146),D1146&gt;=$O$4,OR($O$11=0,B1146&gt;=$O$12)),1,0)</f>
        <v/>
      </c>
      <c r="K1146">
        <f>B1146-$O$14</f>
        <v/>
      </c>
    </row>
    <row r="1147">
      <c r="A1147" t="n">
        <v>3435</v>
      </c>
      <c r="B1147" t="n">
        <v>114.5</v>
      </c>
      <c r="C1147" t="inlineStr">
        <is>
          <t>3</t>
        </is>
      </c>
      <c r="D1147" t="n">
        <v>0.03</v>
      </c>
      <c r="E1147">
        <f>MEDIAN(D1127:D1167)</f>
        <v/>
      </c>
      <c r="F1147">
        <f>E1127</f>
        <v/>
      </c>
      <c r="G1147">
        <f>F1147-E1147</f>
        <v/>
      </c>
      <c r="H1147">
        <f>IF(OR(NOT(ISNUMBER(D1147)),ABS(D1147-E1147)&gt;$O$3,AND($O$11=1,B1147&lt;$O$12)),1,0)</f>
        <v/>
      </c>
      <c r="I1147">
        <f>IF(H1147=1,NA(),D1147)</f>
        <v/>
      </c>
      <c r="J1147">
        <f>IF(AND(ISNUMBER(D1147),D1147&gt;=$O$4,OR($O$11=0,B1147&gt;=$O$12)),1,0)</f>
        <v/>
      </c>
      <c r="K1147">
        <f>B1147-$O$14</f>
        <v/>
      </c>
    </row>
    <row r="1148">
      <c r="A1148" t="n">
        <v>3438</v>
      </c>
      <c r="B1148" t="n">
        <v>114.6</v>
      </c>
      <c r="C1148" t="inlineStr">
        <is>
          <t>323</t>
        </is>
      </c>
      <c r="D1148" t="n">
        <v>3.23</v>
      </c>
      <c r="E1148">
        <f>MEDIAN(D1128:D1168)</f>
        <v/>
      </c>
      <c r="F1148">
        <f>E1128</f>
        <v/>
      </c>
      <c r="G1148">
        <f>F1148-E1148</f>
        <v/>
      </c>
      <c r="H1148">
        <f>IF(OR(NOT(ISNUMBER(D1148)),ABS(D1148-E1148)&gt;$O$3,AND($O$11=1,B1148&lt;$O$12)),1,0)</f>
        <v/>
      </c>
      <c r="I1148">
        <f>IF(H1148=1,NA(),D1148)</f>
        <v/>
      </c>
      <c r="J1148">
        <f>IF(AND(ISNUMBER(D1148),D1148&gt;=$O$4,OR($O$11=0,B1148&gt;=$O$12)),1,0)</f>
        <v/>
      </c>
      <c r="K1148">
        <f>B1148-$O$14</f>
        <v/>
      </c>
    </row>
    <row r="1149">
      <c r="A1149" t="n">
        <v>3441</v>
      </c>
      <c r="B1149" t="n">
        <v>114.7</v>
      </c>
      <c r="C1149" t="inlineStr">
        <is>
          <t>?3</t>
        </is>
      </c>
      <c r="E1149">
        <f>MEDIAN(D1129:D1169)</f>
        <v/>
      </c>
      <c r="F1149">
        <f>E1129</f>
        <v/>
      </c>
      <c r="G1149">
        <f>F1149-E1149</f>
        <v/>
      </c>
      <c r="H1149">
        <f>IF(OR(NOT(ISNUMBER(D1149)),ABS(D1149-E1149)&gt;$O$3,AND($O$11=1,B1149&lt;$O$12)),1,0)</f>
        <v/>
      </c>
      <c r="I1149">
        <f>IF(H1149=1,NA(),D1149)</f>
        <v/>
      </c>
      <c r="J1149">
        <f>IF(AND(ISNUMBER(D1149),D1149&gt;=$O$4,OR($O$11=0,B1149&gt;=$O$12)),1,0)</f>
        <v/>
      </c>
      <c r="K1149">
        <f>B1149-$O$14</f>
        <v/>
      </c>
    </row>
    <row r="1150">
      <c r="A1150" t="n">
        <v>3444</v>
      </c>
      <c r="B1150" t="n">
        <v>114.8</v>
      </c>
      <c r="C1150" t="inlineStr">
        <is>
          <t>323</t>
        </is>
      </c>
      <c r="D1150" t="n">
        <v>3.23</v>
      </c>
      <c r="E1150">
        <f>MEDIAN(D1130:D1170)</f>
        <v/>
      </c>
      <c r="F1150">
        <f>E1130</f>
        <v/>
      </c>
      <c r="G1150">
        <f>F1150-E1150</f>
        <v/>
      </c>
      <c r="H1150">
        <f>IF(OR(NOT(ISNUMBER(D1150)),ABS(D1150-E1150)&gt;$O$3,AND($O$11=1,B1150&lt;$O$12)),1,0)</f>
        <v/>
      </c>
      <c r="I1150">
        <f>IF(H1150=1,NA(),D1150)</f>
        <v/>
      </c>
      <c r="J1150">
        <f>IF(AND(ISNUMBER(D1150),D1150&gt;=$O$4,OR($O$11=0,B1150&gt;=$O$12)),1,0)</f>
        <v/>
      </c>
      <c r="K1150">
        <f>B1150-$O$14</f>
        <v/>
      </c>
    </row>
    <row r="1151">
      <c r="A1151" t="n">
        <v>3447</v>
      </c>
      <c r="B1151" t="n">
        <v>114.9</v>
      </c>
      <c r="C1151" t="inlineStr">
        <is>
          <t>323</t>
        </is>
      </c>
      <c r="D1151" t="n">
        <v>3.23</v>
      </c>
      <c r="E1151">
        <f>MEDIAN(D1131:D1171)</f>
        <v/>
      </c>
      <c r="F1151">
        <f>E1131</f>
        <v/>
      </c>
      <c r="G1151">
        <f>F1151-E1151</f>
        <v/>
      </c>
      <c r="H1151">
        <f>IF(OR(NOT(ISNUMBER(D1151)),ABS(D1151-E1151)&gt;$O$3,AND($O$11=1,B1151&lt;$O$12)),1,0)</f>
        <v/>
      </c>
      <c r="I1151">
        <f>IF(H1151=1,NA(),D1151)</f>
        <v/>
      </c>
      <c r="J1151">
        <f>IF(AND(ISNUMBER(D1151),D1151&gt;=$O$4,OR($O$11=0,B1151&gt;=$O$12)),1,0)</f>
        <v/>
      </c>
      <c r="K1151">
        <f>B1151-$O$14</f>
        <v/>
      </c>
    </row>
    <row r="1152">
      <c r="A1152" t="n">
        <v>3450</v>
      </c>
      <c r="B1152" t="n">
        <v>115</v>
      </c>
      <c r="C1152" t="inlineStr">
        <is>
          <t>323</t>
        </is>
      </c>
      <c r="D1152" t="n">
        <v>3.23</v>
      </c>
      <c r="E1152">
        <f>MEDIAN(D1132:D1172)</f>
        <v/>
      </c>
      <c r="F1152">
        <f>E1132</f>
        <v/>
      </c>
      <c r="G1152">
        <f>F1152-E1152</f>
        <v/>
      </c>
      <c r="H1152">
        <f>IF(OR(NOT(ISNUMBER(D1152)),ABS(D1152-E1152)&gt;$O$3,AND($O$11=1,B1152&lt;$O$12)),1,0)</f>
        <v/>
      </c>
      <c r="I1152">
        <f>IF(H1152=1,NA(),D1152)</f>
        <v/>
      </c>
      <c r="J1152">
        <f>IF(AND(ISNUMBER(D1152),D1152&gt;=$O$4,OR($O$11=0,B1152&gt;=$O$12)),1,0)</f>
        <v/>
      </c>
      <c r="K1152">
        <f>B1152-$O$14</f>
        <v/>
      </c>
    </row>
    <row r="1153">
      <c r="A1153" t="n">
        <v>3453</v>
      </c>
      <c r="B1153" t="n">
        <v>115.1</v>
      </c>
      <c r="C1153" t="inlineStr">
        <is>
          <t>?3</t>
        </is>
      </c>
      <c r="E1153">
        <f>MEDIAN(D1133:D1173)</f>
        <v/>
      </c>
      <c r="F1153">
        <f>E1133</f>
        <v/>
      </c>
      <c r="G1153">
        <f>F1153-E1153</f>
        <v/>
      </c>
      <c r="H1153">
        <f>IF(OR(NOT(ISNUMBER(D1153)),ABS(D1153-E1153)&gt;$O$3,AND($O$11=1,B1153&lt;$O$12)),1,0)</f>
        <v/>
      </c>
      <c r="I1153">
        <f>IF(H1153=1,NA(),D1153)</f>
        <v/>
      </c>
      <c r="J1153">
        <f>IF(AND(ISNUMBER(D1153),D1153&gt;=$O$4,OR($O$11=0,B1153&gt;=$O$12)),1,0)</f>
        <v/>
      </c>
      <c r="K1153">
        <f>B1153-$O$14</f>
        <v/>
      </c>
    </row>
    <row r="1154">
      <c r="A1154" t="n">
        <v>3456</v>
      </c>
      <c r="B1154" t="n">
        <v>115.2</v>
      </c>
      <c r="C1154" t="inlineStr">
        <is>
          <t>?23</t>
        </is>
      </c>
      <c r="E1154">
        <f>MEDIAN(D1134:D1174)</f>
        <v/>
      </c>
      <c r="F1154">
        <f>E1134</f>
        <v/>
      </c>
      <c r="G1154">
        <f>F1154-E1154</f>
        <v/>
      </c>
      <c r="H1154">
        <f>IF(OR(NOT(ISNUMBER(D1154)),ABS(D1154-E1154)&gt;$O$3,AND($O$11=1,B1154&lt;$O$12)),1,0)</f>
        <v/>
      </c>
      <c r="I1154">
        <f>IF(H1154=1,NA(),D1154)</f>
        <v/>
      </c>
      <c r="J1154">
        <f>IF(AND(ISNUMBER(D1154),D1154&gt;=$O$4,OR($O$11=0,B1154&gt;=$O$12)),1,0)</f>
        <v/>
      </c>
      <c r="K1154">
        <f>B1154-$O$14</f>
        <v/>
      </c>
    </row>
    <row r="1155">
      <c r="A1155" t="n">
        <v>3459</v>
      </c>
      <c r="B1155" t="n">
        <v>115.3</v>
      </c>
      <c r="C1155" t="inlineStr">
        <is>
          <t>3</t>
        </is>
      </c>
      <c r="D1155" t="n">
        <v>0.03</v>
      </c>
      <c r="E1155">
        <f>MEDIAN(D1135:D1175)</f>
        <v/>
      </c>
      <c r="F1155">
        <f>E1135</f>
        <v/>
      </c>
      <c r="G1155">
        <f>F1155-E1155</f>
        <v/>
      </c>
      <c r="H1155">
        <f>IF(OR(NOT(ISNUMBER(D1155)),ABS(D1155-E1155)&gt;$O$3,AND($O$11=1,B1155&lt;$O$12)),1,0)</f>
        <v/>
      </c>
      <c r="I1155">
        <f>IF(H1155=1,NA(),D1155)</f>
        <v/>
      </c>
      <c r="J1155">
        <f>IF(AND(ISNUMBER(D1155),D1155&gt;=$O$4,OR($O$11=0,B1155&gt;=$O$12)),1,0)</f>
        <v/>
      </c>
      <c r="K1155">
        <f>B1155-$O$14</f>
        <v/>
      </c>
    </row>
    <row r="1156">
      <c r="A1156" t="n">
        <v>3462</v>
      </c>
      <c r="B1156" t="n">
        <v>115.4</v>
      </c>
      <c r="C1156" t="inlineStr">
        <is>
          <t>323</t>
        </is>
      </c>
      <c r="D1156" t="n">
        <v>3.23</v>
      </c>
      <c r="E1156">
        <f>MEDIAN(D1136:D1176)</f>
        <v/>
      </c>
      <c r="F1156">
        <f>E1136</f>
        <v/>
      </c>
      <c r="G1156">
        <f>F1156-E1156</f>
        <v/>
      </c>
      <c r="H1156">
        <f>IF(OR(NOT(ISNUMBER(D1156)),ABS(D1156-E1156)&gt;$O$3,AND($O$11=1,B1156&lt;$O$12)),1,0)</f>
        <v/>
      </c>
      <c r="I1156">
        <f>IF(H1156=1,NA(),D1156)</f>
        <v/>
      </c>
      <c r="J1156">
        <f>IF(AND(ISNUMBER(D1156),D1156&gt;=$O$4,OR($O$11=0,B1156&gt;=$O$12)),1,0)</f>
        <v/>
      </c>
      <c r="K1156">
        <f>B1156-$O$14</f>
        <v/>
      </c>
    </row>
    <row r="1157">
      <c r="A1157" t="n">
        <v>3465</v>
      </c>
      <c r="B1157" t="n">
        <v>115.5</v>
      </c>
      <c r="C1157" t="inlineStr">
        <is>
          <t>?3</t>
        </is>
      </c>
      <c r="E1157">
        <f>MEDIAN(D1137:D1177)</f>
        <v/>
      </c>
      <c r="F1157">
        <f>E1137</f>
        <v/>
      </c>
      <c r="G1157">
        <f>F1157-E1157</f>
        <v/>
      </c>
      <c r="H1157">
        <f>IF(OR(NOT(ISNUMBER(D1157)),ABS(D1157-E1157)&gt;$O$3,AND($O$11=1,B1157&lt;$O$12)),1,0)</f>
        <v/>
      </c>
      <c r="I1157">
        <f>IF(H1157=1,NA(),D1157)</f>
        <v/>
      </c>
      <c r="J1157">
        <f>IF(AND(ISNUMBER(D1157),D1157&gt;=$O$4,OR($O$11=0,B1157&gt;=$O$12)),1,0)</f>
        <v/>
      </c>
      <c r="K1157">
        <f>B1157-$O$14</f>
        <v/>
      </c>
    </row>
    <row r="1158">
      <c r="A1158" t="n">
        <v>3468</v>
      </c>
      <c r="B1158" t="n">
        <v>115.6</v>
      </c>
      <c r="C1158" t="inlineStr">
        <is>
          <t>323</t>
        </is>
      </c>
      <c r="D1158" t="n">
        <v>3.23</v>
      </c>
      <c r="E1158">
        <f>MEDIAN(D1138:D1178)</f>
        <v/>
      </c>
      <c r="F1158">
        <f>E1138</f>
        <v/>
      </c>
      <c r="G1158">
        <f>F1158-E1158</f>
        <v/>
      </c>
      <c r="H1158">
        <f>IF(OR(NOT(ISNUMBER(D1158)),ABS(D1158-E1158)&gt;$O$3,AND($O$11=1,B1158&lt;$O$12)),1,0)</f>
        <v/>
      </c>
      <c r="I1158">
        <f>IF(H1158=1,NA(),D1158)</f>
        <v/>
      </c>
      <c r="J1158">
        <f>IF(AND(ISNUMBER(D1158),D1158&gt;=$O$4,OR($O$11=0,B1158&gt;=$O$12)),1,0)</f>
        <v/>
      </c>
      <c r="K1158">
        <f>B1158-$O$14</f>
        <v/>
      </c>
    </row>
    <row r="1159">
      <c r="A1159" t="n">
        <v>3471</v>
      </c>
      <c r="B1159" t="n">
        <v>115.7</v>
      </c>
      <c r="C1159" t="inlineStr">
        <is>
          <t>3</t>
        </is>
      </c>
      <c r="D1159" t="n">
        <v>0.03</v>
      </c>
      <c r="E1159">
        <f>MEDIAN(D1139:D1179)</f>
        <v/>
      </c>
      <c r="F1159">
        <f>E1139</f>
        <v/>
      </c>
      <c r="G1159">
        <f>F1159-E1159</f>
        <v/>
      </c>
      <c r="H1159">
        <f>IF(OR(NOT(ISNUMBER(D1159)),ABS(D1159-E1159)&gt;$O$3,AND($O$11=1,B1159&lt;$O$12)),1,0)</f>
        <v/>
      </c>
      <c r="I1159">
        <f>IF(H1159=1,NA(),D1159)</f>
        <v/>
      </c>
      <c r="J1159">
        <f>IF(AND(ISNUMBER(D1159),D1159&gt;=$O$4,OR($O$11=0,B1159&gt;=$O$12)),1,0)</f>
        <v/>
      </c>
      <c r="K1159">
        <f>B1159-$O$14</f>
        <v/>
      </c>
    </row>
    <row r="1160">
      <c r="A1160" t="n">
        <v>3474</v>
      </c>
      <c r="B1160" t="n">
        <v>115.8</v>
      </c>
      <c r="C1160" t="inlineStr">
        <is>
          <t>3</t>
        </is>
      </c>
      <c r="D1160" t="n">
        <v>0.03</v>
      </c>
      <c r="E1160">
        <f>MEDIAN(D1140:D1180)</f>
        <v/>
      </c>
      <c r="F1160">
        <f>E1140</f>
        <v/>
      </c>
      <c r="G1160">
        <f>F1160-E1160</f>
        <v/>
      </c>
      <c r="H1160">
        <f>IF(OR(NOT(ISNUMBER(D1160)),ABS(D1160-E1160)&gt;$O$3,AND($O$11=1,B1160&lt;$O$12)),1,0)</f>
        <v/>
      </c>
      <c r="I1160">
        <f>IF(H1160=1,NA(),D1160)</f>
        <v/>
      </c>
      <c r="J1160">
        <f>IF(AND(ISNUMBER(D1160),D1160&gt;=$O$4,OR($O$11=0,B1160&gt;=$O$12)),1,0)</f>
        <v/>
      </c>
      <c r="K1160">
        <f>B1160-$O$14</f>
        <v/>
      </c>
    </row>
    <row r="1161">
      <c r="A1161" t="n">
        <v>3477</v>
      </c>
      <c r="B1161" t="n">
        <v>115.9</v>
      </c>
      <c r="C1161" t="inlineStr">
        <is>
          <t>323</t>
        </is>
      </c>
      <c r="D1161" t="n">
        <v>3.23</v>
      </c>
      <c r="E1161">
        <f>MEDIAN(D1141:D1181)</f>
        <v/>
      </c>
      <c r="F1161">
        <f>E1141</f>
        <v/>
      </c>
      <c r="G1161">
        <f>F1161-E1161</f>
        <v/>
      </c>
      <c r="H1161">
        <f>IF(OR(NOT(ISNUMBER(D1161)),ABS(D1161-E1161)&gt;$O$3,AND($O$11=1,B1161&lt;$O$12)),1,0)</f>
        <v/>
      </c>
      <c r="I1161">
        <f>IF(H1161=1,NA(),D1161)</f>
        <v/>
      </c>
      <c r="J1161">
        <f>IF(AND(ISNUMBER(D1161),D1161&gt;=$O$4,OR($O$11=0,B1161&gt;=$O$12)),1,0)</f>
        <v/>
      </c>
      <c r="K1161">
        <f>B1161-$O$14</f>
        <v/>
      </c>
    </row>
    <row r="1162">
      <c r="A1162" t="n">
        <v>3480</v>
      </c>
      <c r="B1162" t="n">
        <v>116</v>
      </c>
      <c r="C1162" t="inlineStr">
        <is>
          <t>323</t>
        </is>
      </c>
      <c r="D1162" t="n">
        <v>3.23</v>
      </c>
      <c r="E1162">
        <f>MEDIAN(D1142:D1182)</f>
        <v/>
      </c>
      <c r="F1162">
        <f>E1142</f>
        <v/>
      </c>
      <c r="G1162">
        <f>F1162-E1162</f>
        <v/>
      </c>
      <c r="H1162">
        <f>IF(OR(NOT(ISNUMBER(D1162)),ABS(D1162-E1162)&gt;$O$3,AND($O$11=1,B1162&lt;$O$12)),1,0)</f>
        <v/>
      </c>
      <c r="I1162">
        <f>IF(H1162=1,NA(),D1162)</f>
        <v/>
      </c>
      <c r="J1162">
        <f>IF(AND(ISNUMBER(D1162),D1162&gt;=$O$4,OR($O$11=0,B1162&gt;=$O$12)),1,0)</f>
        <v/>
      </c>
      <c r="K1162">
        <f>B1162-$O$14</f>
        <v/>
      </c>
    </row>
    <row r="1163">
      <c r="A1163" t="n">
        <v>3483</v>
      </c>
      <c r="B1163" t="n">
        <v>116.1</v>
      </c>
      <c r="C1163" t="inlineStr">
        <is>
          <t>323</t>
        </is>
      </c>
      <c r="D1163" t="n">
        <v>3.23</v>
      </c>
      <c r="E1163">
        <f>MEDIAN(D1143:D1183)</f>
        <v/>
      </c>
      <c r="F1163">
        <f>E1143</f>
        <v/>
      </c>
      <c r="G1163">
        <f>F1163-E1163</f>
        <v/>
      </c>
      <c r="H1163">
        <f>IF(OR(NOT(ISNUMBER(D1163)),ABS(D1163-E1163)&gt;$O$3,AND($O$11=1,B1163&lt;$O$12)),1,0)</f>
        <v/>
      </c>
      <c r="I1163">
        <f>IF(H1163=1,NA(),D1163)</f>
        <v/>
      </c>
      <c r="J1163">
        <f>IF(AND(ISNUMBER(D1163),D1163&gt;=$O$4,OR($O$11=0,B1163&gt;=$O$12)),1,0)</f>
        <v/>
      </c>
      <c r="K1163">
        <f>B1163-$O$14</f>
        <v/>
      </c>
    </row>
    <row r="1164">
      <c r="A1164" t="n">
        <v>3486</v>
      </c>
      <c r="B1164" t="n">
        <v>116.2</v>
      </c>
      <c r="C1164" t="inlineStr">
        <is>
          <t>?3</t>
        </is>
      </c>
      <c r="E1164">
        <f>MEDIAN(D1144:D1184)</f>
        <v/>
      </c>
      <c r="F1164">
        <f>E1144</f>
        <v/>
      </c>
      <c r="G1164">
        <f>F1164-E1164</f>
        <v/>
      </c>
      <c r="H1164">
        <f>IF(OR(NOT(ISNUMBER(D1164)),ABS(D1164-E1164)&gt;$O$3,AND($O$11=1,B1164&lt;$O$12)),1,0)</f>
        <v/>
      </c>
      <c r="I1164">
        <f>IF(H1164=1,NA(),D1164)</f>
        <v/>
      </c>
      <c r="J1164">
        <f>IF(AND(ISNUMBER(D1164),D1164&gt;=$O$4,OR($O$11=0,B1164&gt;=$O$12)),1,0)</f>
        <v/>
      </c>
      <c r="K1164">
        <f>B1164-$O$14</f>
        <v/>
      </c>
    </row>
    <row r="1165">
      <c r="A1165" t="n">
        <v>3489</v>
      </c>
      <c r="B1165" t="n">
        <v>116.3</v>
      </c>
      <c r="C1165" t="inlineStr">
        <is>
          <t>323</t>
        </is>
      </c>
      <c r="D1165" t="n">
        <v>3.23</v>
      </c>
      <c r="E1165">
        <f>MEDIAN(D1145:D1185)</f>
        <v/>
      </c>
      <c r="F1165">
        <f>E1145</f>
        <v/>
      </c>
      <c r="G1165">
        <f>F1165-E1165</f>
        <v/>
      </c>
      <c r="H1165">
        <f>IF(OR(NOT(ISNUMBER(D1165)),ABS(D1165-E1165)&gt;$O$3,AND($O$11=1,B1165&lt;$O$12)),1,0)</f>
        <v/>
      </c>
      <c r="I1165">
        <f>IF(H1165=1,NA(),D1165)</f>
        <v/>
      </c>
      <c r="J1165">
        <f>IF(AND(ISNUMBER(D1165),D1165&gt;=$O$4,OR($O$11=0,B1165&gt;=$O$12)),1,0)</f>
        <v/>
      </c>
      <c r="K1165">
        <f>B1165-$O$14</f>
        <v/>
      </c>
    </row>
    <row r="1166">
      <c r="A1166" t="n">
        <v>3492</v>
      </c>
      <c r="B1166" t="n">
        <v>116.4</v>
      </c>
      <c r="C1166" t="inlineStr">
        <is>
          <t>3</t>
        </is>
      </c>
      <c r="D1166" t="n">
        <v>0.03</v>
      </c>
      <c r="E1166">
        <f>MEDIAN(D1146:D1186)</f>
        <v/>
      </c>
      <c r="F1166">
        <f>E1146</f>
        <v/>
      </c>
      <c r="G1166">
        <f>F1166-E1166</f>
        <v/>
      </c>
      <c r="H1166">
        <f>IF(OR(NOT(ISNUMBER(D1166)),ABS(D1166-E1166)&gt;$O$3,AND($O$11=1,B1166&lt;$O$12)),1,0)</f>
        <v/>
      </c>
      <c r="I1166">
        <f>IF(H1166=1,NA(),D1166)</f>
        <v/>
      </c>
      <c r="J1166">
        <f>IF(AND(ISNUMBER(D1166),D1166&gt;=$O$4,OR($O$11=0,B1166&gt;=$O$12)),1,0)</f>
        <v/>
      </c>
      <c r="K1166">
        <f>B1166-$O$14</f>
        <v/>
      </c>
    </row>
    <row r="1167">
      <c r="A1167" t="n">
        <v>3495</v>
      </c>
      <c r="B1167" t="n">
        <v>116.5</v>
      </c>
      <c r="C1167" t="inlineStr">
        <is>
          <t>323</t>
        </is>
      </c>
      <c r="D1167" t="n">
        <v>3.23</v>
      </c>
      <c r="E1167">
        <f>MEDIAN(D1147:D1187)</f>
        <v/>
      </c>
      <c r="F1167">
        <f>E1147</f>
        <v/>
      </c>
      <c r="G1167">
        <f>F1167-E1167</f>
        <v/>
      </c>
      <c r="H1167">
        <f>IF(OR(NOT(ISNUMBER(D1167)),ABS(D1167-E1167)&gt;$O$3,AND($O$11=1,B1167&lt;$O$12)),1,0)</f>
        <v/>
      </c>
      <c r="I1167">
        <f>IF(H1167=1,NA(),D1167)</f>
        <v/>
      </c>
      <c r="J1167">
        <f>IF(AND(ISNUMBER(D1167),D1167&gt;=$O$4,OR($O$11=0,B1167&gt;=$O$12)),1,0)</f>
        <v/>
      </c>
      <c r="K1167">
        <f>B1167-$O$14</f>
        <v/>
      </c>
    </row>
    <row r="1168">
      <c r="A1168" t="n">
        <v>3498</v>
      </c>
      <c r="B1168" t="n">
        <v>116.6</v>
      </c>
      <c r="C1168" t="inlineStr">
        <is>
          <t>?3</t>
        </is>
      </c>
      <c r="E1168">
        <f>MEDIAN(D1148:D1188)</f>
        <v/>
      </c>
      <c r="F1168">
        <f>E1148</f>
        <v/>
      </c>
      <c r="G1168">
        <f>F1168-E1168</f>
        <v/>
      </c>
      <c r="H1168">
        <f>IF(OR(NOT(ISNUMBER(D1168)),ABS(D1168-E1168)&gt;$O$3,AND($O$11=1,B1168&lt;$O$12)),1,0)</f>
        <v/>
      </c>
      <c r="I1168">
        <f>IF(H1168=1,NA(),D1168)</f>
        <v/>
      </c>
      <c r="J1168">
        <f>IF(AND(ISNUMBER(D1168),D1168&gt;=$O$4,OR($O$11=0,B1168&gt;=$O$12)),1,0)</f>
        <v/>
      </c>
      <c r="K1168">
        <f>B1168-$O$14</f>
        <v/>
      </c>
    </row>
    <row r="1169">
      <c r="A1169" t="n">
        <v>3501</v>
      </c>
      <c r="B1169" t="n">
        <v>116.7</v>
      </c>
      <c r="C1169" t="inlineStr">
        <is>
          <t>323</t>
        </is>
      </c>
      <c r="D1169" t="n">
        <v>3.23</v>
      </c>
      <c r="E1169">
        <f>MEDIAN(D1149:D1189)</f>
        <v/>
      </c>
      <c r="F1169">
        <f>E1149</f>
        <v/>
      </c>
      <c r="G1169">
        <f>F1169-E1169</f>
        <v/>
      </c>
      <c r="H1169">
        <f>IF(OR(NOT(ISNUMBER(D1169)),ABS(D1169-E1169)&gt;$O$3,AND($O$11=1,B1169&lt;$O$12)),1,0)</f>
        <v/>
      </c>
      <c r="I1169">
        <f>IF(H1169=1,NA(),D1169)</f>
        <v/>
      </c>
      <c r="J1169">
        <f>IF(AND(ISNUMBER(D1169),D1169&gt;=$O$4,OR($O$11=0,B1169&gt;=$O$12)),1,0)</f>
        <v/>
      </c>
      <c r="K1169">
        <f>B1169-$O$14</f>
        <v/>
      </c>
    </row>
    <row r="1170">
      <c r="A1170" t="n">
        <v>3504</v>
      </c>
      <c r="B1170" t="n">
        <v>116.8</v>
      </c>
      <c r="C1170" t="inlineStr">
        <is>
          <t>3</t>
        </is>
      </c>
      <c r="D1170" t="n">
        <v>0.03</v>
      </c>
      <c r="E1170">
        <f>MEDIAN(D1150:D1190)</f>
        <v/>
      </c>
      <c r="F1170">
        <f>E1150</f>
        <v/>
      </c>
      <c r="G1170">
        <f>F1170-E1170</f>
        <v/>
      </c>
      <c r="H1170">
        <f>IF(OR(NOT(ISNUMBER(D1170)),ABS(D1170-E1170)&gt;$O$3,AND($O$11=1,B1170&lt;$O$12)),1,0)</f>
        <v/>
      </c>
      <c r="I1170">
        <f>IF(H1170=1,NA(),D1170)</f>
        <v/>
      </c>
      <c r="J1170">
        <f>IF(AND(ISNUMBER(D1170),D1170&gt;=$O$4,OR($O$11=0,B1170&gt;=$O$12)),1,0)</f>
        <v/>
      </c>
      <c r="K1170">
        <f>B1170-$O$14</f>
        <v/>
      </c>
    </row>
    <row r="1171">
      <c r="A1171" t="n">
        <v>3507</v>
      </c>
      <c r="B1171" t="n">
        <v>116.9</v>
      </c>
      <c r="C1171" t="inlineStr">
        <is>
          <t>323</t>
        </is>
      </c>
      <c r="D1171" t="n">
        <v>3.23</v>
      </c>
      <c r="E1171">
        <f>MEDIAN(D1151:D1191)</f>
        <v/>
      </c>
      <c r="F1171">
        <f>E1151</f>
        <v/>
      </c>
      <c r="G1171">
        <f>F1171-E1171</f>
        <v/>
      </c>
      <c r="H1171">
        <f>IF(OR(NOT(ISNUMBER(D1171)),ABS(D1171-E1171)&gt;$O$3,AND($O$11=1,B1171&lt;$O$12)),1,0)</f>
        <v/>
      </c>
      <c r="I1171">
        <f>IF(H1171=1,NA(),D1171)</f>
        <v/>
      </c>
      <c r="J1171">
        <f>IF(AND(ISNUMBER(D1171),D1171&gt;=$O$4,OR($O$11=0,B1171&gt;=$O$12)),1,0)</f>
        <v/>
      </c>
      <c r="K1171">
        <f>B1171-$O$14</f>
        <v/>
      </c>
    </row>
    <row r="1172">
      <c r="A1172" t="n">
        <v>3510</v>
      </c>
      <c r="B1172" t="n">
        <v>117</v>
      </c>
      <c r="C1172" t="inlineStr">
        <is>
          <t>43</t>
        </is>
      </c>
      <c r="D1172" t="n">
        <v>0.43</v>
      </c>
      <c r="E1172">
        <f>MEDIAN(D1152:D1192)</f>
        <v/>
      </c>
      <c r="F1172">
        <f>E1152</f>
        <v/>
      </c>
      <c r="G1172">
        <f>F1172-E1172</f>
        <v/>
      </c>
      <c r="H1172">
        <f>IF(OR(NOT(ISNUMBER(D1172)),ABS(D1172-E1172)&gt;$O$3,AND($O$11=1,B1172&lt;$O$12)),1,0)</f>
        <v/>
      </c>
      <c r="I1172">
        <f>IF(H1172=1,NA(),D1172)</f>
        <v/>
      </c>
      <c r="J1172">
        <f>IF(AND(ISNUMBER(D1172),D1172&gt;=$O$4,OR($O$11=0,B1172&gt;=$O$12)),1,0)</f>
        <v/>
      </c>
      <c r="K1172">
        <f>B1172-$O$14</f>
        <v/>
      </c>
    </row>
    <row r="1173">
      <c r="A1173" t="n">
        <v>3513</v>
      </c>
      <c r="B1173" t="n">
        <v>117.1</v>
      </c>
      <c r="C1173" t="inlineStr">
        <is>
          <t>323</t>
        </is>
      </c>
      <c r="D1173" t="n">
        <v>3.23</v>
      </c>
      <c r="E1173">
        <f>MEDIAN(D1153:D1193)</f>
        <v/>
      </c>
      <c r="F1173">
        <f>E1153</f>
        <v/>
      </c>
      <c r="G1173">
        <f>F1173-E1173</f>
        <v/>
      </c>
      <c r="H1173">
        <f>IF(OR(NOT(ISNUMBER(D1173)),ABS(D1173-E1173)&gt;$O$3,AND($O$11=1,B1173&lt;$O$12)),1,0)</f>
        <v/>
      </c>
      <c r="I1173">
        <f>IF(H1173=1,NA(),D1173)</f>
        <v/>
      </c>
      <c r="J1173">
        <f>IF(AND(ISNUMBER(D1173),D1173&gt;=$O$4,OR($O$11=0,B1173&gt;=$O$12)),1,0)</f>
        <v/>
      </c>
      <c r="K1173">
        <f>B1173-$O$14</f>
        <v/>
      </c>
    </row>
    <row r="1174">
      <c r="A1174" t="n">
        <v>3516</v>
      </c>
      <c r="B1174" t="n">
        <v>117.2</v>
      </c>
      <c r="C1174" t="inlineStr">
        <is>
          <t>?3</t>
        </is>
      </c>
      <c r="E1174">
        <f>MEDIAN(D1154:D1194)</f>
        <v/>
      </c>
      <c r="F1174">
        <f>E1154</f>
        <v/>
      </c>
      <c r="G1174">
        <f>F1174-E1174</f>
        <v/>
      </c>
      <c r="H1174">
        <f>IF(OR(NOT(ISNUMBER(D1174)),ABS(D1174-E1174)&gt;$O$3,AND($O$11=1,B1174&lt;$O$12)),1,0)</f>
        <v/>
      </c>
      <c r="I1174">
        <f>IF(H1174=1,NA(),D1174)</f>
        <v/>
      </c>
      <c r="J1174">
        <f>IF(AND(ISNUMBER(D1174),D1174&gt;=$O$4,OR($O$11=0,B1174&gt;=$O$12)),1,0)</f>
        <v/>
      </c>
      <c r="K1174">
        <f>B1174-$O$14</f>
        <v/>
      </c>
    </row>
    <row r="1175">
      <c r="A1175" t="n">
        <v>3519</v>
      </c>
      <c r="B1175" t="n">
        <v>117.3</v>
      </c>
      <c r="C1175" t="inlineStr">
        <is>
          <t>323</t>
        </is>
      </c>
      <c r="D1175" t="n">
        <v>3.23</v>
      </c>
      <c r="E1175">
        <f>MEDIAN(D1155:D1195)</f>
        <v/>
      </c>
      <c r="F1175">
        <f>E1155</f>
        <v/>
      </c>
      <c r="G1175">
        <f>F1175-E1175</f>
        <v/>
      </c>
      <c r="H1175">
        <f>IF(OR(NOT(ISNUMBER(D1175)),ABS(D1175-E1175)&gt;$O$3,AND($O$11=1,B1175&lt;$O$12)),1,0)</f>
        <v/>
      </c>
      <c r="I1175">
        <f>IF(H1175=1,NA(),D1175)</f>
        <v/>
      </c>
      <c r="J1175">
        <f>IF(AND(ISNUMBER(D1175),D1175&gt;=$O$4,OR($O$11=0,B1175&gt;=$O$12)),1,0)</f>
        <v/>
      </c>
      <c r="K1175">
        <f>B1175-$O$14</f>
        <v/>
      </c>
    </row>
    <row r="1176">
      <c r="A1176" t="n">
        <v>3522</v>
      </c>
      <c r="B1176" t="n">
        <v>117.4</v>
      </c>
      <c r="C1176" t="inlineStr">
        <is>
          <t>?3</t>
        </is>
      </c>
      <c r="E1176">
        <f>MEDIAN(D1156:D1196)</f>
        <v/>
      </c>
      <c r="F1176">
        <f>E1156</f>
        <v/>
      </c>
      <c r="G1176">
        <f>F1176-E1176</f>
        <v/>
      </c>
      <c r="H1176">
        <f>IF(OR(NOT(ISNUMBER(D1176)),ABS(D1176-E1176)&gt;$O$3,AND($O$11=1,B1176&lt;$O$12)),1,0)</f>
        <v/>
      </c>
      <c r="I1176">
        <f>IF(H1176=1,NA(),D1176)</f>
        <v/>
      </c>
      <c r="J1176">
        <f>IF(AND(ISNUMBER(D1176),D1176&gt;=$O$4,OR($O$11=0,B1176&gt;=$O$12)),1,0)</f>
        <v/>
      </c>
      <c r="K1176">
        <f>B1176-$O$14</f>
        <v/>
      </c>
    </row>
    <row r="1177">
      <c r="A1177" t="n">
        <v>3525</v>
      </c>
      <c r="B1177" t="n">
        <v>117.5</v>
      </c>
      <c r="C1177" t="inlineStr">
        <is>
          <t>3</t>
        </is>
      </c>
      <c r="D1177" t="n">
        <v>0.03</v>
      </c>
      <c r="E1177">
        <f>MEDIAN(D1157:D1197)</f>
        <v/>
      </c>
      <c r="F1177">
        <f>E1157</f>
        <v/>
      </c>
      <c r="G1177">
        <f>F1177-E1177</f>
        <v/>
      </c>
      <c r="H1177">
        <f>IF(OR(NOT(ISNUMBER(D1177)),ABS(D1177-E1177)&gt;$O$3,AND($O$11=1,B1177&lt;$O$12)),1,0)</f>
        <v/>
      </c>
      <c r="I1177">
        <f>IF(H1177=1,NA(),D1177)</f>
        <v/>
      </c>
      <c r="J1177">
        <f>IF(AND(ISNUMBER(D1177),D1177&gt;=$O$4,OR($O$11=0,B1177&gt;=$O$12)),1,0)</f>
        <v/>
      </c>
      <c r="K1177">
        <f>B1177-$O$14</f>
        <v/>
      </c>
    </row>
    <row r="1178">
      <c r="A1178" t="n">
        <v>3528</v>
      </c>
      <c r="B1178" t="n">
        <v>117.6</v>
      </c>
      <c r="C1178" t="inlineStr">
        <is>
          <t>323</t>
        </is>
      </c>
      <c r="D1178" t="n">
        <v>3.23</v>
      </c>
      <c r="E1178">
        <f>MEDIAN(D1158:D1198)</f>
        <v/>
      </c>
      <c r="F1178">
        <f>E1158</f>
        <v/>
      </c>
      <c r="G1178">
        <f>F1178-E1178</f>
        <v/>
      </c>
      <c r="H1178">
        <f>IF(OR(NOT(ISNUMBER(D1178)),ABS(D1178-E1178)&gt;$O$3,AND($O$11=1,B1178&lt;$O$12)),1,0)</f>
        <v/>
      </c>
      <c r="I1178">
        <f>IF(H1178=1,NA(),D1178)</f>
        <v/>
      </c>
      <c r="J1178">
        <f>IF(AND(ISNUMBER(D1178),D1178&gt;=$O$4,OR($O$11=0,B1178&gt;=$O$12)),1,0)</f>
        <v/>
      </c>
      <c r="K1178">
        <f>B1178-$O$14</f>
        <v/>
      </c>
    </row>
    <row r="1179">
      <c r="A1179" t="n">
        <v>3531</v>
      </c>
      <c r="B1179" t="n">
        <v>117.7</v>
      </c>
      <c r="C1179" t="inlineStr">
        <is>
          <t>?3</t>
        </is>
      </c>
      <c r="E1179">
        <f>MEDIAN(D1159:D1199)</f>
        <v/>
      </c>
      <c r="F1179">
        <f>E1159</f>
        <v/>
      </c>
      <c r="G1179">
        <f>F1179-E1179</f>
        <v/>
      </c>
      <c r="H1179">
        <f>IF(OR(NOT(ISNUMBER(D1179)),ABS(D1179-E1179)&gt;$O$3,AND($O$11=1,B1179&lt;$O$12)),1,0)</f>
        <v/>
      </c>
      <c r="I1179">
        <f>IF(H1179=1,NA(),D1179)</f>
        <v/>
      </c>
      <c r="J1179">
        <f>IF(AND(ISNUMBER(D1179),D1179&gt;=$O$4,OR($O$11=0,B1179&gt;=$O$12)),1,0)</f>
        <v/>
      </c>
      <c r="K1179">
        <f>B1179-$O$14</f>
        <v/>
      </c>
    </row>
    <row r="1180">
      <c r="A1180" t="n">
        <v>3534</v>
      </c>
      <c r="B1180" t="n">
        <v>117.8</v>
      </c>
      <c r="C1180" t="inlineStr">
        <is>
          <t>3</t>
        </is>
      </c>
      <c r="D1180" t="n">
        <v>0.03</v>
      </c>
      <c r="E1180">
        <f>MEDIAN(D1160:D1200)</f>
        <v/>
      </c>
      <c r="F1180">
        <f>E1160</f>
        <v/>
      </c>
      <c r="G1180">
        <f>F1180-E1180</f>
        <v/>
      </c>
      <c r="H1180">
        <f>IF(OR(NOT(ISNUMBER(D1180)),ABS(D1180-E1180)&gt;$O$3,AND($O$11=1,B1180&lt;$O$12)),1,0)</f>
        <v/>
      </c>
      <c r="I1180">
        <f>IF(H1180=1,NA(),D1180)</f>
        <v/>
      </c>
      <c r="J1180">
        <f>IF(AND(ISNUMBER(D1180),D1180&gt;=$O$4,OR($O$11=0,B1180&gt;=$O$12)),1,0)</f>
        <v/>
      </c>
      <c r="K1180">
        <f>B1180-$O$14</f>
        <v/>
      </c>
    </row>
    <row r="1181">
      <c r="A1181" t="n">
        <v>3537</v>
      </c>
      <c r="B1181" t="n">
        <v>117.9</v>
      </c>
      <c r="C1181" t="inlineStr">
        <is>
          <t>?3</t>
        </is>
      </c>
      <c r="E1181">
        <f>MEDIAN(D1161:D1201)</f>
        <v/>
      </c>
      <c r="F1181">
        <f>E1161</f>
        <v/>
      </c>
      <c r="G1181">
        <f>F1181-E1181</f>
        <v/>
      </c>
      <c r="H1181">
        <f>IF(OR(NOT(ISNUMBER(D1181)),ABS(D1181-E1181)&gt;$O$3,AND($O$11=1,B1181&lt;$O$12)),1,0)</f>
        <v/>
      </c>
      <c r="I1181">
        <f>IF(H1181=1,NA(),D1181)</f>
        <v/>
      </c>
      <c r="J1181">
        <f>IF(AND(ISNUMBER(D1181),D1181&gt;=$O$4,OR($O$11=0,B1181&gt;=$O$12)),1,0)</f>
        <v/>
      </c>
      <c r="K1181">
        <f>B1181-$O$14</f>
        <v/>
      </c>
    </row>
    <row r="1182">
      <c r="A1182" t="n">
        <v>3540</v>
      </c>
      <c r="B1182" t="n">
        <v>118</v>
      </c>
      <c r="C1182" t="inlineStr">
        <is>
          <t>323</t>
        </is>
      </c>
      <c r="D1182" t="n">
        <v>3.23</v>
      </c>
      <c r="E1182">
        <f>MEDIAN(D1162:D1202)</f>
        <v/>
      </c>
      <c r="F1182">
        <f>E1162</f>
        <v/>
      </c>
      <c r="G1182">
        <f>F1182-E1182</f>
        <v/>
      </c>
      <c r="H1182">
        <f>IF(OR(NOT(ISNUMBER(D1182)),ABS(D1182-E1182)&gt;$O$3,AND($O$11=1,B1182&lt;$O$12)),1,0)</f>
        <v/>
      </c>
      <c r="I1182">
        <f>IF(H1182=1,NA(),D1182)</f>
        <v/>
      </c>
      <c r="J1182">
        <f>IF(AND(ISNUMBER(D1182),D1182&gt;=$O$4,OR($O$11=0,B1182&gt;=$O$12)),1,0)</f>
        <v/>
      </c>
      <c r="K1182">
        <f>B1182-$O$14</f>
        <v/>
      </c>
    </row>
    <row r="1183">
      <c r="A1183" t="n">
        <v>3543</v>
      </c>
      <c r="B1183" t="n">
        <v>118.1</v>
      </c>
      <c r="C1183" t="inlineStr">
        <is>
          <t>3</t>
        </is>
      </c>
      <c r="D1183" t="n">
        <v>0.03</v>
      </c>
      <c r="E1183">
        <f>MEDIAN(D1163:D1203)</f>
        <v/>
      </c>
      <c r="F1183">
        <f>E1163</f>
        <v/>
      </c>
      <c r="G1183">
        <f>F1183-E1183</f>
        <v/>
      </c>
      <c r="H1183">
        <f>IF(OR(NOT(ISNUMBER(D1183)),ABS(D1183-E1183)&gt;$O$3,AND($O$11=1,B1183&lt;$O$12)),1,0)</f>
        <v/>
      </c>
      <c r="I1183">
        <f>IF(H1183=1,NA(),D1183)</f>
        <v/>
      </c>
      <c r="J1183">
        <f>IF(AND(ISNUMBER(D1183),D1183&gt;=$O$4,OR($O$11=0,B1183&gt;=$O$12)),1,0)</f>
        <v/>
      </c>
      <c r="K1183">
        <f>B1183-$O$14</f>
        <v/>
      </c>
    </row>
    <row r="1184">
      <c r="A1184" t="n">
        <v>3546</v>
      </c>
      <c r="B1184" t="n">
        <v>118.2</v>
      </c>
      <c r="C1184" t="inlineStr">
        <is>
          <t>3</t>
        </is>
      </c>
      <c r="D1184" t="n">
        <v>0.03</v>
      </c>
      <c r="E1184">
        <f>MEDIAN(D1164:D1204)</f>
        <v/>
      </c>
      <c r="F1184">
        <f>E1164</f>
        <v/>
      </c>
      <c r="G1184">
        <f>F1184-E1184</f>
        <v/>
      </c>
      <c r="H1184">
        <f>IF(OR(NOT(ISNUMBER(D1184)),ABS(D1184-E1184)&gt;$O$3,AND($O$11=1,B1184&lt;$O$12)),1,0)</f>
        <v/>
      </c>
      <c r="I1184">
        <f>IF(H1184=1,NA(),D1184)</f>
        <v/>
      </c>
      <c r="J1184">
        <f>IF(AND(ISNUMBER(D1184),D1184&gt;=$O$4,OR($O$11=0,B1184&gt;=$O$12)),1,0)</f>
        <v/>
      </c>
      <c r="K1184">
        <f>B1184-$O$14</f>
        <v/>
      </c>
    </row>
    <row r="1185">
      <c r="A1185" t="n">
        <v>3549</v>
      </c>
      <c r="B1185" t="n">
        <v>118.3</v>
      </c>
      <c r="C1185" t="inlineStr">
        <is>
          <t>323</t>
        </is>
      </c>
      <c r="D1185" t="n">
        <v>3.23</v>
      </c>
      <c r="E1185">
        <f>MEDIAN(D1165:D1205)</f>
        <v/>
      </c>
      <c r="F1185">
        <f>E1165</f>
        <v/>
      </c>
      <c r="G1185">
        <f>F1185-E1185</f>
        <v/>
      </c>
      <c r="H1185">
        <f>IF(OR(NOT(ISNUMBER(D1185)),ABS(D1185-E1185)&gt;$O$3,AND($O$11=1,B1185&lt;$O$12)),1,0)</f>
        <v/>
      </c>
      <c r="I1185">
        <f>IF(H1185=1,NA(),D1185)</f>
        <v/>
      </c>
      <c r="J1185">
        <f>IF(AND(ISNUMBER(D1185),D1185&gt;=$O$4,OR($O$11=0,B1185&gt;=$O$12)),1,0)</f>
        <v/>
      </c>
      <c r="K1185">
        <f>B1185-$O$14</f>
        <v/>
      </c>
    </row>
    <row r="1186">
      <c r="A1186" t="n">
        <v>3552</v>
      </c>
      <c r="B1186" t="n">
        <v>118.4</v>
      </c>
      <c r="C1186" t="inlineStr">
        <is>
          <t>?3</t>
        </is>
      </c>
      <c r="E1186">
        <f>MEDIAN(D1166:D1206)</f>
        <v/>
      </c>
      <c r="F1186">
        <f>E1166</f>
        <v/>
      </c>
      <c r="G1186">
        <f>F1186-E1186</f>
        <v/>
      </c>
      <c r="H1186">
        <f>IF(OR(NOT(ISNUMBER(D1186)),ABS(D1186-E1186)&gt;$O$3,AND($O$11=1,B1186&lt;$O$12)),1,0)</f>
        <v/>
      </c>
      <c r="I1186">
        <f>IF(H1186=1,NA(),D1186)</f>
        <v/>
      </c>
      <c r="J1186">
        <f>IF(AND(ISNUMBER(D1186),D1186&gt;=$O$4,OR($O$11=0,B1186&gt;=$O$12)),1,0)</f>
        <v/>
      </c>
      <c r="K1186">
        <f>B1186-$O$14</f>
        <v/>
      </c>
    </row>
    <row r="1187">
      <c r="A1187" t="n">
        <v>3555</v>
      </c>
      <c r="B1187" t="n">
        <v>118.5</v>
      </c>
      <c r="C1187" t="inlineStr">
        <is>
          <t>?3</t>
        </is>
      </c>
      <c r="E1187">
        <f>MEDIAN(D1167:D1207)</f>
        <v/>
      </c>
      <c r="F1187">
        <f>E1167</f>
        <v/>
      </c>
      <c r="G1187">
        <f>F1187-E1187</f>
        <v/>
      </c>
      <c r="H1187">
        <f>IF(OR(NOT(ISNUMBER(D1187)),ABS(D1187-E1187)&gt;$O$3,AND($O$11=1,B1187&lt;$O$12)),1,0)</f>
        <v/>
      </c>
      <c r="I1187">
        <f>IF(H1187=1,NA(),D1187)</f>
        <v/>
      </c>
      <c r="J1187">
        <f>IF(AND(ISNUMBER(D1187),D1187&gt;=$O$4,OR($O$11=0,B1187&gt;=$O$12)),1,0)</f>
        <v/>
      </c>
      <c r="K1187">
        <f>B1187-$O$14</f>
        <v/>
      </c>
    </row>
    <row r="1188">
      <c r="A1188" t="n">
        <v>3558</v>
      </c>
      <c r="B1188" t="n">
        <v>118.6</v>
      </c>
      <c r="C1188" t="inlineStr">
        <is>
          <t>323</t>
        </is>
      </c>
      <c r="D1188" t="n">
        <v>3.23</v>
      </c>
      <c r="E1188">
        <f>MEDIAN(D1168:D1208)</f>
        <v/>
      </c>
      <c r="F1188">
        <f>E1168</f>
        <v/>
      </c>
      <c r="G1188">
        <f>F1188-E1188</f>
        <v/>
      </c>
      <c r="H1188">
        <f>IF(OR(NOT(ISNUMBER(D1188)),ABS(D1188-E1188)&gt;$O$3,AND($O$11=1,B1188&lt;$O$12)),1,0)</f>
        <v/>
      </c>
      <c r="I1188">
        <f>IF(H1188=1,NA(),D1188)</f>
        <v/>
      </c>
      <c r="J1188">
        <f>IF(AND(ISNUMBER(D1188),D1188&gt;=$O$4,OR($O$11=0,B1188&gt;=$O$12)),1,0)</f>
        <v/>
      </c>
      <c r="K1188">
        <f>B1188-$O$14</f>
        <v/>
      </c>
    </row>
    <row r="1189">
      <c r="A1189" t="n">
        <v>3561</v>
      </c>
      <c r="B1189" t="n">
        <v>118.7</v>
      </c>
      <c r="C1189" t="inlineStr">
        <is>
          <t>3</t>
        </is>
      </c>
      <c r="D1189" t="n">
        <v>0.03</v>
      </c>
      <c r="E1189">
        <f>MEDIAN(D1169:D1209)</f>
        <v/>
      </c>
      <c r="F1189">
        <f>E1169</f>
        <v/>
      </c>
      <c r="G1189">
        <f>F1189-E1189</f>
        <v/>
      </c>
      <c r="H1189">
        <f>IF(OR(NOT(ISNUMBER(D1189)),ABS(D1189-E1189)&gt;$O$3,AND($O$11=1,B1189&lt;$O$12)),1,0)</f>
        <v/>
      </c>
      <c r="I1189">
        <f>IF(H1189=1,NA(),D1189)</f>
        <v/>
      </c>
      <c r="J1189">
        <f>IF(AND(ISNUMBER(D1189),D1189&gt;=$O$4,OR($O$11=0,B1189&gt;=$O$12)),1,0)</f>
        <v/>
      </c>
      <c r="K1189">
        <f>B1189-$O$14</f>
        <v/>
      </c>
    </row>
    <row r="1190">
      <c r="A1190" t="n">
        <v>3564</v>
      </c>
      <c r="B1190" t="n">
        <v>118.8</v>
      </c>
      <c r="C1190" t="inlineStr">
        <is>
          <t>?3</t>
        </is>
      </c>
      <c r="E1190">
        <f>MEDIAN(D1170:D1210)</f>
        <v/>
      </c>
      <c r="F1190">
        <f>E1170</f>
        <v/>
      </c>
      <c r="G1190">
        <f>F1190-E1190</f>
        <v/>
      </c>
      <c r="H1190">
        <f>IF(OR(NOT(ISNUMBER(D1190)),ABS(D1190-E1190)&gt;$O$3,AND($O$11=1,B1190&lt;$O$12)),1,0)</f>
        <v/>
      </c>
      <c r="I1190">
        <f>IF(H1190=1,NA(),D1190)</f>
        <v/>
      </c>
      <c r="J1190">
        <f>IF(AND(ISNUMBER(D1190),D1190&gt;=$O$4,OR($O$11=0,B1190&gt;=$O$12)),1,0)</f>
        <v/>
      </c>
      <c r="K1190">
        <f>B1190-$O$14</f>
        <v/>
      </c>
    </row>
    <row r="1191">
      <c r="A1191" t="n">
        <v>3567</v>
      </c>
      <c r="B1191" t="n">
        <v>118.9</v>
      </c>
      <c r="C1191" t="inlineStr">
        <is>
          <t>324</t>
        </is>
      </c>
      <c r="D1191" t="n">
        <v>3.24</v>
      </c>
      <c r="E1191">
        <f>MEDIAN(D1171:D1211)</f>
        <v/>
      </c>
      <c r="F1191">
        <f>E1171</f>
        <v/>
      </c>
      <c r="G1191">
        <f>F1191-E1191</f>
        <v/>
      </c>
      <c r="H1191">
        <f>IF(OR(NOT(ISNUMBER(D1191)),ABS(D1191-E1191)&gt;$O$3,AND($O$11=1,B1191&lt;$O$12)),1,0)</f>
        <v/>
      </c>
      <c r="I1191">
        <f>IF(H1191=1,NA(),D1191)</f>
        <v/>
      </c>
      <c r="J1191">
        <f>IF(AND(ISNUMBER(D1191),D1191&gt;=$O$4,OR($O$11=0,B1191&gt;=$O$12)),1,0)</f>
        <v/>
      </c>
      <c r="K1191">
        <f>B1191-$O$14</f>
        <v/>
      </c>
    </row>
    <row r="1192">
      <c r="A1192" t="n">
        <v>3570</v>
      </c>
      <c r="B1192" t="n">
        <v>119</v>
      </c>
      <c r="C1192" t="inlineStr">
        <is>
          <t>5</t>
        </is>
      </c>
      <c r="D1192" t="n">
        <v>0.05</v>
      </c>
      <c r="E1192">
        <f>MEDIAN(D1172:D1212)</f>
        <v/>
      </c>
      <c r="F1192">
        <f>E1172</f>
        <v/>
      </c>
      <c r="G1192">
        <f>F1192-E1192</f>
        <v/>
      </c>
      <c r="H1192">
        <f>IF(OR(NOT(ISNUMBER(D1192)),ABS(D1192-E1192)&gt;$O$3,AND($O$11=1,B1192&lt;$O$12)),1,0)</f>
        <v/>
      </c>
      <c r="I1192">
        <f>IF(H1192=1,NA(),D1192)</f>
        <v/>
      </c>
      <c r="J1192">
        <f>IF(AND(ISNUMBER(D1192),D1192&gt;=$O$4,OR($O$11=0,B1192&gt;=$O$12)),1,0)</f>
        <v/>
      </c>
      <c r="K1192">
        <f>B1192-$O$14</f>
        <v/>
      </c>
    </row>
    <row r="1193">
      <c r="A1193" t="n">
        <v>3573</v>
      </c>
      <c r="B1193" t="n">
        <v>119.1</v>
      </c>
      <c r="C1193" t="inlineStr">
        <is>
          <t>?5</t>
        </is>
      </c>
      <c r="E1193">
        <f>MEDIAN(D1173:D1213)</f>
        <v/>
      </c>
      <c r="F1193">
        <f>E1173</f>
        <v/>
      </c>
      <c r="G1193">
        <f>F1193-E1193</f>
        <v/>
      </c>
      <c r="H1193">
        <f>IF(OR(NOT(ISNUMBER(D1193)),ABS(D1193-E1193)&gt;$O$3,AND($O$11=1,B1193&lt;$O$12)),1,0)</f>
        <v/>
      </c>
      <c r="I1193">
        <f>IF(H1193=1,NA(),D1193)</f>
        <v/>
      </c>
      <c r="J1193">
        <f>IF(AND(ISNUMBER(D1193),D1193&gt;=$O$4,OR($O$11=0,B1193&gt;=$O$12)),1,0)</f>
        <v/>
      </c>
      <c r="K1193">
        <f>B1193-$O$14</f>
        <v/>
      </c>
    </row>
    <row r="1194">
      <c r="A1194" t="n">
        <v>3576</v>
      </c>
      <c r="B1194" t="n">
        <v>119.2</v>
      </c>
      <c r="C1194" t="inlineStr">
        <is>
          <t>?5</t>
        </is>
      </c>
      <c r="E1194">
        <f>MEDIAN(D1174:D1214)</f>
        <v/>
      </c>
      <c r="F1194">
        <f>E1174</f>
        <v/>
      </c>
      <c r="G1194">
        <f>F1194-E1194</f>
        <v/>
      </c>
      <c r="H1194">
        <f>IF(OR(NOT(ISNUMBER(D1194)),ABS(D1194-E1194)&gt;$O$3,AND($O$11=1,B1194&lt;$O$12)),1,0)</f>
        <v/>
      </c>
      <c r="I1194">
        <f>IF(H1194=1,NA(),D1194)</f>
        <v/>
      </c>
      <c r="J1194">
        <f>IF(AND(ISNUMBER(D1194),D1194&gt;=$O$4,OR($O$11=0,B1194&gt;=$O$12)),1,0)</f>
        <v/>
      </c>
      <c r="K1194">
        <f>B1194-$O$14</f>
        <v/>
      </c>
    </row>
    <row r="1195">
      <c r="A1195" t="n">
        <v>3579</v>
      </c>
      <c r="B1195" t="n">
        <v>119.3</v>
      </c>
      <c r="C1195" t="inlineStr">
        <is>
          <t>5</t>
        </is>
      </c>
      <c r="D1195" t="n">
        <v>0.05</v>
      </c>
      <c r="E1195">
        <f>MEDIAN(D1175:D1215)</f>
        <v/>
      </c>
      <c r="F1195">
        <f>E1175</f>
        <v/>
      </c>
      <c r="G1195">
        <f>F1195-E1195</f>
        <v/>
      </c>
      <c r="H1195">
        <f>IF(OR(NOT(ISNUMBER(D1195)),ABS(D1195-E1195)&gt;$O$3,AND($O$11=1,B1195&lt;$O$12)),1,0)</f>
        <v/>
      </c>
      <c r="I1195">
        <f>IF(H1195=1,NA(),D1195)</f>
        <v/>
      </c>
      <c r="J1195">
        <f>IF(AND(ISNUMBER(D1195),D1195&gt;=$O$4,OR($O$11=0,B1195&gt;=$O$12)),1,0)</f>
        <v/>
      </c>
      <c r="K1195">
        <f>B1195-$O$14</f>
        <v/>
      </c>
    </row>
    <row r="1196">
      <c r="A1196" t="n">
        <v>3582</v>
      </c>
      <c r="B1196" t="n">
        <v>119.4</v>
      </c>
      <c r="C1196" t="inlineStr">
        <is>
          <t>5</t>
        </is>
      </c>
      <c r="D1196" t="n">
        <v>0.05</v>
      </c>
      <c r="E1196">
        <f>MEDIAN(D1176:D1216)</f>
        <v/>
      </c>
      <c r="F1196">
        <f>E1176</f>
        <v/>
      </c>
      <c r="G1196">
        <f>F1196-E1196</f>
        <v/>
      </c>
      <c r="H1196">
        <f>IF(OR(NOT(ISNUMBER(D1196)),ABS(D1196-E1196)&gt;$O$3,AND($O$11=1,B1196&lt;$O$12)),1,0)</f>
        <v/>
      </c>
      <c r="I1196">
        <f>IF(H1196=1,NA(),D1196)</f>
        <v/>
      </c>
      <c r="J1196">
        <f>IF(AND(ISNUMBER(D1196),D1196&gt;=$O$4,OR($O$11=0,B1196&gt;=$O$12)),1,0)</f>
        <v/>
      </c>
      <c r="K1196">
        <f>B1196-$O$14</f>
        <v/>
      </c>
    </row>
    <row r="1197">
      <c r="A1197" t="n">
        <v>3585</v>
      </c>
      <c r="B1197" t="n">
        <v>119.5</v>
      </c>
      <c r="C1197" t="inlineStr">
        <is>
          <t>326</t>
        </is>
      </c>
      <c r="D1197" t="n">
        <v>3.26</v>
      </c>
      <c r="E1197">
        <f>MEDIAN(D1177:D1217)</f>
        <v/>
      </c>
      <c r="F1197">
        <f>E1177</f>
        <v/>
      </c>
      <c r="G1197">
        <f>F1197-E1197</f>
        <v/>
      </c>
      <c r="H1197">
        <f>IF(OR(NOT(ISNUMBER(D1197)),ABS(D1197-E1197)&gt;$O$3,AND($O$11=1,B1197&lt;$O$12)),1,0)</f>
        <v/>
      </c>
      <c r="I1197">
        <f>IF(H1197=1,NA(),D1197)</f>
        <v/>
      </c>
      <c r="J1197">
        <f>IF(AND(ISNUMBER(D1197),D1197&gt;=$O$4,OR($O$11=0,B1197&gt;=$O$12)),1,0)</f>
        <v/>
      </c>
      <c r="K1197">
        <f>B1197-$O$14</f>
        <v/>
      </c>
    </row>
    <row r="1198">
      <c r="A1198" t="n">
        <v>3588</v>
      </c>
      <c r="B1198" t="n">
        <v>119.6</v>
      </c>
      <c r="C1198" t="inlineStr">
        <is>
          <t>5</t>
        </is>
      </c>
      <c r="D1198" t="n">
        <v>0.05</v>
      </c>
      <c r="E1198">
        <f>MEDIAN(D1178:D1218)</f>
        <v/>
      </c>
      <c r="F1198">
        <f>E1178</f>
        <v/>
      </c>
      <c r="G1198">
        <f>F1198-E1198</f>
        <v/>
      </c>
      <c r="H1198">
        <f>IF(OR(NOT(ISNUMBER(D1198)),ABS(D1198-E1198)&gt;$O$3,AND($O$11=1,B1198&lt;$O$12)),1,0)</f>
        <v/>
      </c>
      <c r="I1198">
        <f>IF(H1198=1,NA(),D1198)</f>
        <v/>
      </c>
      <c r="J1198">
        <f>IF(AND(ISNUMBER(D1198),D1198&gt;=$O$4,OR($O$11=0,B1198&gt;=$O$12)),1,0)</f>
        <v/>
      </c>
      <c r="K1198">
        <f>B1198-$O$14</f>
        <v/>
      </c>
    </row>
    <row r="1199">
      <c r="A1199" t="n">
        <v>3591</v>
      </c>
      <c r="B1199" t="n">
        <v>119.7</v>
      </c>
      <c r="C1199" t="inlineStr">
        <is>
          <t>327</t>
        </is>
      </c>
      <c r="D1199" t="n">
        <v>3.27</v>
      </c>
      <c r="E1199">
        <f>MEDIAN(D1179:D1219)</f>
        <v/>
      </c>
      <c r="F1199">
        <f>E1179</f>
        <v/>
      </c>
      <c r="G1199">
        <f>F1199-E1199</f>
        <v/>
      </c>
      <c r="H1199">
        <f>IF(OR(NOT(ISNUMBER(D1199)),ABS(D1199-E1199)&gt;$O$3,AND($O$11=1,B1199&lt;$O$12)),1,0)</f>
        <v/>
      </c>
      <c r="I1199">
        <f>IF(H1199=1,NA(),D1199)</f>
        <v/>
      </c>
      <c r="J1199">
        <f>IF(AND(ISNUMBER(D1199),D1199&gt;=$O$4,OR($O$11=0,B1199&gt;=$O$12)),1,0)</f>
        <v/>
      </c>
      <c r="K1199">
        <f>B1199-$O$14</f>
        <v/>
      </c>
    </row>
    <row r="1200">
      <c r="A1200" t="n">
        <v>3594</v>
      </c>
      <c r="B1200" t="n">
        <v>119.8</v>
      </c>
      <c r="C1200" t="inlineStr">
        <is>
          <t>7</t>
        </is>
      </c>
      <c r="D1200" t="n">
        <v>0.07000000000000001</v>
      </c>
      <c r="E1200">
        <f>MEDIAN(D1180:D1220)</f>
        <v/>
      </c>
      <c r="F1200">
        <f>E1180</f>
        <v/>
      </c>
      <c r="G1200">
        <f>F1200-E1200</f>
        <v/>
      </c>
      <c r="H1200">
        <f>IF(OR(NOT(ISNUMBER(D1200)),ABS(D1200-E1200)&gt;$O$3,AND($O$11=1,B1200&lt;$O$12)),1,0)</f>
        <v/>
      </c>
      <c r="I1200">
        <f>IF(H1200=1,NA(),D1200)</f>
        <v/>
      </c>
      <c r="J1200">
        <f>IF(AND(ISNUMBER(D1200),D1200&gt;=$O$4,OR($O$11=0,B1200&gt;=$O$12)),1,0)</f>
        <v/>
      </c>
      <c r="K1200">
        <f>B1200-$O$14</f>
        <v/>
      </c>
    </row>
    <row r="1201">
      <c r="A1201" t="n">
        <v>3597</v>
      </c>
      <c r="B1201" t="n">
        <v>119.9</v>
      </c>
      <c r="C1201" t="inlineStr">
        <is>
          <t>327</t>
        </is>
      </c>
      <c r="D1201" t="n">
        <v>3.27</v>
      </c>
      <c r="E1201">
        <f>MEDIAN(D1181:D1221)</f>
        <v/>
      </c>
      <c r="F1201">
        <f>E1181</f>
        <v/>
      </c>
      <c r="G1201">
        <f>F1201-E1201</f>
        <v/>
      </c>
      <c r="H1201">
        <f>IF(OR(NOT(ISNUMBER(D1201)),ABS(D1201-E1201)&gt;$O$3,AND($O$11=1,B1201&lt;$O$12)),1,0)</f>
        <v/>
      </c>
      <c r="I1201">
        <f>IF(H1201=1,NA(),D1201)</f>
        <v/>
      </c>
      <c r="J1201">
        <f>IF(AND(ISNUMBER(D1201),D1201&gt;=$O$4,OR($O$11=0,B1201&gt;=$O$12)),1,0)</f>
        <v/>
      </c>
      <c r="K1201">
        <f>B1201-$O$14</f>
        <v/>
      </c>
    </row>
    <row r="1202">
      <c r="A1202" t="n">
        <v>3600</v>
      </c>
      <c r="B1202" t="n">
        <v>120</v>
      </c>
      <c r="C1202" t="inlineStr">
        <is>
          <t>327</t>
        </is>
      </c>
      <c r="D1202" t="n">
        <v>3.27</v>
      </c>
      <c r="E1202">
        <f>MEDIAN(D1182:D1222)</f>
        <v/>
      </c>
      <c r="F1202">
        <f>E1182</f>
        <v/>
      </c>
      <c r="G1202">
        <f>F1202-E1202</f>
        <v/>
      </c>
      <c r="H1202">
        <f>IF(OR(NOT(ISNUMBER(D1202)),ABS(D1202-E1202)&gt;$O$3,AND($O$11=1,B1202&lt;$O$12)),1,0)</f>
        <v/>
      </c>
      <c r="I1202">
        <f>IF(H1202=1,NA(),D1202)</f>
        <v/>
      </c>
      <c r="J1202">
        <f>IF(AND(ISNUMBER(D1202),D1202&gt;=$O$4,OR($O$11=0,B1202&gt;=$O$12)),1,0)</f>
        <v/>
      </c>
      <c r="K1202">
        <f>B1202-$O$14</f>
        <v/>
      </c>
    </row>
    <row r="1203">
      <c r="A1203" t="n">
        <v>3603</v>
      </c>
      <c r="B1203" t="n">
        <v>120.1</v>
      </c>
      <c r="C1203" t="inlineStr">
        <is>
          <t>3?1</t>
        </is>
      </c>
      <c r="E1203">
        <f>MEDIAN(D1183:D1223)</f>
        <v/>
      </c>
      <c r="F1203">
        <f>E1183</f>
        <v/>
      </c>
      <c r="G1203">
        <f>F1203-E1203</f>
        <v/>
      </c>
      <c r="H1203">
        <f>IF(OR(NOT(ISNUMBER(D1203)),ABS(D1203-E1203)&gt;$O$3,AND($O$11=1,B1203&lt;$O$12)),1,0)</f>
        <v/>
      </c>
      <c r="I1203">
        <f>IF(H1203=1,NA(),D1203)</f>
        <v/>
      </c>
      <c r="J1203">
        <f>IF(AND(ISNUMBER(D1203),D1203&gt;=$O$4,OR($O$11=0,B1203&gt;=$O$12)),1,0)</f>
        <v/>
      </c>
      <c r="K1203">
        <f>B1203-$O$14</f>
        <v/>
      </c>
    </row>
    <row r="1204">
      <c r="A1204" t="n">
        <v>3606</v>
      </c>
      <c r="B1204" t="n">
        <v>120.2</v>
      </c>
      <c r="C1204" t="inlineStr">
        <is>
          <t>331</t>
        </is>
      </c>
      <c r="D1204" t="n">
        <v>3.31</v>
      </c>
      <c r="E1204">
        <f>MEDIAN(D1184:D1224)</f>
        <v/>
      </c>
      <c r="F1204">
        <f>E1184</f>
        <v/>
      </c>
      <c r="G1204">
        <f>F1204-E1204</f>
        <v/>
      </c>
      <c r="H1204">
        <f>IF(OR(NOT(ISNUMBER(D1204)),ABS(D1204-E1204)&gt;$O$3,AND($O$11=1,B1204&lt;$O$12)),1,0)</f>
        <v/>
      </c>
      <c r="I1204">
        <f>IF(H1204=1,NA(),D1204)</f>
        <v/>
      </c>
      <c r="J1204">
        <f>IF(AND(ISNUMBER(D1204),D1204&gt;=$O$4,OR($O$11=0,B1204&gt;=$O$12)),1,0)</f>
        <v/>
      </c>
      <c r="K1204">
        <f>B1204-$O$14</f>
        <v/>
      </c>
    </row>
    <row r="1205">
      <c r="A1205" t="n">
        <v>3609</v>
      </c>
      <c r="B1205" t="n">
        <v>120.3</v>
      </c>
      <c r="C1205" t="inlineStr">
        <is>
          <t>3?1</t>
        </is>
      </c>
      <c r="E1205">
        <f>MEDIAN(D1185:D1225)</f>
        <v/>
      </c>
      <c r="F1205">
        <f>E1185</f>
        <v/>
      </c>
      <c r="G1205">
        <f>F1205-E1205</f>
        <v/>
      </c>
      <c r="H1205">
        <f>IF(OR(NOT(ISNUMBER(D1205)),ABS(D1205-E1205)&gt;$O$3,AND($O$11=1,B1205&lt;$O$12)),1,0)</f>
        <v/>
      </c>
      <c r="I1205">
        <f>IF(H1205=1,NA(),D1205)</f>
        <v/>
      </c>
      <c r="J1205">
        <f>IF(AND(ISNUMBER(D1205),D1205&gt;=$O$4,OR($O$11=0,B1205&gt;=$O$12)),1,0)</f>
        <v/>
      </c>
      <c r="K1205">
        <f>B1205-$O$14</f>
        <v/>
      </c>
    </row>
    <row r="1206">
      <c r="A1206" t="n">
        <v>3612</v>
      </c>
      <c r="B1206" t="n">
        <v>120.4</v>
      </c>
      <c r="C1206" t="inlineStr">
        <is>
          <t>1</t>
        </is>
      </c>
      <c r="D1206" t="n">
        <v>0.01</v>
      </c>
      <c r="E1206">
        <f>MEDIAN(D1186:D1226)</f>
        <v/>
      </c>
      <c r="F1206">
        <f>E1186</f>
        <v/>
      </c>
      <c r="G1206">
        <f>F1206-E1206</f>
        <v/>
      </c>
      <c r="H1206">
        <f>IF(OR(NOT(ISNUMBER(D1206)),ABS(D1206-E1206)&gt;$O$3,AND($O$11=1,B1206&lt;$O$12)),1,0)</f>
        <v/>
      </c>
      <c r="I1206">
        <f>IF(H1206=1,NA(),D1206)</f>
        <v/>
      </c>
      <c r="J1206">
        <f>IF(AND(ISNUMBER(D1206),D1206&gt;=$O$4,OR($O$11=0,B1206&gt;=$O$12)),1,0)</f>
        <v/>
      </c>
      <c r="K1206">
        <f>B1206-$O$14</f>
        <v/>
      </c>
    </row>
    <row r="1207">
      <c r="A1207" t="n">
        <v>3615</v>
      </c>
      <c r="B1207" t="n">
        <v>120.5</v>
      </c>
      <c r="C1207" t="inlineStr">
        <is>
          <t>3?5</t>
        </is>
      </c>
      <c r="E1207">
        <f>MEDIAN(D1187:D1227)</f>
        <v/>
      </c>
      <c r="F1207">
        <f>E1187</f>
        <v/>
      </c>
      <c r="G1207">
        <f>F1207-E1207</f>
        <v/>
      </c>
      <c r="H1207">
        <f>IF(OR(NOT(ISNUMBER(D1207)),ABS(D1207-E1207)&gt;$O$3,AND($O$11=1,B1207&lt;$O$12)),1,0)</f>
        <v/>
      </c>
      <c r="I1207">
        <f>IF(H1207=1,NA(),D1207)</f>
        <v/>
      </c>
      <c r="J1207">
        <f>IF(AND(ISNUMBER(D1207),D1207&gt;=$O$4,OR($O$11=0,B1207&gt;=$O$12)),1,0)</f>
        <v/>
      </c>
      <c r="K1207">
        <f>B1207-$O$14</f>
        <v/>
      </c>
    </row>
    <row r="1208">
      <c r="A1208" t="n">
        <v>3618</v>
      </c>
      <c r="B1208" t="n">
        <v>120.6</v>
      </c>
      <c r="C1208" t="inlineStr">
        <is>
          <t>41</t>
        </is>
      </c>
      <c r="D1208" t="n">
        <v>0.41</v>
      </c>
      <c r="E1208">
        <f>MEDIAN(D1188:D1228)</f>
        <v/>
      </c>
      <c r="F1208">
        <f>E1188</f>
        <v/>
      </c>
      <c r="G1208">
        <f>F1208-E1208</f>
        <v/>
      </c>
      <c r="H1208">
        <f>IF(OR(NOT(ISNUMBER(D1208)),ABS(D1208-E1208)&gt;$O$3,AND($O$11=1,B1208&lt;$O$12)),1,0)</f>
        <v/>
      </c>
      <c r="I1208">
        <f>IF(H1208=1,NA(),D1208)</f>
        <v/>
      </c>
      <c r="J1208">
        <f>IF(AND(ISNUMBER(D1208),D1208&gt;=$O$4,OR($O$11=0,B1208&gt;=$O$12)),1,0)</f>
        <v/>
      </c>
      <c r="K1208">
        <f>B1208-$O$14</f>
        <v/>
      </c>
    </row>
    <row r="1209">
      <c r="A1209" t="n">
        <v>3621</v>
      </c>
      <c r="B1209" t="n">
        <v>120.7</v>
      </c>
      <c r="C1209" t="inlineStr">
        <is>
          <t>331</t>
        </is>
      </c>
      <c r="D1209" t="n">
        <v>3.31</v>
      </c>
      <c r="E1209">
        <f>MEDIAN(D1189:D1229)</f>
        <v/>
      </c>
      <c r="F1209">
        <f>E1189</f>
        <v/>
      </c>
      <c r="G1209">
        <f>F1209-E1209</f>
        <v/>
      </c>
      <c r="H1209">
        <f>IF(OR(NOT(ISNUMBER(D1209)),ABS(D1209-E1209)&gt;$O$3,AND($O$11=1,B1209&lt;$O$12)),1,0)</f>
        <v/>
      </c>
      <c r="I1209">
        <f>IF(H1209=1,NA(),D1209)</f>
        <v/>
      </c>
      <c r="J1209">
        <f>IF(AND(ISNUMBER(D1209),D1209&gt;=$O$4,OR($O$11=0,B1209&gt;=$O$12)),1,0)</f>
        <v/>
      </c>
      <c r="K1209">
        <f>B1209-$O$14</f>
        <v/>
      </c>
    </row>
    <row r="1210">
      <c r="A1210" t="n">
        <v>3624</v>
      </c>
      <c r="B1210" t="n">
        <v>120.8</v>
      </c>
      <c r="C1210" t="inlineStr">
        <is>
          <t>41</t>
        </is>
      </c>
      <c r="D1210" t="n">
        <v>0.41</v>
      </c>
      <c r="E1210">
        <f>MEDIAN(D1190:D1230)</f>
        <v/>
      </c>
      <c r="F1210">
        <f>E1190</f>
        <v/>
      </c>
      <c r="G1210">
        <f>F1210-E1210</f>
        <v/>
      </c>
      <c r="H1210">
        <f>IF(OR(NOT(ISNUMBER(D1210)),ABS(D1210-E1210)&gt;$O$3,AND($O$11=1,B1210&lt;$O$12)),1,0)</f>
        <v/>
      </c>
      <c r="I1210">
        <f>IF(H1210=1,NA(),D1210)</f>
        <v/>
      </c>
      <c r="J1210">
        <f>IF(AND(ISNUMBER(D1210),D1210&gt;=$O$4,OR($O$11=0,B1210&gt;=$O$12)),1,0)</f>
        <v/>
      </c>
      <c r="K1210">
        <f>B1210-$O$14</f>
        <v/>
      </c>
    </row>
    <row r="1211">
      <c r="A1211" t="n">
        <v>3627</v>
      </c>
      <c r="B1211" t="n">
        <v>120.9</v>
      </c>
      <c r="C1211" t="inlineStr">
        <is>
          <t>?30</t>
        </is>
      </c>
      <c r="E1211">
        <f>MEDIAN(D1191:D1231)</f>
        <v/>
      </c>
      <c r="F1211">
        <f>E1191</f>
        <v/>
      </c>
      <c r="G1211">
        <f>F1211-E1211</f>
        <v/>
      </c>
      <c r="H1211">
        <f>IF(OR(NOT(ISNUMBER(D1211)),ABS(D1211-E1211)&gt;$O$3,AND($O$11=1,B1211&lt;$O$12)),1,0)</f>
        <v/>
      </c>
      <c r="I1211">
        <f>IF(H1211=1,NA(),D1211)</f>
        <v/>
      </c>
      <c r="J1211">
        <f>IF(AND(ISNUMBER(D1211),D1211&gt;=$O$4,OR($O$11=0,B1211&gt;=$O$12)),1,0)</f>
        <v/>
      </c>
      <c r="K1211">
        <f>B1211-$O$14</f>
        <v/>
      </c>
    </row>
    <row r="1212">
      <c r="A1212" t="n">
        <v>3630</v>
      </c>
      <c r="B1212" t="n">
        <v>121</v>
      </c>
      <c r="C1212" t="inlineStr">
        <is>
          <t>3?0</t>
        </is>
      </c>
      <c r="E1212">
        <f>MEDIAN(D1192:D1232)</f>
        <v/>
      </c>
      <c r="F1212">
        <f>E1192</f>
        <v/>
      </c>
      <c r="G1212">
        <f>F1212-E1212</f>
        <v/>
      </c>
      <c r="H1212">
        <f>IF(OR(NOT(ISNUMBER(D1212)),ABS(D1212-E1212)&gt;$O$3,AND($O$11=1,B1212&lt;$O$12)),1,0)</f>
        <v/>
      </c>
      <c r="I1212">
        <f>IF(H1212=1,NA(),D1212)</f>
        <v/>
      </c>
      <c r="J1212">
        <f>IF(AND(ISNUMBER(D1212),D1212&gt;=$O$4,OR($O$11=0,B1212&gt;=$O$12)),1,0)</f>
        <v/>
      </c>
      <c r="K1212">
        <f>B1212-$O$14</f>
        <v/>
      </c>
    </row>
    <row r="1213">
      <c r="A1213" t="n">
        <v>3633</v>
      </c>
      <c r="B1213" t="n">
        <v>121.1</v>
      </c>
      <c r="C1213" t="inlineStr">
        <is>
          <t>?30</t>
        </is>
      </c>
      <c r="E1213">
        <f>MEDIAN(D1193:D1233)</f>
        <v/>
      </c>
      <c r="F1213">
        <f>E1193</f>
        <v/>
      </c>
      <c r="G1213">
        <f>F1213-E1213</f>
        <v/>
      </c>
      <c r="H1213">
        <f>IF(OR(NOT(ISNUMBER(D1213)),ABS(D1213-E1213)&gt;$O$3,AND($O$11=1,B1213&lt;$O$12)),1,0)</f>
        <v/>
      </c>
      <c r="I1213">
        <f>IF(H1213=1,NA(),D1213)</f>
        <v/>
      </c>
      <c r="J1213">
        <f>IF(AND(ISNUMBER(D1213),D1213&gt;=$O$4,OR($O$11=0,B1213&gt;=$O$12)),1,0)</f>
        <v/>
      </c>
      <c r="K1213">
        <f>B1213-$O$14</f>
        <v/>
      </c>
    </row>
    <row r="1214">
      <c r="A1214" t="n">
        <v>3636</v>
      </c>
      <c r="B1214" t="n">
        <v>121.2</v>
      </c>
      <c r="C1214" t="inlineStr">
        <is>
          <t>40</t>
        </is>
      </c>
      <c r="D1214" t="n">
        <v>0.4</v>
      </c>
      <c r="E1214">
        <f>MEDIAN(D1194:D1234)</f>
        <v/>
      </c>
      <c r="F1214">
        <f>E1194</f>
        <v/>
      </c>
      <c r="G1214">
        <f>F1214-E1214</f>
        <v/>
      </c>
      <c r="H1214">
        <f>IF(OR(NOT(ISNUMBER(D1214)),ABS(D1214-E1214)&gt;$O$3,AND($O$11=1,B1214&lt;$O$12)),1,0)</f>
        <v/>
      </c>
      <c r="I1214">
        <f>IF(H1214=1,NA(),D1214)</f>
        <v/>
      </c>
      <c r="J1214">
        <f>IF(AND(ISNUMBER(D1214),D1214&gt;=$O$4,OR($O$11=0,B1214&gt;=$O$12)),1,0)</f>
        <v/>
      </c>
      <c r="K1214">
        <f>B1214-$O$14</f>
        <v/>
      </c>
    </row>
    <row r="1215">
      <c r="A1215" t="n">
        <v>3639</v>
      </c>
      <c r="B1215" t="n">
        <v>121.3</v>
      </c>
      <c r="C1215" t="inlineStr">
        <is>
          <t>330</t>
        </is>
      </c>
      <c r="D1215" t="n">
        <v>3.3</v>
      </c>
      <c r="E1215">
        <f>MEDIAN(D1195:D1235)</f>
        <v/>
      </c>
      <c r="F1215">
        <f>E1195</f>
        <v/>
      </c>
      <c r="G1215">
        <f>F1215-E1215</f>
        <v/>
      </c>
      <c r="H1215">
        <f>IF(OR(NOT(ISNUMBER(D1215)),ABS(D1215-E1215)&gt;$O$3,AND($O$11=1,B1215&lt;$O$12)),1,0)</f>
        <v/>
      </c>
      <c r="I1215">
        <f>IF(H1215=1,NA(),D1215)</f>
        <v/>
      </c>
      <c r="J1215">
        <f>IF(AND(ISNUMBER(D1215),D1215&gt;=$O$4,OR($O$11=0,B1215&gt;=$O$12)),1,0)</f>
        <v/>
      </c>
      <c r="K1215">
        <f>B1215-$O$14</f>
        <v/>
      </c>
    </row>
    <row r="1216">
      <c r="A1216" t="n">
        <v>3642</v>
      </c>
      <c r="B1216" t="n">
        <v>121.4</v>
      </c>
      <c r="C1216" t="inlineStr">
        <is>
          <t>330</t>
        </is>
      </c>
      <c r="D1216" t="n">
        <v>3.3</v>
      </c>
      <c r="E1216">
        <f>MEDIAN(D1196:D1236)</f>
        <v/>
      </c>
      <c r="F1216">
        <f>E1196</f>
        <v/>
      </c>
      <c r="G1216">
        <f>F1216-E1216</f>
        <v/>
      </c>
      <c r="H1216">
        <f>IF(OR(NOT(ISNUMBER(D1216)),ABS(D1216-E1216)&gt;$O$3,AND($O$11=1,B1216&lt;$O$12)),1,0)</f>
        <v/>
      </c>
      <c r="I1216">
        <f>IF(H1216=1,NA(),D1216)</f>
        <v/>
      </c>
      <c r="J1216">
        <f>IF(AND(ISNUMBER(D1216),D1216&gt;=$O$4,OR($O$11=0,B1216&gt;=$O$12)),1,0)</f>
        <v/>
      </c>
      <c r="K1216">
        <f>B1216-$O$14</f>
        <v/>
      </c>
    </row>
    <row r="1217">
      <c r="A1217" t="n">
        <v>3645</v>
      </c>
      <c r="B1217" t="n">
        <v>121.5</v>
      </c>
      <c r="C1217" t="inlineStr">
        <is>
          <t>370</t>
        </is>
      </c>
      <c r="D1217" t="n">
        <v>3.7</v>
      </c>
      <c r="E1217">
        <f>MEDIAN(D1197:D1237)</f>
        <v/>
      </c>
      <c r="F1217">
        <f>E1197</f>
        <v/>
      </c>
      <c r="G1217">
        <f>F1217-E1217</f>
        <v/>
      </c>
      <c r="H1217">
        <f>IF(OR(NOT(ISNUMBER(D1217)),ABS(D1217-E1217)&gt;$O$3,AND($O$11=1,B1217&lt;$O$12)),1,0)</f>
        <v/>
      </c>
      <c r="I1217">
        <f>IF(H1217=1,NA(),D1217)</f>
        <v/>
      </c>
      <c r="J1217">
        <f>IF(AND(ISNUMBER(D1217),D1217&gt;=$O$4,OR($O$11=0,B1217&gt;=$O$12)),1,0)</f>
        <v/>
      </c>
      <c r="K1217">
        <f>B1217-$O$14</f>
        <v/>
      </c>
    </row>
    <row r="1218">
      <c r="A1218" t="n">
        <v>3648</v>
      </c>
      <c r="B1218" t="n">
        <v>121.6</v>
      </c>
      <c r="C1218" t="inlineStr">
        <is>
          <t>40</t>
        </is>
      </c>
      <c r="D1218" t="n">
        <v>0.4</v>
      </c>
      <c r="E1218">
        <f>MEDIAN(D1198:D1238)</f>
        <v/>
      </c>
      <c r="F1218">
        <f>E1198</f>
        <v/>
      </c>
      <c r="G1218">
        <f>F1218-E1218</f>
        <v/>
      </c>
      <c r="H1218">
        <f>IF(OR(NOT(ISNUMBER(D1218)),ABS(D1218-E1218)&gt;$O$3,AND($O$11=1,B1218&lt;$O$12)),1,0)</f>
        <v/>
      </c>
      <c r="I1218">
        <f>IF(H1218=1,NA(),D1218)</f>
        <v/>
      </c>
      <c r="J1218">
        <f>IF(AND(ISNUMBER(D1218),D1218&gt;=$O$4,OR($O$11=0,B1218&gt;=$O$12)),1,0)</f>
        <v/>
      </c>
      <c r="K1218">
        <f>B1218-$O$14</f>
        <v/>
      </c>
    </row>
    <row r="1219">
      <c r="A1219" t="n">
        <v>3651</v>
      </c>
      <c r="B1219" t="n">
        <v>121.7</v>
      </c>
      <c r="C1219" t="inlineStr">
        <is>
          <t>330</t>
        </is>
      </c>
      <c r="D1219" t="n">
        <v>3.3</v>
      </c>
      <c r="E1219">
        <f>MEDIAN(D1199:D1239)</f>
        <v/>
      </c>
      <c r="F1219">
        <f>E1199</f>
        <v/>
      </c>
      <c r="G1219">
        <f>F1219-E1219</f>
        <v/>
      </c>
      <c r="H1219">
        <f>IF(OR(NOT(ISNUMBER(D1219)),ABS(D1219-E1219)&gt;$O$3,AND($O$11=1,B1219&lt;$O$12)),1,0)</f>
        <v/>
      </c>
      <c r="I1219">
        <f>IF(H1219=1,NA(),D1219)</f>
        <v/>
      </c>
      <c r="J1219">
        <f>IF(AND(ISNUMBER(D1219),D1219&gt;=$O$4,OR($O$11=0,B1219&gt;=$O$12)),1,0)</f>
        <v/>
      </c>
      <c r="K1219">
        <f>B1219-$O$14</f>
        <v/>
      </c>
    </row>
    <row r="1220">
      <c r="A1220" t="n">
        <v>3654</v>
      </c>
      <c r="B1220" t="n">
        <v>121.8</v>
      </c>
      <c r="C1220" t="inlineStr">
        <is>
          <t>330</t>
        </is>
      </c>
      <c r="D1220" t="n">
        <v>3.3</v>
      </c>
      <c r="E1220">
        <f>MEDIAN(D1200:D1240)</f>
        <v/>
      </c>
      <c r="F1220">
        <f>E1200</f>
        <v/>
      </c>
      <c r="G1220">
        <f>F1220-E1220</f>
        <v/>
      </c>
      <c r="H1220">
        <f>IF(OR(NOT(ISNUMBER(D1220)),ABS(D1220-E1220)&gt;$O$3,AND($O$11=1,B1220&lt;$O$12)),1,0)</f>
        <v/>
      </c>
      <c r="I1220">
        <f>IF(H1220=1,NA(),D1220)</f>
        <v/>
      </c>
      <c r="J1220">
        <f>IF(AND(ISNUMBER(D1220),D1220&gt;=$O$4,OR($O$11=0,B1220&gt;=$O$12)),1,0)</f>
        <v/>
      </c>
      <c r="K1220">
        <f>B1220-$O$14</f>
        <v/>
      </c>
    </row>
    <row r="1221">
      <c r="A1221" t="n">
        <v>3657</v>
      </c>
      <c r="B1221" t="n">
        <v>121.9</v>
      </c>
      <c r="C1221" t="inlineStr">
        <is>
          <t>330</t>
        </is>
      </c>
      <c r="D1221" t="n">
        <v>3.3</v>
      </c>
      <c r="E1221">
        <f>MEDIAN(D1201:D1241)</f>
        <v/>
      </c>
      <c r="F1221">
        <f>E1201</f>
        <v/>
      </c>
      <c r="G1221">
        <f>F1221-E1221</f>
        <v/>
      </c>
      <c r="H1221">
        <f>IF(OR(NOT(ISNUMBER(D1221)),ABS(D1221-E1221)&gt;$O$3,AND($O$11=1,B1221&lt;$O$12)),1,0)</f>
        <v/>
      </c>
      <c r="I1221">
        <f>IF(H1221=1,NA(),D1221)</f>
        <v/>
      </c>
      <c r="J1221">
        <f>IF(AND(ISNUMBER(D1221),D1221&gt;=$O$4,OR($O$11=0,B1221&gt;=$O$12)),1,0)</f>
        <v/>
      </c>
      <c r="K1221">
        <f>B1221-$O$14</f>
        <v/>
      </c>
    </row>
    <row r="1222">
      <c r="A1222" t="n">
        <v>3660</v>
      </c>
      <c r="B1222" t="n">
        <v>122</v>
      </c>
      <c r="C1222" t="inlineStr">
        <is>
          <t>45</t>
        </is>
      </c>
      <c r="D1222" t="n">
        <v>0.45</v>
      </c>
      <c r="E1222">
        <f>MEDIAN(D1202:D1242)</f>
        <v/>
      </c>
      <c r="F1222">
        <f>E1202</f>
        <v/>
      </c>
      <c r="G1222">
        <f>F1222-E1222</f>
        <v/>
      </c>
      <c r="H1222">
        <f>IF(OR(NOT(ISNUMBER(D1222)),ABS(D1222-E1222)&gt;$O$3,AND($O$11=1,B1222&lt;$O$12)),1,0)</f>
        <v/>
      </c>
      <c r="I1222">
        <f>IF(H1222=1,NA(),D1222)</f>
        <v/>
      </c>
      <c r="J1222">
        <f>IF(AND(ISNUMBER(D1222),D1222&gt;=$O$4,OR($O$11=0,B1222&gt;=$O$12)),1,0)</f>
        <v/>
      </c>
      <c r="K1222">
        <f>B1222-$O$14</f>
        <v/>
      </c>
    </row>
    <row r="1223">
      <c r="A1223" t="n">
        <v>3663</v>
      </c>
      <c r="B1223" t="n">
        <v>122.1</v>
      </c>
      <c r="C1223" t="inlineStr">
        <is>
          <t>325</t>
        </is>
      </c>
      <c r="D1223" t="n">
        <v>3.25</v>
      </c>
      <c r="E1223">
        <f>MEDIAN(D1203:D1243)</f>
        <v/>
      </c>
      <c r="F1223">
        <f>E1203</f>
        <v/>
      </c>
      <c r="G1223">
        <f>F1223-E1223</f>
        <v/>
      </c>
      <c r="H1223">
        <f>IF(OR(NOT(ISNUMBER(D1223)),ABS(D1223-E1223)&gt;$O$3,AND($O$11=1,B1223&lt;$O$12)),1,0)</f>
        <v/>
      </c>
      <c r="I1223">
        <f>IF(H1223=1,NA(),D1223)</f>
        <v/>
      </c>
      <c r="J1223">
        <f>IF(AND(ISNUMBER(D1223),D1223&gt;=$O$4,OR($O$11=0,B1223&gt;=$O$12)),1,0)</f>
        <v/>
      </c>
      <c r="K1223">
        <f>B1223-$O$14</f>
        <v/>
      </c>
    </row>
    <row r="1224">
      <c r="A1224" t="n">
        <v>3666</v>
      </c>
      <c r="B1224" t="n">
        <v>122.2</v>
      </c>
      <c r="C1224" t="inlineStr">
        <is>
          <t>5</t>
        </is>
      </c>
      <c r="D1224" t="n">
        <v>0.05</v>
      </c>
      <c r="E1224">
        <f>MEDIAN(D1204:D1244)</f>
        <v/>
      </c>
      <c r="F1224">
        <f>E1204</f>
        <v/>
      </c>
      <c r="G1224">
        <f>F1224-E1224</f>
        <v/>
      </c>
      <c r="H1224">
        <f>IF(OR(NOT(ISNUMBER(D1224)),ABS(D1224-E1224)&gt;$O$3,AND($O$11=1,B1224&lt;$O$12)),1,0)</f>
        <v/>
      </c>
      <c r="I1224">
        <f>IF(H1224=1,NA(),D1224)</f>
        <v/>
      </c>
      <c r="J1224">
        <f>IF(AND(ISNUMBER(D1224),D1224&gt;=$O$4,OR($O$11=0,B1224&gt;=$O$12)),1,0)</f>
        <v/>
      </c>
      <c r="K1224">
        <f>B1224-$O$14</f>
        <v/>
      </c>
    </row>
    <row r="1225">
      <c r="A1225" t="n">
        <v>3669</v>
      </c>
      <c r="B1225" t="n">
        <v>122.3</v>
      </c>
      <c r="C1225" t="inlineStr">
        <is>
          <t>325</t>
        </is>
      </c>
      <c r="D1225" t="n">
        <v>3.25</v>
      </c>
      <c r="E1225">
        <f>MEDIAN(D1205:D1245)</f>
        <v/>
      </c>
      <c r="F1225">
        <f>E1205</f>
        <v/>
      </c>
      <c r="G1225">
        <f>F1225-E1225</f>
        <v/>
      </c>
      <c r="H1225">
        <f>IF(OR(NOT(ISNUMBER(D1225)),ABS(D1225-E1225)&gt;$O$3,AND($O$11=1,B1225&lt;$O$12)),1,0)</f>
        <v/>
      </c>
      <c r="I1225">
        <f>IF(H1225=1,NA(),D1225)</f>
        <v/>
      </c>
      <c r="J1225">
        <f>IF(AND(ISNUMBER(D1225),D1225&gt;=$O$4,OR($O$11=0,B1225&gt;=$O$12)),1,0)</f>
        <v/>
      </c>
      <c r="K1225">
        <f>B1225-$O$14</f>
        <v/>
      </c>
    </row>
    <row r="1226">
      <c r="A1226" t="n">
        <v>3672</v>
      </c>
      <c r="B1226" t="n">
        <v>122.4</v>
      </c>
      <c r="C1226" t="inlineStr">
        <is>
          <t>45</t>
        </is>
      </c>
      <c r="D1226" t="n">
        <v>0.45</v>
      </c>
      <c r="E1226">
        <f>MEDIAN(D1206:D1246)</f>
        <v/>
      </c>
      <c r="F1226">
        <f>E1206</f>
        <v/>
      </c>
      <c r="G1226">
        <f>F1226-E1226</f>
        <v/>
      </c>
      <c r="H1226">
        <f>IF(OR(NOT(ISNUMBER(D1226)),ABS(D1226-E1226)&gt;$O$3,AND($O$11=1,B1226&lt;$O$12)),1,0)</f>
        <v/>
      </c>
      <c r="I1226">
        <f>IF(H1226=1,NA(),D1226)</f>
        <v/>
      </c>
      <c r="J1226">
        <f>IF(AND(ISNUMBER(D1226),D1226&gt;=$O$4,OR($O$11=0,B1226&gt;=$O$12)),1,0)</f>
        <v/>
      </c>
      <c r="K1226">
        <f>B1226-$O$14</f>
        <v/>
      </c>
    </row>
    <row r="1227">
      <c r="A1227" t="n">
        <v>3675</v>
      </c>
      <c r="B1227" t="n">
        <v>122.5</v>
      </c>
      <c r="C1227" t="inlineStr">
        <is>
          <t>325</t>
        </is>
      </c>
      <c r="D1227" t="n">
        <v>3.25</v>
      </c>
      <c r="E1227">
        <f>MEDIAN(D1207:D1247)</f>
        <v/>
      </c>
      <c r="F1227">
        <f>E1207</f>
        <v/>
      </c>
      <c r="G1227">
        <f>F1227-E1227</f>
        <v/>
      </c>
      <c r="H1227">
        <f>IF(OR(NOT(ISNUMBER(D1227)),ABS(D1227-E1227)&gt;$O$3,AND($O$11=1,B1227&lt;$O$12)),1,0)</f>
        <v/>
      </c>
      <c r="I1227">
        <f>IF(H1227=1,NA(),D1227)</f>
        <v/>
      </c>
      <c r="J1227">
        <f>IF(AND(ISNUMBER(D1227),D1227&gt;=$O$4,OR($O$11=0,B1227&gt;=$O$12)),1,0)</f>
        <v/>
      </c>
      <c r="K1227">
        <f>B1227-$O$14</f>
        <v/>
      </c>
    </row>
    <row r="1228">
      <c r="A1228" t="n">
        <v>3678</v>
      </c>
      <c r="B1228" t="n">
        <v>122.6</v>
      </c>
      <c r="C1228" t="inlineStr">
        <is>
          <t>325</t>
        </is>
      </c>
      <c r="D1228" t="n">
        <v>3.25</v>
      </c>
      <c r="E1228">
        <f>MEDIAN(D1208:D1248)</f>
        <v/>
      </c>
      <c r="F1228">
        <f>E1208</f>
        <v/>
      </c>
      <c r="G1228">
        <f>F1228-E1228</f>
        <v/>
      </c>
      <c r="H1228">
        <f>IF(OR(NOT(ISNUMBER(D1228)),ABS(D1228-E1228)&gt;$O$3,AND($O$11=1,B1228&lt;$O$12)),1,0)</f>
        <v/>
      </c>
      <c r="I1228">
        <f>IF(H1228=1,NA(),D1228)</f>
        <v/>
      </c>
      <c r="J1228">
        <f>IF(AND(ISNUMBER(D1228),D1228&gt;=$O$4,OR($O$11=0,B1228&gt;=$O$12)),1,0)</f>
        <v/>
      </c>
      <c r="K1228">
        <f>B1228-$O$14</f>
        <v/>
      </c>
    </row>
    <row r="1229">
      <c r="A1229" t="n">
        <v>3681</v>
      </c>
      <c r="B1229" t="n">
        <v>122.7</v>
      </c>
      <c r="C1229" t="inlineStr">
        <is>
          <t>325</t>
        </is>
      </c>
      <c r="D1229" t="n">
        <v>3.25</v>
      </c>
      <c r="E1229">
        <f>MEDIAN(D1209:D1249)</f>
        <v/>
      </c>
      <c r="F1229">
        <f>E1209</f>
        <v/>
      </c>
      <c r="G1229">
        <f>F1229-E1229</f>
        <v/>
      </c>
      <c r="H1229">
        <f>IF(OR(NOT(ISNUMBER(D1229)),ABS(D1229-E1229)&gt;$O$3,AND($O$11=1,B1229&lt;$O$12)),1,0)</f>
        <v/>
      </c>
      <c r="I1229">
        <f>IF(H1229=1,NA(),D1229)</f>
        <v/>
      </c>
      <c r="J1229">
        <f>IF(AND(ISNUMBER(D1229),D1229&gt;=$O$4,OR($O$11=0,B1229&gt;=$O$12)),1,0)</f>
        <v/>
      </c>
      <c r="K1229">
        <f>B1229-$O$14</f>
        <v/>
      </c>
    </row>
    <row r="1230">
      <c r="A1230" t="n">
        <v>3684</v>
      </c>
      <c r="B1230" t="n">
        <v>122.8</v>
      </c>
      <c r="C1230" t="inlineStr">
        <is>
          <t>5</t>
        </is>
      </c>
      <c r="D1230" t="n">
        <v>0.05</v>
      </c>
      <c r="E1230">
        <f>MEDIAN(D1210:D1250)</f>
        <v/>
      </c>
      <c r="F1230">
        <f>E1210</f>
        <v/>
      </c>
      <c r="G1230">
        <f>F1230-E1230</f>
        <v/>
      </c>
      <c r="H1230">
        <f>IF(OR(NOT(ISNUMBER(D1230)),ABS(D1230-E1230)&gt;$O$3,AND($O$11=1,B1230&lt;$O$12)),1,0)</f>
        <v/>
      </c>
      <c r="I1230">
        <f>IF(H1230=1,NA(),D1230)</f>
        <v/>
      </c>
      <c r="J1230">
        <f>IF(AND(ISNUMBER(D1230),D1230&gt;=$O$4,OR($O$11=0,B1230&gt;=$O$12)),1,0)</f>
        <v/>
      </c>
      <c r="K1230">
        <f>B1230-$O$14</f>
        <v/>
      </c>
    </row>
    <row r="1231">
      <c r="A1231" t="n">
        <v>3687</v>
      </c>
      <c r="B1231" t="n">
        <v>122.9</v>
      </c>
      <c r="C1231" t="inlineStr">
        <is>
          <t>325</t>
        </is>
      </c>
      <c r="D1231" t="n">
        <v>3.25</v>
      </c>
      <c r="E1231">
        <f>MEDIAN(D1211:D1251)</f>
        <v/>
      </c>
      <c r="F1231">
        <f>E1211</f>
        <v/>
      </c>
      <c r="G1231">
        <f>F1231-E1231</f>
        <v/>
      </c>
      <c r="H1231">
        <f>IF(OR(NOT(ISNUMBER(D1231)),ABS(D1231-E1231)&gt;$O$3,AND($O$11=1,B1231&lt;$O$12)),1,0)</f>
        <v/>
      </c>
      <c r="I1231">
        <f>IF(H1231=1,NA(),D1231)</f>
        <v/>
      </c>
      <c r="J1231">
        <f>IF(AND(ISNUMBER(D1231),D1231&gt;=$O$4,OR($O$11=0,B1231&gt;=$O$12)),1,0)</f>
        <v/>
      </c>
      <c r="K1231">
        <f>B1231-$O$14</f>
        <v/>
      </c>
    </row>
    <row r="1232">
      <c r="A1232" t="n">
        <v>3690</v>
      </c>
      <c r="B1232" t="n">
        <v>123</v>
      </c>
      <c r="C1232" t="inlineStr">
        <is>
          <t>?5</t>
        </is>
      </c>
      <c r="E1232">
        <f>MEDIAN(D1212:D1252)</f>
        <v/>
      </c>
      <c r="F1232">
        <f>E1212</f>
        <v/>
      </c>
      <c r="G1232">
        <f>F1232-E1232</f>
        <v/>
      </c>
      <c r="H1232">
        <f>IF(OR(NOT(ISNUMBER(D1232)),ABS(D1232-E1232)&gt;$O$3,AND($O$11=1,B1232&lt;$O$12)),1,0)</f>
        <v/>
      </c>
      <c r="I1232">
        <f>IF(H1232=1,NA(),D1232)</f>
        <v/>
      </c>
      <c r="J1232">
        <f>IF(AND(ISNUMBER(D1232),D1232&gt;=$O$4,OR($O$11=0,B1232&gt;=$O$12)),1,0)</f>
        <v/>
      </c>
      <c r="K1232">
        <f>B1232-$O$14</f>
        <v/>
      </c>
    </row>
    <row r="1233">
      <c r="A1233" t="n">
        <v>3693</v>
      </c>
      <c r="B1233" t="n">
        <v>123.1</v>
      </c>
      <c r="C1233" t="inlineStr">
        <is>
          <t>325</t>
        </is>
      </c>
      <c r="D1233" t="n">
        <v>3.25</v>
      </c>
      <c r="E1233">
        <f>MEDIAN(D1213:D1253)</f>
        <v/>
      </c>
      <c r="F1233">
        <f>E1213</f>
        <v/>
      </c>
      <c r="G1233">
        <f>F1233-E1233</f>
        <v/>
      </c>
      <c r="H1233">
        <f>IF(OR(NOT(ISNUMBER(D1233)),ABS(D1233-E1233)&gt;$O$3,AND($O$11=1,B1233&lt;$O$12)),1,0)</f>
        <v/>
      </c>
      <c r="I1233">
        <f>IF(H1233=1,NA(),D1233)</f>
        <v/>
      </c>
      <c r="J1233">
        <f>IF(AND(ISNUMBER(D1233),D1233&gt;=$O$4,OR($O$11=0,B1233&gt;=$O$12)),1,0)</f>
        <v/>
      </c>
      <c r="K1233">
        <f>B1233-$O$14</f>
        <v/>
      </c>
    </row>
    <row r="1234">
      <c r="A1234" t="n">
        <v>3696</v>
      </c>
      <c r="B1234" t="n">
        <v>123.2</v>
      </c>
      <c r="C1234" t="inlineStr">
        <is>
          <t>325</t>
        </is>
      </c>
      <c r="D1234" t="n">
        <v>3.25</v>
      </c>
      <c r="E1234">
        <f>MEDIAN(D1214:D1254)</f>
        <v/>
      </c>
      <c r="F1234">
        <f>E1214</f>
        <v/>
      </c>
      <c r="G1234">
        <f>F1234-E1234</f>
        <v/>
      </c>
      <c r="H1234">
        <f>IF(OR(NOT(ISNUMBER(D1234)),ABS(D1234-E1234)&gt;$O$3,AND($O$11=1,B1234&lt;$O$12)),1,0)</f>
        <v/>
      </c>
      <c r="I1234">
        <f>IF(H1234=1,NA(),D1234)</f>
        <v/>
      </c>
      <c r="J1234">
        <f>IF(AND(ISNUMBER(D1234),D1234&gt;=$O$4,OR($O$11=0,B1234&gt;=$O$12)),1,0)</f>
        <v/>
      </c>
      <c r="K1234">
        <f>B1234-$O$14</f>
        <v/>
      </c>
    </row>
    <row r="1235">
      <c r="A1235" t="n">
        <v>3699</v>
      </c>
      <c r="B1235" t="n">
        <v>123.3</v>
      </c>
      <c r="C1235" t="inlineStr">
        <is>
          <t>5</t>
        </is>
      </c>
      <c r="D1235" t="n">
        <v>0.05</v>
      </c>
      <c r="E1235">
        <f>MEDIAN(D1215:D1255)</f>
        <v/>
      </c>
      <c r="F1235">
        <f>E1215</f>
        <v/>
      </c>
      <c r="G1235">
        <f>F1235-E1235</f>
        <v/>
      </c>
      <c r="H1235">
        <f>IF(OR(NOT(ISNUMBER(D1235)),ABS(D1235-E1235)&gt;$O$3,AND($O$11=1,B1235&lt;$O$12)),1,0)</f>
        <v/>
      </c>
      <c r="I1235">
        <f>IF(H1235=1,NA(),D1235)</f>
        <v/>
      </c>
      <c r="J1235">
        <f>IF(AND(ISNUMBER(D1235),D1235&gt;=$O$4,OR($O$11=0,B1235&gt;=$O$12)),1,0)</f>
        <v/>
      </c>
      <c r="K1235">
        <f>B1235-$O$14</f>
        <v/>
      </c>
    </row>
    <row r="1236">
      <c r="A1236" t="n">
        <v>3702</v>
      </c>
      <c r="B1236" t="n">
        <v>123.4</v>
      </c>
      <c r="C1236" t="inlineStr">
        <is>
          <t>325</t>
        </is>
      </c>
      <c r="D1236" t="n">
        <v>3.25</v>
      </c>
      <c r="E1236">
        <f>MEDIAN(D1216:D1256)</f>
        <v/>
      </c>
      <c r="F1236">
        <f>E1216</f>
        <v/>
      </c>
      <c r="G1236">
        <f>F1236-E1236</f>
        <v/>
      </c>
      <c r="H1236">
        <f>IF(OR(NOT(ISNUMBER(D1236)),ABS(D1236-E1236)&gt;$O$3,AND($O$11=1,B1236&lt;$O$12)),1,0)</f>
        <v/>
      </c>
      <c r="I1236">
        <f>IF(H1236=1,NA(),D1236)</f>
        <v/>
      </c>
      <c r="J1236">
        <f>IF(AND(ISNUMBER(D1236),D1236&gt;=$O$4,OR($O$11=0,B1236&gt;=$O$12)),1,0)</f>
        <v/>
      </c>
      <c r="K1236">
        <f>B1236-$O$14</f>
        <v/>
      </c>
    </row>
    <row r="1237">
      <c r="A1237" t="n">
        <v>3705</v>
      </c>
      <c r="B1237" t="n">
        <v>123.5</v>
      </c>
      <c r="C1237" t="inlineStr">
        <is>
          <t>325</t>
        </is>
      </c>
      <c r="D1237" t="n">
        <v>3.25</v>
      </c>
      <c r="E1237">
        <f>MEDIAN(D1217:D1257)</f>
        <v/>
      </c>
      <c r="F1237">
        <f>E1217</f>
        <v/>
      </c>
      <c r="G1237">
        <f>F1237-E1237</f>
        <v/>
      </c>
      <c r="H1237">
        <f>IF(OR(NOT(ISNUMBER(D1237)),ABS(D1237-E1237)&gt;$O$3,AND($O$11=1,B1237&lt;$O$12)),1,0)</f>
        <v/>
      </c>
      <c r="I1237">
        <f>IF(H1237=1,NA(),D1237)</f>
        <v/>
      </c>
      <c r="J1237">
        <f>IF(AND(ISNUMBER(D1237),D1237&gt;=$O$4,OR($O$11=0,B1237&gt;=$O$12)),1,0)</f>
        <v/>
      </c>
      <c r="K1237">
        <f>B1237-$O$14</f>
        <v/>
      </c>
    </row>
    <row r="1238">
      <c r="A1238" t="n">
        <v>3708</v>
      </c>
      <c r="B1238" t="n">
        <v>123.6</v>
      </c>
      <c r="C1238" t="inlineStr">
        <is>
          <t>5</t>
        </is>
      </c>
      <c r="D1238" t="n">
        <v>0.05</v>
      </c>
      <c r="E1238">
        <f>MEDIAN(D1218:D1258)</f>
        <v/>
      </c>
      <c r="F1238">
        <f>E1218</f>
        <v/>
      </c>
      <c r="G1238">
        <f>F1238-E1238</f>
        <v/>
      </c>
      <c r="H1238">
        <f>IF(OR(NOT(ISNUMBER(D1238)),ABS(D1238-E1238)&gt;$O$3,AND($O$11=1,B1238&lt;$O$12)),1,0)</f>
        <v/>
      </c>
      <c r="I1238">
        <f>IF(H1238=1,NA(),D1238)</f>
        <v/>
      </c>
      <c r="J1238">
        <f>IF(AND(ISNUMBER(D1238),D1238&gt;=$O$4,OR($O$11=0,B1238&gt;=$O$12)),1,0)</f>
        <v/>
      </c>
      <c r="K1238">
        <f>B1238-$O$14</f>
        <v/>
      </c>
    </row>
    <row r="1239">
      <c r="A1239" t="n">
        <v>3711</v>
      </c>
      <c r="B1239" t="n">
        <v>123.7</v>
      </c>
      <c r="C1239" t="inlineStr">
        <is>
          <t>325</t>
        </is>
      </c>
      <c r="D1239" t="n">
        <v>3.25</v>
      </c>
      <c r="E1239">
        <f>MEDIAN(D1219:D1259)</f>
        <v/>
      </c>
      <c r="F1239">
        <f>E1219</f>
        <v/>
      </c>
      <c r="G1239">
        <f>F1239-E1239</f>
        <v/>
      </c>
      <c r="H1239">
        <f>IF(OR(NOT(ISNUMBER(D1239)),ABS(D1239-E1239)&gt;$O$3,AND($O$11=1,B1239&lt;$O$12)),1,0)</f>
        <v/>
      </c>
      <c r="I1239">
        <f>IF(H1239=1,NA(),D1239)</f>
        <v/>
      </c>
      <c r="J1239">
        <f>IF(AND(ISNUMBER(D1239),D1239&gt;=$O$4,OR($O$11=0,B1239&gt;=$O$12)),1,0)</f>
        <v/>
      </c>
      <c r="K1239">
        <f>B1239-$O$14</f>
        <v/>
      </c>
    </row>
    <row r="1240">
      <c r="A1240" t="n">
        <v>3714</v>
      </c>
      <c r="B1240" t="n">
        <v>123.8</v>
      </c>
      <c r="C1240" t="inlineStr">
        <is>
          <t>?5</t>
        </is>
      </c>
      <c r="E1240">
        <f>MEDIAN(D1220:D1260)</f>
        <v/>
      </c>
      <c r="F1240">
        <f>E1220</f>
        <v/>
      </c>
      <c r="G1240">
        <f>F1240-E1240</f>
        <v/>
      </c>
      <c r="H1240">
        <f>IF(OR(NOT(ISNUMBER(D1240)),ABS(D1240-E1240)&gt;$O$3,AND($O$11=1,B1240&lt;$O$12)),1,0)</f>
        <v/>
      </c>
      <c r="I1240">
        <f>IF(H1240=1,NA(),D1240)</f>
        <v/>
      </c>
      <c r="J1240">
        <f>IF(AND(ISNUMBER(D1240),D1240&gt;=$O$4,OR($O$11=0,B1240&gt;=$O$12)),1,0)</f>
        <v/>
      </c>
      <c r="K1240">
        <f>B1240-$O$14</f>
        <v/>
      </c>
    </row>
    <row r="1241">
      <c r="A1241" t="n">
        <v>3717</v>
      </c>
      <c r="B1241" t="n">
        <v>123.9</v>
      </c>
      <c r="C1241" t="inlineStr">
        <is>
          <t>325</t>
        </is>
      </c>
      <c r="D1241" t="n">
        <v>3.25</v>
      </c>
      <c r="E1241">
        <f>MEDIAN(D1221:D1261)</f>
        <v/>
      </c>
      <c r="F1241">
        <f>E1221</f>
        <v/>
      </c>
      <c r="G1241">
        <f>F1241-E1241</f>
        <v/>
      </c>
      <c r="H1241">
        <f>IF(OR(NOT(ISNUMBER(D1241)),ABS(D1241-E1241)&gt;$O$3,AND($O$11=1,B1241&lt;$O$12)),1,0)</f>
        <v/>
      </c>
      <c r="I1241">
        <f>IF(H1241=1,NA(),D1241)</f>
        <v/>
      </c>
      <c r="J1241">
        <f>IF(AND(ISNUMBER(D1241),D1241&gt;=$O$4,OR($O$11=0,B1241&gt;=$O$12)),1,0)</f>
        <v/>
      </c>
      <c r="K1241">
        <f>B1241-$O$14</f>
        <v/>
      </c>
    </row>
    <row r="1242">
      <c r="A1242" t="n">
        <v>3720</v>
      </c>
      <c r="B1242" t="n">
        <v>124</v>
      </c>
      <c r="C1242" t="inlineStr">
        <is>
          <t>5</t>
        </is>
      </c>
      <c r="D1242" t="n">
        <v>0.05</v>
      </c>
      <c r="E1242">
        <f>MEDIAN(D1222:D1262)</f>
        <v/>
      </c>
      <c r="F1242">
        <f>E1222</f>
        <v/>
      </c>
      <c r="G1242">
        <f>F1242-E1242</f>
        <v/>
      </c>
      <c r="H1242">
        <f>IF(OR(NOT(ISNUMBER(D1242)),ABS(D1242-E1242)&gt;$O$3,AND($O$11=1,B1242&lt;$O$12)),1,0)</f>
        <v/>
      </c>
      <c r="I1242">
        <f>IF(H1242=1,NA(),D1242)</f>
        <v/>
      </c>
      <c r="J1242">
        <f>IF(AND(ISNUMBER(D1242),D1242&gt;=$O$4,OR($O$11=0,B1242&gt;=$O$12)),1,0)</f>
        <v/>
      </c>
      <c r="K1242">
        <f>B1242-$O$14</f>
        <v/>
      </c>
    </row>
    <row r="1243">
      <c r="A1243" t="n">
        <v>3723</v>
      </c>
      <c r="B1243" t="n">
        <v>124.1</v>
      </c>
      <c r="C1243" t="inlineStr">
        <is>
          <t>?5</t>
        </is>
      </c>
      <c r="E1243">
        <f>MEDIAN(D1223:D1263)</f>
        <v/>
      </c>
      <c r="F1243">
        <f>E1223</f>
        <v/>
      </c>
      <c r="G1243">
        <f>F1243-E1243</f>
        <v/>
      </c>
      <c r="H1243">
        <f>IF(OR(NOT(ISNUMBER(D1243)),ABS(D1243-E1243)&gt;$O$3,AND($O$11=1,B1243&lt;$O$12)),1,0)</f>
        <v/>
      </c>
      <c r="I1243">
        <f>IF(H1243=1,NA(),D1243)</f>
        <v/>
      </c>
      <c r="J1243">
        <f>IF(AND(ISNUMBER(D1243),D1243&gt;=$O$4,OR($O$11=0,B1243&gt;=$O$12)),1,0)</f>
        <v/>
      </c>
      <c r="K1243">
        <f>B1243-$O$14</f>
        <v/>
      </c>
    </row>
    <row r="1244">
      <c r="A1244" t="n">
        <v>3726</v>
      </c>
      <c r="B1244" t="n">
        <v>124.2</v>
      </c>
      <c r="C1244" t="inlineStr">
        <is>
          <t>325</t>
        </is>
      </c>
      <c r="D1244" t="n">
        <v>3.25</v>
      </c>
      <c r="E1244">
        <f>MEDIAN(D1224:D1264)</f>
        <v/>
      </c>
      <c r="F1244">
        <f>E1224</f>
        <v/>
      </c>
      <c r="G1244">
        <f>F1244-E1244</f>
        <v/>
      </c>
      <c r="H1244">
        <f>IF(OR(NOT(ISNUMBER(D1244)),ABS(D1244-E1244)&gt;$O$3,AND($O$11=1,B1244&lt;$O$12)),1,0)</f>
        <v/>
      </c>
      <c r="I1244">
        <f>IF(H1244=1,NA(),D1244)</f>
        <v/>
      </c>
      <c r="J1244">
        <f>IF(AND(ISNUMBER(D1244),D1244&gt;=$O$4,OR($O$11=0,B1244&gt;=$O$12)),1,0)</f>
        <v/>
      </c>
      <c r="K1244">
        <f>B1244-$O$14</f>
        <v/>
      </c>
    </row>
    <row r="1245">
      <c r="A1245" t="n">
        <v>3729</v>
      </c>
      <c r="B1245" t="n">
        <v>124.3</v>
      </c>
      <c r="C1245" t="inlineStr">
        <is>
          <t>?5</t>
        </is>
      </c>
      <c r="E1245">
        <f>MEDIAN(D1225:D1265)</f>
        <v/>
      </c>
      <c r="F1245">
        <f>E1225</f>
        <v/>
      </c>
      <c r="G1245">
        <f>F1245-E1245</f>
        <v/>
      </c>
      <c r="H1245">
        <f>IF(OR(NOT(ISNUMBER(D1245)),ABS(D1245-E1245)&gt;$O$3,AND($O$11=1,B1245&lt;$O$12)),1,0)</f>
        <v/>
      </c>
      <c r="I1245">
        <f>IF(H1245=1,NA(),D1245)</f>
        <v/>
      </c>
      <c r="J1245">
        <f>IF(AND(ISNUMBER(D1245),D1245&gt;=$O$4,OR($O$11=0,B1245&gt;=$O$12)),1,0)</f>
        <v/>
      </c>
      <c r="K1245">
        <f>B1245-$O$14</f>
        <v/>
      </c>
    </row>
    <row r="1246">
      <c r="A1246" t="n">
        <v>3732</v>
      </c>
      <c r="B1246" t="n">
        <v>124.4</v>
      </c>
      <c r="C1246" t="inlineStr">
        <is>
          <t>?30</t>
        </is>
      </c>
      <c r="E1246">
        <f>MEDIAN(D1226:D1266)</f>
        <v/>
      </c>
      <c r="F1246">
        <f>E1226</f>
        <v/>
      </c>
      <c r="G1246">
        <f>F1246-E1246</f>
        <v/>
      </c>
      <c r="H1246">
        <f>IF(OR(NOT(ISNUMBER(D1246)),ABS(D1246-E1246)&gt;$O$3,AND($O$11=1,B1246&lt;$O$12)),1,0)</f>
        <v/>
      </c>
      <c r="I1246">
        <f>IF(H1246=1,NA(),D1246)</f>
        <v/>
      </c>
      <c r="J1246">
        <f>IF(AND(ISNUMBER(D1246),D1246&gt;=$O$4,OR($O$11=0,B1246&gt;=$O$12)),1,0)</f>
        <v/>
      </c>
      <c r="K1246">
        <f>B1246-$O$14</f>
        <v/>
      </c>
    </row>
    <row r="1247">
      <c r="A1247" t="n">
        <v>3735</v>
      </c>
      <c r="B1247" t="n">
        <v>124.5</v>
      </c>
      <c r="C1247" t="inlineStr">
        <is>
          <t>330</t>
        </is>
      </c>
      <c r="D1247" t="n">
        <v>3.3</v>
      </c>
      <c r="E1247">
        <f>MEDIAN(D1227:D1267)</f>
        <v/>
      </c>
      <c r="F1247">
        <f>E1227</f>
        <v/>
      </c>
      <c r="G1247">
        <f>F1247-E1247</f>
        <v/>
      </c>
      <c r="H1247">
        <f>IF(OR(NOT(ISNUMBER(D1247)),ABS(D1247-E1247)&gt;$O$3,AND($O$11=1,B1247&lt;$O$12)),1,0)</f>
        <v/>
      </c>
      <c r="I1247">
        <f>IF(H1247=1,NA(),D1247)</f>
        <v/>
      </c>
      <c r="J1247">
        <f>IF(AND(ISNUMBER(D1247),D1247&gt;=$O$4,OR($O$11=0,B1247&gt;=$O$12)),1,0)</f>
        <v/>
      </c>
      <c r="K1247">
        <f>B1247-$O$14</f>
        <v/>
      </c>
    </row>
    <row r="1248">
      <c r="A1248" t="n">
        <v>3738</v>
      </c>
      <c r="B1248" t="n">
        <v>124.6</v>
      </c>
      <c r="C1248" t="inlineStr">
        <is>
          <t>370</t>
        </is>
      </c>
      <c r="D1248" t="n">
        <v>3.7</v>
      </c>
      <c r="E1248">
        <f>MEDIAN(D1228:D1268)</f>
        <v/>
      </c>
      <c r="F1248">
        <f>E1228</f>
        <v/>
      </c>
      <c r="G1248">
        <f>F1248-E1248</f>
        <v/>
      </c>
      <c r="H1248">
        <f>IF(OR(NOT(ISNUMBER(D1248)),ABS(D1248-E1248)&gt;$O$3,AND($O$11=1,B1248&lt;$O$12)),1,0)</f>
        <v/>
      </c>
      <c r="I1248">
        <f>IF(H1248=1,NA(),D1248)</f>
        <v/>
      </c>
      <c r="J1248">
        <f>IF(AND(ISNUMBER(D1248),D1248&gt;=$O$4,OR($O$11=0,B1248&gt;=$O$12)),1,0)</f>
        <v/>
      </c>
      <c r="K1248">
        <f>B1248-$O$14</f>
        <v/>
      </c>
    </row>
    <row r="1249">
      <c r="A1249" t="n">
        <v>3741</v>
      </c>
      <c r="B1249" t="n">
        <v>124.7</v>
      </c>
      <c r="C1249" t="inlineStr">
        <is>
          <t>330</t>
        </is>
      </c>
      <c r="D1249" t="n">
        <v>3.3</v>
      </c>
      <c r="E1249">
        <f>MEDIAN(D1229:D1269)</f>
        <v/>
      </c>
      <c r="F1249">
        <f>E1229</f>
        <v/>
      </c>
      <c r="G1249">
        <f>F1249-E1249</f>
        <v/>
      </c>
      <c r="H1249">
        <f>IF(OR(NOT(ISNUMBER(D1249)),ABS(D1249-E1249)&gt;$O$3,AND($O$11=1,B1249&lt;$O$12)),1,0)</f>
        <v/>
      </c>
      <c r="I1249">
        <f>IF(H1249=1,NA(),D1249)</f>
        <v/>
      </c>
      <c r="J1249">
        <f>IF(AND(ISNUMBER(D1249),D1249&gt;=$O$4,OR($O$11=0,B1249&gt;=$O$12)),1,0)</f>
        <v/>
      </c>
      <c r="K1249">
        <f>B1249-$O$14</f>
        <v/>
      </c>
    </row>
    <row r="1250">
      <c r="A1250" t="n">
        <v>3744</v>
      </c>
      <c r="B1250" t="n">
        <v>124.8</v>
      </c>
      <c r="C1250" t="inlineStr">
        <is>
          <t>330</t>
        </is>
      </c>
      <c r="D1250" t="n">
        <v>3.3</v>
      </c>
      <c r="E1250">
        <f>MEDIAN(D1230:D1270)</f>
        <v/>
      </c>
      <c r="F1250">
        <f>E1230</f>
        <v/>
      </c>
      <c r="G1250">
        <f>F1250-E1250</f>
        <v/>
      </c>
      <c r="H1250">
        <f>IF(OR(NOT(ISNUMBER(D1250)),ABS(D1250-E1250)&gt;$O$3,AND($O$11=1,B1250&lt;$O$12)),1,0)</f>
        <v/>
      </c>
      <c r="I1250">
        <f>IF(H1250=1,NA(),D1250)</f>
        <v/>
      </c>
      <c r="J1250">
        <f>IF(AND(ISNUMBER(D1250),D1250&gt;=$O$4,OR($O$11=0,B1250&gt;=$O$12)),1,0)</f>
        <v/>
      </c>
      <c r="K1250">
        <f>B1250-$O$14</f>
        <v/>
      </c>
    </row>
    <row r="1251">
      <c r="A1251" t="n">
        <v>3747</v>
      </c>
      <c r="B1251" t="n">
        <v>124.9</v>
      </c>
      <c r="C1251" t="inlineStr">
        <is>
          <t>3?0</t>
        </is>
      </c>
      <c r="E1251">
        <f>MEDIAN(D1231:D1271)</f>
        <v/>
      </c>
      <c r="F1251">
        <f>E1231</f>
        <v/>
      </c>
      <c r="G1251">
        <f>F1251-E1251</f>
        <v/>
      </c>
      <c r="H1251">
        <f>IF(OR(NOT(ISNUMBER(D1251)),ABS(D1251-E1251)&gt;$O$3,AND($O$11=1,B1251&lt;$O$12)),1,0)</f>
        <v/>
      </c>
      <c r="I1251">
        <f>IF(H1251=1,NA(),D1251)</f>
        <v/>
      </c>
      <c r="J1251">
        <f>IF(AND(ISNUMBER(D1251),D1251&gt;=$O$4,OR($O$11=0,B1251&gt;=$O$12)),1,0)</f>
        <v/>
      </c>
      <c r="K1251">
        <f>B1251-$O$14</f>
        <v/>
      </c>
    </row>
    <row r="1252">
      <c r="A1252" t="n">
        <v>3750</v>
      </c>
      <c r="B1252" t="n">
        <v>125</v>
      </c>
      <c r="C1252" t="inlineStr">
        <is>
          <t>330</t>
        </is>
      </c>
      <c r="D1252" t="n">
        <v>3.3</v>
      </c>
      <c r="E1252">
        <f>MEDIAN(D1232:D1272)</f>
        <v/>
      </c>
      <c r="F1252">
        <f>E1232</f>
        <v/>
      </c>
      <c r="G1252">
        <f>F1252-E1252</f>
        <v/>
      </c>
      <c r="H1252">
        <f>IF(OR(NOT(ISNUMBER(D1252)),ABS(D1252-E1252)&gt;$O$3,AND($O$11=1,B1252&lt;$O$12)),1,0)</f>
        <v/>
      </c>
      <c r="I1252">
        <f>IF(H1252=1,NA(),D1252)</f>
        <v/>
      </c>
      <c r="J1252">
        <f>IF(AND(ISNUMBER(D1252),D1252&gt;=$O$4,OR($O$11=0,B1252&gt;=$O$12)),1,0)</f>
        <v/>
      </c>
      <c r="K1252">
        <f>B1252-$O$14</f>
        <v/>
      </c>
    </row>
    <row r="1253">
      <c r="A1253" t="n">
        <v>3753</v>
      </c>
      <c r="B1253" t="n">
        <v>125.1</v>
      </c>
      <c r="C1253" t="inlineStr">
        <is>
          <t>330</t>
        </is>
      </c>
      <c r="D1253" t="n">
        <v>3.3</v>
      </c>
      <c r="E1253">
        <f>MEDIAN(D1233:D1273)</f>
        <v/>
      </c>
      <c r="F1253">
        <f>E1233</f>
        <v/>
      </c>
      <c r="G1253">
        <f>F1253-E1253</f>
        <v/>
      </c>
      <c r="H1253">
        <f>IF(OR(NOT(ISNUMBER(D1253)),ABS(D1253-E1253)&gt;$O$3,AND($O$11=1,B1253&lt;$O$12)),1,0)</f>
        <v/>
      </c>
      <c r="I1253">
        <f>IF(H1253=1,NA(),D1253)</f>
        <v/>
      </c>
      <c r="J1253">
        <f>IF(AND(ISNUMBER(D1253),D1253&gt;=$O$4,OR($O$11=0,B1253&gt;=$O$12)),1,0)</f>
        <v/>
      </c>
      <c r="K1253">
        <f>B1253-$O$14</f>
        <v/>
      </c>
    </row>
    <row r="1254">
      <c r="A1254" t="n">
        <v>3756</v>
      </c>
      <c r="B1254" t="n">
        <v>125.2</v>
      </c>
      <c r="C1254" t="inlineStr">
        <is>
          <t>331</t>
        </is>
      </c>
      <c r="D1254" t="n">
        <v>3.31</v>
      </c>
      <c r="E1254">
        <f>MEDIAN(D1234:D1274)</f>
        <v/>
      </c>
      <c r="F1254">
        <f>E1234</f>
        <v/>
      </c>
      <c r="G1254">
        <f>F1254-E1254</f>
        <v/>
      </c>
      <c r="H1254">
        <f>IF(OR(NOT(ISNUMBER(D1254)),ABS(D1254-E1254)&gt;$O$3,AND($O$11=1,B1254&lt;$O$12)),1,0)</f>
        <v/>
      </c>
      <c r="I1254">
        <f>IF(H1254=1,NA(),D1254)</f>
        <v/>
      </c>
      <c r="J1254">
        <f>IF(AND(ISNUMBER(D1254),D1254&gt;=$O$4,OR($O$11=0,B1254&gt;=$O$12)),1,0)</f>
        <v/>
      </c>
      <c r="K1254">
        <f>B1254-$O$14</f>
        <v/>
      </c>
    </row>
    <row r="1255">
      <c r="A1255" t="n">
        <v>3759</v>
      </c>
      <c r="B1255" t="n">
        <v>125.3</v>
      </c>
      <c r="C1255" t="inlineStr">
        <is>
          <t>1</t>
        </is>
      </c>
      <c r="D1255" t="n">
        <v>0.01</v>
      </c>
      <c r="E1255">
        <f>MEDIAN(D1235:D1275)</f>
        <v/>
      </c>
      <c r="F1255">
        <f>E1235</f>
        <v/>
      </c>
      <c r="G1255">
        <f>F1255-E1255</f>
        <v/>
      </c>
      <c r="H1255">
        <f>IF(OR(NOT(ISNUMBER(D1255)),ABS(D1255-E1255)&gt;$O$3,AND($O$11=1,B1255&lt;$O$12)),1,0)</f>
        <v/>
      </c>
      <c r="I1255">
        <f>IF(H1255=1,NA(),D1255)</f>
        <v/>
      </c>
      <c r="J1255">
        <f>IF(AND(ISNUMBER(D1255),D1255&gt;=$O$4,OR($O$11=0,B1255&gt;=$O$12)),1,0)</f>
        <v/>
      </c>
      <c r="K1255">
        <f>B1255-$O$14</f>
        <v/>
      </c>
    </row>
    <row r="1256">
      <c r="A1256" t="n">
        <v>3762</v>
      </c>
      <c r="B1256" t="n">
        <v>125.4</v>
      </c>
      <c r="C1256" t="inlineStr">
        <is>
          <t>1</t>
        </is>
      </c>
      <c r="D1256" t="n">
        <v>0.01</v>
      </c>
      <c r="E1256">
        <f>MEDIAN(D1236:D1276)</f>
        <v/>
      </c>
      <c r="F1256">
        <f>E1236</f>
        <v/>
      </c>
      <c r="G1256">
        <f>F1256-E1256</f>
        <v/>
      </c>
      <c r="H1256">
        <f>IF(OR(NOT(ISNUMBER(D1256)),ABS(D1256-E1256)&gt;$O$3,AND($O$11=1,B1256&lt;$O$12)),1,0)</f>
        <v/>
      </c>
      <c r="I1256">
        <f>IF(H1256=1,NA(),D1256)</f>
        <v/>
      </c>
      <c r="J1256">
        <f>IF(AND(ISNUMBER(D1256),D1256&gt;=$O$4,OR($O$11=0,B1256&gt;=$O$12)),1,0)</f>
        <v/>
      </c>
      <c r="K1256">
        <f>B1256-$O$14</f>
        <v/>
      </c>
    </row>
    <row r="1257">
      <c r="A1257" t="n">
        <v>3765</v>
      </c>
      <c r="B1257" t="n">
        <v>125.5</v>
      </c>
      <c r="C1257" t="inlineStr">
        <is>
          <t>?31</t>
        </is>
      </c>
      <c r="E1257">
        <f>MEDIAN(D1237:D1277)</f>
        <v/>
      </c>
      <c r="F1257">
        <f>E1237</f>
        <v/>
      </c>
      <c r="G1257">
        <f>F1257-E1257</f>
        <v/>
      </c>
      <c r="H1257">
        <f>IF(OR(NOT(ISNUMBER(D1257)),ABS(D1257-E1257)&gt;$O$3,AND($O$11=1,B1257&lt;$O$12)),1,0)</f>
        <v/>
      </c>
      <c r="I1257">
        <f>IF(H1257=1,NA(),D1257)</f>
        <v/>
      </c>
      <c r="J1257">
        <f>IF(AND(ISNUMBER(D1257),D1257&gt;=$O$4,OR($O$11=0,B1257&gt;=$O$12)),1,0)</f>
        <v/>
      </c>
      <c r="K1257">
        <f>B1257-$O$14</f>
        <v/>
      </c>
    </row>
    <row r="1258">
      <c r="A1258" t="n">
        <v>3768</v>
      </c>
      <c r="B1258" t="n">
        <v>125.6</v>
      </c>
      <c r="C1258" t="inlineStr">
        <is>
          <t>3?1</t>
        </is>
      </c>
      <c r="E1258">
        <f>MEDIAN(D1238:D1278)</f>
        <v/>
      </c>
      <c r="F1258">
        <f>E1238</f>
        <v/>
      </c>
      <c r="G1258">
        <f>F1258-E1258</f>
        <v/>
      </c>
      <c r="H1258">
        <f>IF(OR(NOT(ISNUMBER(D1258)),ABS(D1258-E1258)&gt;$O$3,AND($O$11=1,B1258&lt;$O$12)),1,0)</f>
        <v/>
      </c>
      <c r="I1258">
        <f>IF(H1258=1,NA(),D1258)</f>
        <v/>
      </c>
      <c r="J1258">
        <f>IF(AND(ISNUMBER(D1258),D1258&gt;=$O$4,OR($O$11=0,B1258&gt;=$O$12)),1,0)</f>
        <v/>
      </c>
      <c r="K1258">
        <f>B1258-$O$14</f>
        <v/>
      </c>
    </row>
    <row r="1259">
      <c r="A1259" t="n">
        <v>3771</v>
      </c>
      <c r="B1259" t="n">
        <v>125.7</v>
      </c>
      <c r="C1259" t="inlineStr">
        <is>
          <t>332</t>
        </is>
      </c>
      <c r="D1259" t="n">
        <v>3.32</v>
      </c>
      <c r="E1259">
        <f>MEDIAN(D1239:D1279)</f>
        <v/>
      </c>
      <c r="F1259">
        <f>E1239</f>
        <v/>
      </c>
      <c r="G1259">
        <f>F1259-E1259</f>
        <v/>
      </c>
      <c r="H1259">
        <f>IF(OR(NOT(ISNUMBER(D1259)),ABS(D1259-E1259)&gt;$O$3,AND($O$11=1,B1259&lt;$O$12)),1,0)</f>
        <v/>
      </c>
      <c r="I1259">
        <f>IF(H1259=1,NA(),D1259)</f>
        <v/>
      </c>
      <c r="J1259">
        <f>IF(AND(ISNUMBER(D1259),D1259&gt;=$O$4,OR($O$11=0,B1259&gt;=$O$12)),1,0)</f>
        <v/>
      </c>
      <c r="K1259">
        <f>B1259-$O$14</f>
        <v/>
      </c>
    </row>
    <row r="1260">
      <c r="A1260" t="n">
        <v>3774</v>
      </c>
      <c r="B1260" t="n">
        <v>125.8</v>
      </c>
      <c r="C1260" t="inlineStr">
        <is>
          <t>3?2</t>
        </is>
      </c>
      <c r="E1260">
        <f>MEDIAN(D1240:D1280)</f>
        <v/>
      </c>
      <c r="F1260">
        <f>E1240</f>
        <v/>
      </c>
      <c r="G1260">
        <f>F1260-E1260</f>
        <v/>
      </c>
      <c r="H1260">
        <f>IF(OR(NOT(ISNUMBER(D1260)),ABS(D1260-E1260)&gt;$O$3,AND($O$11=1,B1260&lt;$O$12)),1,0)</f>
        <v/>
      </c>
      <c r="I1260">
        <f>IF(H1260=1,NA(),D1260)</f>
        <v/>
      </c>
      <c r="J1260">
        <f>IF(AND(ISNUMBER(D1260),D1260&gt;=$O$4,OR($O$11=0,B1260&gt;=$O$12)),1,0)</f>
        <v/>
      </c>
      <c r="K1260">
        <f>B1260-$O$14</f>
        <v/>
      </c>
    </row>
    <row r="1261">
      <c r="A1261" t="n">
        <v>3777</v>
      </c>
      <c r="B1261" t="n">
        <v>125.9</v>
      </c>
      <c r="C1261" t="inlineStr">
        <is>
          <t>332</t>
        </is>
      </c>
      <c r="D1261" t="n">
        <v>3.32</v>
      </c>
      <c r="E1261">
        <f>MEDIAN(D1241:D1281)</f>
        <v/>
      </c>
      <c r="F1261">
        <f>E1241</f>
        <v/>
      </c>
      <c r="G1261">
        <f>F1261-E1261</f>
        <v/>
      </c>
      <c r="H1261">
        <f>IF(OR(NOT(ISNUMBER(D1261)),ABS(D1261-E1261)&gt;$O$3,AND($O$11=1,B1261&lt;$O$12)),1,0)</f>
        <v/>
      </c>
      <c r="I1261">
        <f>IF(H1261=1,NA(),D1261)</f>
        <v/>
      </c>
      <c r="J1261">
        <f>IF(AND(ISNUMBER(D1261),D1261&gt;=$O$4,OR($O$11=0,B1261&gt;=$O$12)),1,0)</f>
        <v/>
      </c>
      <c r="K1261">
        <f>B1261-$O$14</f>
        <v/>
      </c>
    </row>
    <row r="1262">
      <c r="A1262" t="n">
        <v>3780</v>
      </c>
      <c r="B1262" t="n">
        <v>126</v>
      </c>
      <c r="C1262" t="inlineStr">
        <is>
          <t>2</t>
        </is>
      </c>
      <c r="D1262" t="n">
        <v>0.02</v>
      </c>
      <c r="E1262">
        <f>MEDIAN(D1242:D1282)</f>
        <v/>
      </c>
      <c r="F1262">
        <f>E1242</f>
        <v/>
      </c>
      <c r="G1262">
        <f>F1262-E1262</f>
        <v/>
      </c>
      <c r="H1262">
        <f>IF(OR(NOT(ISNUMBER(D1262)),ABS(D1262-E1262)&gt;$O$3,AND($O$11=1,B1262&lt;$O$12)),1,0)</f>
        <v/>
      </c>
      <c r="I1262">
        <f>IF(H1262=1,NA(),D1262)</f>
        <v/>
      </c>
      <c r="J1262">
        <f>IF(AND(ISNUMBER(D1262),D1262&gt;=$O$4,OR($O$11=0,B1262&gt;=$O$12)),1,0)</f>
        <v/>
      </c>
      <c r="K1262">
        <f>B1262-$O$14</f>
        <v/>
      </c>
    </row>
    <row r="1263">
      <c r="A1263" t="n">
        <v>3783</v>
      </c>
      <c r="B1263" t="n">
        <v>126.1</v>
      </c>
      <c r="C1263" t="inlineStr">
        <is>
          <t>333</t>
        </is>
      </c>
      <c r="D1263" t="n">
        <v>3.33</v>
      </c>
      <c r="E1263">
        <f>MEDIAN(D1243:D1283)</f>
        <v/>
      </c>
      <c r="F1263">
        <f>E1243</f>
        <v/>
      </c>
      <c r="G1263">
        <f>F1263-E1263</f>
        <v/>
      </c>
      <c r="H1263">
        <f>IF(OR(NOT(ISNUMBER(D1263)),ABS(D1263-E1263)&gt;$O$3,AND($O$11=1,B1263&lt;$O$12)),1,0)</f>
        <v/>
      </c>
      <c r="I1263">
        <f>IF(H1263=1,NA(),D1263)</f>
        <v/>
      </c>
      <c r="J1263">
        <f>IF(AND(ISNUMBER(D1263),D1263&gt;=$O$4,OR($O$11=0,B1263&gt;=$O$12)),1,0)</f>
        <v/>
      </c>
      <c r="K1263">
        <f>B1263-$O$14</f>
        <v/>
      </c>
    </row>
    <row r="1264">
      <c r="A1264" t="n">
        <v>3786</v>
      </c>
      <c r="B1264" t="n">
        <v>126.2</v>
      </c>
      <c r="C1264" t="inlineStr">
        <is>
          <t>3</t>
        </is>
      </c>
      <c r="D1264" t="n">
        <v>0.03</v>
      </c>
      <c r="E1264">
        <f>MEDIAN(D1244:D1284)</f>
        <v/>
      </c>
      <c r="F1264">
        <f>E1244</f>
        <v/>
      </c>
      <c r="G1264">
        <f>F1264-E1264</f>
        <v/>
      </c>
      <c r="H1264">
        <f>IF(OR(NOT(ISNUMBER(D1264)),ABS(D1264-E1264)&gt;$O$3,AND($O$11=1,B1264&lt;$O$12)),1,0)</f>
        <v/>
      </c>
      <c r="I1264">
        <f>IF(H1264=1,NA(),D1264)</f>
        <v/>
      </c>
      <c r="J1264">
        <f>IF(AND(ISNUMBER(D1264),D1264&gt;=$O$4,OR($O$11=0,B1264&gt;=$O$12)),1,0)</f>
        <v/>
      </c>
      <c r="K1264">
        <f>B1264-$O$14</f>
        <v/>
      </c>
    </row>
    <row r="1265">
      <c r="A1265" t="n">
        <v>3789</v>
      </c>
      <c r="B1265" t="n">
        <v>126.3</v>
      </c>
      <c r="C1265" t="inlineStr">
        <is>
          <t>333</t>
        </is>
      </c>
      <c r="D1265" t="n">
        <v>3.33</v>
      </c>
      <c r="E1265">
        <f>MEDIAN(D1245:D1285)</f>
        <v/>
      </c>
      <c r="F1265">
        <f>E1245</f>
        <v/>
      </c>
      <c r="G1265">
        <f>F1265-E1265</f>
        <v/>
      </c>
      <c r="H1265">
        <f>IF(OR(NOT(ISNUMBER(D1265)),ABS(D1265-E1265)&gt;$O$3,AND($O$11=1,B1265&lt;$O$12)),1,0)</f>
        <v/>
      </c>
      <c r="I1265">
        <f>IF(H1265=1,NA(),D1265)</f>
        <v/>
      </c>
      <c r="J1265">
        <f>IF(AND(ISNUMBER(D1265),D1265&gt;=$O$4,OR($O$11=0,B1265&gt;=$O$12)),1,0)</f>
        <v/>
      </c>
      <c r="K1265">
        <f>B1265-$O$14</f>
        <v/>
      </c>
    </row>
    <row r="1266">
      <c r="A1266" t="n">
        <v>3792</v>
      </c>
      <c r="B1266" t="n">
        <v>126.4</v>
      </c>
      <c r="C1266" t="inlineStr">
        <is>
          <t>43</t>
        </is>
      </c>
      <c r="D1266" t="n">
        <v>0.43</v>
      </c>
      <c r="E1266">
        <f>MEDIAN(D1246:D1286)</f>
        <v/>
      </c>
      <c r="F1266">
        <f>E1246</f>
        <v/>
      </c>
      <c r="G1266">
        <f>F1266-E1266</f>
        <v/>
      </c>
      <c r="H1266">
        <f>IF(OR(NOT(ISNUMBER(D1266)),ABS(D1266-E1266)&gt;$O$3,AND($O$11=1,B1266&lt;$O$12)),1,0)</f>
        <v/>
      </c>
      <c r="I1266">
        <f>IF(H1266=1,NA(),D1266)</f>
        <v/>
      </c>
      <c r="J1266">
        <f>IF(AND(ISNUMBER(D1266),D1266&gt;=$O$4,OR($O$11=0,B1266&gt;=$O$12)),1,0)</f>
        <v/>
      </c>
      <c r="K1266">
        <f>B1266-$O$14</f>
        <v/>
      </c>
    </row>
    <row r="1267">
      <c r="A1267" t="n">
        <v>3795</v>
      </c>
      <c r="B1267" t="n">
        <v>126.5</v>
      </c>
      <c r="C1267" t="inlineStr">
        <is>
          <t>334</t>
        </is>
      </c>
      <c r="D1267" t="n">
        <v>3.34</v>
      </c>
      <c r="E1267">
        <f>MEDIAN(D1247:D1287)</f>
        <v/>
      </c>
      <c r="F1267">
        <f>E1247</f>
        <v/>
      </c>
      <c r="G1267">
        <f>F1267-E1267</f>
        <v/>
      </c>
      <c r="H1267">
        <f>IF(OR(NOT(ISNUMBER(D1267)),ABS(D1267-E1267)&gt;$O$3,AND($O$11=1,B1267&lt;$O$12)),1,0)</f>
        <v/>
      </c>
      <c r="I1267">
        <f>IF(H1267=1,NA(),D1267)</f>
        <v/>
      </c>
      <c r="J1267">
        <f>IF(AND(ISNUMBER(D1267),D1267&gt;=$O$4,OR($O$11=0,B1267&gt;=$O$12)),1,0)</f>
        <v/>
      </c>
      <c r="K1267">
        <f>B1267-$O$14</f>
        <v/>
      </c>
    </row>
    <row r="1268">
      <c r="A1268" t="n">
        <v>3798</v>
      </c>
      <c r="B1268" t="n">
        <v>126.6</v>
      </c>
      <c r="C1268" t="inlineStr">
        <is>
          <t>4</t>
        </is>
      </c>
      <c r="D1268" t="n">
        <v>0.04</v>
      </c>
      <c r="E1268">
        <f>MEDIAN(D1248:D1288)</f>
        <v/>
      </c>
      <c r="F1268">
        <f>E1248</f>
        <v/>
      </c>
      <c r="G1268">
        <f>F1268-E1268</f>
        <v/>
      </c>
      <c r="H1268">
        <f>IF(OR(NOT(ISNUMBER(D1268)),ABS(D1268-E1268)&gt;$O$3,AND($O$11=1,B1268&lt;$O$12)),1,0)</f>
        <v/>
      </c>
      <c r="I1268">
        <f>IF(H1268=1,NA(),D1268)</f>
        <v/>
      </c>
      <c r="J1268">
        <f>IF(AND(ISNUMBER(D1268),D1268&gt;=$O$4,OR($O$11=0,B1268&gt;=$O$12)),1,0)</f>
        <v/>
      </c>
      <c r="K1268">
        <f>B1268-$O$14</f>
        <v/>
      </c>
    </row>
    <row r="1269">
      <c r="A1269" t="n">
        <v>3801</v>
      </c>
      <c r="B1269" t="n">
        <v>126.7</v>
      </c>
      <c r="C1269" t="inlineStr">
        <is>
          <t>334</t>
        </is>
      </c>
      <c r="D1269" t="n">
        <v>3.34</v>
      </c>
      <c r="E1269">
        <f>MEDIAN(D1249:D1289)</f>
        <v/>
      </c>
      <c r="F1269">
        <f>E1249</f>
        <v/>
      </c>
      <c r="G1269">
        <f>F1269-E1269</f>
        <v/>
      </c>
      <c r="H1269">
        <f>IF(OR(NOT(ISNUMBER(D1269)),ABS(D1269-E1269)&gt;$O$3,AND($O$11=1,B1269&lt;$O$12)),1,0)</f>
        <v/>
      </c>
      <c r="I1269">
        <f>IF(H1269=1,NA(),D1269)</f>
        <v/>
      </c>
      <c r="J1269">
        <f>IF(AND(ISNUMBER(D1269),D1269&gt;=$O$4,OR($O$11=0,B1269&gt;=$O$12)),1,0)</f>
        <v/>
      </c>
      <c r="K1269">
        <f>B1269-$O$14</f>
        <v/>
      </c>
    </row>
    <row r="1270">
      <c r="A1270" t="n">
        <v>3804</v>
      </c>
      <c r="B1270" t="n">
        <v>126.8</v>
      </c>
      <c r="C1270" t="inlineStr">
        <is>
          <t>4</t>
        </is>
      </c>
      <c r="D1270" t="n">
        <v>0.04</v>
      </c>
      <c r="E1270">
        <f>MEDIAN(D1250:D1290)</f>
        <v/>
      </c>
      <c r="F1270">
        <f>E1250</f>
        <v/>
      </c>
      <c r="G1270">
        <f>F1270-E1270</f>
        <v/>
      </c>
      <c r="H1270">
        <f>IF(OR(NOT(ISNUMBER(D1270)),ABS(D1270-E1270)&gt;$O$3,AND($O$11=1,B1270&lt;$O$12)),1,0)</f>
        <v/>
      </c>
      <c r="I1270">
        <f>IF(H1270=1,NA(),D1270)</f>
        <v/>
      </c>
      <c r="J1270">
        <f>IF(AND(ISNUMBER(D1270),D1270&gt;=$O$4,OR($O$11=0,B1270&gt;=$O$12)),1,0)</f>
        <v/>
      </c>
      <c r="K1270">
        <f>B1270-$O$14</f>
        <v/>
      </c>
    </row>
    <row r="1271">
      <c r="A1271" t="n">
        <v>3807</v>
      </c>
      <c r="B1271" t="n">
        <v>126.9</v>
      </c>
      <c r="C1271" t="inlineStr">
        <is>
          <t>337</t>
        </is>
      </c>
      <c r="D1271" t="n">
        <v>3.37</v>
      </c>
      <c r="E1271">
        <f>MEDIAN(D1251:D1291)</f>
        <v/>
      </c>
      <c r="F1271">
        <f>E1251</f>
        <v/>
      </c>
      <c r="G1271">
        <f>F1271-E1271</f>
        <v/>
      </c>
      <c r="H1271">
        <f>IF(OR(NOT(ISNUMBER(D1271)),ABS(D1271-E1271)&gt;$O$3,AND($O$11=1,B1271&lt;$O$12)),1,0)</f>
        <v/>
      </c>
      <c r="I1271">
        <f>IF(H1271=1,NA(),D1271)</f>
        <v/>
      </c>
      <c r="J1271">
        <f>IF(AND(ISNUMBER(D1271),D1271&gt;=$O$4,OR($O$11=0,B1271&gt;=$O$12)),1,0)</f>
        <v/>
      </c>
      <c r="K1271">
        <f>B1271-$O$14</f>
        <v/>
      </c>
    </row>
    <row r="1272">
      <c r="A1272" t="n">
        <v>3810</v>
      </c>
      <c r="B1272" t="n">
        <v>127</v>
      </c>
      <c r="C1272" t="inlineStr">
        <is>
          <t>47</t>
        </is>
      </c>
      <c r="D1272" t="n">
        <v>0.47</v>
      </c>
      <c r="E1272">
        <f>MEDIAN(D1252:D1292)</f>
        <v/>
      </c>
      <c r="F1272">
        <f>E1252</f>
        <v/>
      </c>
      <c r="G1272">
        <f>F1272-E1272</f>
        <v/>
      </c>
      <c r="H1272">
        <f>IF(OR(NOT(ISNUMBER(D1272)),ABS(D1272-E1272)&gt;$O$3,AND($O$11=1,B1272&lt;$O$12)),1,0)</f>
        <v/>
      </c>
      <c r="I1272">
        <f>IF(H1272=1,NA(),D1272)</f>
        <v/>
      </c>
      <c r="J1272">
        <f>IF(AND(ISNUMBER(D1272),D1272&gt;=$O$4,OR($O$11=0,B1272&gt;=$O$12)),1,0)</f>
        <v/>
      </c>
      <c r="K1272">
        <f>B1272-$O$14</f>
        <v/>
      </c>
    </row>
    <row r="1273">
      <c r="A1273" t="n">
        <v>3813</v>
      </c>
      <c r="B1273" t="n">
        <v>127.1</v>
      </c>
      <c r="C1273" t="inlineStr">
        <is>
          <t>337</t>
        </is>
      </c>
      <c r="D1273" t="n">
        <v>3.37</v>
      </c>
      <c r="E1273">
        <f>MEDIAN(D1253:D1293)</f>
        <v/>
      </c>
      <c r="F1273">
        <f>E1253</f>
        <v/>
      </c>
      <c r="G1273">
        <f>F1273-E1273</f>
        <v/>
      </c>
      <c r="H1273">
        <f>IF(OR(NOT(ISNUMBER(D1273)),ABS(D1273-E1273)&gt;$O$3,AND($O$11=1,B1273&lt;$O$12)),1,0)</f>
        <v/>
      </c>
      <c r="I1273">
        <f>IF(H1273=1,NA(),D1273)</f>
        <v/>
      </c>
      <c r="J1273">
        <f>IF(AND(ISNUMBER(D1273),D1273&gt;=$O$4,OR($O$11=0,B1273&gt;=$O$12)),1,0)</f>
        <v/>
      </c>
      <c r="K1273">
        <f>B1273-$O$14</f>
        <v/>
      </c>
    </row>
    <row r="1274">
      <c r="A1274" t="n">
        <v>3816</v>
      </c>
      <c r="B1274" t="n">
        <v>127.2</v>
      </c>
      <c r="C1274" t="inlineStr">
        <is>
          <t>47</t>
        </is>
      </c>
      <c r="D1274" t="n">
        <v>0.47</v>
      </c>
      <c r="E1274">
        <f>MEDIAN(D1254:D1294)</f>
        <v/>
      </c>
      <c r="F1274">
        <f>E1254</f>
        <v/>
      </c>
      <c r="G1274">
        <f>F1274-E1274</f>
        <v/>
      </c>
      <c r="H1274">
        <f>IF(OR(NOT(ISNUMBER(D1274)),ABS(D1274-E1274)&gt;$O$3,AND($O$11=1,B1274&lt;$O$12)),1,0)</f>
        <v/>
      </c>
      <c r="I1274">
        <f>IF(H1274=1,NA(),D1274)</f>
        <v/>
      </c>
      <c r="J1274">
        <f>IF(AND(ISNUMBER(D1274),D1274&gt;=$O$4,OR($O$11=0,B1274&gt;=$O$12)),1,0)</f>
        <v/>
      </c>
      <c r="K1274">
        <f>B1274-$O$14</f>
        <v/>
      </c>
    </row>
    <row r="1275">
      <c r="A1275" t="n">
        <v>3819</v>
      </c>
      <c r="B1275" t="n">
        <v>127.3</v>
      </c>
      <c r="C1275" t="inlineStr">
        <is>
          <t>337</t>
        </is>
      </c>
      <c r="D1275" t="n">
        <v>3.37</v>
      </c>
      <c r="E1275">
        <f>MEDIAN(D1255:D1295)</f>
        <v/>
      </c>
      <c r="F1275">
        <f>E1255</f>
        <v/>
      </c>
      <c r="G1275">
        <f>F1275-E1275</f>
        <v/>
      </c>
      <c r="H1275">
        <f>IF(OR(NOT(ISNUMBER(D1275)),ABS(D1275-E1275)&gt;$O$3,AND($O$11=1,B1275&lt;$O$12)),1,0)</f>
        <v/>
      </c>
      <c r="I1275">
        <f>IF(H1275=1,NA(),D1275)</f>
        <v/>
      </c>
      <c r="J1275">
        <f>IF(AND(ISNUMBER(D1275),D1275&gt;=$O$4,OR($O$11=0,B1275&gt;=$O$12)),1,0)</f>
        <v/>
      </c>
      <c r="K1275">
        <f>B1275-$O$14</f>
        <v/>
      </c>
    </row>
    <row r="1276">
      <c r="A1276" t="n">
        <v>3822</v>
      </c>
      <c r="B1276" t="n">
        <v>127.4</v>
      </c>
      <c r="C1276" t="inlineStr">
        <is>
          <t>47</t>
        </is>
      </c>
      <c r="D1276" t="n">
        <v>0.47</v>
      </c>
      <c r="E1276">
        <f>MEDIAN(D1256:D1296)</f>
        <v/>
      </c>
      <c r="F1276">
        <f>E1256</f>
        <v/>
      </c>
      <c r="G1276">
        <f>F1276-E1276</f>
        <v/>
      </c>
      <c r="H1276">
        <f>IF(OR(NOT(ISNUMBER(D1276)),ABS(D1276-E1276)&gt;$O$3,AND($O$11=1,B1276&lt;$O$12)),1,0)</f>
        <v/>
      </c>
      <c r="I1276">
        <f>IF(H1276=1,NA(),D1276)</f>
        <v/>
      </c>
      <c r="J1276">
        <f>IF(AND(ISNUMBER(D1276),D1276&gt;=$O$4,OR($O$11=0,B1276&gt;=$O$12)),1,0)</f>
        <v/>
      </c>
      <c r="K1276">
        <f>B1276-$O$14</f>
        <v/>
      </c>
    </row>
    <row r="1277">
      <c r="A1277" t="n">
        <v>3825</v>
      </c>
      <c r="B1277" t="n">
        <v>127.5</v>
      </c>
      <c r="C1277" t="inlineStr">
        <is>
          <t>337</t>
        </is>
      </c>
      <c r="D1277" t="n">
        <v>3.37</v>
      </c>
      <c r="E1277">
        <f>MEDIAN(D1257:D1297)</f>
        <v/>
      </c>
      <c r="F1277">
        <f>E1257</f>
        <v/>
      </c>
      <c r="G1277">
        <f>F1277-E1277</f>
        <v/>
      </c>
      <c r="H1277">
        <f>IF(OR(NOT(ISNUMBER(D1277)),ABS(D1277-E1277)&gt;$O$3,AND($O$11=1,B1277&lt;$O$12)),1,0)</f>
        <v/>
      </c>
      <c r="I1277">
        <f>IF(H1277=1,NA(),D1277)</f>
        <v/>
      </c>
      <c r="J1277">
        <f>IF(AND(ISNUMBER(D1277),D1277&gt;=$O$4,OR($O$11=0,B1277&gt;=$O$12)),1,0)</f>
        <v/>
      </c>
      <c r="K1277">
        <f>B1277-$O$14</f>
        <v/>
      </c>
    </row>
    <row r="1278">
      <c r="A1278" t="n">
        <v>3828</v>
      </c>
      <c r="B1278" t="n">
        <v>127.6</v>
      </c>
      <c r="C1278" t="inlineStr">
        <is>
          <t>47</t>
        </is>
      </c>
      <c r="D1278" t="n">
        <v>0.47</v>
      </c>
      <c r="E1278">
        <f>MEDIAN(D1258:D1298)</f>
        <v/>
      </c>
      <c r="F1278">
        <f>E1258</f>
        <v/>
      </c>
      <c r="G1278">
        <f>F1278-E1278</f>
        <v/>
      </c>
      <c r="H1278">
        <f>IF(OR(NOT(ISNUMBER(D1278)),ABS(D1278-E1278)&gt;$O$3,AND($O$11=1,B1278&lt;$O$12)),1,0)</f>
        <v/>
      </c>
      <c r="I1278">
        <f>IF(H1278=1,NA(),D1278)</f>
        <v/>
      </c>
      <c r="J1278">
        <f>IF(AND(ISNUMBER(D1278),D1278&gt;=$O$4,OR($O$11=0,B1278&gt;=$O$12)),1,0)</f>
        <v/>
      </c>
      <c r="K1278">
        <f>B1278-$O$14</f>
        <v/>
      </c>
    </row>
    <row r="1279">
      <c r="A1279" t="n">
        <v>3831</v>
      </c>
      <c r="B1279" t="n">
        <v>127.7</v>
      </c>
      <c r="C1279" t="inlineStr">
        <is>
          <t>337</t>
        </is>
      </c>
      <c r="D1279" t="n">
        <v>3.37</v>
      </c>
      <c r="E1279">
        <f>MEDIAN(D1259:D1299)</f>
        <v/>
      </c>
      <c r="F1279">
        <f>E1259</f>
        <v/>
      </c>
      <c r="G1279">
        <f>F1279-E1279</f>
        <v/>
      </c>
      <c r="H1279">
        <f>IF(OR(NOT(ISNUMBER(D1279)),ABS(D1279-E1279)&gt;$O$3,AND($O$11=1,B1279&lt;$O$12)),1,0)</f>
        <v/>
      </c>
      <c r="I1279">
        <f>IF(H1279=1,NA(),D1279)</f>
        <v/>
      </c>
      <c r="J1279">
        <f>IF(AND(ISNUMBER(D1279),D1279&gt;=$O$4,OR($O$11=0,B1279&gt;=$O$12)),1,0)</f>
        <v/>
      </c>
      <c r="K1279">
        <f>B1279-$O$14</f>
        <v/>
      </c>
    </row>
    <row r="1280">
      <c r="A1280" t="n">
        <v>3834</v>
      </c>
      <c r="B1280" t="n">
        <v>127.8</v>
      </c>
      <c r="C1280" t="inlineStr">
        <is>
          <t>47</t>
        </is>
      </c>
      <c r="D1280" t="n">
        <v>0.47</v>
      </c>
      <c r="E1280">
        <f>MEDIAN(D1260:D1300)</f>
        <v/>
      </c>
      <c r="F1280">
        <f>E1260</f>
        <v/>
      </c>
      <c r="G1280">
        <f>F1280-E1280</f>
        <v/>
      </c>
      <c r="H1280">
        <f>IF(OR(NOT(ISNUMBER(D1280)),ABS(D1280-E1280)&gt;$O$3,AND($O$11=1,B1280&lt;$O$12)),1,0)</f>
        <v/>
      </c>
      <c r="I1280">
        <f>IF(H1280=1,NA(),D1280)</f>
        <v/>
      </c>
      <c r="J1280">
        <f>IF(AND(ISNUMBER(D1280),D1280&gt;=$O$4,OR($O$11=0,B1280&gt;=$O$12)),1,0)</f>
        <v/>
      </c>
      <c r="K1280">
        <f>B1280-$O$14</f>
        <v/>
      </c>
    </row>
    <row r="1281">
      <c r="A1281" t="n">
        <v>3837</v>
      </c>
      <c r="B1281" t="n">
        <v>127.9</v>
      </c>
      <c r="C1281" t="inlineStr">
        <is>
          <t>337</t>
        </is>
      </c>
      <c r="D1281" t="n">
        <v>3.37</v>
      </c>
      <c r="E1281">
        <f>MEDIAN(D1261:D1301)</f>
        <v/>
      </c>
      <c r="F1281">
        <f>E1261</f>
        <v/>
      </c>
      <c r="G1281">
        <f>F1281-E1281</f>
        <v/>
      </c>
      <c r="H1281">
        <f>IF(OR(NOT(ISNUMBER(D1281)),ABS(D1281-E1281)&gt;$O$3,AND($O$11=1,B1281&lt;$O$12)),1,0)</f>
        <v/>
      </c>
      <c r="I1281">
        <f>IF(H1281=1,NA(),D1281)</f>
        <v/>
      </c>
      <c r="J1281">
        <f>IF(AND(ISNUMBER(D1281),D1281&gt;=$O$4,OR($O$11=0,B1281&gt;=$O$12)),1,0)</f>
        <v/>
      </c>
      <c r="K1281">
        <f>B1281-$O$14</f>
        <v/>
      </c>
    </row>
    <row r="1282">
      <c r="A1282" t="n">
        <v>3840</v>
      </c>
      <c r="B1282" t="n">
        <v>128</v>
      </c>
      <c r="C1282" t="inlineStr">
        <is>
          <t>337</t>
        </is>
      </c>
      <c r="D1282" t="n">
        <v>3.37</v>
      </c>
      <c r="E1282">
        <f>MEDIAN(D1262:D1302)</f>
        <v/>
      </c>
      <c r="F1282">
        <f>E1262</f>
        <v/>
      </c>
      <c r="G1282">
        <f>F1282-E1282</f>
        <v/>
      </c>
      <c r="H1282">
        <f>IF(OR(NOT(ISNUMBER(D1282)),ABS(D1282-E1282)&gt;$O$3,AND($O$11=1,B1282&lt;$O$12)),1,0)</f>
        <v/>
      </c>
      <c r="I1282">
        <f>IF(H1282=1,NA(),D1282)</f>
        <v/>
      </c>
      <c r="J1282">
        <f>IF(AND(ISNUMBER(D1282),D1282&gt;=$O$4,OR($O$11=0,B1282&gt;=$O$12)),1,0)</f>
        <v/>
      </c>
      <c r="K1282">
        <f>B1282-$O$14</f>
        <v/>
      </c>
    </row>
    <row r="1283">
      <c r="A1283" t="n">
        <v>3843</v>
      </c>
      <c r="B1283" t="n">
        <v>128.1</v>
      </c>
      <c r="C1283" t="inlineStr">
        <is>
          <t>337</t>
        </is>
      </c>
      <c r="D1283" t="n">
        <v>3.37</v>
      </c>
      <c r="E1283">
        <f>MEDIAN(D1263:D1303)</f>
        <v/>
      </c>
      <c r="F1283">
        <f>E1263</f>
        <v/>
      </c>
      <c r="G1283">
        <f>F1283-E1283</f>
        <v/>
      </c>
      <c r="H1283">
        <f>IF(OR(NOT(ISNUMBER(D1283)),ABS(D1283-E1283)&gt;$O$3,AND($O$11=1,B1283&lt;$O$12)),1,0)</f>
        <v/>
      </c>
      <c r="I1283">
        <f>IF(H1283=1,NA(),D1283)</f>
        <v/>
      </c>
      <c r="J1283">
        <f>IF(AND(ISNUMBER(D1283),D1283&gt;=$O$4,OR($O$11=0,B1283&gt;=$O$12)),1,0)</f>
        <v/>
      </c>
      <c r="K1283">
        <f>B1283-$O$14</f>
        <v/>
      </c>
    </row>
    <row r="1284">
      <c r="A1284" t="n">
        <v>3846</v>
      </c>
      <c r="B1284" t="n">
        <v>128.2</v>
      </c>
      <c r="C1284" t="inlineStr">
        <is>
          <t>3?7</t>
        </is>
      </c>
      <c r="E1284">
        <f>MEDIAN(D1264:D1304)</f>
        <v/>
      </c>
      <c r="F1284">
        <f>E1264</f>
        <v/>
      </c>
      <c r="G1284">
        <f>F1284-E1284</f>
        <v/>
      </c>
      <c r="H1284">
        <f>IF(OR(NOT(ISNUMBER(D1284)),ABS(D1284-E1284)&gt;$O$3,AND($O$11=1,B1284&lt;$O$12)),1,0)</f>
        <v/>
      </c>
      <c r="I1284">
        <f>IF(H1284=1,NA(),D1284)</f>
        <v/>
      </c>
      <c r="J1284">
        <f>IF(AND(ISNUMBER(D1284),D1284&gt;=$O$4,OR($O$11=0,B1284&gt;=$O$12)),1,0)</f>
        <v/>
      </c>
      <c r="K1284">
        <f>B1284-$O$14</f>
        <v/>
      </c>
    </row>
    <row r="1285">
      <c r="A1285" t="n">
        <v>3849</v>
      </c>
      <c r="B1285" t="n">
        <v>128.3</v>
      </c>
      <c r="C1285" t="inlineStr">
        <is>
          <t>?37</t>
        </is>
      </c>
      <c r="E1285">
        <f>MEDIAN(D1265:D1305)</f>
        <v/>
      </c>
      <c r="F1285">
        <f>E1265</f>
        <v/>
      </c>
      <c r="G1285">
        <f>F1285-E1285</f>
        <v/>
      </c>
      <c r="H1285">
        <f>IF(OR(NOT(ISNUMBER(D1285)),ABS(D1285-E1285)&gt;$O$3,AND($O$11=1,B1285&lt;$O$12)),1,0)</f>
        <v/>
      </c>
      <c r="I1285">
        <f>IF(H1285=1,NA(),D1285)</f>
        <v/>
      </c>
      <c r="J1285">
        <f>IF(AND(ISNUMBER(D1285),D1285&gt;=$O$4,OR($O$11=0,B1285&gt;=$O$12)),1,0)</f>
        <v/>
      </c>
      <c r="K1285">
        <f>B1285-$O$14</f>
        <v/>
      </c>
    </row>
    <row r="1286">
      <c r="A1286" t="n">
        <v>3852</v>
      </c>
      <c r="B1286" t="n">
        <v>128.4</v>
      </c>
      <c r="C1286" t="inlineStr">
        <is>
          <t>3?7</t>
        </is>
      </c>
      <c r="E1286">
        <f>MEDIAN(D1266:D1306)</f>
        <v/>
      </c>
      <c r="F1286">
        <f>E1266</f>
        <v/>
      </c>
      <c r="G1286">
        <f>F1286-E1286</f>
        <v/>
      </c>
      <c r="H1286">
        <f>IF(OR(NOT(ISNUMBER(D1286)),ABS(D1286-E1286)&gt;$O$3,AND($O$11=1,B1286&lt;$O$12)),1,0)</f>
        <v/>
      </c>
      <c r="I1286">
        <f>IF(H1286=1,NA(),D1286)</f>
        <v/>
      </c>
      <c r="J1286">
        <f>IF(AND(ISNUMBER(D1286),D1286&gt;=$O$4,OR($O$11=0,B1286&gt;=$O$12)),1,0)</f>
        <v/>
      </c>
      <c r="K1286">
        <f>B1286-$O$14</f>
        <v/>
      </c>
    </row>
    <row r="1287">
      <c r="A1287" t="n">
        <v>3855</v>
      </c>
      <c r="B1287" t="n">
        <v>128.5</v>
      </c>
      <c r="C1287" t="inlineStr">
        <is>
          <t>337</t>
        </is>
      </c>
      <c r="D1287" t="n">
        <v>3.37</v>
      </c>
      <c r="E1287">
        <f>MEDIAN(D1267:D1307)</f>
        <v/>
      </c>
      <c r="F1287">
        <f>E1267</f>
        <v/>
      </c>
      <c r="G1287">
        <f>F1287-E1287</f>
        <v/>
      </c>
      <c r="H1287">
        <f>IF(OR(NOT(ISNUMBER(D1287)),ABS(D1287-E1287)&gt;$O$3,AND($O$11=1,B1287&lt;$O$12)),1,0)</f>
        <v/>
      </c>
      <c r="I1287">
        <f>IF(H1287=1,NA(),D1287)</f>
        <v/>
      </c>
      <c r="J1287">
        <f>IF(AND(ISNUMBER(D1287),D1287&gt;=$O$4,OR($O$11=0,B1287&gt;=$O$12)),1,0)</f>
        <v/>
      </c>
      <c r="K1287">
        <f>B1287-$O$14</f>
        <v/>
      </c>
    </row>
    <row r="1288">
      <c r="A1288" t="n">
        <v>3858</v>
      </c>
      <c r="B1288" t="n">
        <v>128.6</v>
      </c>
      <c r="C1288" t="inlineStr">
        <is>
          <t>47</t>
        </is>
      </c>
      <c r="D1288" t="n">
        <v>0.47</v>
      </c>
      <c r="E1288">
        <f>MEDIAN(D1268:D1308)</f>
        <v/>
      </c>
      <c r="F1288">
        <f>E1268</f>
        <v/>
      </c>
      <c r="G1288">
        <f>F1288-E1288</f>
        <v/>
      </c>
      <c r="H1288">
        <f>IF(OR(NOT(ISNUMBER(D1288)),ABS(D1288-E1288)&gt;$O$3,AND($O$11=1,B1288&lt;$O$12)),1,0)</f>
        <v/>
      </c>
      <c r="I1288">
        <f>IF(H1288=1,NA(),D1288)</f>
        <v/>
      </c>
      <c r="J1288">
        <f>IF(AND(ISNUMBER(D1288),D1288&gt;=$O$4,OR($O$11=0,B1288&gt;=$O$12)),1,0)</f>
        <v/>
      </c>
      <c r="K1288">
        <f>B1288-$O$14</f>
        <v/>
      </c>
    </row>
    <row r="1289">
      <c r="A1289" t="n">
        <v>3861</v>
      </c>
      <c r="B1289" t="n">
        <v>128.7</v>
      </c>
      <c r="C1289" t="inlineStr">
        <is>
          <t>337</t>
        </is>
      </c>
      <c r="D1289" t="n">
        <v>3.37</v>
      </c>
      <c r="E1289">
        <f>MEDIAN(D1269:D1309)</f>
        <v/>
      </c>
      <c r="F1289">
        <f>E1269</f>
        <v/>
      </c>
      <c r="G1289">
        <f>F1289-E1289</f>
        <v/>
      </c>
      <c r="H1289">
        <f>IF(OR(NOT(ISNUMBER(D1289)),ABS(D1289-E1289)&gt;$O$3,AND($O$11=1,B1289&lt;$O$12)),1,0)</f>
        <v/>
      </c>
      <c r="I1289">
        <f>IF(H1289=1,NA(),D1289)</f>
        <v/>
      </c>
      <c r="J1289">
        <f>IF(AND(ISNUMBER(D1289),D1289&gt;=$O$4,OR($O$11=0,B1289&gt;=$O$12)),1,0)</f>
        <v/>
      </c>
      <c r="K1289">
        <f>B1289-$O$14</f>
        <v/>
      </c>
    </row>
    <row r="1290">
      <c r="A1290" t="n">
        <v>3864</v>
      </c>
      <c r="B1290" t="n">
        <v>128.8</v>
      </c>
      <c r="C1290" t="inlineStr">
        <is>
          <t>47</t>
        </is>
      </c>
      <c r="D1290" t="n">
        <v>0.47</v>
      </c>
      <c r="E1290">
        <f>MEDIAN(D1270:D1310)</f>
        <v/>
      </c>
      <c r="F1290">
        <f>E1270</f>
        <v/>
      </c>
      <c r="G1290">
        <f>F1290-E1290</f>
        <v/>
      </c>
      <c r="H1290">
        <f>IF(OR(NOT(ISNUMBER(D1290)),ABS(D1290-E1290)&gt;$O$3,AND($O$11=1,B1290&lt;$O$12)),1,0)</f>
        <v/>
      </c>
      <c r="I1290">
        <f>IF(H1290=1,NA(),D1290)</f>
        <v/>
      </c>
      <c r="J1290">
        <f>IF(AND(ISNUMBER(D1290),D1290&gt;=$O$4,OR($O$11=0,B1290&gt;=$O$12)),1,0)</f>
        <v/>
      </c>
      <c r="K1290">
        <f>B1290-$O$14</f>
        <v/>
      </c>
    </row>
    <row r="1291">
      <c r="A1291" t="n">
        <v>3867</v>
      </c>
      <c r="B1291" t="n">
        <v>128.9</v>
      </c>
      <c r="C1291" t="inlineStr">
        <is>
          <t>337</t>
        </is>
      </c>
      <c r="D1291" t="n">
        <v>3.37</v>
      </c>
      <c r="E1291">
        <f>MEDIAN(D1271:D1310)</f>
        <v/>
      </c>
      <c r="F1291">
        <f>E1271</f>
        <v/>
      </c>
      <c r="G1291">
        <f>F1291-E1291</f>
        <v/>
      </c>
      <c r="H1291">
        <f>IF(OR(NOT(ISNUMBER(D1291)),ABS(D1291-E1291)&gt;$O$3,AND($O$11=1,B1291&lt;$O$12)),1,0)</f>
        <v/>
      </c>
      <c r="I1291">
        <f>IF(H1291=1,NA(),D1291)</f>
        <v/>
      </c>
      <c r="J1291">
        <f>IF(AND(ISNUMBER(D1291),D1291&gt;=$O$4,OR($O$11=0,B1291&gt;=$O$12)),1,0)</f>
        <v/>
      </c>
      <c r="K1291">
        <f>B1291-$O$14</f>
        <v/>
      </c>
    </row>
    <row r="1292">
      <c r="A1292" t="n">
        <v>3870</v>
      </c>
      <c r="B1292" t="n">
        <v>129</v>
      </c>
      <c r="C1292" t="inlineStr">
        <is>
          <t>3?7</t>
        </is>
      </c>
      <c r="E1292">
        <f>MEDIAN(D1272:D1310)</f>
        <v/>
      </c>
      <c r="F1292">
        <f>E1272</f>
        <v/>
      </c>
      <c r="G1292">
        <f>F1292-E1292</f>
        <v/>
      </c>
      <c r="H1292">
        <f>IF(OR(NOT(ISNUMBER(D1292)),ABS(D1292-E1292)&gt;$O$3,AND($O$11=1,B1292&lt;$O$12)),1,0)</f>
        <v/>
      </c>
      <c r="I1292">
        <f>IF(H1292=1,NA(),D1292)</f>
        <v/>
      </c>
      <c r="J1292">
        <f>IF(AND(ISNUMBER(D1292),D1292&gt;=$O$4,OR($O$11=0,B1292&gt;=$O$12)),1,0)</f>
        <v/>
      </c>
      <c r="K1292">
        <f>B1292-$O$14</f>
        <v/>
      </c>
    </row>
    <row r="1293">
      <c r="A1293" t="n">
        <v>3873</v>
      </c>
      <c r="B1293" t="n">
        <v>129.1</v>
      </c>
      <c r="C1293" t="inlineStr">
        <is>
          <t>337</t>
        </is>
      </c>
      <c r="D1293" t="n">
        <v>3.37</v>
      </c>
      <c r="E1293">
        <f>MEDIAN(D1273:D1310)</f>
        <v/>
      </c>
      <c r="F1293">
        <f>E1273</f>
        <v/>
      </c>
      <c r="G1293">
        <f>F1293-E1293</f>
        <v/>
      </c>
      <c r="H1293">
        <f>IF(OR(NOT(ISNUMBER(D1293)),ABS(D1293-E1293)&gt;$O$3,AND($O$11=1,B1293&lt;$O$12)),1,0)</f>
        <v/>
      </c>
      <c r="I1293">
        <f>IF(H1293=1,NA(),D1293)</f>
        <v/>
      </c>
      <c r="J1293">
        <f>IF(AND(ISNUMBER(D1293),D1293&gt;=$O$4,OR($O$11=0,B1293&gt;=$O$12)),1,0)</f>
        <v/>
      </c>
      <c r="K1293">
        <f>B1293-$O$14</f>
        <v/>
      </c>
    </row>
    <row r="1294">
      <c r="A1294" t="n">
        <v>3876</v>
      </c>
      <c r="B1294" t="n">
        <v>129.2</v>
      </c>
      <c r="C1294" t="inlineStr">
        <is>
          <t>3?7</t>
        </is>
      </c>
      <c r="E1294">
        <f>MEDIAN(D1274:D1310)</f>
        <v/>
      </c>
      <c r="F1294">
        <f>E1274</f>
        <v/>
      </c>
      <c r="G1294">
        <f>F1294-E1294</f>
        <v/>
      </c>
      <c r="H1294">
        <f>IF(OR(NOT(ISNUMBER(D1294)),ABS(D1294-E1294)&gt;$O$3,AND($O$11=1,B1294&lt;$O$12)),1,0)</f>
        <v/>
      </c>
      <c r="I1294">
        <f>IF(H1294=1,NA(),D1294)</f>
        <v/>
      </c>
      <c r="J1294">
        <f>IF(AND(ISNUMBER(D1294),D1294&gt;=$O$4,OR($O$11=0,B1294&gt;=$O$12)),1,0)</f>
        <v/>
      </c>
      <c r="K1294">
        <f>B1294-$O$14</f>
        <v/>
      </c>
    </row>
    <row r="1295">
      <c r="A1295" t="n">
        <v>3879</v>
      </c>
      <c r="B1295" t="n">
        <v>129.3</v>
      </c>
      <c r="C1295" t="inlineStr">
        <is>
          <t>337</t>
        </is>
      </c>
      <c r="D1295" t="n">
        <v>3.37</v>
      </c>
      <c r="E1295">
        <f>MEDIAN(D1275:D1310)</f>
        <v/>
      </c>
      <c r="F1295">
        <f>E1275</f>
        <v/>
      </c>
      <c r="G1295">
        <f>F1295-E1295</f>
        <v/>
      </c>
      <c r="H1295">
        <f>IF(OR(NOT(ISNUMBER(D1295)),ABS(D1295-E1295)&gt;$O$3,AND($O$11=1,B1295&lt;$O$12)),1,0)</f>
        <v/>
      </c>
      <c r="I1295">
        <f>IF(H1295=1,NA(),D1295)</f>
        <v/>
      </c>
      <c r="J1295">
        <f>IF(AND(ISNUMBER(D1295),D1295&gt;=$O$4,OR($O$11=0,B1295&gt;=$O$12)),1,0)</f>
        <v/>
      </c>
      <c r="K1295">
        <f>B1295-$O$14</f>
        <v/>
      </c>
    </row>
    <row r="1296">
      <c r="A1296" t="n">
        <v>3882</v>
      </c>
      <c r="B1296" t="n">
        <v>129.4</v>
      </c>
      <c r="C1296" t="inlineStr">
        <is>
          <t>337</t>
        </is>
      </c>
      <c r="D1296" t="n">
        <v>3.37</v>
      </c>
      <c r="E1296">
        <f>MEDIAN(D1276:D1310)</f>
        <v/>
      </c>
      <c r="F1296">
        <f>E1276</f>
        <v/>
      </c>
      <c r="G1296">
        <f>F1296-E1296</f>
        <v/>
      </c>
      <c r="H1296">
        <f>IF(OR(NOT(ISNUMBER(D1296)),ABS(D1296-E1296)&gt;$O$3,AND($O$11=1,B1296&lt;$O$12)),1,0)</f>
        <v/>
      </c>
      <c r="I1296">
        <f>IF(H1296=1,NA(),D1296)</f>
        <v/>
      </c>
      <c r="J1296">
        <f>IF(AND(ISNUMBER(D1296),D1296&gt;=$O$4,OR($O$11=0,B1296&gt;=$O$12)),1,0)</f>
        <v/>
      </c>
      <c r="K1296">
        <f>B1296-$O$14</f>
        <v/>
      </c>
    </row>
    <row r="1297">
      <c r="A1297" t="n">
        <v>3885</v>
      </c>
      <c r="B1297" t="n">
        <v>129.5</v>
      </c>
      <c r="C1297" t="inlineStr">
        <is>
          <t>337</t>
        </is>
      </c>
      <c r="D1297" t="n">
        <v>3.37</v>
      </c>
      <c r="E1297">
        <f>MEDIAN(D1277:D1310)</f>
        <v/>
      </c>
      <c r="F1297">
        <f>E1277</f>
        <v/>
      </c>
      <c r="G1297">
        <f>F1297-E1297</f>
        <v/>
      </c>
      <c r="H1297">
        <f>IF(OR(NOT(ISNUMBER(D1297)),ABS(D1297-E1297)&gt;$O$3,AND($O$11=1,B1297&lt;$O$12)),1,0)</f>
        <v/>
      </c>
      <c r="I1297">
        <f>IF(H1297=1,NA(),D1297)</f>
        <v/>
      </c>
      <c r="J1297">
        <f>IF(AND(ISNUMBER(D1297),D1297&gt;=$O$4,OR($O$11=0,B1297&gt;=$O$12)),1,0)</f>
        <v/>
      </c>
      <c r="K1297">
        <f>B1297-$O$14</f>
        <v/>
      </c>
    </row>
    <row r="1298">
      <c r="A1298" t="n">
        <v>3888</v>
      </c>
      <c r="B1298" t="n">
        <v>129.6</v>
      </c>
      <c r="C1298" t="inlineStr">
        <is>
          <t>337</t>
        </is>
      </c>
      <c r="D1298" t="n">
        <v>3.37</v>
      </c>
      <c r="E1298">
        <f>MEDIAN(D1278:D1310)</f>
        <v/>
      </c>
      <c r="F1298">
        <f>E1278</f>
        <v/>
      </c>
      <c r="G1298">
        <f>F1298-E1298</f>
        <v/>
      </c>
      <c r="H1298">
        <f>IF(OR(NOT(ISNUMBER(D1298)),ABS(D1298-E1298)&gt;$O$3,AND($O$11=1,B1298&lt;$O$12)),1,0)</f>
        <v/>
      </c>
      <c r="I1298">
        <f>IF(H1298=1,NA(),D1298)</f>
        <v/>
      </c>
      <c r="J1298">
        <f>IF(AND(ISNUMBER(D1298),D1298&gt;=$O$4,OR($O$11=0,B1298&gt;=$O$12)),1,0)</f>
        <v/>
      </c>
      <c r="K1298">
        <f>B1298-$O$14</f>
        <v/>
      </c>
    </row>
    <row r="1299">
      <c r="A1299" t="n">
        <v>3891</v>
      </c>
      <c r="B1299" t="n">
        <v>129.7</v>
      </c>
      <c r="C1299" t="inlineStr">
        <is>
          <t>336</t>
        </is>
      </c>
      <c r="D1299" t="n">
        <v>3.36</v>
      </c>
      <c r="E1299">
        <f>MEDIAN(D1279:D1310)</f>
        <v/>
      </c>
      <c r="F1299">
        <f>E1279</f>
        <v/>
      </c>
      <c r="G1299">
        <f>F1299-E1299</f>
        <v/>
      </c>
      <c r="H1299">
        <f>IF(OR(NOT(ISNUMBER(D1299)),ABS(D1299-E1299)&gt;$O$3,AND($O$11=1,B1299&lt;$O$12)),1,0)</f>
        <v/>
      </c>
      <c r="I1299">
        <f>IF(H1299=1,NA(),D1299)</f>
        <v/>
      </c>
      <c r="J1299">
        <f>IF(AND(ISNUMBER(D1299),D1299&gt;=$O$4,OR($O$11=0,B1299&gt;=$O$12)),1,0)</f>
        <v/>
      </c>
      <c r="K1299">
        <f>B1299-$O$14</f>
        <v/>
      </c>
    </row>
    <row r="1300">
      <c r="A1300" t="n">
        <v>3894</v>
      </c>
      <c r="B1300" t="n">
        <v>129.8</v>
      </c>
      <c r="C1300" t="inlineStr">
        <is>
          <t>336</t>
        </is>
      </c>
      <c r="D1300" t="n">
        <v>3.36</v>
      </c>
      <c r="E1300">
        <f>MEDIAN(D1280:D1310)</f>
        <v/>
      </c>
      <c r="F1300">
        <f>E1280</f>
        <v/>
      </c>
      <c r="G1300">
        <f>F1300-E1300</f>
        <v/>
      </c>
      <c r="H1300">
        <f>IF(OR(NOT(ISNUMBER(D1300)),ABS(D1300-E1300)&gt;$O$3,AND($O$11=1,B1300&lt;$O$12)),1,0)</f>
        <v/>
      </c>
      <c r="I1300">
        <f>IF(H1300=1,NA(),D1300)</f>
        <v/>
      </c>
      <c r="J1300">
        <f>IF(AND(ISNUMBER(D1300),D1300&gt;=$O$4,OR($O$11=0,B1300&gt;=$O$12)),1,0)</f>
        <v/>
      </c>
      <c r="K1300">
        <f>B1300-$O$14</f>
        <v/>
      </c>
    </row>
    <row r="1301">
      <c r="A1301" t="n">
        <v>3897</v>
      </c>
      <c r="B1301" t="n">
        <v>129.9</v>
      </c>
      <c r="C1301" t="inlineStr">
        <is>
          <t>336</t>
        </is>
      </c>
      <c r="D1301" t="n">
        <v>3.36</v>
      </c>
      <c r="E1301">
        <f>MEDIAN(D1281:D1310)</f>
        <v/>
      </c>
      <c r="F1301">
        <f>E1281</f>
        <v/>
      </c>
      <c r="G1301">
        <f>F1301-E1301</f>
        <v/>
      </c>
      <c r="H1301">
        <f>IF(OR(NOT(ISNUMBER(D1301)),ABS(D1301-E1301)&gt;$O$3,AND($O$11=1,B1301&lt;$O$12)),1,0)</f>
        <v/>
      </c>
      <c r="I1301">
        <f>IF(H1301=1,NA(),D1301)</f>
        <v/>
      </c>
      <c r="J1301">
        <f>IF(AND(ISNUMBER(D1301),D1301&gt;=$O$4,OR($O$11=0,B1301&gt;=$O$12)),1,0)</f>
        <v/>
      </c>
      <c r="K1301">
        <f>B1301-$O$14</f>
        <v/>
      </c>
    </row>
    <row r="1302">
      <c r="A1302" t="n">
        <v>3900</v>
      </c>
      <c r="B1302" t="n">
        <v>130</v>
      </c>
      <c r="C1302" t="inlineStr">
        <is>
          <t>336</t>
        </is>
      </c>
      <c r="D1302" t="n">
        <v>3.36</v>
      </c>
      <c r="E1302">
        <f>MEDIAN(D1282:D1310)</f>
        <v/>
      </c>
      <c r="F1302">
        <f>E1282</f>
        <v/>
      </c>
      <c r="G1302">
        <f>F1302-E1302</f>
        <v/>
      </c>
      <c r="H1302">
        <f>IF(OR(NOT(ISNUMBER(D1302)),ABS(D1302-E1302)&gt;$O$3,AND($O$11=1,B1302&lt;$O$12)),1,0)</f>
        <v/>
      </c>
      <c r="I1302">
        <f>IF(H1302=1,NA(),D1302)</f>
        <v/>
      </c>
      <c r="J1302">
        <f>IF(AND(ISNUMBER(D1302),D1302&gt;=$O$4,OR($O$11=0,B1302&gt;=$O$12)),1,0)</f>
        <v/>
      </c>
      <c r="K1302">
        <f>B1302-$O$14</f>
        <v/>
      </c>
    </row>
    <row r="1303">
      <c r="A1303" t="n">
        <v>3903</v>
      </c>
      <c r="B1303" t="n">
        <v>130.1</v>
      </c>
      <c r="C1303" t="inlineStr">
        <is>
          <t>3?6</t>
        </is>
      </c>
      <c r="E1303">
        <f>MEDIAN(D1283:D1310)</f>
        <v/>
      </c>
      <c r="F1303">
        <f>E1283</f>
        <v/>
      </c>
      <c r="G1303">
        <f>F1303-E1303</f>
        <v/>
      </c>
      <c r="H1303">
        <f>IF(OR(NOT(ISNUMBER(D1303)),ABS(D1303-E1303)&gt;$O$3,AND($O$11=1,B1303&lt;$O$12)),1,0)</f>
        <v/>
      </c>
      <c r="I1303">
        <f>IF(H1303=1,NA(),D1303)</f>
        <v/>
      </c>
      <c r="J1303">
        <f>IF(AND(ISNUMBER(D1303),D1303&gt;=$O$4,OR($O$11=0,B1303&gt;=$O$12)),1,0)</f>
        <v/>
      </c>
      <c r="K1303">
        <f>B1303-$O$14</f>
        <v/>
      </c>
    </row>
    <row r="1304">
      <c r="A1304" t="n">
        <v>3906</v>
      </c>
      <c r="B1304" t="n">
        <v>130.2</v>
      </c>
      <c r="C1304" t="inlineStr">
        <is>
          <t>335</t>
        </is>
      </c>
      <c r="D1304" t="n">
        <v>3.35</v>
      </c>
      <c r="E1304">
        <f>MEDIAN(D1284:D1310)</f>
        <v/>
      </c>
      <c r="F1304">
        <f>E1284</f>
        <v/>
      </c>
      <c r="G1304">
        <f>F1304-E1304</f>
        <v/>
      </c>
      <c r="H1304">
        <f>IF(OR(NOT(ISNUMBER(D1304)),ABS(D1304-E1304)&gt;$O$3,AND($O$11=1,B1304&lt;$O$12)),1,0)</f>
        <v/>
      </c>
      <c r="I1304">
        <f>IF(H1304=1,NA(),D1304)</f>
        <v/>
      </c>
      <c r="J1304">
        <f>IF(AND(ISNUMBER(D1304),D1304&gt;=$O$4,OR($O$11=0,B1304&gt;=$O$12)),1,0)</f>
        <v/>
      </c>
      <c r="K1304">
        <f>B1304-$O$14</f>
        <v/>
      </c>
    </row>
    <row r="1305">
      <c r="A1305" t="n">
        <v>3909</v>
      </c>
      <c r="B1305" t="n">
        <v>130.3</v>
      </c>
      <c r="C1305" t="inlineStr">
        <is>
          <t>46</t>
        </is>
      </c>
      <c r="D1305" t="n">
        <v>0.46</v>
      </c>
      <c r="E1305">
        <f>MEDIAN(D1285:D1310)</f>
        <v/>
      </c>
      <c r="F1305">
        <f>E1285</f>
        <v/>
      </c>
      <c r="G1305">
        <f>F1305-E1305</f>
        <v/>
      </c>
      <c r="H1305">
        <f>IF(OR(NOT(ISNUMBER(D1305)),ABS(D1305-E1305)&gt;$O$3,AND($O$11=1,B1305&lt;$O$12)),1,0)</f>
        <v/>
      </c>
      <c r="I1305">
        <f>IF(H1305=1,NA(),D1305)</f>
        <v/>
      </c>
      <c r="J1305">
        <f>IF(AND(ISNUMBER(D1305),D1305&gt;=$O$4,OR($O$11=0,B1305&gt;=$O$12)),1,0)</f>
        <v/>
      </c>
      <c r="K1305">
        <f>B1305-$O$14</f>
        <v/>
      </c>
    </row>
    <row r="1306">
      <c r="A1306" t="n">
        <v>3912</v>
      </c>
      <c r="B1306" t="n">
        <v>130.4</v>
      </c>
      <c r="C1306" t="inlineStr">
        <is>
          <t>335</t>
        </is>
      </c>
      <c r="D1306" t="n">
        <v>3.35</v>
      </c>
      <c r="E1306">
        <f>MEDIAN(D1286:D1310)</f>
        <v/>
      </c>
      <c r="F1306">
        <f>E1286</f>
        <v/>
      </c>
      <c r="G1306">
        <f>F1306-E1306</f>
        <v/>
      </c>
      <c r="H1306">
        <f>IF(OR(NOT(ISNUMBER(D1306)),ABS(D1306-E1306)&gt;$O$3,AND($O$11=1,B1306&lt;$O$12)),1,0)</f>
        <v/>
      </c>
      <c r="I1306">
        <f>IF(H1306=1,NA(),D1306)</f>
        <v/>
      </c>
      <c r="J1306">
        <f>IF(AND(ISNUMBER(D1306),D1306&gt;=$O$4,OR($O$11=0,B1306&gt;=$O$12)),1,0)</f>
        <v/>
      </c>
      <c r="K1306">
        <f>B1306-$O$14</f>
        <v/>
      </c>
    </row>
    <row r="1307">
      <c r="A1307" t="n">
        <v>3915</v>
      </c>
      <c r="B1307" t="n">
        <v>130.5</v>
      </c>
      <c r="C1307" t="inlineStr">
        <is>
          <t>3?5</t>
        </is>
      </c>
      <c r="E1307">
        <f>MEDIAN(D1287:D1310)</f>
        <v/>
      </c>
      <c r="F1307">
        <f>E1287</f>
        <v/>
      </c>
      <c r="G1307">
        <f>F1307-E1307</f>
        <v/>
      </c>
      <c r="H1307">
        <f>IF(OR(NOT(ISNUMBER(D1307)),ABS(D1307-E1307)&gt;$O$3,AND($O$11=1,B1307&lt;$O$12)),1,0)</f>
        <v/>
      </c>
      <c r="I1307">
        <f>IF(H1307=1,NA(),D1307)</f>
        <v/>
      </c>
      <c r="J1307">
        <f>IF(AND(ISNUMBER(D1307),D1307&gt;=$O$4,OR($O$11=0,B1307&gt;=$O$12)),1,0)</f>
        <v/>
      </c>
      <c r="K1307">
        <f>B1307-$O$14</f>
        <v/>
      </c>
    </row>
    <row r="1308">
      <c r="A1308" t="n">
        <v>3918</v>
      </c>
      <c r="B1308" t="n">
        <v>130.6</v>
      </c>
      <c r="C1308" t="inlineStr">
        <is>
          <t>335</t>
        </is>
      </c>
      <c r="D1308" t="n">
        <v>3.35</v>
      </c>
      <c r="E1308">
        <f>MEDIAN(D1288:D1310)</f>
        <v/>
      </c>
      <c r="F1308">
        <f>E1288</f>
        <v/>
      </c>
      <c r="G1308">
        <f>F1308-E1308</f>
        <v/>
      </c>
      <c r="H1308">
        <f>IF(OR(NOT(ISNUMBER(D1308)),ABS(D1308-E1308)&gt;$O$3,AND($O$11=1,B1308&lt;$O$12)),1,0)</f>
        <v/>
      </c>
      <c r="I1308">
        <f>IF(H1308=1,NA(),D1308)</f>
        <v/>
      </c>
      <c r="J1308">
        <f>IF(AND(ISNUMBER(D1308),D1308&gt;=$O$4,OR($O$11=0,B1308&gt;=$O$12)),1,0)</f>
        <v/>
      </c>
      <c r="K1308">
        <f>B1308-$O$14</f>
        <v/>
      </c>
    </row>
    <row r="1309">
      <c r="A1309" t="n">
        <v>3921</v>
      </c>
      <c r="B1309" t="n">
        <v>130.7</v>
      </c>
      <c r="C1309" t="inlineStr">
        <is>
          <t>340</t>
        </is>
      </c>
      <c r="D1309" t="n">
        <v>3.4</v>
      </c>
      <c r="E1309">
        <f>MEDIAN(D1289:D1310)</f>
        <v/>
      </c>
      <c r="F1309">
        <f>E1289</f>
        <v/>
      </c>
      <c r="G1309">
        <f>F1309-E1309</f>
        <v/>
      </c>
      <c r="H1309">
        <f>IF(OR(NOT(ISNUMBER(D1309)),ABS(D1309-E1309)&gt;$O$3,AND($O$11=1,B1309&lt;$O$12)),1,0)</f>
        <v/>
      </c>
      <c r="I1309">
        <f>IF(H1309=1,NA(),D1309)</f>
        <v/>
      </c>
      <c r="J1309">
        <f>IF(AND(ISNUMBER(D1309),D1309&gt;=$O$4,OR($O$11=0,B1309&gt;=$O$12)),1,0)</f>
        <v/>
      </c>
      <c r="K1309">
        <f>B1309-$O$14</f>
        <v/>
      </c>
    </row>
    <row r="1310">
      <c r="A1310" t="n">
        <v>3924</v>
      </c>
      <c r="B1310" t="n">
        <v>130.8</v>
      </c>
      <c r="C1310" t="inlineStr">
        <is>
          <t>340</t>
        </is>
      </c>
      <c r="D1310" t="n">
        <v>3.4</v>
      </c>
      <c r="E1310">
        <f>MEDIAN(D1290:D1310)</f>
        <v/>
      </c>
      <c r="F1310">
        <f>E1290</f>
        <v/>
      </c>
      <c r="G1310">
        <f>F1310-E1310</f>
        <v/>
      </c>
      <c r="H1310">
        <f>IF(OR(NOT(ISNUMBER(D1310)),ABS(D1310-E1310)&gt;$O$3,AND($O$11=1,B1310&lt;$O$12)),1,0)</f>
        <v/>
      </c>
      <c r="I1310">
        <f>IF(H1310=1,NA(),D1310)</f>
        <v/>
      </c>
      <c r="J1310">
        <f>IF(AND(ISNUMBER(D1310),D1310&gt;=$O$4,OR($O$11=0,B1310&gt;=$O$12)),1,0)</f>
        <v/>
      </c>
      <c r="K1310">
        <f>B1310-$O$14</f>
        <v/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3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time_corrected_s</t>
        </is>
      </c>
      <c r="B1" s="1" t="inlineStr">
        <is>
          <t>remaining_volume_mL</t>
        </is>
      </c>
    </row>
    <row r="2">
      <c r="A2">
        <f>Sheet1!K2</f>
        <v/>
      </c>
      <c r="B2">
        <f>IF(ISNA(Sheet1!I2),NA(),Sheet1!$O$5-(Sheet1!I2/Sheet1!$O$6))</f>
        <v/>
      </c>
    </row>
    <row r="3">
      <c r="A3">
        <f>Sheet1!K3</f>
        <v/>
      </c>
      <c r="B3">
        <f>IF(ISNA(Sheet1!I3),NA(),Sheet1!$O$5-(Sheet1!I3/Sheet1!$O$6))</f>
        <v/>
      </c>
    </row>
    <row r="4">
      <c r="A4">
        <f>Sheet1!K4</f>
        <v/>
      </c>
      <c r="B4">
        <f>IF(ISNA(Sheet1!I4),NA(),Sheet1!$O$5-(Sheet1!I4/Sheet1!$O$6))</f>
        <v/>
      </c>
    </row>
    <row r="5">
      <c r="A5">
        <f>Sheet1!K5</f>
        <v/>
      </c>
      <c r="B5">
        <f>IF(ISNA(Sheet1!I5),NA(),Sheet1!$O$5-(Sheet1!I5/Sheet1!$O$6))</f>
        <v/>
      </c>
    </row>
    <row r="6">
      <c r="A6">
        <f>Sheet1!K6</f>
        <v/>
      </c>
      <c r="B6">
        <f>IF(ISNA(Sheet1!I6),NA(),Sheet1!$O$5-(Sheet1!I6/Sheet1!$O$6))</f>
        <v/>
      </c>
    </row>
    <row r="7">
      <c r="A7">
        <f>Sheet1!K7</f>
        <v/>
      </c>
      <c r="B7">
        <f>IF(ISNA(Sheet1!I7),NA(),Sheet1!$O$5-(Sheet1!I7/Sheet1!$O$6))</f>
        <v/>
      </c>
    </row>
    <row r="8">
      <c r="A8">
        <f>Sheet1!K8</f>
        <v/>
      </c>
      <c r="B8">
        <f>IF(ISNA(Sheet1!I8),NA(),Sheet1!$O$5-(Sheet1!I8/Sheet1!$O$6))</f>
        <v/>
      </c>
    </row>
    <row r="9">
      <c r="A9">
        <f>Sheet1!K9</f>
        <v/>
      </c>
      <c r="B9">
        <f>IF(ISNA(Sheet1!I9),NA(),Sheet1!$O$5-(Sheet1!I9/Sheet1!$O$6))</f>
        <v/>
      </c>
    </row>
    <row r="10">
      <c r="A10">
        <f>Sheet1!K10</f>
        <v/>
      </c>
      <c r="B10">
        <f>IF(ISNA(Sheet1!I10),NA(),Sheet1!$O$5-(Sheet1!I10/Sheet1!$O$6))</f>
        <v/>
      </c>
    </row>
    <row r="11">
      <c r="A11">
        <f>Sheet1!K11</f>
        <v/>
      </c>
      <c r="B11">
        <f>IF(ISNA(Sheet1!I11),NA(),Sheet1!$O$5-(Sheet1!I11/Sheet1!$O$6))</f>
        <v/>
      </c>
    </row>
    <row r="12">
      <c r="A12">
        <f>Sheet1!K12</f>
        <v/>
      </c>
      <c r="B12">
        <f>IF(ISNA(Sheet1!I12),NA(),Sheet1!$O$5-(Sheet1!I12/Sheet1!$O$6))</f>
        <v/>
      </c>
    </row>
    <row r="13">
      <c r="A13">
        <f>Sheet1!K13</f>
        <v/>
      </c>
      <c r="B13">
        <f>IF(ISNA(Sheet1!I13),NA(),Sheet1!$O$5-(Sheet1!I13/Sheet1!$O$6))</f>
        <v/>
      </c>
    </row>
    <row r="14">
      <c r="A14">
        <f>Sheet1!K14</f>
        <v/>
      </c>
      <c r="B14">
        <f>IF(ISNA(Sheet1!I14),NA(),Sheet1!$O$5-(Sheet1!I14/Sheet1!$O$6))</f>
        <v/>
      </c>
    </row>
    <row r="15">
      <c r="A15">
        <f>Sheet1!K15</f>
        <v/>
      </c>
      <c r="B15">
        <f>IF(ISNA(Sheet1!I15),NA(),Sheet1!$O$5-(Sheet1!I15/Sheet1!$O$6))</f>
        <v/>
      </c>
    </row>
    <row r="16">
      <c r="A16">
        <f>Sheet1!K16</f>
        <v/>
      </c>
      <c r="B16">
        <f>IF(ISNA(Sheet1!I16),NA(),Sheet1!$O$5-(Sheet1!I16/Sheet1!$O$6))</f>
        <v/>
      </c>
    </row>
    <row r="17">
      <c r="A17">
        <f>Sheet1!K17</f>
        <v/>
      </c>
      <c r="B17">
        <f>IF(ISNA(Sheet1!I17),NA(),Sheet1!$O$5-(Sheet1!I17/Sheet1!$O$6))</f>
        <v/>
      </c>
    </row>
    <row r="18">
      <c r="A18">
        <f>Sheet1!K18</f>
        <v/>
      </c>
      <c r="B18">
        <f>IF(ISNA(Sheet1!I18),NA(),Sheet1!$O$5-(Sheet1!I18/Sheet1!$O$6))</f>
        <v/>
      </c>
    </row>
    <row r="19">
      <c r="A19">
        <f>Sheet1!K19</f>
        <v/>
      </c>
      <c r="B19">
        <f>IF(ISNA(Sheet1!I19),NA(),Sheet1!$O$5-(Sheet1!I19/Sheet1!$O$6))</f>
        <v/>
      </c>
    </row>
    <row r="20">
      <c r="A20">
        <f>Sheet1!K20</f>
        <v/>
      </c>
      <c r="B20">
        <f>IF(ISNA(Sheet1!I20),NA(),Sheet1!$O$5-(Sheet1!I20/Sheet1!$O$6))</f>
        <v/>
      </c>
    </row>
    <row r="21">
      <c r="A21">
        <f>Sheet1!K21</f>
        <v/>
      </c>
      <c r="B21">
        <f>IF(ISNA(Sheet1!I21),NA(),Sheet1!$O$5-(Sheet1!I21/Sheet1!$O$6))</f>
        <v/>
      </c>
    </row>
    <row r="22">
      <c r="A22">
        <f>Sheet1!K22</f>
        <v/>
      </c>
      <c r="B22">
        <f>IF(ISNA(Sheet1!I22),NA(),Sheet1!$O$5-(Sheet1!I22/Sheet1!$O$6))</f>
        <v/>
      </c>
    </row>
    <row r="23">
      <c r="A23">
        <f>Sheet1!K23</f>
        <v/>
      </c>
      <c r="B23">
        <f>IF(ISNA(Sheet1!I23),NA(),Sheet1!$O$5-(Sheet1!I23/Sheet1!$O$6))</f>
        <v/>
      </c>
    </row>
    <row r="24">
      <c r="A24">
        <f>Sheet1!K24</f>
        <v/>
      </c>
      <c r="B24">
        <f>IF(ISNA(Sheet1!I24),NA(),Sheet1!$O$5-(Sheet1!I24/Sheet1!$O$6))</f>
        <v/>
      </c>
    </row>
    <row r="25">
      <c r="A25">
        <f>Sheet1!K25</f>
        <v/>
      </c>
      <c r="B25">
        <f>IF(ISNA(Sheet1!I25),NA(),Sheet1!$O$5-(Sheet1!I25/Sheet1!$O$6))</f>
        <v/>
      </c>
    </row>
    <row r="26">
      <c r="A26">
        <f>Sheet1!K26</f>
        <v/>
      </c>
      <c r="B26">
        <f>IF(ISNA(Sheet1!I26),NA(),Sheet1!$O$5-(Sheet1!I26/Sheet1!$O$6))</f>
        <v/>
      </c>
    </row>
    <row r="27">
      <c r="A27">
        <f>Sheet1!K27</f>
        <v/>
      </c>
      <c r="B27">
        <f>IF(ISNA(Sheet1!I27),NA(),Sheet1!$O$5-(Sheet1!I27/Sheet1!$O$6))</f>
        <v/>
      </c>
    </row>
    <row r="28">
      <c r="A28">
        <f>Sheet1!K28</f>
        <v/>
      </c>
      <c r="B28">
        <f>IF(ISNA(Sheet1!I28),NA(),Sheet1!$O$5-(Sheet1!I28/Sheet1!$O$6))</f>
        <v/>
      </c>
    </row>
    <row r="29">
      <c r="A29">
        <f>Sheet1!K29</f>
        <v/>
      </c>
      <c r="B29">
        <f>IF(ISNA(Sheet1!I29),NA(),Sheet1!$O$5-(Sheet1!I29/Sheet1!$O$6))</f>
        <v/>
      </c>
    </row>
    <row r="30">
      <c r="A30">
        <f>Sheet1!K30</f>
        <v/>
      </c>
      <c r="B30">
        <f>IF(ISNA(Sheet1!I30),NA(),Sheet1!$O$5-(Sheet1!I30/Sheet1!$O$6))</f>
        <v/>
      </c>
    </row>
    <row r="31">
      <c r="A31">
        <f>Sheet1!K31</f>
        <v/>
      </c>
      <c r="B31">
        <f>IF(ISNA(Sheet1!I31),NA(),Sheet1!$O$5-(Sheet1!I31/Sheet1!$O$6))</f>
        <v/>
      </c>
    </row>
    <row r="32">
      <c r="A32">
        <f>Sheet1!K32</f>
        <v/>
      </c>
      <c r="B32">
        <f>IF(ISNA(Sheet1!I32),NA(),Sheet1!$O$5-(Sheet1!I32/Sheet1!$O$6))</f>
        <v/>
      </c>
    </row>
    <row r="33">
      <c r="A33">
        <f>Sheet1!K33</f>
        <v/>
      </c>
      <c r="B33">
        <f>IF(ISNA(Sheet1!I33),NA(),Sheet1!$O$5-(Sheet1!I33/Sheet1!$O$6))</f>
        <v/>
      </c>
    </row>
    <row r="34">
      <c r="A34">
        <f>Sheet1!K34</f>
        <v/>
      </c>
      <c r="B34">
        <f>IF(ISNA(Sheet1!I34),NA(),Sheet1!$O$5-(Sheet1!I34/Sheet1!$O$6))</f>
        <v/>
      </c>
    </row>
    <row r="35">
      <c r="A35">
        <f>Sheet1!K35</f>
        <v/>
      </c>
      <c r="B35">
        <f>IF(ISNA(Sheet1!I35),NA(),Sheet1!$O$5-(Sheet1!I35/Sheet1!$O$6))</f>
        <v/>
      </c>
    </row>
    <row r="36">
      <c r="A36">
        <f>Sheet1!K36</f>
        <v/>
      </c>
      <c r="B36">
        <f>IF(ISNA(Sheet1!I36),NA(),Sheet1!$O$5-(Sheet1!I36/Sheet1!$O$6))</f>
        <v/>
      </c>
    </row>
    <row r="37">
      <c r="A37">
        <f>Sheet1!K37</f>
        <v/>
      </c>
      <c r="B37">
        <f>IF(ISNA(Sheet1!I37),NA(),Sheet1!$O$5-(Sheet1!I37/Sheet1!$O$6))</f>
        <v/>
      </c>
    </row>
    <row r="38">
      <c r="A38">
        <f>Sheet1!K38</f>
        <v/>
      </c>
      <c r="B38">
        <f>IF(ISNA(Sheet1!I38),NA(),Sheet1!$O$5-(Sheet1!I38/Sheet1!$O$6))</f>
        <v/>
      </c>
    </row>
    <row r="39">
      <c r="A39">
        <f>Sheet1!K39</f>
        <v/>
      </c>
      <c r="B39">
        <f>IF(ISNA(Sheet1!I39),NA(),Sheet1!$O$5-(Sheet1!I39/Sheet1!$O$6))</f>
        <v/>
      </c>
    </row>
    <row r="40">
      <c r="A40">
        <f>Sheet1!K40</f>
        <v/>
      </c>
      <c r="B40">
        <f>IF(ISNA(Sheet1!I40),NA(),Sheet1!$O$5-(Sheet1!I40/Sheet1!$O$6))</f>
        <v/>
      </c>
    </row>
    <row r="41">
      <c r="A41">
        <f>Sheet1!K41</f>
        <v/>
      </c>
      <c r="B41">
        <f>IF(ISNA(Sheet1!I41),NA(),Sheet1!$O$5-(Sheet1!I41/Sheet1!$O$6))</f>
        <v/>
      </c>
    </row>
    <row r="42">
      <c r="A42">
        <f>Sheet1!K42</f>
        <v/>
      </c>
      <c r="B42">
        <f>IF(ISNA(Sheet1!I42),NA(),Sheet1!$O$5-(Sheet1!I42/Sheet1!$O$6))</f>
        <v/>
      </c>
    </row>
    <row r="43">
      <c r="A43">
        <f>Sheet1!K43</f>
        <v/>
      </c>
      <c r="B43">
        <f>IF(ISNA(Sheet1!I43),NA(),Sheet1!$O$5-(Sheet1!I43/Sheet1!$O$6))</f>
        <v/>
      </c>
    </row>
    <row r="44">
      <c r="A44">
        <f>Sheet1!K44</f>
        <v/>
      </c>
      <c r="B44">
        <f>IF(ISNA(Sheet1!I44),NA(),Sheet1!$O$5-(Sheet1!I44/Sheet1!$O$6))</f>
        <v/>
      </c>
    </row>
    <row r="45">
      <c r="A45">
        <f>Sheet1!K45</f>
        <v/>
      </c>
      <c r="B45">
        <f>IF(ISNA(Sheet1!I45),NA(),Sheet1!$O$5-(Sheet1!I45/Sheet1!$O$6))</f>
        <v/>
      </c>
    </row>
    <row r="46">
      <c r="A46">
        <f>Sheet1!K46</f>
        <v/>
      </c>
      <c r="B46">
        <f>IF(ISNA(Sheet1!I46),NA(),Sheet1!$O$5-(Sheet1!I46/Sheet1!$O$6))</f>
        <v/>
      </c>
    </row>
    <row r="47">
      <c r="A47">
        <f>Sheet1!K47</f>
        <v/>
      </c>
      <c r="B47">
        <f>IF(ISNA(Sheet1!I47),NA(),Sheet1!$O$5-(Sheet1!I47/Sheet1!$O$6))</f>
        <v/>
      </c>
    </row>
    <row r="48">
      <c r="A48">
        <f>Sheet1!K48</f>
        <v/>
      </c>
      <c r="B48">
        <f>IF(ISNA(Sheet1!I48),NA(),Sheet1!$O$5-(Sheet1!I48/Sheet1!$O$6))</f>
        <v/>
      </c>
    </row>
    <row r="49">
      <c r="A49">
        <f>Sheet1!K49</f>
        <v/>
      </c>
      <c r="B49">
        <f>IF(ISNA(Sheet1!I49),NA(),Sheet1!$O$5-(Sheet1!I49/Sheet1!$O$6))</f>
        <v/>
      </c>
    </row>
    <row r="50">
      <c r="A50">
        <f>Sheet1!K50</f>
        <v/>
      </c>
      <c r="B50">
        <f>IF(ISNA(Sheet1!I50),NA(),Sheet1!$O$5-(Sheet1!I50/Sheet1!$O$6))</f>
        <v/>
      </c>
    </row>
    <row r="51">
      <c r="A51">
        <f>Sheet1!K51</f>
        <v/>
      </c>
      <c r="B51">
        <f>IF(ISNA(Sheet1!I51),NA(),Sheet1!$O$5-(Sheet1!I51/Sheet1!$O$6))</f>
        <v/>
      </c>
    </row>
    <row r="52">
      <c r="A52">
        <f>Sheet1!K52</f>
        <v/>
      </c>
      <c r="B52">
        <f>IF(ISNA(Sheet1!I52),NA(),Sheet1!$O$5-(Sheet1!I52/Sheet1!$O$6))</f>
        <v/>
      </c>
    </row>
    <row r="53">
      <c r="A53">
        <f>Sheet1!K53</f>
        <v/>
      </c>
      <c r="B53">
        <f>IF(ISNA(Sheet1!I53),NA(),Sheet1!$O$5-(Sheet1!I53/Sheet1!$O$6))</f>
        <v/>
      </c>
    </row>
    <row r="54">
      <c r="A54">
        <f>Sheet1!K54</f>
        <v/>
      </c>
      <c r="B54">
        <f>IF(ISNA(Sheet1!I54),NA(),Sheet1!$O$5-(Sheet1!I54/Sheet1!$O$6))</f>
        <v/>
      </c>
    </row>
    <row r="55">
      <c r="A55">
        <f>Sheet1!K55</f>
        <v/>
      </c>
      <c r="B55">
        <f>IF(ISNA(Sheet1!I55),NA(),Sheet1!$O$5-(Sheet1!I55/Sheet1!$O$6))</f>
        <v/>
      </c>
    </row>
    <row r="56">
      <c r="A56">
        <f>Sheet1!K56</f>
        <v/>
      </c>
      <c r="B56">
        <f>IF(ISNA(Sheet1!I56),NA(),Sheet1!$O$5-(Sheet1!I56/Sheet1!$O$6))</f>
        <v/>
      </c>
    </row>
    <row r="57">
      <c r="A57">
        <f>Sheet1!K57</f>
        <v/>
      </c>
      <c r="B57">
        <f>IF(ISNA(Sheet1!I57),NA(),Sheet1!$O$5-(Sheet1!I57/Sheet1!$O$6))</f>
        <v/>
      </c>
    </row>
    <row r="58">
      <c r="A58">
        <f>Sheet1!K58</f>
        <v/>
      </c>
      <c r="B58">
        <f>IF(ISNA(Sheet1!I58),NA(),Sheet1!$O$5-(Sheet1!I58/Sheet1!$O$6))</f>
        <v/>
      </c>
    </row>
    <row r="59">
      <c r="A59">
        <f>Sheet1!K59</f>
        <v/>
      </c>
      <c r="B59">
        <f>IF(ISNA(Sheet1!I59),NA(),Sheet1!$O$5-(Sheet1!I59/Sheet1!$O$6))</f>
        <v/>
      </c>
    </row>
    <row r="60">
      <c r="A60">
        <f>Sheet1!K60</f>
        <v/>
      </c>
      <c r="B60">
        <f>IF(ISNA(Sheet1!I60),NA(),Sheet1!$O$5-(Sheet1!I60/Sheet1!$O$6))</f>
        <v/>
      </c>
    </row>
    <row r="61">
      <c r="A61">
        <f>Sheet1!K61</f>
        <v/>
      </c>
      <c r="B61">
        <f>IF(ISNA(Sheet1!I61),NA(),Sheet1!$O$5-(Sheet1!I61/Sheet1!$O$6))</f>
        <v/>
      </c>
    </row>
    <row r="62">
      <c r="A62">
        <f>Sheet1!K62</f>
        <v/>
      </c>
      <c r="B62">
        <f>IF(ISNA(Sheet1!I62),NA(),Sheet1!$O$5-(Sheet1!I62/Sheet1!$O$6))</f>
        <v/>
      </c>
    </row>
    <row r="63">
      <c r="A63">
        <f>Sheet1!K63</f>
        <v/>
      </c>
      <c r="B63">
        <f>IF(ISNA(Sheet1!I63),NA(),Sheet1!$O$5-(Sheet1!I63/Sheet1!$O$6))</f>
        <v/>
      </c>
    </row>
    <row r="64">
      <c r="A64">
        <f>Sheet1!K64</f>
        <v/>
      </c>
      <c r="B64">
        <f>IF(ISNA(Sheet1!I64),NA(),Sheet1!$O$5-(Sheet1!I64/Sheet1!$O$6))</f>
        <v/>
      </c>
    </row>
    <row r="65">
      <c r="A65">
        <f>Sheet1!K65</f>
        <v/>
      </c>
      <c r="B65">
        <f>IF(ISNA(Sheet1!I65),NA(),Sheet1!$O$5-(Sheet1!I65/Sheet1!$O$6))</f>
        <v/>
      </c>
    </row>
    <row r="66">
      <c r="A66">
        <f>Sheet1!K66</f>
        <v/>
      </c>
      <c r="B66">
        <f>IF(ISNA(Sheet1!I66),NA(),Sheet1!$O$5-(Sheet1!I66/Sheet1!$O$6))</f>
        <v/>
      </c>
    </row>
    <row r="67">
      <c r="A67">
        <f>Sheet1!K67</f>
        <v/>
      </c>
      <c r="B67">
        <f>IF(ISNA(Sheet1!I67),NA(),Sheet1!$O$5-(Sheet1!I67/Sheet1!$O$6))</f>
        <v/>
      </c>
    </row>
    <row r="68">
      <c r="A68">
        <f>Sheet1!K68</f>
        <v/>
      </c>
      <c r="B68">
        <f>IF(ISNA(Sheet1!I68),NA(),Sheet1!$O$5-(Sheet1!I68/Sheet1!$O$6))</f>
        <v/>
      </c>
    </row>
    <row r="69">
      <c r="A69">
        <f>Sheet1!K69</f>
        <v/>
      </c>
      <c r="B69">
        <f>IF(ISNA(Sheet1!I69),NA(),Sheet1!$O$5-(Sheet1!I69/Sheet1!$O$6))</f>
        <v/>
      </c>
    </row>
    <row r="70">
      <c r="A70">
        <f>Sheet1!K70</f>
        <v/>
      </c>
      <c r="B70">
        <f>IF(ISNA(Sheet1!I70),NA(),Sheet1!$O$5-(Sheet1!I70/Sheet1!$O$6))</f>
        <v/>
      </c>
    </row>
    <row r="71">
      <c r="A71">
        <f>Sheet1!K71</f>
        <v/>
      </c>
      <c r="B71">
        <f>IF(ISNA(Sheet1!I71),NA(),Sheet1!$O$5-(Sheet1!I71/Sheet1!$O$6))</f>
        <v/>
      </c>
    </row>
    <row r="72">
      <c r="A72">
        <f>Sheet1!K72</f>
        <v/>
      </c>
      <c r="B72">
        <f>IF(ISNA(Sheet1!I72),NA(),Sheet1!$O$5-(Sheet1!I72/Sheet1!$O$6))</f>
        <v/>
      </c>
    </row>
    <row r="73">
      <c r="A73">
        <f>Sheet1!K73</f>
        <v/>
      </c>
      <c r="B73">
        <f>IF(ISNA(Sheet1!I73),NA(),Sheet1!$O$5-(Sheet1!I73/Sheet1!$O$6))</f>
        <v/>
      </c>
    </row>
    <row r="74">
      <c r="A74">
        <f>Sheet1!K74</f>
        <v/>
      </c>
      <c r="B74">
        <f>IF(ISNA(Sheet1!I74),NA(),Sheet1!$O$5-(Sheet1!I74/Sheet1!$O$6))</f>
        <v/>
      </c>
    </row>
    <row r="75">
      <c r="A75">
        <f>Sheet1!K75</f>
        <v/>
      </c>
      <c r="B75">
        <f>IF(ISNA(Sheet1!I75),NA(),Sheet1!$O$5-(Sheet1!I75/Sheet1!$O$6))</f>
        <v/>
      </c>
    </row>
    <row r="76">
      <c r="A76">
        <f>Sheet1!K76</f>
        <v/>
      </c>
      <c r="B76">
        <f>IF(ISNA(Sheet1!I76),NA(),Sheet1!$O$5-(Sheet1!I76/Sheet1!$O$6))</f>
        <v/>
      </c>
    </row>
    <row r="77">
      <c r="A77">
        <f>Sheet1!K77</f>
        <v/>
      </c>
      <c r="B77">
        <f>IF(ISNA(Sheet1!I77),NA(),Sheet1!$O$5-(Sheet1!I77/Sheet1!$O$6))</f>
        <v/>
      </c>
    </row>
    <row r="78">
      <c r="A78">
        <f>Sheet1!K78</f>
        <v/>
      </c>
      <c r="B78">
        <f>IF(ISNA(Sheet1!I78),NA(),Sheet1!$O$5-(Sheet1!I78/Sheet1!$O$6))</f>
        <v/>
      </c>
    </row>
    <row r="79">
      <c r="A79">
        <f>Sheet1!K79</f>
        <v/>
      </c>
      <c r="B79">
        <f>IF(ISNA(Sheet1!I79),NA(),Sheet1!$O$5-(Sheet1!I79/Sheet1!$O$6))</f>
        <v/>
      </c>
    </row>
    <row r="80">
      <c r="A80">
        <f>Sheet1!K80</f>
        <v/>
      </c>
      <c r="B80">
        <f>IF(ISNA(Sheet1!I80),NA(),Sheet1!$O$5-(Sheet1!I80/Sheet1!$O$6))</f>
        <v/>
      </c>
    </row>
    <row r="81">
      <c r="A81">
        <f>Sheet1!K81</f>
        <v/>
      </c>
      <c r="B81">
        <f>IF(ISNA(Sheet1!I81),NA(),Sheet1!$O$5-(Sheet1!I81/Sheet1!$O$6))</f>
        <v/>
      </c>
    </row>
    <row r="82">
      <c r="A82">
        <f>Sheet1!K82</f>
        <v/>
      </c>
      <c r="B82">
        <f>IF(ISNA(Sheet1!I82),NA(),Sheet1!$O$5-(Sheet1!I82/Sheet1!$O$6))</f>
        <v/>
      </c>
    </row>
    <row r="83">
      <c r="A83">
        <f>Sheet1!K83</f>
        <v/>
      </c>
      <c r="B83">
        <f>IF(ISNA(Sheet1!I83),NA(),Sheet1!$O$5-(Sheet1!I83/Sheet1!$O$6))</f>
        <v/>
      </c>
    </row>
    <row r="84">
      <c r="A84">
        <f>Sheet1!K84</f>
        <v/>
      </c>
      <c r="B84">
        <f>IF(ISNA(Sheet1!I84),NA(),Sheet1!$O$5-(Sheet1!I84/Sheet1!$O$6))</f>
        <v/>
      </c>
    </row>
    <row r="85">
      <c r="A85">
        <f>Sheet1!K85</f>
        <v/>
      </c>
      <c r="B85">
        <f>IF(ISNA(Sheet1!I85),NA(),Sheet1!$O$5-(Sheet1!I85/Sheet1!$O$6))</f>
        <v/>
      </c>
    </row>
    <row r="86">
      <c r="A86">
        <f>Sheet1!K86</f>
        <v/>
      </c>
      <c r="B86">
        <f>IF(ISNA(Sheet1!I86),NA(),Sheet1!$O$5-(Sheet1!I86/Sheet1!$O$6))</f>
        <v/>
      </c>
    </row>
    <row r="87">
      <c r="A87">
        <f>Sheet1!K87</f>
        <v/>
      </c>
      <c r="B87">
        <f>IF(ISNA(Sheet1!I87),NA(),Sheet1!$O$5-(Sheet1!I87/Sheet1!$O$6))</f>
        <v/>
      </c>
    </row>
    <row r="88">
      <c r="A88">
        <f>Sheet1!K88</f>
        <v/>
      </c>
      <c r="B88">
        <f>IF(ISNA(Sheet1!I88),NA(),Sheet1!$O$5-(Sheet1!I88/Sheet1!$O$6))</f>
        <v/>
      </c>
    </row>
    <row r="89">
      <c r="A89">
        <f>Sheet1!K89</f>
        <v/>
      </c>
      <c r="B89">
        <f>IF(ISNA(Sheet1!I89),NA(),Sheet1!$O$5-(Sheet1!I89/Sheet1!$O$6))</f>
        <v/>
      </c>
    </row>
    <row r="90">
      <c r="A90">
        <f>Sheet1!K90</f>
        <v/>
      </c>
      <c r="B90">
        <f>IF(ISNA(Sheet1!I90),NA(),Sheet1!$O$5-(Sheet1!I90/Sheet1!$O$6))</f>
        <v/>
      </c>
    </row>
    <row r="91">
      <c r="A91">
        <f>Sheet1!K91</f>
        <v/>
      </c>
      <c r="B91">
        <f>IF(ISNA(Sheet1!I91),NA(),Sheet1!$O$5-(Sheet1!I91/Sheet1!$O$6))</f>
        <v/>
      </c>
    </row>
    <row r="92">
      <c r="A92">
        <f>Sheet1!K92</f>
        <v/>
      </c>
      <c r="B92">
        <f>IF(ISNA(Sheet1!I92),NA(),Sheet1!$O$5-(Sheet1!I92/Sheet1!$O$6))</f>
        <v/>
      </c>
    </row>
    <row r="93">
      <c r="A93">
        <f>Sheet1!K93</f>
        <v/>
      </c>
      <c r="B93">
        <f>IF(ISNA(Sheet1!I93),NA(),Sheet1!$O$5-(Sheet1!I93/Sheet1!$O$6))</f>
        <v/>
      </c>
    </row>
    <row r="94">
      <c r="A94">
        <f>Sheet1!K94</f>
        <v/>
      </c>
      <c r="B94">
        <f>IF(ISNA(Sheet1!I94),NA(),Sheet1!$O$5-(Sheet1!I94/Sheet1!$O$6))</f>
        <v/>
      </c>
    </row>
    <row r="95">
      <c r="A95">
        <f>Sheet1!K95</f>
        <v/>
      </c>
      <c r="B95">
        <f>IF(ISNA(Sheet1!I95),NA(),Sheet1!$O$5-(Sheet1!I95/Sheet1!$O$6))</f>
        <v/>
      </c>
    </row>
    <row r="96">
      <c r="A96">
        <f>Sheet1!K96</f>
        <v/>
      </c>
      <c r="B96">
        <f>IF(ISNA(Sheet1!I96),NA(),Sheet1!$O$5-(Sheet1!I96/Sheet1!$O$6))</f>
        <v/>
      </c>
    </row>
    <row r="97">
      <c r="A97">
        <f>Sheet1!K97</f>
        <v/>
      </c>
      <c r="B97">
        <f>IF(ISNA(Sheet1!I97),NA(),Sheet1!$O$5-(Sheet1!I97/Sheet1!$O$6))</f>
        <v/>
      </c>
    </row>
    <row r="98">
      <c r="A98">
        <f>Sheet1!K98</f>
        <v/>
      </c>
      <c r="B98">
        <f>IF(ISNA(Sheet1!I98),NA(),Sheet1!$O$5-(Sheet1!I98/Sheet1!$O$6))</f>
        <v/>
      </c>
    </row>
    <row r="99">
      <c r="A99">
        <f>Sheet1!K99</f>
        <v/>
      </c>
      <c r="B99">
        <f>IF(ISNA(Sheet1!I99),NA(),Sheet1!$O$5-(Sheet1!I99/Sheet1!$O$6))</f>
        <v/>
      </c>
    </row>
    <row r="100">
      <c r="A100">
        <f>Sheet1!K100</f>
        <v/>
      </c>
      <c r="B100">
        <f>IF(ISNA(Sheet1!I100),NA(),Sheet1!$O$5-(Sheet1!I100/Sheet1!$O$6))</f>
        <v/>
      </c>
    </row>
    <row r="101">
      <c r="A101">
        <f>Sheet1!K101</f>
        <v/>
      </c>
      <c r="B101">
        <f>IF(ISNA(Sheet1!I101),NA(),Sheet1!$O$5-(Sheet1!I101/Sheet1!$O$6))</f>
        <v/>
      </c>
    </row>
    <row r="102">
      <c r="A102">
        <f>Sheet1!K102</f>
        <v/>
      </c>
      <c r="B102">
        <f>IF(ISNA(Sheet1!I102),NA(),Sheet1!$O$5-(Sheet1!I102/Sheet1!$O$6))</f>
        <v/>
      </c>
    </row>
    <row r="103">
      <c r="A103">
        <f>Sheet1!K103</f>
        <v/>
      </c>
      <c r="B103">
        <f>IF(ISNA(Sheet1!I103),NA(),Sheet1!$O$5-(Sheet1!I103/Sheet1!$O$6))</f>
        <v/>
      </c>
    </row>
    <row r="104">
      <c r="A104">
        <f>Sheet1!K104</f>
        <v/>
      </c>
      <c r="B104">
        <f>IF(ISNA(Sheet1!I104),NA(),Sheet1!$O$5-(Sheet1!I104/Sheet1!$O$6))</f>
        <v/>
      </c>
    </row>
    <row r="105">
      <c r="A105">
        <f>Sheet1!K105</f>
        <v/>
      </c>
      <c r="B105">
        <f>IF(ISNA(Sheet1!I105),NA(),Sheet1!$O$5-(Sheet1!I105/Sheet1!$O$6))</f>
        <v/>
      </c>
    </row>
    <row r="106">
      <c r="A106">
        <f>Sheet1!K106</f>
        <v/>
      </c>
      <c r="B106">
        <f>IF(ISNA(Sheet1!I106),NA(),Sheet1!$O$5-(Sheet1!I106/Sheet1!$O$6))</f>
        <v/>
      </c>
    </row>
    <row r="107">
      <c r="A107">
        <f>Sheet1!K107</f>
        <v/>
      </c>
      <c r="B107">
        <f>IF(ISNA(Sheet1!I107),NA(),Sheet1!$O$5-(Sheet1!I107/Sheet1!$O$6))</f>
        <v/>
      </c>
    </row>
    <row r="108">
      <c r="A108">
        <f>Sheet1!K108</f>
        <v/>
      </c>
      <c r="B108">
        <f>IF(ISNA(Sheet1!I108),NA(),Sheet1!$O$5-(Sheet1!I108/Sheet1!$O$6))</f>
        <v/>
      </c>
    </row>
    <row r="109">
      <c r="A109">
        <f>Sheet1!K109</f>
        <v/>
      </c>
      <c r="B109">
        <f>IF(ISNA(Sheet1!I109),NA(),Sheet1!$O$5-(Sheet1!I109/Sheet1!$O$6))</f>
        <v/>
      </c>
    </row>
    <row r="110">
      <c r="A110">
        <f>Sheet1!K110</f>
        <v/>
      </c>
      <c r="B110">
        <f>IF(ISNA(Sheet1!I110),NA(),Sheet1!$O$5-(Sheet1!I110/Sheet1!$O$6))</f>
        <v/>
      </c>
    </row>
    <row r="111">
      <c r="A111">
        <f>Sheet1!K111</f>
        <v/>
      </c>
      <c r="B111">
        <f>IF(ISNA(Sheet1!I111),NA(),Sheet1!$O$5-(Sheet1!I111/Sheet1!$O$6))</f>
        <v/>
      </c>
    </row>
    <row r="112">
      <c r="A112">
        <f>Sheet1!K112</f>
        <v/>
      </c>
      <c r="B112">
        <f>IF(ISNA(Sheet1!I112),NA(),Sheet1!$O$5-(Sheet1!I112/Sheet1!$O$6))</f>
        <v/>
      </c>
    </row>
    <row r="113">
      <c r="A113">
        <f>Sheet1!K113</f>
        <v/>
      </c>
      <c r="B113">
        <f>IF(ISNA(Sheet1!I113),NA(),Sheet1!$O$5-(Sheet1!I113/Sheet1!$O$6))</f>
        <v/>
      </c>
    </row>
    <row r="114">
      <c r="A114">
        <f>Sheet1!K114</f>
        <v/>
      </c>
      <c r="B114">
        <f>IF(ISNA(Sheet1!I114),NA(),Sheet1!$O$5-(Sheet1!I114/Sheet1!$O$6))</f>
        <v/>
      </c>
    </row>
    <row r="115">
      <c r="A115">
        <f>Sheet1!K115</f>
        <v/>
      </c>
      <c r="B115">
        <f>IF(ISNA(Sheet1!I115),NA(),Sheet1!$O$5-(Sheet1!I115/Sheet1!$O$6))</f>
        <v/>
      </c>
    </row>
    <row r="116">
      <c r="A116">
        <f>Sheet1!K116</f>
        <v/>
      </c>
      <c r="B116">
        <f>IF(ISNA(Sheet1!I116),NA(),Sheet1!$O$5-(Sheet1!I116/Sheet1!$O$6))</f>
        <v/>
      </c>
    </row>
    <row r="117">
      <c r="A117">
        <f>Sheet1!K117</f>
        <v/>
      </c>
      <c r="B117">
        <f>IF(ISNA(Sheet1!I117),NA(),Sheet1!$O$5-(Sheet1!I117/Sheet1!$O$6))</f>
        <v/>
      </c>
    </row>
    <row r="118">
      <c r="A118">
        <f>Sheet1!K118</f>
        <v/>
      </c>
      <c r="B118">
        <f>IF(ISNA(Sheet1!I118),NA(),Sheet1!$O$5-(Sheet1!I118/Sheet1!$O$6))</f>
        <v/>
      </c>
    </row>
    <row r="119">
      <c r="A119">
        <f>Sheet1!K119</f>
        <v/>
      </c>
      <c r="B119">
        <f>IF(ISNA(Sheet1!I119),NA(),Sheet1!$O$5-(Sheet1!I119/Sheet1!$O$6))</f>
        <v/>
      </c>
    </row>
    <row r="120">
      <c r="A120">
        <f>Sheet1!K120</f>
        <v/>
      </c>
      <c r="B120">
        <f>IF(ISNA(Sheet1!I120),NA(),Sheet1!$O$5-(Sheet1!I120/Sheet1!$O$6))</f>
        <v/>
      </c>
    </row>
    <row r="121">
      <c r="A121">
        <f>Sheet1!K121</f>
        <v/>
      </c>
      <c r="B121">
        <f>IF(ISNA(Sheet1!I121),NA(),Sheet1!$O$5-(Sheet1!I121/Sheet1!$O$6))</f>
        <v/>
      </c>
    </row>
    <row r="122">
      <c r="A122">
        <f>Sheet1!K122</f>
        <v/>
      </c>
      <c r="B122">
        <f>IF(ISNA(Sheet1!I122),NA(),Sheet1!$O$5-(Sheet1!I122/Sheet1!$O$6))</f>
        <v/>
      </c>
    </row>
    <row r="123">
      <c r="A123">
        <f>Sheet1!K123</f>
        <v/>
      </c>
      <c r="B123">
        <f>IF(ISNA(Sheet1!I123),NA(),Sheet1!$O$5-(Sheet1!I123/Sheet1!$O$6))</f>
        <v/>
      </c>
    </row>
    <row r="124">
      <c r="A124">
        <f>Sheet1!K124</f>
        <v/>
      </c>
      <c r="B124">
        <f>IF(ISNA(Sheet1!I124),NA(),Sheet1!$O$5-(Sheet1!I124/Sheet1!$O$6))</f>
        <v/>
      </c>
    </row>
    <row r="125">
      <c r="A125">
        <f>Sheet1!K125</f>
        <v/>
      </c>
      <c r="B125">
        <f>IF(ISNA(Sheet1!I125),NA(),Sheet1!$O$5-(Sheet1!I125/Sheet1!$O$6))</f>
        <v/>
      </c>
    </row>
    <row r="126">
      <c r="A126">
        <f>Sheet1!K126</f>
        <v/>
      </c>
      <c r="B126">
        <f>IF(ISNA(Sheet1!I126),NA(),Sheet1!$O$5-(Sheet1!I126/Sheet1!$O$6))</f>
        <v/>
      </c>
    </row>
    <row r="127">
      <c r="A127">
        <f>Sheet1!K127</f>
        <v/>
      </c>
      <c r="B127">
        <f>IF(ISNA(Sheet1!I127),NA(),Sheet1!$O$5-(Sheet1!I127/Sheet1!$O$6))</f>
        <v/>
      </c>
    </row>
    <row r="128">
      <c r="A128">
        <f>Sheet1!K128</f>
        <v/>
      </c>
      <c r="B128">
        <f>IF(ISNA(Sheet1!I128),NA(),Sheet1!$O$5-(Sheet1!I128/Sheet1!$O$6))</f>
        <v/>
      </c>
    </row>
    <row r="129">
      <c r="A129">
        <f>Sheet1!K129</f>
        <v/>
      </c>
      <c r="B129">
        <f>IF(ISNA(Sheet1!I129),NA(),Sheet1!$O$5-(Sheet1!I129/Sheet1!$O$6))</f>
        <v/>
      </c>
    </row>
    <row r="130">
      <c r="A130">
        <f>Sheet1!K130</f>
        <v/>
      </c>
      <c r="B130">
        <f>IF(ISNA(Sheet1!I130),NA(),Sheet1!$O$5-(Sheet1!I130/Sheet1!$O$6))</f>
        <v/>
      </c>
    </row>
    <row r="131">
      <c r="A131">
        <f>Sheet1!K131</f>
        <v/>
      </c>
      <c r="B131">
        <f>IF(ISNA(Sheet1!I131),NA(),Sheet1!$O$5-(Sheet1!I131/Sheet1!$O$6))</f>
        <v/>
      </c>
    </row>
    <row r="132">
      <c r="A132">
        <f>Sheet1!K132</f>
        <v/>
      </c>
      <c r="B132">
        <f>IF(ISNA(Sheet1!I132),NA(),Sheet1!$O$5-(Sheet1!I132/Sheet1!$O$6))</f>
        <v/>
      </c>
    </row>
    <row r="133">
      <c r="A133">
        <f>Sheet1!K133</f>
        <v/>
      </c>
      <c r="B133">
        <f>IF(ISNA(Sheet1!I133),NA(),Sheet1!$O$5-(Sheet1!I133/Sheet1!$O$6))</f>
        <v/>
      </c>
    </row>
    <row r="134">
      <c r="A134">
        <f>Sheet1!K134</f>
        <v/>
      </c>
      <c r="B134">
        <f>IF(ISNA(Sheet1!I134),NA(),Sheet1!$O$5-(Sheet1!I134/Sheet1!$O$6))</f>
        <v/>
      </c>
    </row>
    <row r="135">
      <c r="A135">
        <f>Sheet1!K135</f>
        <v/>
      </c>
      <c r="B135">
        <f>IF(ISNA(Sheet1!I135),NA(),Sheet1!$O$5-(Sheet1!I135/Sheet1!$O$6))</f>
        <v/>
      </c>
    </row>
    <row r="136">
      <c r="A136">
        <f>Sheet1!K136</f>
        <v/>
      </c>
      <c r="B136">
        <f>IF(ISNA(Sheet1!I136),NA(),Sheet1!$O$5-(Sheet1!I136/Sheet1!$O$6))</f>
        <v/>
      </c>
    </row>
    <row r="137">
      <c r="A137">
        <f>Sheet1!K137</f>
        <v/>
      </c>
      <c r="B137">
        <f>IF(ISNA(Sheet1!I137),NA(),Sheet1!$O$5-(Sheet1!I137/Sheet1!$O$6))</f>
        <v/>
      </c>
    </row>
    <row r="138">
      <c r="A138">
        <f>Sheet1!K138</f>
        <v/>
      </c>
      <c r="B138">
        <f>IF(ISNA(Sheet1!I138),NA(),Sheet1!$O$5-(Sheet1!I138/Sheet1!$O$6))</f>
        <v/>
      </c>
    </row>
    <row r="139">
      <c r="A139">
        <f>Sheet1!K139</f>
        <v/>
      </c>
      <c r="B139">
        <f>IF(ISNA(Sheet1!I139),NA(),Sheet1!$O$5-(Sheet1!I139/Sheet1!$O$6))</f>
        <v/>
      </c>
    </row>
    <row r="140">
      <c r="A140">
        <f>Sheet1!K140</f>
        <v/>
      </c>
      <c r="B140">
        <f>IF(ISNA(Sheet1!I140),NA(),Sheet1!$O$5-(Sheet1!I140/Sheet1!$O$6))</f>
        <v/>
      </c>
    </row>
    <row r="141">
      <c r="A141">
        <f>Sheet1!K141</f>
        <v/>
      </c>
      <c r="B141">
        <f>IF(ISNA(Sheet1!I141),NA(),Sheet1!$O$5-(Sheet1!I141/Sheet1!$O$6))</f>
        <v/>
      </c>
    </row>
    <row r="142">
      <c r="A142">
        <f>Sheet1!K142</f>
        <v/>
      </c>
      <c r="B142">
        <f>IF(ISNA(Sheet1!I142),NA(),Sheet1!$O$5-(Sheet1!I142/Sheet1!$O$6))</f>
        <v/>
      </c>
    </row>
    <row r="143">
      <c r="A143">
        <f>Sheet1!K143</f>
        <v/>
      </c>
      <c r="B143">
        <f>IF(ISNA(Sheet1!I143),NA(),Sheet1!$O$5-(Sheet1!I143/Sheet1!$O$6))</f>
        <v/>
      </c>
    </row>
    <row r="144">
      <c r="A144">
        <f>Sheet1!K144</f>
        <v/>
      </c>
      <c r="B144">
        <f>IF(ISNA(Sheet1!I144),NA(),Sheet1!$O$5-(Sheet1!I144/Sheet1!$O$6))</f>
        <v/>
      </c>
    </row>
    <row r="145">
      <c r="A145">
        <f>Sheet1!K145</f>
        <v/>
      </c>
      <c r="B145">
        <f>IF(ISNA(Sheet1!I145),NA(),Sheet1!$O$5-(Sheet1!I145/Sheet1!$O$6))</f>
        <v/>
      </c>
    </row>
    <row r="146">
      <c r="A146">
        <f>Sheet1!K146</f>
        <v/>
      </c>
      <c r="B146">
        <f>IF(ISNA(Sheet1!I146),NA(),Sheet1!$O$5-(Sheet1!I146/Sheet1!$O$6))</f>
        <v/>
      </c>
    </row>
    <row r="147">
      <c r="A147">
        <f>Sheet1!K147</f>
        <v/>
      </c>
      <c r="B147">
        <f>IF(ISNA(Sheet1!I147),NA(),Sheet1!$O$5-(Sheet1!I147/Sheet1!$O$6))</f>
        <v/>
      </c>
    </row>
    <row r="148">
      <c r="A148">
        <f>Sheet1!K148</f>
        <v/>
      </c>
      <c r="B148">
        <f>IF(ISNA(Sheet1!I148),NA(),Sheet1!$O$5-(Sheet1!I148/Sheet1!$O$6))</f>
        <v/>
      </c>
    </row>
    <row r="149">
      <c r="A149">
        <f>Sheet1!K149</f>
        <v/>
      </c>
      <c r="B149">
        <f>IF(ISNA(Sheet1!I149),NA(),Sheet1!$O$5-(Sheet1!I149/Sheet1!$O$6))</f>
        <v/>
      </c>
    </row>
    <row r="150">
      <c r="A150">
        <f>Sheet1!K150</f>
        <v/>
      </c>
      <c r="B150">
        <f>IF(ISNA(Sheet1!I150),NA(),Sheet1!$O$5-(Sheet1!I150/Sheet1!$O$6))</f>
        <v/>
      </c>
    </row>
    <row r="151">
      <c r="A151">
        <f>Sheet1!K151</f>
        <v/>
      </c>
      <c r="B151">
        <f>IF(ISNA(Sheet1!I151),NA(),Sheet1!$O$5-(Sheet1!I151/Sheet1!$O$6))</f>
        <v/>
      </c>
    </row>
    <row r="152">
      <c r="A152">
        <f>Sheet1!K152</f>
        <v/>
      </c>
      <c r="B152">
        <f>IF(ISNA(Sheet1!I152),NA(),Sheet1!$O$5-(Sheet1!I152/Sheet1!$O$6))</f>
        <v/>
      </c>
    </row>
    <row r="153">
      <c r="A153">
        <f>Sheet1!K153</f>
        <v/>
      </c>
      <c r="B153">
        <f>IF(ISNA(Sheet1!I153),NA(),Sheet1!$O$5-(Sheet1!I153/Sheet1!$O$6))</f>
        <v/>
      </c>
    </row>
    <row r="154">
      <c r="A154">
        <f>Sheet1!K154</f>
        <v/>
      </c>
      <c r="B154">
        <f>IF(ISNA(Sheet1!I154),NA(),Sheet1!$O$5-(Sheet1!I154/Sheet1!$O$6))</f>
        <v/>
      </c>
    </row>
    <row r="155">
      <c r="A155">
        <f>Sheet1!K155</f>
        <v/>
      </c>
      <c r="B155">
        <f>IF(ISNA(Sheet1!I155),NA(),Sheet1!$O$5-(Sheet1!I155/Sheet1!$O$6))</f>
        <v/>
      </c>
    </row>
    <row r="156">
      <c r="A156">
        <f>Sheet1!K156</f>
        <v/>
      </c>
      <c r="B156">
        <f>IF(ISNA(Sheet1!I156),NA(),Sheet1!$O$5-(Sheet1!I156/Sheet1!$O$6))</f>
        <v/>
      </c>
    </row>
    <row r="157">
      <c r="A157">
        <f>Sheet1!K157</f>
        <v/>
      </c>
      <c r="B157">
        <f>IF(ISNA(Sheet1!I157),NA(),Sheet1!$O$5-(Sheet1!I157/Sheet1!$O$6))</f>
        <v/>
      </c>
    </row>
    <row r="158">
      <c r="A158">
        <f>Sheet1!K158</f>
        <v/>
      </c>
      <c r="B158">
        <f>IF(ISNA(Sheet1!I158),NA(),Sheet1!$O$5-(Sheet1!I158/Sheet1!$O$6))</f>
        <v/>
      </c>
    </row>
    <row r="159">
      <c r="A159">
        <f>Sheet1!K159</f>
        <v/>
      </c>
      <c r="B159">
        <f>IF(ISNA(Sheet1!I159),NA(),Sheet1!$O$5-(Sheet1!I159/Sheet1!$O$6))</f>
        <v/>
      </c>
    </row>
    <row r="160">
      <c r="A160">
        <f>Sheet1!K160</f>
        <v/>
      </c>
      <c r="B160">
        <f>IF(ISNA(Sheet1!I160),NA(),Sheet1!$O$5-(Sheet1!I160/Sheet1!$O$6))</f>
        <v/>
      </c>
    </row>
    <row r="161">
      <c r="A161">
        <f>Sheet1!K161</f>
        <v/>
      </c>
      <c r="B161">
        <f>IF(ISNA(Sheet1!I161),NA(),Sheet1!$O$5-(Sheet1!I161/Sheet1!$O$6))</f>
        <v/>
      </c>
    </row>
    <row r="162">
      <c r="A162">
        <f>Sheet1!K162</f>
        <v/>
      </c>
      <c r="B162">
        <f>IF(ISNA(Sheet1!I162),NA(),Sheet1!$O$5-(Sheet1!I162/Sheet1!$O$6))</f>
        <v/>
      </c>
    </row>
    <row r="163">
      <c r="A163">
        <f>Sheet1!K163</f>
        <v/>
      </c>
      <c r="B163">
        <f>IF(ISNA(Sheet1!I163),NA(),Sheet1!$O$5-(Sheet1!I163/Sheet1!$O$6))</f>
        <v/>
      </c>
    </row>
    <row r="164">
      <c r="A164">
        <f>Sheet1!K164</f>
        <v/>
      </c>
      <c r="B164">
        <f>IF(ISNA(Sheet1!I164),NA(),Sheet1!$O$5-(Sheet1!I164/Sheet1!$O$6))</f>
        <v/>
      </c>
    </row>
    <row r="165">
      <c r="A165">
        <f>Sheet1!K165</f>
        <v/>
      </c>
      <c r="B165">
        <f>IF(ISNA(Sheet1!I165),NA(),Sheet1!$O$5-(Sheet1!I165/Sheet1!$O$6))</f>
        <v/>
      </c>
    </row>
    <row r="166">
      <c r="A166">
        <f>Sheet1!K166</f>
        <v/>
      </c>
      <c r="B166">
        <f>IF(ISNA(Sheet1!I166),NA(),Sheet1!$O$5-(Sheet1!I166/Sheet1!$O$6))</f>
        <v/>
      </c>
    </row>
    <row r="167">
      <c r="A167">
        <f>Sheet1!K167</f>
        <v/>
      </c>
      <c r="B167">
        <f>IF(ISNA(Sheet1!I167),NA(),Sheet1!$O$5-(Sheet1!I167/Sheet1!$O$6))</f>
        <v/>
      </c>
    </row>
    <row r="168">
      <c r="A168">
        <f>Sheet1!K168</f>
        <v/>
      </c>
      <c r="B168">
        <f>IF(ISNA(Sheet1!I168),NA(),Sheet1!$O$5-(Sheet1!I168/Sheet1!$O$6))</f>
        <v/>
      </c>
    </row>
    <row r="169">
      <c r="A169">
        <f>Sheet1!K169</f>
        <v/>
      </c>
      <c r="B169">
        <f>IF(ISNA(Sheet1!I169),NA(),Sheet1!$O$5-(Sheet1!I169/Sheet1!$O$6))</f>
        <v/>
      </c>
    </row>
    <row r="170">
      <c r="A170">
        <f>Sheet1!K170</f>
        <v/>
      </c>
      <c r="B170">
        <f>IF(ISNA(Sheet1!I170),NA(),Sheet1!$O$5-(Sheet1!I170/Sheet1!$O$6))</f>
        <v/>
      </c>
    </row>
    <row r="171">
      <c r="A171">
        <f>Sheet1!K171</f>
        <v/>
      </c>
      <c r="B171">
        <f>IF(ISNA(Sheet1!I171),NA(),Sheet1!$O$5-(Sheet1!I171/Sheet1!$O$6))</f>
        <v/>
      </c>
    </row>
    <row r="172">
      <c r="A172">
        <f>Sheet1!K172</f>
        <v/>
      </c>
      <c r="B172">
        <f>IF(ISNA(Sheet1!I172),NA(),Sheet1!$O$5-(Sheet1!I172/Sheet1!$O$6))</f>
        <v/>
      </c>
    </row>
    <row r="173">
      <c r="A173">
        <f>Sheet1!K173</f>
        <v/>
      </c>
      <c r="B173">
        <f>IF(ISNA(Sheet1!I173),NA(),Sheet1!$O$5-(Sheet1!I173/Sheet1!$O$6))</f>
        <v/>
      </c>
    </row>
    <row r="174">
      <c r="A174">
        <f>Sheet1!K174</f>
        <v/>
      </c>
      <c r="B174">
        <f>IF(ISNA(Sheet1!I174),NA(),Sheet1!$O$5-(Sheet1!I174/Sheet1!$O$6))</f>
        <v/>
      </c>
    </row>
    <row r="175">
      <c r="A175">
        <f>Sheet1!K175</f>
        <v/>
      </c>
      <c r="B175">
        <f>IF(ISNA(Sheet1!I175),NA(),Sheet1!$O$5-(Sheet1!I175/Sheet1!$O$6))</f>
        <v/>
      </c>
    </row>
    <row r="176">
      <c r="A176">
        <f>Sheet1!K176</f>
        <v/>
      </c>
      <c r="B176">
        <f>IF(ISNA(Sheet1!I176),NA(),Sheet1!$O$5-(Sheet1!I176/Sheet1!$O$6))</f>
        <v/>
      </c>
    </row>
    <row r="177">
      <c r="A177">
        <f>Sheet1!K177</f>
        <v/>
      </c>
      <c r="B177">
        <f>IF(ISNA(Sheet1!I177),NA(),Sheet1!$O$5-(Sheet1!I177/Sheet1!$O$6))</f>
        <v/>
      </c>
    </row>
    <row r="178">
      <c r="A178">
        <f>Sheet1!K178</f>
        <v/>
      </c>
      <c r="B178">
        <f>IF(ISNA(Sheet1!I178),NA(),Sheet1!$O$5-(Sheet1!I178/Sheet1!$O$6))</f>
        <v/>
      </c>
    </row>
    <row r="179">
      <c r="A179">
        <f>Sheet1!K179</f>
        <v/>
      </c>
      <c r="B179">
        <f>IF(ISNA(Sheet1!I179),NA(),Sheet1!$O$5-(Sheet1!I179/Sheet1!$O$6))</f>
        <v/>
      </c>
    </row>
    <row r="180">
      <c r="A180">
        <f>Sheet1!K180</f>
        <v/>
      </c>
      <c r="B180">
        <f>IF(ISNA(Sheet1!I180),NA(),Sheet1!$O$5-(Sheet1!I180/Sheet1!$O$6))</f>
        <v/>
      </c>
    </row>
    <row r="181">
      <c r="A181">
        <f>Sheet1!K181</f>
        <v/>
      </c>
      <c r="B181">
        <f>IF(ISNA(Sheet1!I181),NA(),Sheet1!$O$5-(Sheet1!I181/Sheet1!$O$6))</f>
        <v/>
      </c>
    </row>
    <row r="182">
      <c r="A182">
        <f>Sheet1!K182</f>
        <v/>
      </c>
      <c r="B182">
        <f>IF(ISNA(Sheet1!I182),NA(),Sheet1!$O$5-(Sheet1!I182/Sheet1!$O$6))</f>
        <v/>
      </c>
    </row>
    <row r="183">
      <c r="A183">
        <f>Sheet1!K183</f>
        <v/>
      </c>
      <c r="B183">
        <f>IF(ISNA(Sheet1!I183),NA(),Sheet1!$O$5-(Sheet1!I183/Sheet1!$O$6))</f>
        <v/>
      </c>
    </row>
    <row r="184">
      <c r="A184">
        <f>Sheet1!K184</f>
        <v/>
      </c>
      <c r="B184">
        <f>IF(ISNA(Sheet1!I184),NA(),Sheet1!$O$5-(Sheet1!I184/Sheet1!$O$6))</f>
        <v/>
      </c>
    </row>
    <row r="185">
      <c r="A185">
        <f>Sheet1!K185</f>
        <v/>
      </c>
      <c r="B185">
        <f>IF(ISNA(Sheet1!I185),NA(),Sheet1!$O$5-(Sheet1!I185/Sheet1!$O$6))</f>
        <v/>
      </c>
    </row>
    <row r="186">
      <c r="A186">
        <f>Sheet1!K186</f>
        <v/>
      </c>
      <c r="B186">
        <f>IF(ISNA(Sheet1!I186),NA(),Sheet1!$O$5-(Sheet1!I186/Sheet1!$O$6))</f>
        <v/>
      </c>
    </row>
    <row r="187">
      <c r="A187">
        <f>Sheet1!K187</f>
        <v/>
      </c>
      <c r="B187">
        <f>IF(ISNA(Sheet1!I187),NA(),Sheet1!$O$5-(Sheet1!I187/Sheet1!$O$6))</f>
        <v/>
      </c>
    </row>
    <row r="188">
      <c r="A188">
        <f>Sheet1!K188</f>
        <v/>
      </c>
      <c r="B188">
        <f>IF(ISNA(Sheet1!I188),NA(),Sheet1!$O$5-(Sheet1!I188/Sheet1!$O$6))</f>
        <v/>
      </c>
    </row>
    <row r="189">
      <c r="A189">
        <f>Sheet1!K189</f>
        <v/>
      </c>
      <c r="B189">
        <f>IF(ISNA(Sheet1!I189),NA(),Sheet1!$O$5-(Sheet1!I189/Sheet1!$O$6))</f>
        <v/>
      </c>
    </row>
    <row r="190">
      <c r="A190">
        <f>Sheet1!K190</f>
        <v/>
      </c>
      <c r="B190">
        <f>IF(ISNA(Sheet1!I190),NA(),Sheet1!$O$5-(Sheet1!I190/Sheet1!$O$6))</f>
        <v/>
      </c>
    </row>
    <row r="191">
      <c r="A191">
        <f>Sheet1!K191</f>
        <v/>
      </c>
      <c r="B191">
        <f>IF(ISNA(Sheet1!I191),NA(),Sheet1!$O$5-(Sheet1!I191/Sheet1!$O$6))</f>
        <v/>
      </c>
    </row>
    <row r="192">
      <c r="A192">
        <f>Sheet1!K192</f>
        <v/>
      </c>
      <c r="B192">
        <f>IF(ISNA(Sheet1!I192),NA(),Sheet1!$O$5-(Sheet1!I192/Sheet1!$O$6))</f>
        <v/>
      </c>
    </row>
    <row r="193">
      <c r="A193">
        <f>Sheet1!K193</f>
        <v/>
      </c>
      <c r="B193">
        <f>IF(ISNA(Sheet1!I193),NA(),Sheet1!$O$5-(Sheet1!I193/Sheet1!$O$6))</f>
        <v/>
      </c>
    </row>
    <row r="194">
      <c r="A194">
        <f>Sheet1!K194</f>
        <v/>
      </c>
      <c r="B194">
        <f>IF(ISNA(Sheet1!I194),NA(),Sheet1!$O$5-(Sheet1!I194/Sheet1!$O$6))</f>
        <v/>
      </c>
    </row>
    <row r="195">
      <c r="A195">
        <f>Sheet1!K195</f>
        <v/>
      </c>
      <c r="B195">
        <f>IF(ISNA(Sheet1!I195),NA(),Sheet1!$O$5-(Sheet1!I195/Sheet1!$O$6))</f>
        <v/>
      </c>
    </row>
    <row r="196">
      <c r="A196">
        <f>Sheet1!K196</f>
        <v/>
      </c>
      <c r="B196">
        <f>IF(ISNA(Sheet1!I196),NA(),Sheet1!$O$5-(Sheet1!I196/Sheet1!$O$6))</f>
        <v/>
      </c>
    </row>
    <row r="197">
      <c r="A197">
        <f>Sheet1!K197</f>
        <v/>
      </c>
      <c r="B197">
        <f>IF(ISNA(Sheet1!I197),NA(),Sheet1!$O$5-(Sheet1!I197/Sheet1!$O$6))</f>
        <v/>
      </c>
    </row>
    <row r="198">
      <c r="A198">
        <f>Sheet1!K198</f>
        <v/>
      </c>
      <c r="B198">
        <f>IF(ISNA(Sheet1!I198),NA(),Sheet1!$O$5-(Sheet1!I198/Sheet1!$O$6))</f>
        <v/>
      </c>
    </row>
    <row r="199">
      <c r="A199">
        <f>Sheet1!K199</f>
        <v/>
      </c>
      <c r="B199">
        <f>IF(ISNA(Sheet1!I199),NA(),Sheet1!$O$5-(Sheet1!I199/Sheet1!$O$6))</f>
        <v/>
      </c>
    </row>
    <row r="200">
      <c r="A200">
        <f>Sheet1!K200</f>
        <v/>
      </c>
      <c r="B200">
        <f>IF(ISNA(Sheet1!I200),NA(),Sheet1!$O$5-(Sheet1!I200/Sheet1!$O$6))</f>
        <v/>
      </c>
    </row>
    <row r="201">
      <c r="A201">
        <f>Sheet1!K201</f>
        <v/>
      </c>
      <c r="B201">
        <f>IF(ISNA(Sheet1!I201),NA(),Sheet1!$O$5-(Sheet1!I201/Sheet1!$O$6))</f>
        <v/>
      </c>
    </row>
    <row r="202">
      <c r="A202">
        <f>Sheet1!K202</f>
        <v/>
      </c>
      <c r="B202">
        <f>IF(ISNA(Sheet1!I202),NA(),Sheet1!$O$5-(Sheet1!I202/Sheet1!$O$6))</f>
        <v/>
      </c>
    </row>
    <row r="203">
      <c r="A203">
        <f>Sheet1!K203</f>
        <v/>
      </c>
      <c r="B203">
        <f>IF(ISNA(Sheet1!I203),NA(),Sheet1!$O$5-(Sheet1!I203/Sheet1!$O$6))</f>
        <v/>
      </c>
    </row>
    <row r="204">
      <c r="A204">
        <f>Sheet1!K204</f>
        <v/>
      </c>
      <c r="B204">
        <f>IF(ISNA(Sheet1!I204),NA(),Sheet1!$O$5-(Sheet1!I204/Sheet1!$O$6))</f>
        <v/>
      </c>
    </row>
    <row r="205">
      <c r="A205">
        <f>Sheet1!K205</f>
        <v/>
      </c>
      <c r="B205">
        <f>IF(ISNA(Sheet1!I205),NA(),Sheet1!$O$5-(Sheet1!I205/Sheet1!$O$6))</f>
        <v/>
      </c>
    </row>
    <row r="206">
      <c r="A206">
        <f>Sheet1!K206</f>
        <v/>
      </c>
      <c r="B206">
        <f>IF(ISNA(Sheet1!I206),NA(),Sheet1!$O$5-(Sheet1!I206/Sheet1!$O$6))</f>
        <v/>
      </c>
    </row>
    <row r="207">
      <c r="A207">
        <f>Sheet1!K207</f>
        <v/>
      </c>
      <c r="B207">
        <f>IF(ISNA(Sheet1!I207),NA(),Sheet1!$O$5-(Sheet1!I207/Sheet1!$O$6))</f>
        <v/>
      </c>
    </row>
    <row r="208">
      <c r="A208">
        <f>Sheet1!K208</f>
        <v/>
      </c>
      <c r="B208">
        <f>IF(ISNA(Sheet1!I208),NA(),Sheet1!$O$5-(Sheet1!I208/Sheet1!$O$6))</f>
        <v/>
      </c>
    </row>
    <row r="209">
      <c r="A209">
        <f>Sheet1!K209</f>
        <v/>
      </c>
      <c r="B209">
        <f>IF(ISNA(Sheet1!I209),NA(),Sheet1!$O$5-(Sheet1!I209/Sheet1!$O$6))</f>
        <v/>
      </c>
    </row>
    <row r="210">
      <c r="A210">
        <f>Sheet1!K210</f>
        <v/>
      </c>
      <c r="B210">
        <f>IF(ISNA(Sheet1!I210),NA(),Sheet1!$O$5-(Sheet1!I210/Sheet1!$O$6))</f>
        <v/>
      </c>
    </row>
    <row r="211">
      <c r="A211">
        <f>Sheet1!K211</f>
        <v/>
      </c>
      <c r="B211">
        <f>IF(ISNA(Sheet1!I211),NA(),Sheet1!$O$5-(Sheet1!I211/Sheet1!$O$6))</f>
        <v/>
      </c>
    </row>
    <row r="212">
      <c r="A212">
        <f>Sheet1!K212</f>
        <v/>
      </c>
      <c r="B212">
        <f>IF(ISNA(Sheet1!I212),NA(),Sheet1!$O$5-(Sheet1!I212/Sheet1!$O$6))</f>
        <v/>
      </c>
    </row>
    <row r="213">
      <c r="A213">
        <f>Sheet1!K213</f>
        <v/>
      </c>
      <c r="B213">
        <f>IF(ISNA(Sheet1!I213),NA(),Sheet1!$O$5-(Sheet1!I213/Sheet1!$O$6))</f>
        <v/>
      </c>
    </row>
    <row r="214">
      <c r="A214">
        <f>Sheet1!K214</f>
        <v/>
      </c>
      <c r="B214">
        <f>IF(ISNA(Sheet1!I214),NA(),Sheet1!$O$5-(Sheet1!I214/Sheet1!$O$6))</f>
        <v/>
      </c>
    </row>
    <row r="215">
      <c r="A215">
        <f>Sheet1!K215</f>
        <v/>
      </c>
      <c r="B215">
        <f>IF(ISNA(Sheet1!I215),NA(),Sheet1!$O$5-(Sheet1!I215/Sheet1!$O$6))</f>
        <v/>
      </c>
    </row>
    <row r="216">
      <c r="A216">
        <f>Sheet1!K216</f>
        <v/>
      </c>
      <c r="B216">
        <f>IF(ISNA(Sheet1!I216),NA(),Sheet1!$O$5-(Sheet1!I216/Sheet1!$O$6))</f>
        <v/>
      </c>
    </row>
    <row r="217">
      <c r="A217">
        <f>Sheet1!K217</f>
        <v/>
      </c>
      <c r="B217">
        <f>IF(ISNA(Sheet1!I217),NA(),Sheet1!$O$5-(Sheet1!I217/Sheet1!$O$6))</f>
        <v/>
      </c>
    </row>
    <row r="218">
      <c r="A218">
        <f>Sheet1!K218</f>
        <v/>
      </c>
      <c r="B218">
        <f>IF(ISNA(Sheet1!I218),NA(),Sheet1!$O$5-(Sheet1!I218/Sheet1!$O$6))</f>
        <v/>
      </c>
    </row>
    <row r="219">
      <c r="A219">
        <f>Sheet1!K219</f>
        <v/>
      </c>
      <c r="B219">
        <f>IF(ISNA(Sheet1!I219),NA(),Sheet1!$O$5-(Sheet1!I219/Sheet1!$O$6))</f>
        <v/>
      </c>
    </row>
    <row r="220">
      <c r="A220">
        <f>Sheet1!K220</f>
        <v/>
      </c>
      <c r="B220">
        <f>IF(ISNA(Sheet1!I220),NA(),Sheet1!$O$5-(Sheet1!I220/Sheet1!$O$6))</f>
        <v/>
      </c>
    </row>
    <row r="221">
      <c r="A221">
        <f>Sheet1!K221</f>
        <v/>
      </c>
      <c r="B221">
        <f>IF(ISNA(Sheet1!I221),NA(),Sheet1!$O$5-(Sheet1!I221/Sheet1!$O$6))</f>
        <v/>
      </c>
    </row>
    <row r="222">
      <c r="A222">
        <f>Sheet1!K222</f>
        <v/>
      </c>
      <c r="B222">
        <f>IF(ISNA(Sheet1!I222),NA(),Sheet1!$O$5-(Sheet1!I222/Sheet1!$O$6))</f>
        <v/>
      </c>
    </row>
    <row r="223">
      <c r="A223">
        <f>Sheet1!K223</f>
        <v/>
      </c>
      <c r="B223">
        <f>IF(ISNA(Sheet1!I223),NA(),Sheet1!$O$5-(Sheet1!I223/Sheet1!$O$6))</f>
        <v/>
      </c>
    </row>
    <row r="224">
      <c r="A224">
        <f>Sheet1!K224</f>
        <v/>
      </c>
      <c r="B224">
        <f>IF(ISNA(Sheet1!I224),NA(),Sheet1!$O$5-(Sheet1!I224/Sheet1!$O$6))</f>
        <v/>
      </c>
    </row>
    <row r="225">
      <c r="A225">
        <f>Sheet1!K225</f>
        <v/>
      </c>
      <c r="B225">
        <f>IF(ISNA(Sheet1!I225),NA(),Sheet1!$O$5-(Sheet1!I225/Sheet1!$O$6))</f>
        <v/>
      </c>
    </row>
    <row r="226">
      <c r="A226">
        <f>Sheet1!K226</f>
        <v/>
      </c>
      <c r="B226">
        <f>IF(ISNA(Sheet1!I226),NA(),Sheet1!$O$5-(Sheet1!I226/Sheet1!$O$6))</f>
        <v/>
      </c>
    </row>
    <row r="227">
      <c r="A227">
        <f>Sheet1!K227</f>
        <v/>
      </c>
      <c r="B227">
        <f>IF(ISNA(Sheet1!I227),NA(),Sheet1!$O$5-(Sheet1!I227/Sheet1!$O$6))</f>
        <v/>
      </c>
    </row>
    <row r="228">
      <c r="A228">
        <f>Sheet1!K228</f>
        <v/>
      </c>
      <c r="B228">
        <f>IF(ISNA(Sheet1!I228),NA(),Sheet1!$O$5-(Sheet1!I228/Sheet1!$O$6))</f>
        <v/>
      </c>
    </row>
    <row r="229">
      <c r="A229">
        <f>Sheet1!K229</f>
        <v/>
      </c>
      <c r="B229">
        <f>IF(ISNA(Sheet1!I229),NA(),Sheet1!$O$5-(Sheet1!I229/Sheet1!$O$6))</f>
        <v/>
      </c>
    </row>
    <row r="230">
      <c r="A230">
        <f>Sheet1!K230</f>
        <v/>
      </c>
      <c r="B230">
        <f>IF(ISNA(Sheet1!I230),NA(),Sheet1!$O$5-(Sheet1!I230/Sheet1!$O$6))</f>
        <v/>
      </c>
    </row>
    <row r="231">
      <c r="A231">
        <f>Sheet1!K231</f>
        <v/>
      </c>
      <c r="B231">
        <f>IF(ISNA(Sheet1!I231),NA(),Sheet1!$O$5-(Sheet1!I231/Sheet1!$O$6))</f>
        <v/>
      </c>
    </row>
    <row r="232">
      <c r="A232">
        <f>Sheet1!K232</f>
        <v/>
      </c>
      <c r="B232">
        <f>IF(ISNA(Sheet1!I232),NA(),Sheet1!$O$5-(Sheet1!I232/Sheet1!$O$6))</f>
        <v/>
      </c>
    </row>
    <row r="233">
      <c r="A233">
        <f>Sheet1!K233</f>
        <v/>
      </c>
      <c r="B233">
        <f>IF(ISNA(Sheet1!I233),NA(),Sheet1!$O$5-(Sheet1!I233/Sheet1!$O$6))</f>
        <v/>
      </c>
    </row>
    <row r="234">
      <c r="A234">
        <f>Sheet1!K234</f>
        <v/>
      </c>
      <c r="B234">
        <f>IF(ISNA(Sheet1!I234),NA(),Sheet1!$O$5-(Sheet1!I234/Sheet1!$O$6))</f>
        <v/>
      </c>
    </row>
    <row r="235">
      <c r="A235">
        <f>Sheet1!K235</f>
        <v/>
      </c>
      <c r="B235">
        <f>IF(ISNA(Sheet1!I235),NA(),Sheet1!$O$5-(Sheet1!I235/Sheet1!$O$6))</f>
        <v/>
      </c>
    </row>
    <row r="236">
      <c r="A236">
        <f>Sheet1!K236</f>
        <v/>
      </c>
      <c r="B236">
        <f>IF(ISNA(Sheet1!I236),NA(),Sheet1!$O$5-(Sheet1!I236/Sheet1!$O$6))</f>
        <v/>
      </c>
    </row>
    <row r="237">
      <c r="A237">
        <f>Sheet1!K237</f>
        <v/>
      </c>
      <c r="B237">
        <f>IF(ISNA(Sheet1!I237),NA(),Sheet1!$O$5-(Sheet1!I237/Sheet1!$O$6))</f>
        <v/>
      </c>
    </row>
    <row r="238">
      <c r="A238">
        <f>Sheet1!K238</f>
        <v/>
      </c>
      <c r="B238">
        <f>IF(ISNA(Sheet1!I238),NA(),Sheet1!$O$5-(Sheet1!I238/Sheet1!$O$6))</f>
        <v/>
      </c>
    </row>
    <row r="239">
      <c r="A239">
        <f>Sheet1!K239</f>
        <v/>
      </c>
      <c r="B239">
        <f>IF(ISNA(Sheet1!I239),NA(),Sheet1!$O$5-(Sheet1!I239/Sheet1!$O$6))</f>
        <v/>
      </c>
    </row>
    <row r="240">
      <c r="A240">
        <f>Sheet1!K240</f>
        <v/>
      </c>
      <c r="B240">
        <f>IF(ISNA(Sheet1!I240),NA(),Sheet1!$O$5-(Sheet1!I240/Sheet1!$O$6))</f>
        <v/>
      </c>
    </row>
    <row r="241">
      <c r="A241">
        <f>Sheet1!K241</f>
        <v/>
      </c>
      <c r="B241">
        <f>IF(ISNA(Sheet1!I241),NA(),Sheet1!$O$5-(Sheet1!I241/Sheet1!$O$6))</f>
        <v/>
      </c>
    </row>
    <row r="242">
      <c r="A242">
        <f>Sheet1!K242</f>
        <v/>
      </c>
      <c r="B242">
        <f>IF(ISNA(Sheet1!I242),NA(),Sheet1!$O$5-(Sheet1!I242/Sheet1!$O$6))</f>
        <v/>
      </c>
    </row>
    <row r="243">
      <c r="A243">
        <f>Sheet1!K243</f>
        <v/>
      </c>
      <c r="B243">
        <f>IF(ISNA(Sheet1!I243),NA(),Sheet1!$O$5-(Sheet1!I243/Sheet1!$O$6))</f>
        <v/>
      </c>
    </row>
    <row r="244">
      <c r="A244">
        <f>Sheet1!K244</f>
        <v/>
      </c>
      <c r="B244">
        <f>IF(ISNA(Sheet1!I244),NA(),Sheet1!$O$5-(Sheet1!I244/Sheet1!$O$6))</f>
        <v/>
      </c>
    </row>
    <row r="245">
      <c r="A245">
        <f>Sheet1!K245</f>
        <v/>
      </c>
      <c r="B245">
        <f>IF(ISNA(Sheet1!I245),NA(),Sheet1!$O$5-(Sheet1!I245/Sheet1!$O$6))</f>
        <v/>
      </c>
    </row>
    <row r="246">
      <c r="A246">
        <f>Sheet1!K246</f>
        <v/>
      </c>
      <c r="B246">
        <f>IF(ISNA(Sheet1!I246),NA(),Sheet1!$O$5-(Sheet1!I246/Sheet1!$O$6))</f>
        <v/>
      </c>
    </row>
    <row r="247">
      <c r="A247">
        <f>Sheet1!K247</f>
        <v/>
      </c>
      <c r="B247">
        <f>IF(ISNA(Sheet1!I247),NA(),Sheet1!$O$5-(Sheet1!I247/Sheet1!$O$6))</f>
        <v/>
      </c>
    </row>
    <row r="248">
      <c r="A248">
        <f>Sheet1!K248</f>
        <v/>
      </c>
      <c r="B248">
        <f>IF(ISNA(Sheet1!I248),NA(),Sheet1!$O$5-(Sheet1!I248/Sheet1!$O$6))</f>
        <v/>
      </c>
    </row>
    <row r="249">
      <c r="A249">
        <f>Sheet1!K249</f>
        <v/>
      </c>
      <c r="B249">
        <f>IF(ISNA(Sheet1!I249),NA(),Sheet1!$O$5-(Sheet1!I249/Sheet1!$O$6))</f>
        <v/>
      </c>
    </row>
    <row r="250">
      <c r="A250">
        <f>Sheet1!K250</f>
        <v/>
      </c>
      <c r="B250">
        <f>IF(ISNA(Sheet1!I250),NA(),Sheet1!$O$5-(Sheet1!I250/Sheet1!$O$6))</f>
        <v/>
      </c>
    </row>
    <row r="251">
      <c r="A251">
        <f>Sheet1!K251</f>
        <v/>
      </c>
      <c r="B251">
        <f>IF(ISNA(Sheet1!I251),NA(),Sheet1!$O$5-(Sheet1!I251/Sheet1!$O$6))</f>
        <v/>
      </c>
    </row>
    <row r="252">
      <c r="A252">
        <f>Sheet1!K252</f>
        <v/>
      </c>
      <c r="B252">
        <f>IF(ISNA(Sheet1!I252),NA(),Sheet1!$O$5-(Sheet1!I252/Sheet1!$O$6))</f>
        <v/>
      </c>
    </row>
    <row r="253">
      <c r="A253">
        <f>Sheet1!K253</f>
        <v/>
      </c>
      <c r="B253">
        <f>IF(ISNA(Sheet1!I253),NA(),Sheet1!$O$5-(Sheet1!I253/Sheet1!$O$6))</f>
        <v/>
      </c>
    </row>
    <row r="254">
      <c r="A254">
        <f>Sheet1!K254</f>
        <v/>
      </c>
      <c r="B254">
        <f>IF(ISNA(Sheet1!I254),NA(),Sheet1!$O$5-(Sheet1!I254/Sheet1!$O$6))</f>
        <v/>
      </c>
    </row>
    <row r="255">
      <c r="A255">
        <f>Sheet1!K255</f>
        <v/>
      </c>
      <c r="B255">
        <f>IF(ISNA(Sheet1!I255),NA(),Sheet1!$O$5-(Sheet1!I255/Sheet1!$O$6))</f>
        <v/>
      </c>
    </row>
    <row r="256">
      <c r="A256">
        <f>Sheet1!K256</f>
        <v/>
      </c>
      <c r="B256">
        <f>IF(ISNA(Sheet1!I256),NA(),Sheet1!$O$5-(Sheet1!I256/Sheet1!$O$6))</f>
        <v/>
      </c>
    </row>
    <row r="257">
      <c r="A257">
        <f>Sheet1!K257</f>
        <v/>
      </c>
      <c r="B257">
        <f>IF(ISNA(Sheet1!I257),NA(),Sheet1!$O$5-(Sheet1!I257/Sheet1!$O$6))</f>
        <v/>
      </c>
    </row>
    <row r="258">
      <c r="A258">
        <f>Sheet1!K258</f>
        <v/>
      </c>
      <c r="B258">
        <f>IF(ISNA(Sheet1!I258),NA(),Sheet1!$O$5-(Sheet1!I258/Sheet1!$O$6))</f>
        <v/>
      </c>
    </row>
    <row r="259">
      <c r="A259">
        <f>Sheet1!K259</f>
        <v/>
      </c>
      <c r="B259">
        <f>IF(ISNA(Sheet1!I259),NA(),Sheet1!$O$5-(Sheet1!I259/Sheet1!$O$6))</f>
        <v/>
      </c>
    </row>
    <row r="260">
      <c r="A260">
        <f>Sheet1!K260</f>
        <v/>
      </c>
      <c r="B260">
        <f>IF(ISNA(Sheet1!I260),NA(),Sheet1!$O$5-(Sheet1!I260/Sheet1!$O$6))</f>
        <v/>
      </c>
    </row>
    <row r="261">
      <c r="A261">
        <f>Sheet1!K261</f>
        <v/>
      </c>
      <c r="B261">
        <f>IF(ISNA(Sheet1!I261),NA(),Sheet1!$O$5-(Sheet1!I261/Sheet1!$O$6))</f>
        <v/>
      </c>
    </row>
    <row r="262">
      <c r="A262">
        <f>Sheet1!K262</f>
        <v/>
      </c>
      <c r="B262">
        <f>IF(ISNA(Sheet1!I262),NA(),Sheet1!$O$5-(Sheet1!I262/Sheet1!$O$6))</f>
        <v/>
      </c>
    </row>
    <row r="263">
      <c r="A263">
        <f>Sheet1!K263</f>
        <v/>
      </c>
      <c r="B263">
        <f>IF(ISNA(Sheet1!I263),NA(),Sheet1!$O$5-(Sheet1!I263/Sheet1!$O$6))</f>
        <v/>
      </c>
    </row>
    <row r="264">
      <c r="A264">
        <f>Sheet1!K264</f>
        <v/>
      </c>
      <c r="B264">
        <f>IF(ISNA(Sheet1!I264),NA(),Sheet1!$O$5-(Sheet1!I264/Sheet1!$O$6))</f>
        <v/>
      </c>
    </row>
    <row r="265">
      <c r="A265">
        <f>Sheet1!K265</f>
        <v/>
      </c>
      <c r="B265">
        <f>IF(ISNA(Sheet1!I265),NA(),Sheet1!$O$5-(Sheet1!I265/Sheet1!$O$6))</f>
        <v/>
      </c>
    </row>
    <row r="266">
      <c r="A266">
        <f>Sheet1!K266</f>
        <v/>
      </c>
      <c r="B266">
        <f>IF(ISNA(Sheet1!I266),NA(),Sheet1!$O$5-(Sheet1!I266/Sheet1!$O$6))</f>
        <v/>
      </c>
    </row>
    <row r="267">
      <c r="A267">
        <f>Sheet1!K267</f>
        <v/>
      </c>
      <c r="B267">
        <f>IF(ISNA(Sheet1!I267),NA(),Sheet1!$O$5-(Sheet1!I267/Sheet1!$O$6))</f>
        <v/>
      </c>
    </row>
    <row r="268">
      <c r="A268">
        <f>Sheet1!K268</f>
        <v/>
      </c>
      <c r="B268">
        <f>IF(ISNA(Sheet1!I268),NA(),Sheet1!$O$5-(Sheet1!I268/Sheet1!$O$6))</f>
        <v/>
      </c>
    </row>
    <row r="269">
      <c r="A269">
        <f>Sheet1!K269</f>
        <v/>
      </c>
      <c r="B269">
        <f>IF(ISNA(Sheet1!I269),NA(),Sheet1!$O$5-(Sheet1!I269/Sheet1!$O$6))</f>
        <v/>
      </c>
    </row>
    <row r="270">
      <c r="A270">
        <f>Sheet1!K270</f>
        <v/>
      </c>
      <c r="B270">
        <f>IF(ISNA(Sheet1!I270),NA(),Sheet1!$O$5-(Sheet1!I270/Sheet1!$O$6))</f>
        <v/>
      </c>
    </row>
    <row r="271">
      <c r="A271">
        <f>Sheet1!K271</f>
        <v/>
      </c>
      <c r="B271">
        <f>IF(ISNA(Sheet1!I271),NA(),Sheet1!$O$5-(Sheet1!I271/Sheet1!$O$6))</f>
        <v/>
      </c>
    </row>
    <row r="272">
      <c r="A272">
        <f>Sheet1!K272</f>
        <v/>
      </c>
      <c r="B272">
        <f>IF(ISNA(Sheet1!I272),NA(),Sheet1!$O$5-(Sheet1!I272/Sheet1!$O$6))</f>
        <v/>
      </c>
    </row>
    <row r="273">
      <c r="A273">
        <f>Sheet1!K273</f>
        <v/>
      </c>
      <c r="B273">
        <f>IF(ISNA(Sheet1!I273),NA(),Sheet1!$O$5-(Sheet1!I273/Sheet1!$O$6))</f>
        <v/>
      </c>
    </row>
    <row r="274">
      <c r="A274">
        <f>Sheet1!K274</f>
        <v/>
      </c>
      <c r="B274">
        <f>IF(ISNA(Sheet1!I274),NA(),Sheet1!$O$5-(Sheet1!I274/Sheet1!$O$6))</f>
        <v/>
      </c>
    </row>
    <row r="275">
      <c r="A275">
        <f>Sheet1!K275</f>
        <v/>
      </c>
      <c r="B275">
        <f>IF(ISNA(Sheet1!I275),NA(),Sheet1!$O$5-(Sheet1!I275/Sheet1!$O$6))</f>
        <v/>
      </c>
    </row>
    <row r="276">
      <c r="A276">
        <f>Sheet1!K276</f>
        <v/>
      </c>
      <c r="B276">
        <f>IF(ISNA(Sheet1!I276),NA(),Sheet1!$O$5-(Sheet1!I276/Sheet1!$O$6))</f>
        <v/>
      </c>
    </row>
    <row r="277">
      <c r="A277">
        <f>Sheet1!K277</f>
        <v/>
      </c>
      <c r="B277">
        <f>IF(ISNA(Sheet1!I277),NA(),Sheet1!$O$5-(Sheet1!I277/Sheet1!$O$6))</f>
        <v/>
      </c>
    </row>
    <row r="278">
      <c r="A278">
        <f>Sheet1!K278</f>
        <v/>
      </c>
      <c r="B278">
        <f>IF(ISNA(Sheet1!I278),NA(),Sheet1!$O$5-(Sheet1!I278/Sheet1!$O$6))</f>
        <v/>
      </c>
    </row>
    <row r="279">
      <c r="A279">
        <f>Sheet1!K279</f>
        <v/>
      </c>
      <c r="B279">
        <f>IF(ISNA(Sheet1!I279),NA(),Sheet1!$O$5-(Sheet1!I279/Sheet1!$O$6))</f>
        <v/>
      </c>
    </row>
    <row r="280">
      <c r="A280">
        <f>Sheet1!K280</f>
        <v/>
      </c>
      <c r="B280">
        <f>IF(ISNA(Sheet1!I280),NA(),Sheet1!$O$5-(Sheet1!I280/Sheet1!$O$6))</f>
        <v/>
      </c>
    </row>
    <row r="281">
      <c r="A281">
        <f>Sheet1!K281</f>
        <v/>
      </c>
      <c r="B281">
        <f>IF(ISNA(Sheet1!I281),NA(),Sheet1!$O$5-(Sheet1!I281/Sheet1!$O$6))</f>
        <v/>
      </c>
    </row>
    <row r="282">
      <c r="A282">
        <f>Sheet1!K282</f>
        <v/>
      </c>
      <c r="B282">
        <f>IF(ISNA(Sheet1!I282),NA(),Sheet1!$O$5-(Sheet1!I282/Sheet1!$O$6))</f>
        <v/>
      </c>
    </row>
    <row r="283">
      <c r="A283">
        <f>Sheet1!K283</f>
        <v/>
      </c>
      <c r="B283">
        <f>IF(ISNA(Sheet1!I283),NA(),Sheet1!$O$5-(Sheet1!I283/Sheet1!$O$6))</f>
        <v/>
      </c>
    </row>
    <row r="284">
      <c r="A284">
        <f>Sheet1!K284</f>
        <v/>
      </c>
      <c r="B284">
        <f>IF(ISNA(Sheet1!I284),NA(),Sheet1!$O$5-(Sheet1!I284/Sheet1!$O$6))</f>
        <v/>
      </c>
    </row>
    <row r="285">
      <c r="A285">
        <f>Sheet1!K285</f>
        <v/>
      </c>
      <c r="B285">
        <f>IF(ISNA(Sheet1!I285),NA(),Sheet1!$O$5-(Sheet1!I285/Sheet1!$O$6))</f>
        <v/>
      </c>
    </row>
    <row r="286">
      <c r="A286">
        <f>Sheet1!K286</f>
        <v/>
      </c>
      <c r="B286">
        <f>IF(ISNA(Sheet1!I286),NA(),Sheet1!$O$5-(Sheet1!I286/Sheet1!$O$6))</f>
        <v/>
      </c>
    </row>
    <row r="287">
      <c r="A287">
        <f>Sheet1!K287</f>
        <v/>
      </c>
      <c r="B287">
        <f>IF(ISNA(Sheet1!I287),NA(),Sheet1!$O$5-(Sheet1!I287/Sheet1!$O$6))</f>
        <v/>
      </c>
    </row>
    <row r="288">
      <c r="A288">
        <f>Sheet1!K288</f>
        <v/>
      </c>
      <c r="B288">
        <f>IF(ISNA(Sheet1!I288),NA(),Sheet1!$O$5-(Sheet1!I288/Sheet1!$O$6))</f>
        <v/>
      </c>
    </row>
    <row r="289">
      <c r="A289">
        <f>Sheet1!K289</f>
        <v/>
      </c>
      <c r="B289">
        <f>IF(ISNA(Sheet1!I289),NA(),Sheet1!$O$5-(Sheet1!I289/Sheet1!$O$6))</f>
        <v/>
      </c>
    </row>
    <row r="290">
      <c r="A290">
        <f>Sheet1!K290</f>
        <v/>
      </c>
      <c r="B290">
        <f>IF(ISNA(Sheet1!I290),NA(),Sheet1!$O$5-(Sheet1!I290/Sheet1!$O$6))</f>
        <v/>
      </c>
    </row>
    <row r="291">
      <c r="A291">
        <f>Sheet1!K291</f>
        <v/>
      </c>
      <c r="B291">
        <f>IF(ISNA(Sheet1!I291),NA(),Sheet1!$O$5-(Sheet1!I291/Sheet1!$O$6))</f>
        <v/>
      </c>
    </row>
    <row r="292">
      <c r="A292">
        <f>Sheet1!K292</f>
        <v/>
      </c>
      <c r="B292">
        <f>IF(ISNA(Sheet1!I292),NA(),Sheet1!$O$5-(Sheet1!I292/Sheet1!$O$6))</f>
        <v/>
      </c>
    </row>
    <row r="293">
      <c r="A293">
        <f>Sheet1!K293</f>
        <v/>
      </c>
      <c r="B293">
        <f>IF(ISNA(Sheet1!I293),NA(),Sheet1!$O$5-(Sheet1!I293/Sheet1!$O$6))</f>
        <v/>
      </c>
    </row>
    <row r="294">
      <c r="A294">
        <f>Sheet1!K294</f>
        <v/>
      </c>
      <c r="B294">
        <f>IF(ISNA(Sheet1!I294),NA(),Sheet1!$O$5-(Sheet1!I294/Sheet1!$O$6))</f>
        <v/>
      </c>
    </row>
    <row r="295">
      <c r="A295">
        <f>Sheet1!K295</f>
        <v/>
      </c>
      <c r="B295">
        <f>IF(ISNA(Sheet1!I295),NA(),Sheet1!$O$5-(Sheet1!I295/Sheet1!$O$6))</f>
        <v/>
      </c>
    </row>
    <row r="296">
      <c r="A296">
        <f>Sheet1!K296</f>
        <v/>
      </c>
      <c r="B296">
        <f>IF(ISNA(Sheet1!I296),NA(),Sheet1!$O$5-(Sheet1!I296/Sheet1!$O$6))</f>
        <v/>
      </c>
    </row>
    <row r="297">
      <c r="A297">
        <f>Sheet1!K297</f>
        <v/>
      </c>
      <c r="B297">
        <f>IF(ISNA(Sheet1!I297),NA(),Sheet1!$O$5-(Sheet1!I297/Sheet1!$O$6))</f>
        <v/>
      </c>
    </row>
    <row r="298">
      <c r="A298">
        <f>Sheet1!K298</f>
        <v/>
      </c>
      <c r="B298">
        <f>IF(ISNA(Sheet1!I298),NA(),Sheet1!$O$5-(Sheet1!I298/Sheet1!$O$6))</f>
        <v/>
      </c>
    </row>
    <row r="299">
      <c r="A299">
        <f>Sheet1!K299</f>
        <v/>
      </c>
      <c r="B299">
        <f>IF(ISNA(Sheet1!I299),NA(),Sheet1!$O$5-(Sheet1!I299/Sheet1!$O$6))</f>
        <v/>
      </c>
    </row>
    <row r="300">
      <c r="A300">
        <f>Sheet1!K300</f>
        <v/>
      </c>
      <c r="B300">
        <f>IF(ISNA(Sheet1!I300),NA(),Sheet1!$O$5-(Sheet1!I300/Sheet1!$O$6))</f>
        <v/>
      </c>
    </row>
    <row r="301">
      <c r="A301">
        <f>Sheet1!K301</f>
        <v/>
      </c>
      <c r="B301">
        <f>IF(ISNA(Sheet1!I301),NA(),Sheet1!$O$5-(Sheet1!I301/Sheet1!$O$6))</f>
        <v/>
      </c>
    </row>
    <row r="302">
      <c r="A302">
        <f>Sheet1!K302</f>
        <v/>
      </c>
      <c r="B302">
        <f>IF(ISNA(Sheet1!I302),NA(),Sheet1!$O$5-(Sheet1!I302/Sheet1!$O$6))</f>
        <v/>
      </c>
    </row>
    <row r="303">
      <c r="A303">
        <f>Sheet1!K303</f>
        <v/>
      </c>
      <c r="B303">
        <f>IF(ISNA(Sheet1!I303),NA(),Sheet1!$O$5-(Sheet1!I303/Sheet1!$O$6))</f>
        <v/>
      </c>
    </row>
    <row r="304">
      <c r="A304">
        <f>Sheet1!K304</f>
        <v/>
      </c>
      <c r="B304">
        <f>IF(ISNA(Sheet1!I304),NA(),Sheet1!$O$5-(Sheet1!I304/Sheet1!$O$6))</f>
        <v/>
      </c>
    </row>
    <row r="305">
      <c r="A305">
        <f>Sheet1!K305</f>
        <v/>
      </c>
      <c r="B305">
        <f>IF(ISNA(Sheet1!I305),NA(),Sheet1!$O$5-(Sheet1!I305/Sheet1!$O$6))</f>
        <v/>
      </c>
    </row>
    <row r="306">
      <c r="A306">
        <f>Sheet1!K306</f>
        <v/>
      </c>
      <c r="B306">
        <f>IF(ISNA(Sheet1!I306),NA(),Sheet1!$O$5-(Sheet1!I306/Sheet1!$O$6))</f>
        <v/>
      </c>
    </row>
    <row r="307">
      <c r="A307">
        <f>Sheet1!K307</f>
        <v/>
      </c>
      <c r="B307">
        <f>IF(ISNA(Sheet1!I307),NA(),Sheet1!$O$5-(Sheet1!I307/Sheet1!$O$6))</f>
        <v/>
      </c>
    </row>
    <row r="308">
      <c r="A308">
        <f>Sheet1!K308</f>
        <v/>
      </c>
      <c r="B308">
        <f>IF(ISNA(Sheet1!I308),NA(),Sheet1!$O$5-(Sheet1!I308/Sheet1!$O$6))</f>
        <v/>
      </c>
    </row>
    <row r="309">
      <c r="A309">
        <f>Sheet1!K309</f>
        <v/>
      </c>
      <c r="B309">
        <f>IF(ISNA(Sheet1!I309),NA(),Sheet1!$O$5-(Sheet1!I309/Sheet1!$O$6))</f>
        <v/>
      </c>
    </row>
    <row r="310">
      <c r="A310">
        <f>Sheet1!K310</f>
        <v/>
      </c>
      <c r="B310">
        <f>IF(ISNA(Sheet1!I310),NA(),Sheet1!$O$5-(Sheet1!I310/Sheet1!$O$6))</f>
        <v/>
      </c>
    </row>
    <row r="311">
      <c r="A311">
        <f>Sheet1!K311</f>
        <v/>
      </c>
      <c r="B311">
        <f>IF(ISNA(Sheet1!I311),NA(),Sheet1!$O$5-(Sheet1!I311/Sheet1!$O$6))</f>
        <v/>
      </c>
    </row>
    <row r="312">
      <c r="A312">
        <f>Sheet1!K312</f>
        <v/>
      </c>
      <c r="B312">
        <f>IF(ISNA(Sheet1!I312),NA(),Sheet1!$O$5-(Sheet1!I312/Sheet1!$O$6))</f>
        <v/>
      </c>
    </row>
    <row r="313">
      <c r="A313">
        <f>Sheet1!K313</f>
        <v/>
      </c>
      <c r="B313">
        <f>IF(ISNA(Sheet1!I313),NA(),Sheet1!$O$5-(Sheet1!I313/Sheet1!$O$6))</f>
        <v/>
      </c>
    </row>
    <row r="314">
      <c r="A314">
        <f>Sheet1!K314</f>
        <v/>
      </c>
      <c r="B314">
        <f>IF(ISNA(Sheet1!I314),NA(),Sheet1!$O$5-(Sheet1!I314/Sheet1!$O$6))</f>
        <v/>
      </c>
    </row>
    <row r="315">
      <c r="A315">
        <f>Sheet1!K315</f>
        <v/>
      </c>
      <c r="B315">
        <f>IF(ISNA(Sheet1!I315),NA(),Sheet1!$O$5-(Sheet1!I315/Sheet1!$O$6))</f>
        <v/>
      </c>
    </row>
    <row r="316">
      <c r="A316">
        <f>Sheet1!K316</f>
        <v/>
      </c>
      <c r="B316">
        <f>IF(ISNA(Sheet1!I316),NA(),Sheet1!$O$5-(Sheet1!I316/Sheet1!$O$6))</f>
        <v/>
      </c>
    </row>
    <row r="317">
      <c r="A317">
        <f>Sheet1!K317</f>
        <v/>
      </c>
      <c r="B317">
        <f>IF(ISNA(Sheet1!I317),NA(),Sheet1!$O$5-(Sheet1!I317/Sheet1!$O$6))</f>
        <v/>
      </c>
    </row>
    <row r="318">
      <c r="A318">
        <f>Sheet1!K318</f>
        <v/>
      </c>
      <c r="B318">
        <f>IF(ISNA(Sheet1!I318),NA(),Sheet1!$O$5-(Sheet1!I318/Sheet1!$O$6))</f>
        <v/>
      </c>
    </row>
    <row r="319">
      <c r="A319">
        <f>Sheet1!K319</f>
        <v/>
      </c>
      <c r="B319">
        <f>IF(ISNA(Sheet1!I319),NA(),Sheet1!$O$5-(Sheet1!I319/Sheet1!$O$6))</f>
        <v/>
      </c>
    </row>
    <row r="320">
      <c r="A320">
        <f>Sheet1!K320</f>
        <v/>
      </c>
      <c r="B320">
        <f>IF(ISNA(Sheet1!I320),NA(),Sheet1!$O$5-(Sheet1!I320/Sheet1!$O$6))</f>
        <v/>
      </c>
    </row>
    <row r="321">
      <c r="A321">
        <f>Sheet1!K321</f>
        <v/>
      </c>
      <c r="B321">
        <f>IF(ISNA(Sheet1!I321),NA(),Sheet1!$O$5-(Sheet1!I321/Sheet1!$O$6))</f>
        <v/>
      </c>
    </row>
    <row r="322">
      <c r="A322">
        <f>Sheet1!K322</f>
        <v/>
      </c>
      <c r="B322">
        <f>IF(ISNA(Sheet1!I322),NA(),Sheet1!$O$5-(Sheet1!I322/Sheet1!$O$6))</f>
        <v/>
      </c>
    </row>
    <row r="323">
      <c r="A323">
        <f>Sheet1!K323</f>
        <v/>
      </c>
      <c r="B323">
        <f>IF(ISNA(Sheet1!I323),NA(),Sheet1!$O$5-(Sheet1!I323/Sheet1!$O$6))</f>
        <v/>
      </c>
    </row>
    <row r="324">
      <c r="A324">
        <f>Sheet1!K324</f>
        <v/>
      </c>
      <c r="B324">
        <f>IF(ISNA(Sheet1!I324),NA(),Sheet1!$O$5-(Sheet1!I324/Sheet1!$O$6))</f>
        <v/>
      </c>
    </row>
    <row r="325">
      <c r="A325">
        <f>Sheet1!K325</f>
        <v/>
      </c>
      <c r="B325">
        <f>IF(ISNA(Sheet1!I325),NA(),Sheet1!$O$5-(Sheet1!I325/Sheet1!$O$6))</f>
        <v/>
      </c>
    </row>
    <row r="326">
      <c r="A326">
        <f>Sheet1!K326</f>
        <v/>
      </c>
      <c r="B326">
        <f>IF(ISNA(Sheet1!I326),NA(),Sheet1!$O$5-(Sheet1!I326/Sheet1!$O$6))</f>
        <v/>
      </c>
    </row>
    <row r="327">
      <c r="A327">
        <f>Sheet1!K327</f>
        <v/>
      </c>
      <c r="B327">
        <f>IF(ISNA(Sheet1!I327),NA(),Sheet1!$O$5-(Sheet1!I327/Sheet1!$O$6))</f>
        <v/>
      </c>
    </row>
    <row r="328">
      <c r="A328">
        <f>Sheet1!K328</f>
        <v/>
      </c>
      <c r="B328">
        <f>IF(ISNA(Sheet1!I328),NA(),Sheet1!$O$5-(Sheet1!I328/Sheet1!$O$6))</f>
        <v/>
      </c>
    </row>
    <row r="329">
      <c r="A329">
        <f>Sheet1!K329</f>
        <v/>
      </c>
      <c r="B329">
        <f>IF(ISNA(Sheet1!I329),NA(),Sheet1!$O$5-(Sheet1!I329/Sheet1!$O$6))</f>
        <v/>
      </c>
    </row>
    <row r="330">
      <c r="A330">
        <f>Sheet1!K330</f>
        <v/>
      </c>
      <c r="B330">
        <f>IF(ISNA(Sheet1!I330),NA(),Sheet1!$O$5-(Sheet1!I330/Sheet1!$O$6))</f>
        <v/>
      </c>
    </row>
    <row r="331">
      <c r="A331">
        <f>Sheet1!K331</f>
        <v/>
      </c>
      <c r="B331">
        <f>IF(ISNA(Sheet1!I331),NA(),Sheet1!$O$5-(Sheet1!I331/Sheet1!$O$6))</f>
        <v/>
      </c>
    </row>
    <row r="332">
      <c r="A332">
        <f>Sheet1!K332</f>
        <v/>
      </c>
      <c r="B332">
        <f>IF(ISNA(Sheet1!I332),NA(),Sheet1!$O$5-(Sheet1!I332/Sheet1!$O$6))</f>
        <v/>
      </c>
    </row>
    <row r="333">
      <c r="A333">
        <f>Sheet1!K333</f>
        <v/>
      </c>
      <c r="B333">
        <f>IF(ISNA(Sheet1!I333),NA(),Sheet1!$O$5-(Sheet1!I333/Sheet1!$O$6))</f>
        <v/>
      </c>
    </row>
    <row r="334">
      <c r="A334">
        <f>Sheet1!K334</f>
        <v/>
      </c>
      <c r="B334">
        <f>IF(ISNA(Sheet1!I334),NA(),Sheet1!$O$5-(Sheet1!I334/Sheet1!$O$6))</f>
        <v/>
      </c>
    </row>
    <row r="335">
      <c r="A335">
        <f>Sheet1!K335</f>
        <v/>
      </c>
      <c r="B335">
        <f>IF(ISNA(Sheet1!I335),NA(),Sheet1!$O$5-(Sheet1!I335/Sheet1!$O$6))</f>
        <v/>
      </c>
    </row>
    <row r="336">
      <c r="A336">
        <f>Sheet1!K336</f>
        <v/>
      </c>
      <c r="B336">
        <f>IF(ISNA(Sheet1!I336),NA(),Sheet1!$O$5-(Sheet1!I336/Sheet1!$O$6))</f>
        <v/>
      </c>
    </row>
    <row r="337">
      <c r="A337">
        <f>Sheet1!K337</f>
        <v/>
      </c>
      <c r="B337">
        <f>IF(ISNA(Sheet1!I337),NA(),Sheet1!$O$5-(Sheet1!I337/Sheet1!$O$6))</f>
        <v/>
      </c>
    </row>
    <row r="338">
      <c r="A338">
        <f>Sheet1!K338</f>
        <v/>
      </c>
      <c r="B338">
        <f>IF(ISNA(Sheet1!I338),NA(),Sheet1!$O$5-(Sheet1!I338/Sheet1!$O$6))</f>
        <v/>
      </c>
    </row>
    <row r="339">
      <c r="A339">
        <f>Sheet1!K339</f>
        <v/>
      </c>
      <c r="B339">
        <f>IF(ISNA(Sheet1!I339),NA(),Sheet1!$O$5-(Sheet1!I339/Sheet1!$O$6))</f>
        <v/>
      </c>
    </row>
    <row r="340">
      <c r="A340">
        <f>Sheet1!K340</f>
        <v/>
      </c>
      <c r="B340">
        <f>IF(ISNA(Sheet1!I340),NA(),Sheet1!$O$5-(Sheet1!I340/Sheet1!$O$6))</f>
        <v/>
      </c>
    </row>
    <row r="341">
      <c r="A341">
        <f>Sheet1!K341</f>
        <v/>
      </c>
      <c r="B341">
        <f>IF(ISNA(Sheet1!I341),NA(),Sheet1!$O$5-(Sheet1!I341/Sheet1!$O$6))</f>
        <v/>
      </c>
    </row>
    <row r="342">
      <c r="A342">
        <f>Sheet1!K342</f>
        <v/>
      </c>
      <c r="B342">
        <f>IF(ISNA(Sheet1!I342),NA(),Sheet1!$O$5-(Sheet1!I342/Sheet1!$O$6))</f>
        <v/>
      </c>
    </row>
    <row r="343">
      <c r="A343">
        <f>Sheet1!K343</f>
        <v/>
      </c>
      <c r="B343">
        <f>IF(ISNA(Sheet1!I343),NA(),Sheet1!$O$5-(Sheet1!I343/Sheet1!$O$6))</f>
        <v/>
      </c>
    </row>
    <row r="344">
      <c r="A344">
        <f>Sheet1!K344</f>
        <v/>
      </c>
      <c r="B344">
        <f>IF(ISNA(Sheet1!I344),NA(),Sheet1!$O$5-(Sheet1!I344/Sheet1!$O$6))</f>
        <v/>
      </c>
    </row>
    <row r="345">
      <c r="A345">
        <f>Sheet1!K345</f>
        <v/>
      </c>
      <c r="B345">
        <f>IF(ISNA(Sheet1!I345),NA(),Sheet1!$O$5-(Sheet1!I345/Sheet1!$O$6))</f>
        <v/>
      </c>
    </row>
    <row r="346">
      <c r="A346">
        <f>Sheet1!K346</f>
        <v/>
      </c>
      <c r="B346">
        <f>IF(ISNA(Sheet1!I346),NA(),Sheet1!$O$5-(Sheet1!I346/Sheet1!$O$6))</f>
        <v/>
      </c>
    </row>
    <row r="347">
      <c r="A347">
        <f>Sheet1!K347</f>
        <v/>
      </c>
      <c r="B347">
        <f>IF(ISNA(Sheet1!I347),NA(),Sheet1!$O$5-(Sheet1!I347/Sheet1!$O$6))</f>
        <v/>
      </c>
    </row>
    <row r="348">
      <c r="A348">
        <f>Sheet1!K348</f>
        <v/>
      </c>
      <c r="B348">
        <f>IF(ISNA(Sheet1!I348),NA(),Sheet1!$O$5-(Sheet1!I348/Sheet1!$O$6))</f>
        <v/>
      </c>
    </row>
    <row r="349">
      <c r="A349">
        <f>Sheet1!K349</f>
        <v/>
      </c>
      <c r="B349">
        <f>IF(ISNA(Sheet1!I349),NA(),Sheet1!$O$5-(Sheet1!I349/Sheet1!$O$6))</f>
        <v/>
      </c>
    </row>
    <row r="350">
      <c r="A350">
        <f>Sheet1!K350</f>
        <v/>
      </c>
      <c r="B350">
        <f>IF(ISNA(Sheet1!I350),NA(),Sheet1!$O$5-(Sheet1!I350/Sheet1!$O$6))</f>
        <v/>
      </c>
    </row>
    <row r="351">
      <c r="A351">
        <f>Sheet1!K351</f>
        <v/>
      </c>
      <c r="B351">
        <f>IF(ISNA(Sheet1!I351),NA(),Sheet1!$O$5-(Sheet1!I351/Sheet1!$O$6))</f>
        <v/>
      </c>
    </row>
    <row r="352">
      <c r="A352">
        <f>Sheet1!K352</f>
        <v/>
      </c>
      <c r="B352">
        <f>IF(ISNA(Sheet1!I352),NA(),Sheet1!$O$5-(Sheet1!I352/Sheet1!$O$6))</f>
        <v/>
      </c>
    </row>
    <row r="353">
      <c r="A353">
        <f>Sheet1!K353</f>
        <v/>
      </c>
      <c r="B353">
        <f>IF(ISNA(Sheet1!I353),NA(),Sheet1!$O$5-(Sheet1!I353/Sheet1!$O$6))</f>
        <v/>
      </c>
    </row>
    <row r="354">
      <c r="A354">
        <f>Sheet1!K354</f>
        <v/>
      </c>
      <c r="B354">
        <f>IF(ISNA(Sheet1!I354),NA(),Sheet1!$O$5-(Sheet1!I354/Sheet1!$O$6))</f>
        <v/>
      </c>
    </row>
    <row r="355">
      <c r="A355">
        <f>Sheet1!K355</f>
        <v/>
      </c>
      <c r="B355">
        <f>IF(ISNA(Sheet1!I355),NA(),Sheet1!$O$5-(Sheet1!I355/Sheet1!$O$6))</f>
        <v/>
      </c>
    </row>
    <row r="356">
      <c r="A356">
        <f>Sheet1!K356</f>
        <v/>
      </c>
      <c r="B356">
        <f>IF(ISNA(Sheet1!I356),NA(),Sheet1!$O$5-(Sheet1!I356/Sheet1!$O$6))</f>
        <v/>
      </c>
    </row>
    <row r="357">
      <c r="A357">
        <f>Sheet1!K357</f>
        <v/>
      </c>
      <c r="B357">
        <f>IF(ISNA(Sheet1!I357),NA(),Sheet1!$O$5-(Sheet1!I357/Sheet1!$O$6))</f>
        <v/>
      </c>
    </row>
    <row r="358">
      <c r="A358">
        <f>Sheet1!K358</f>
        <v/>
      </c>
      <c r="B358">
        <f>IF(ISNA(Sheet1!I358),NA(),Sheet1!$O$5-(Sheet1!I358/Sheet1!$O$6))</f>
        <v/>
      </c>
    </row>
    <row r="359">
      <c r="A359">
        <f>Sheet1!K359</f>
        <v/>
      </c>
      <c r="B359">
        <f>IF(ISNA(Sheet1!I359),NA(),Sheet1!$O$5-(Sheet1!I359/Sheet1!$O$6))</f>
        <v/>
      </c>
    </row>
    <row r="360">
      <c r="A360">
        <f>Sheet1!K360</f>
        <v/>
      </c>
      <c r="B360">
        <f>IF(ISNA(Sheet1!I360),NA(),Sheet1!$O$5-(Sheet1!I360/Sheet1!$O$6))</f>
        <v/>
      </c>
    </row>
    <row r="361">
      <c r="A361">
        <f>Sheet1!K361</f>
        <v/>
      </c>
      <c r="B361">
        <f>IF(ISNA(Sheet1!I361),NA(),Sheet1!$O$5-(Sheet1!I361/Sheet1!$O$6))</f>
        <v/>
      </c>
    </row>
    <row r="362">
      <c r="A362">
        <f>Sheet1!K362</f>
        <v/>
      </c>
      <c r="B362">
        <f>IF(ISNA(Sheet1!I362),NA(),Sheet1!$O$5-(Sheet1!I362/Sheet1!$O$6))</f>
        <v/>
      </c>
    </row>
    <row r="363">
      <c r="A363">
        <f>Sheet1!K363</f>
        <v/>
      </c>
      <c r="B363">
        <f>IF(ISNA(Sheet1!I363),NA(),Sheet1!$O$5-(Sheet1!I363/Sheet1!$O$6))</f>
        <v/>
      </c>
    </row>
    <row r="364">
      <c r="A364">
        <f>Sheet1!K364</f>
        <v/>
      </c>
      <c r="B364">
        <f>IF(ISNA(Sheet1!I364),NA(),Sheet1!$O$5-(Sheet1!I364/Sheet1!$O$6))</f>
        <v/>
      </c>
    </row>
    <row r="365">
      <c r="A365">
        <f>Sheet1!K365</f>
        <v/>
      </c>
      <c r="B365">
        <f>IF(ISNA(Sheet1!I365),NA(),Sheet1!$O$5-(Sheet1!I365/Sheet1!$O$6))</f>
        <v/>
      </c>
    </row>
    <row r="366">
      <c r="A366">
        <f>Sheet1!K366</f>
        <v/>
      </c>
      <c r="B366">
        <f>IF(ISNA(Sheet1!I366),NA(),Sheet1!$O$5-(Sheet1!I366/Sheet1!$O$6))</f>
        <v/>
      </c>
    </row>
    <row r="367">
      <c r="A367">
        <f>Sheet1!K367</f>
        <v/>
      </c>
      <c r="B367">
        <f>IF(ISNA(Sheet1!I367),NA(),Sheet1!$O$5-(Sheet1!I367/Sheet1!$O$6))</f>
        <v/>
      </c>
    </row>
    <row r="368">
      <c r="A368">
        <f>Sheet1!K368</f>
        <v/>
      </c>
      <c r="B368">
        <f>IF(ISNA(Sheet1!I368),NA(),Sheet1!$O$5-(Sheet1!I368/Sheet1!$O$6))</f>
        <v/>
      </c>
    </row>
    <row r="369">
      <c r="A369">
        <f>Sheet1!K369</f>
        <v/>
      </c>
      <c r="B369">
        <f>IF(ISNA(Sheet1!I369),NA(),Sheet1!$O$5-(Sheet1!I369/Sheet1!$O$6))</f>
        <v/>
      </c>
    </row>
    <row r="370">
      <c r="A370">
        <f>Sheet1!K370</f>
        <v/>
      </c>
      <c r="B370">
        <f>IF(ISNA(Sheet1!I370),NA(),Sheet1!$O$5-(Sheet1!I370/Sheet1!$O$6))</f>
        <v/>
      </c>
    </row>
    <row r="371">
      <c r="A371">
        <f>Sheet1!K371</f>
        <v/>
      </c>
      <c r="B371">
        <f>IF(ISNA(Sheet1!I371),NA(),Sheet1!$O$5-(Sheet1!I371/Sheet1!$O$6))</f>
        <v/>
      </c>
    </row>
    <row r="372">
      <c r="A372">
        <f>Sheet1!K372</f>
        <v/>
      </c>
      <c r="B372">
        <f>IF(ISNA(Sheet1!I372),NA(),Sheet1!$O$5-(Sheet1!I372/Sheet1!$O$6))</f>
        <v/>
      </c>
    </row>
    <row r="373">
      <c r="A373">
        <f>Sheet1!K373</f>
        <v/>
      </c>
      <c r="B373">
        <f>IF(ISNA(Sheet1!I373),NA(),Sheet1!$O$5-(Sheet1!I373/Sheet1!$O$6))</f>
        <v/>
      </c>
    </row>
    <row r="374">
      <c r="A374">
        <f>Sheet1!K374</f>
        <v/>
      </c>
      <c r="B374">
        <f>IF(ISNA(Sheet1!I374),NA(),Sheet1!$O$5-(Sheet1!I374/Sheet1!$O$6))</f>
        <v/>
      </c>
    </row>
    <row r="375">
      <c r="A375">
        <f>Sheet1!K375</f>
        <v/>
      </c>
      <c r="B375">
        <f>IF(ISNA(Sheet1!I375),NA(),Sheet1!$O$5-(Sheet1!I375/Sheet1!$O$6))</f>
        <v/>
      </c>
    </row>
    <row r="376">
      <c r="A376">
        <f>Sheet1!K376</f>
        <v/>
      </c>
      <c r="B376">
        <f>IF(ISNA(Sheet1!I376),NA(),Sheet1!$O$5-(Sheet1!I376/Sheet1!$O$6))</f>
        <v/>
      </c>
    </row>
    <row r="377">
      <c r="A377">
        <f>Sheet1!K377</f>
        <v/>
      </c>
      <c r="B377">
        <f>IF(ISNA(Sheet1!I377),NA(),Sheet1!$O$5-(Sheet1!I377/Sheet1!$O$6))</f>
        <v/>
      </c>
    </row>
    <row r="378">
      <c r="A378">
        <f>Sheet1!K378</f>
        <v/>
      </c>
      <c r="B378">
        <f>IF(ISNA(Sheet1!I378),NA(),Sheet1!$O$5-(Sheet1!I378/Sheet1!$O$6))</f>
        <v/>
      </c>
    </row>
    <row r="379">
      <c r="A379">
        <f>Sheet1!K379</f>
        <v/>
      </c>
      <c r="B379">
        <f>IF(ISNA(Sheet1!I379),NA(),Sheet1!$O$5-(Sheet1!I379/Sheet1!$O$6))</f>
        <v/>
      </c>
    </row>
    <row r="380">
      <c r="A380">
        <f>Sheet1!K380</f>
        <v/>
      </c>
      <c r="B380">
        <f>IF(ISNA(Sheet1!I380),NA(),Sheet1!$O$5-(Sheet1!I380/Sheet1!$O$6))</f>
        <v/>
      </c>
    </row>
    <row r="381">
      <c r="A381">
        <f>Sheet1!K381</f>
        <v/>
      </c>
      <c r="B381">
        <f>IF(ISNA(Sheet1!I381),NA(),Sheet1!$O$5-(Sheet1!I381/Sheet1!$O$6))</f>
        <v/>
      </c>
    </row>
    <row r="382">
      <c r="A382">
        <f>Sheet1!K382</f>
        <v/>
      </c>
      <c r="B382">
        <f>IF(ISNA(Sheet1!I382),NA(),Sheet1!$O$5-(Sheet1!I382/Sheet1!$O$6))</f>
        <v/>
      </c>
    </row>
    <row r="383">
      <c r="A383">
        <f>Sheet1!K383</f>
        <v/>
      </c>
      <c r="B383">
        <f>IF(ISNA(Sheet1!I383),NA(),Sheet1!$O$5-(Sheet1!I383/Sheet1!$O$6))</f>
        <v/>
      </c>
    </row>
    <row r="384">
      <c r="A384">
        <f>Sheet1!K384</f>
        <v/>
      </c>
      <c r="B384">
        <f>IF(ISNA(Sheet1!I384),NA(),Sheet1!$O$5-(Sheet1!I384/Sheet1!$O$6))</f>
        <v/>
      </c>
    </row>
    <row r="385">
      <c r="A385">
        <f>Sheet1!K385</f>
        <v/>
      </c>
      <c r="B385">
        <f>IF(ISNA(Sheet1!I385),NA(),Sheet1!$O$5-(Sheet1!I385/Sheet1!$O$6))</f>
        <v/>
      </c>
    </row>
    <row r="386">
      <c r="A386">
        <f>Sheet1!K386</f>
        <v/>
      </c>
      <c r="B386">
        <f>IF(ISNA(Sheet1!I386),NA(),Sheet1!$O$5-(Sheet1!I386/Sheet1!$O$6))</f>
        <v/>
      </c>
    </row>
    <row r="387">
      <c r="A387">
        <f>Sheet1!K387</f>
        <v/>
      </c>
      <c r="B387">
        <f>IF(ISNA(Sheet1!I387),NA(),Sheet1!$O$5-(Sheet1!I387/Sheet1!$O$6))</f>
        <v/>
      </c>
    </row>
    <row r="388">
      <c r="A388">
        <f>Sheet1!K388</f>
        <v/>
      </c>
      <c r="B388">
        <f>IF(ISNA(Sheet1!I388),NA(),Sheet1!$O$5-(Sheet1!I388/Sheet1!$O$6))</f>
        <v/>
      </c>
    </row>
    <row r="389">
      <c r="A389">
        <f>Sheet1!K389</f>
        <v/>
      </c>
      <c r="B389">
        <f>IF(ISNA(Sheet1!I389),NA(),Sheet1!$O$5-(Sheet1!I389/Sheet1!$O$6))</f>
        <v/>
      </c>
    </row>
    <row r="390">
      <c r="A390">
        <f>Sheet1!K390</f>
        <v/>
      </c>
      <c r="B390">
        <f>IF(ISNA(Sheet1!I390),NA(),Sheet1!$O$5-(Sheet1!I390/Sheet1!$O$6))</f>
        <v/>
      </c>
    </row>
    <row r="391">
      <c r="A391">
        <f>Sheet1!K391</f>
        <v/>
      </c>
      <c r="B391">
        <f>IF(ISNA(Sheet1!I391),NA(),Sheet1!$O$5-(Sheet1!I391/Sheet1!$O$6))</f>
        <v/>
      </c>
    </row>
    <row r="392">
      <c r="A392">
        <f>Sheet1!K392</f>
        <v/>
      </c>
      <c r="B392">
        <f>IF(ISNA(Sheet1!I392),NA(),Sheet1!$O$5-(Sheet1!I392/Sheet1!$O$6))</f>
        <v/>
      </c>
    </row>
    <row r="393">
      <c r="A393">
        <f>Sheet1!K393</f>
        <v/>
      </c>
      <c r="B393">
        <f>IF(ISNA(Sheet1!I393),NA(),Sheet1!$O$5-(Sheet1!I393/Sheet1!$O$6))</f>
        <v/>
      </c>
    </row>
    <row r="394">
      <c r="A394">
        <f>Sheet1!K394</f>
        <v/>
      </c>
      <c r="B394">
        <f>IF(ISNA(Sheet1!I394),NA(),Sheet1!$O$5-(Sheet1!I394/Sheet1!$O$6))</f>
        <v/>
      </c>
    </row>
    <row r="395">
      <c r="A395">
        <f>Sheet1!K395</f>
        <v/>
      </c>
      <c r="B395">
        <f>IF(ISNA(Sheet1!I395),NA(),Sheet1!$O$5-(Sheet1!I395/Sheet1!$O$6))</f>
        <v/>
      </c>
    </row>
    <row r="396">
      <c r="A396">
        <f>Sheet1!K396</f>
        <v/>
      </c>
      <c r="B396">
        <f>IF(ISNA(Sheet1!I396),NA(),Sheet1!$O$5-(Sheet1!I396/Sheet1!$O$6))</f>
        <v/>
      </c>
    </row>
    <row r="397">
      <c r="A397">
        <f>Sheet1!K397</f>
        <v/>
      </c>
      <c r="B397">
        <f>IF(ISNA(Sheet1!I397),NA(),Sheet1!$O$5-(Sheet1!I397/Sheet1!$O$6))</f>
        <v/>
      </c>
    </row>
    <row r="398">
      <c r="A398">
        <f>Sheet1!K398</f>
        <v/>
      </c>
      <c r="B398">
        <f>IF(ISNA(Sheet1!I398),NA(),Sheet1!$O$5-(Sheet1!I398/Sheet1!$O$6))</f>
        <v/>
      </c>
    </row>
    <row r="399">
      <c r="A399">
        <f>Sheet1!K399</f>
        <v/>
      </c>
      <c r="B399">
        <f>IF(ISNA(Sheet1!I399),NA(),Sheet1!$O$5-(Sheet1!I399/Sheet1!$O$6))</f>
        <v/>
      </c>
    </row>
    <row r="400">
      <c r="A400">
        <f>Sheet1!K400</f>
        <v/>
      </c>
      <c r="B400">
        <f>IF(ISNA(Sheet1!I400),NA(),Sheet1!$O$5-(Sheet1!I400/Sheet1!$O$6))</f>
        <v/>
      </c>
    </row>
    <row r="401">
      <c r="A401">
        <f>Sheet1!K401</f>
        <v/>
      </c>
      <c r="B401">
        <f>IF(ISNA(Sheet1!I401),NA(),Sheet1!$O$5-(Sheet1!I401/Sheet1!$O$6))</f>
        <v/>
      </c>
    </row>
    <row r="402">
      <c r="A402">
        <f>Sheet1!K402</f>
        <v/>
      </c>
      <c r="B402">
        <f>IF(ISNA(Sheet1!I402),NA(),Sheet1!$O$5-(Sheet1!I402/Sheet1!$O$6))</f>
        <v/>
      </c>
    </row>
    <row r="403">
      <c r="A403">
        <f>Sheet1!K403</f>
        <v/>
      </c>
      <c r="B403">
        <f>IF(ISNA(Sheet1!I403),NA(),Sheet1!$O$5-(Sheet1!I403/Sheet1!$O$6))</f>
        <v/>
      </c>
    </row>
    <row r="404">
      <c r="A404">
        <f>Sheet1!K404</f>
        <v/>
      </c>
      <c r="B404">
        <f>IF(ISNA(Sheet1!I404),NA(),Sheet1!$O$5-(Sheet1!I404/Sheet1!$O$6))</f>
        <v/>
      </c>
    </row>
    <row r="405">
      <c r="A405">
        <f>Sheet1!K405</f>
        <v/>
      </c>
      <c r="B405">
        <f>IF(ISNA(Sheet1!I405),NA(),Sheet1!$O$5-(Sheet1!I405/Sheet1!$O$6))</f>
        <v/>
      </c>
    </row>
    <row r="406">
      <c r="A406">
        <f>Sheet1!K406</f>
        <v/>
      </c>
      <c r="B406">
        <f>IF(ISNA(Sheet1!I406),NA(),Sheet1!$O$5-(Sheet1!I406/Sheet1!$O$6))</f>
        <v/>
      </c>
    </row>
    <row r="407">
      <c r="A407">
        <f>Sheet1!K407</f>
        <v/>
      </c>
      <c r="B407">
        <f>IF(ISNA(Sheet1!I407),NA(),Sheet1!$O$5-(Sheet1!I407/Sheet1!$O$6))</f>
        <v/>
      </c>
    </row>
    <row r="408">
      <c r="A408">
        <f>Sheet1!K408</f>
        <v/>
      </c>
      <c r="B408">
        <f>IF(ISNA(Sheet1!I408),NA(),Sheet1!$O$5-(Sheet1!I408/Sheet1!$O$6))</f>
        <v/>
      </c>
    </row>
    <row r="409">
      <c r="A409">
        <f>Sheet1!K409</f>
        <v/>
      </c>
      <c r="B409">
        <f>IF(ISNA(Sheet1!I409),NA(),Sheet1!$O$5-(Sheet1!I409/Sheet1!$O$6))</f>
        <v/>
      </c>
    </row>
    <row r="410">
      <c r="A410">
        <f>Sheet1!K410</f>
        <v/>
      </c>
      <c r="B410">
        <f>IF(ISNA(Sheet1!I410),NA(),Sheet1!$O$5-(Sheet1!I410/Sheet1!$O$6))</f>
        <v/>
      </c>
    </row>
    <row r="411">
      <c r="A411">
        <f>Sheet1!K411</f>
        <v/>
      </c>
      <c r="B411">
        <f>IF(ISNA(Sheet1!I411),NA(),Sheet1!$O$5-(Sheet1!I411/Sheet1!$O$6))</f>
        <v/>
      </c>
    </row>
    <row r="412">
      <c r="A412">
        <f>Sheet1!K412</f>
        <v/>
      </c>
      <c r="B412">
        <f>IF(ISNA(Sheet1!I412),NA(),Sheet1!$O$5-(Sheet1!I412/Sheet1!$O$6))</f>
        <v/>
      </c>
    </row>
    <row r="413">
      <c r="A413">
        <f>Sheet1!K413</f>
        <v/>
      </c>
      <c r="B413">
        <f>IF(ISNA(Sheet1!I413),NA(),Sheet1!$O$5-(Sheet1!I413/Sheet1!$O$6))</f>
        <v/>
      </c>
    </row>
    <row r="414">
      <c r="A414">
        <f>Sheet1!K414</f>
        <v/>
      </c>
      <c r="B414">
        <f>IF(ISNA(Sheet1!I414),NA(),Sheet1!$O$5-(Sheet1!I414/Sheet1!$O$6))</f>
        <v/>
      </c>
    </row>
    <row r="415">
      <c r="A415">
        <f>Sheet1!K415</f>
        <v/>
      </c>
      <c r="B415">
        <f>IF(ISNA(Sheet1!I415),NA(),Sheet1!$O$5-(Sheet1!I415/Sheet1!$O$6))</f>
        <v/>
      </c>
    </row>
    <row r="416">
      <c r="A416">
        <f>Sheet1!K416</f>
        <v/>
      </c>
      <c r="B416">
        <f>IF(ISNA(Sheet1!I416),NA(),Sheet1!$O$5-(Sheet1!I416/Sheet1!$O$6))</f>
        <v/>
      </c>
    </row>
    <row r="417">
      <c r="A417">
        <f>Sheet1!K417</f>
        <v/>
      </c>
      <c r="B417">
        <f>IF(ISNA(Sheet1!I417),NA(),Sheet1!$O$5-(Sheet1!I417/Sheet1!$O$6))</f>
        <v/>
      </c>
    </row>
    <row r="418">
      <c r="A418">
        <f>Sheet1!K418</f>
        <v/>
      </c>
      <c r="B418">
        <f>IF(ISNA(Sheet1!I418),NA(),Sheet1!$O$5-(Sheet1!I418/Sheet1!$O$6))</f>
        <v/>
      </c>
    </row>
    <row r="419">
      <c r="A419">
        <f>Sheet1!K419</f>
        <v/>
      </c>
      <c r="B419">
        <f>IF(ISNA(Sheet1!I419),NA(),Sheet1!$O$5-(Sheet1!I419/Sheet1!$O$6))</f>
        <v/>
      </c>
    </row>
    <row r="420">
      <c r="A420">
        <f>Sheet1!K420</f>
        <v/>
      </c>
      <c r="B420">
        <f>IF(ISNA(Sheet1!I420),NA(),Sheet1!$O$5-(Sheet1!I420/Sheet1!$O$6))</f>
        <v/>
      </c>
    </row>
    <row r="421">
      <c r="A421">
        <f>Sheet1!K421</f>
        <v/>
      </c>
      <c r="B421">
        <f>IF(ISNA(Sheet1!I421),NA(),Sheet1!$O$5-(Sheet1!I421/Sheet1!$O$6))</f>
        <v/>
      </c>
    </row>
    <row r="422">
      <c r="A422">
        <f>Sheet1!K422</f>
        <v/>
      </c>
      <c r="B422">
        <f>IF(ISNA(Sheet1!I422),NA(),Sheet1!$O$5-(Sheet1!I422/Sheet1!$O$6))</f>
        <v/>
      </c>
    </row>
    <row r="423">
      <c r="A423">
        <f>Sheet1!K423</f>
        <v/>
      </c>
      <c r="B423">
        <f>IF(ISNA(Sheet1!I423),NA(),Sheet1!$O$5-(Sheet1!I423/Sheet1!$O$6))</f>
        <v/>
      </c>
    </row>
    <row r="424">
      <c r="A424">
        <f>Sheet1!K424</f>
        <v/>
      </c>
      <c r="B424">
        <f>IF(ISNA(Sheet1!I424),NA(),Sheet1!$O$5-(Sheet1!I424/Sheet1!$O$6))</f>
        <v/>
      </c>
    </row>
    <row r="425">
      <c r="A425">
        <f>Sheet1!K425</f>
        <v/>
      </c>
      <c r="B425">
        <f>IF(ISNA(Sheet1!I425),NA(),Sheet1!$O$5-(Sheet1!I425/Sheet1!$O$6))</f>
        <v/>
      </c>
    </row>
    <row r="426">
      <c r="A426">
        <f>Sheet1!K426</f>
        <v/>
      </c>
      <c r="B426">
        <f>IF(ISNA(Sheet1!I426),NA(),Sheet1!$O$5-(Sheet1!I426/Sheet1!$O$6))</f>
        <v/>
      </c>
    </row>
    <row r="427">
      <c r="A427">
        <f>Sheet1!K427</f>
        <v/>
      </c>
      <c r="B427">
        <f>IF(ISNA(Sheet1!I427),NA(),Sheet1!$O$5-(Sheet1!I427/Sheet1!$O$6))</f>
        <v/>
      </c>
    </row>
    <row r="428">
      <c r="A428">
        <f>Sheet1!K428</f>
        <v/>
      </c>
      <c r="B428">
        <f>IF(ISNA(Sheet1!I428),NA(),Sheet1!$O$5-(Sheet1!I428/Sheet1!$O$6))</f>
        <v/>
      </c>
    </row>
    <row r="429">
      <c r="A429">
        <f>Sheet1!K429</f>
        <v/>
      </c>
      <c r="B429">
        <f>IF(ISNA(Sheet1!I429),NA(),Sheet1!$O$5-(Sheet1!I429/Sheet1!$O$6))</f>
        <v/>
      </c>
    </row>
    <row r="430">
      <c r="A430">
        <f>Sheet1!K430</f>
        <v/>
      </c>
      <c r="B430">
        <f>IF(ISNA(Sheet1!I430),NA(),Sheet1!$O$5-(Sheet1!I430/Sheet1!$O$6))</f>
        <v/>
      </c>
    </row>
    <row r="431">
      <c r="A431">
        <f>Sheet1!K431</f>
        <v/>
      </c>
      <c r="B431">
        <f>IF(ISNA(Sheet1!I431),NA(),Sheet1!$O$5-(Sheet1!I431/Sheet1!$O$6))</f>
        <v/>
      </c>
    </row>
    <row r="432">
      <c r="A432">
        <f>Sheet1!K432</f>
        <v/>
      </c>
      <c r="B432">
        <f>IF(ISNA(Sheet1!I432),NA(),Sheet1!$O$5-(Sheet1!I432/Sheet1!$O$6))</f>
        <v/>
      </c>
    </row>
    <row r="433">
      <c r="A433">
        <f>Sheet1!K433</f>
        <v/>
      </c>
      <c r="B433">
        <f>IF(ISNA(Sheet1!I433),NA(),Sheet1!$O$5-(Sheet1!I433/Sheet1!$O$6))</f>
        <v/>
      </c>
    </row>
    <row r="434">
      <c r="A434">
        <f>Sheet1!K434</f>
        <v/>
      </c>
      <c r="B434">
        <f>IF(ISNA(Sheet1!I434),NA(),Sheet1!$O$5-(Sheet1!I434/Sheet1!$O$6))</f>
        <v/>
      </c>
    </row>
    <row r="435">
      <c r="A435">
        <f>Sheet1!K435</f>
        <v/>
      </c>
      <c r="B435">
        <f>IF(ISNA(Sheet1!I435),NA(),Sheet1!$O$5-(Sheet1!I435/Sheet1!$O$6))</f>
        <v/>
      </c>
    </row>
    <row r="436">
      <c r="A436">
        <f>Sheet1!K436</f>
        <v/>
      </c>
      <c r="B436">
        <f>IF(ISNA(Sheet1!I436),NA(),Sheet1!$O$5-(Sheet1!I436/Sheet1!$O$6))</f>
        <v/>
      </c>
    </row>
    <row r="437">
      <c r="A437">
        <f>Sheet1!K437</f>
        <v/>
      </c>
      <c r="B437">
        <f>IF(ISNA(Sheet1!I437),NA(),Sheet1!$O$5-(Sheet1!I437/Sheet1!$O$6))</f>
        <v/>
      </c>
    </row>
    <row r="438">
      <c r="A438">
        <f>Sheet1!K438</f>
        <v/>
      </c>
      <c r="B438">
        <f>IF(ISNA(Sheet1!I438),NA(),Sheet1!$O$5-(Sheet1!I438/Sheet1!$O$6))</f>
        <v/>
      </c>
    </row>
    <row r="439">
      <c r="A439">
        <f>Sheet1!K439</f>
        <v/>
      </c>
      <c r="B439">
        <f>IF(ISNA(Sheet1!I439),NA(),Sheet1!$O$5-(Sheet1!I439/Sheet1!$O$6))</f>
        <v/>
      </c>
    </row>
    <row r="440">
      <c r="A440">
        <f>Sheet1!K440</f>
        <v/>
      </c>
      <c r="B440">
        <f>IF(ISNA(Sheet1!I440),NA(),Sheet1!$O$5-(Sheet1!I440/Sheet1!$O$6))</f>
        <v/>
      </c>
    </row>
    <row r="441">
      <c r="A441">
        <f>Sheet1!K441</f>
        <v/>
      </c>
      <c r="B441">
        <f>IF(ISNA(Sheet1!I441),NA(),Sheet1!$O$5-(Sheet1!I441/Sheet1!$O$6))</f>
        <v/>
      </c>
    </row>
    <row r="442">
      <c r="A442">
        <f>Sheet1!K442</f>
        <v/>
      </c>
      <c r="B442">
        <f>IF(ISNA(Sheet1!I442),NA(),Sheet1!$O$5-(Sheet1!I442/Sheet1!$O$6))</f>
        <v/>
      </c>
    </row>
    <row r="443">
      <c r="A443">
        <f>Sheet1!K443</f>
        <v/>
      </c>
      <c r="B443">
        <f>IF(ISNA(Sheet1!I443),NA(),Sheet1!$O$5-(Sheet1!I443/Sheet1!$O$6))</f>
        <v/>
      </c>
    </row>
    <row r="444">
      <c r="A444">
        <f>Sheet1!K444</f>
        <v/>
      </c>
      <c r="B444">
        <f>IF(ISNA(Sheet1!I444),NA(),Sheet1!$O$5-(Sheet1!I444/Sheet1!$O$6))</f>
        <v/>
      </c>
    </row>
    <row r="445">
      <c r="A445">
        <f>Sheet1!K445</f>
        <v/>
      </c>
      <c r="B445">
        <f>IF(ISNA(Sheet1!I445),NA(),Sheet1!$O$5-(Sheet1!I445/Sheet1!$O$6))</f>
        <v/>
      </c>
    </row>
    <row r="446">
      <c r="A446">
        <f>Sheet1!K446</f>
        <v/>
      </c>
      <c r="B446">
        <f>IF(ISNA(Sheet1!I446),NA(),Sheet1!$O$5-(Sheet1!I446/Sheet1!$O$6))</f>
        <v/>
      </c>
    </row>
    <row r="447">
      <c r="A447">
        <f>Sheet1!K447</f>
        <v/>
      </c>
      <c r="B447">
        <f>IF(ISNA(Sheet1!I447),NA(),Sheet1!$O$5-(Sheet1!I447/Sheet1!$O$6))</f>
        <v/>
      </c>
    </row>
    <row r="448">
      <c r="A448">
        <f>Sheet1!K448</f>
        <v/>
      </c>
      <c r="B448">
        <f>IF(ISNA(Sheet1!I448),NA(),Sheet1!$O$5-(Sheet1!I448/Sheet1!$O$6))</f>
        <v/>
      </c>
    </row>
    <row r="449">
      <c r="A449">
        <f>Sheet1!K449</f>
        <v/>
      </c>
      <c r="B449">
        <f>IF(ISNA(Sheet1!I449),NA(),Sheet1!$O$5-(Sheet1!I449/Sheet1!$O$6))</f>
        <v/>
      </c>
    </row>
    <row r="450">
      <c r="A450">
        <f>Sheet1!K450</f>
        <v/>
      </c>
      <c r="B450">
        <f>IF(ISNA(Sheet1!I450),NA(),Sheet1!$O$5-(Sheet1!I450/Sheet1!$O$6))</f>
        <v/>
      </c>
    </row>
    <row r="451">
      <c r="A451">
        <f>Sheet1!K451</f>
        <v/>
      </c>
      <c r="B451">
        <f>IF(ISNA(Sheet1!I451),NA(),Sheet1!$O$5-(Sheet1!I451/Sheet1!$O$6))</f>
        <v/>
      </c>
    </row>
    <row r="452">
      <c r="A452">
        <f>Sheet1!K452</f>
        <v/>
      </c>
      <c r="B452">
        <f>IF(ISNA(Sheet1!I452),NA(),Sheet1!$O$5-(Sheet1!I452/Sheet1!$O$6))</f>
        <v/>
      </c>
    </row>
    <row r="453">
      <c r="A453">
        <f>Sheet1!K453</f>
        <v/>
      </c>
      <c r="B453">
        <f>IF(ISNA(Sheet1!I453),NA(),Sheet1!$O$5-(Sheet1!I453/Sheet1!$O$6))</f>
        <v/>
      </c>
    </row>
    <row r="454">
      <c r="A454">
        <f>Sheet1!K454</f>
        <v/>
      </c>
      <c r="B454">
        <f>IF(ISNA(Sheet1!I454),NA(),Sheet1!$O$5-(Sheet1!I454/Sheet1!$O$6))</f>
        <v/>
      </c>
    </row>
    <row r="455">
      <c r="A455">
        <f>Sheet1!K455</f>
        <v/>
      </c>
      <c r="B455">
        <f>IF(ISNA(Sheet1!I455),NA(),Sheet1!$O$5-(Sheet1!I455/Sheet1!$O$6))</f>
        <v/>
      </c>
    </row>
    <row r="456">
      <c r="A456">
        <f>Sheet1!K456</f>
        <v/>
      </c>
      <c r="B456">
        <f>IF(ISNA(Sheet1!I456),NA(),Sheet1!$O$5-(Sheet1!I456/Sheet1!$O$6))</f>
        <v/>
      </c>
    </row>
    <row r="457">
      <c r="A457">
        <f>Sheet1!K457</f>
        <v/>
      </c>
      <c r="B457">
        <f>IF(ISNA(Sheet1!I457),NA(),Sheet1!$O$5-(Sheet1!I457/Sheet1!$O$6))</f>
        <v/>
      </c>
    </row>
    <row r="458">
      <c r="A458">
        <f>Sheet1!K458</f>
        <v/>
      </c>
      <c r="B458">
        <f>IF(ISNA(Sheet1!I458),NA(),Sheet1!$O$5-(Sheet1!I458/Sheet1!$O$6))</f>
        <v/>
      </c>
    </row>
    <row r="459">
      <c r="A459">
        <f>Sheet1!K459</f>
        <v/>
      </c>
      <c r="B459">
        <f>IF(ISNA(Sheet1!I459),NA(),Sheet1!$O$5-(Sheet1!I459/Sheet1!$O$6))</f>
        <v/>
      </c>
    </row>
    <row r="460">
      <c r="A460">
        <f>Sheet1!K460</f>
        <v/>
      </c>
      <c r="B460">
        <f>IF(ISNA(Sheet1!I460),NA(),Sheet1!$O$5-(Sheet1!I460/Sheet1!$O$6))</f>
        <v/>
      </c>
    </row>
    <row r="461">
      <c r="A461">
        <f>Sheet1!K461</f>
        <v/>
      </c>
      <c r="B461">
        <f>IF(ISNA(Sheet1!I461),NA(),Sheet1!$O$5-(Sheet1!I461/Sheet1!$O$6))</f>
        <v/>
      </c>
    </row>
    <row r="462">
      <c r="A462">
        <f>Sheet1!K462</f>
        <v/>
      </c>
      <c r="B462">
        <f>IF(ISNA(Sheet1!I462),NA(),Sheet1!$O$5-(Sheet1!I462/Sheet1!$O$6))</f>
        <v/>
      </c>
    </row>
    <row r="463">
      <c r="A463">
        <f>Sheet1!K463</f>
        <v/>
      </c>
      <c r="B463">
        <f>IF(ISNA(Sheet1!I463),NA(),Sheet1!$O$5-(Sheet1!I463/Sheet1!$O$6))</f>
        <v/>
      </c>
    </row>
    <row r="464">
      <c r="A464">
        <f>Sheet1!K464</f>
        <v/>
      </c>
      <c r="B464">
        <f>IF(ISNA(Sheet1!I464),NA(),Sheet1!$O$5-(Sheet1!I464/Sheet1!$O$6))</f>
        <v/>
      </c>
    </row>
    <row r="465">
      <c r="A465">
        <f>Sheet1!K465</f>
        <v/>
      </c>
      <c r="B465">
        <f>IF(ISNA(Sheet1!I465),NA(),Sheet1!$O$5-(Sheet1!I465/Sheet1!$O$6))</f>
        <v/>
      </c>
    </row>
    <row r="466">
      <c r="A466">
        <f>Sheet1!K466</f>
        <v/>
      </c>
      <c r="B466">
        <f>IF(ISNA(Sheet1!I466),NA(),Sheet1!$O$5-(Sheet1!I466/Sheet1!$O$6))</f>
        <v/>
      </c>
    </row>
    <row r="467">
      <c r="A467">
        <f>Sheet1!K467</f>
        <v/>
      </c>
      <c r="B467">
        <f>IF(ISNA(Sheet1!I467),NA(),Sheet1!$O$5-(Sheet1!I467/Sheet1!$O$6))</f>
        <v/>
      </c>
    </row>
    <row r="468">
      <c r="A468">
        <f>Sheet1!K468</f>
        <v/>
      </c>
      <c r="B468">
        <f>IF(ISNA(Sheet1!I468),NA(),Sheet1!$O$5-(Sheet1!I468/Sheet1!$O$6))</f>
        <v/>
      </c>
    </row>
    <row r="469">
      <c r="A469">
        <f>Sheet1!K469</f>
        <v/>
      </c>
      <c r="B469">
        <f>IF(ISNA(Sheet1!I469),NA(),Sheet1!$O$5-(Sheet1!I469/Sheet1!$O$6))</f>
        <v/>
      </c>
    </row>
    <row r="470">
      <c r="A470">
        <f>Sheet1!K470</f>
        <v/>
      </c>
      <c r="B470">
        <f>IF(ISNA(Sheet1!I470),NA(),Sheet1!$O$5-(Sheet1!I470/Sheet1!$O$6))</f>
        <v/>
      </c>
    </row>
    <row r="471">
      <c r="A471">
        <f>Sheet1!K471</f>
        <v/>
      </c>
      <c r="B471">
        <f>IF(ISNA(Sheet1!I471),NA(),Sheet1!$O$5-(Sheet1!I471/Sheet1!$O$6))</f>
        <v/>
      </c>
    </row>
    <row r="472">
      <c r="A472">
        <f>Sheet1!K472</f>
        <v/>
      </c>
      <c r="B472">
        <f>IF(ISNA(Sheet1!I472),NA(),Sheet1!$O$5-(Sheet1!I472/Sheet1!$O$6))</f>
        <v/>
      </c>
    </row>
    <row r="473">
      <c r="A473">
        <f>Sheet1!K473</f>
        <v/>
      </c>
      <c r="B473">
        <f>IF(ISNA(Sheet1!I473),NA(),Sheet1!$O$5-(Sheet1!I473/Sheet1!$O$6))</f>
        <v/>
      </c>
    </row>
    <row r="474">
      <c r="A474">
        <f>Sheet1!K474</f>
        <v/>
      </c>
      <c r="B474">
        <f>IF(ISNA(Sheet1!I474),NA(),Sheet1!$O$5-(Sheet1!I474/Sheet1!$O$6))</f>
        <v/>
      </c>
    </row>
    <row r="475">
      <c r="A475">
        <f>Sheet1!K475</f>
        <v/>
      </c>
      <c r="B475">
        <f>IF(ISNA(Sheet1!I475),NA(),Sheet1!$O$5-(Sheet1!I475/Sheet1!$O$6))</f>
        <v/>
      </c>
    </row>
    <row r="476">
      <c r="A476">
        <f>Sheet1!K476</f>
        <v/>
      </c>
      <c r="B476">
        <f>IF(ISNA(Sheet1!I476),NA(),Sheet1!$O$5-(Sheet1!I476/Sheet1!$O$6))</f>
        <v/>
      </c>
    </row>
    <row r="477">
      <c r="A477">
        <f>Sheet1!K477</f>
        <v/>
      </c>
      <c r="B477">
        <f>IF(ISNA(Sheet1!I477),NA(),Sheet1!$O$5-(Sheet1!I477/Sheet1!$O$6))</f>
        <v/>
      </c>
    </row>
    <row r="478">
      <c r="A478">
        <f>Sheet1!K478</f>
        <v/>
      </c>
      <c r="B478">
        <f>IF(ISNA(Sheet1!I478),NA(),Sheet1!$O$5-(Sheet1!I478/Sheet1!$O$6))</f>
        <v/>
      </c>
    </row>
    <row r="479">
      <c r="A479">
        <f>Sheet1!K479</f>
        <v/>
      </c>
      <c r="B479">
        <f>IF(ISNA(Sheet1!I479),NA(),Sheet1!$O$5-(Sheet1!I479/Sheet1!$O$6))</f>
        <v/>
      </c>
    </row>
    <row r="480">
      <c r="A480">
        <f>Sheet1!K480</f>
        <v/>
      </c>
      <c r="B480">
        <f>IF(ISNA(Sheet1!I480),NA(),Sheet1!$O$5-(Sheet1!I480/Sheet1!$O$6))</f>
        <v/>
      </c>
    </row>
    <row r="481">
      <c r="A481">
        <f>Sheet1!K481</f>
        <v/>
      </c>
      <c r="B481">
        <f>IF(ISNA(Sheet1!I481),NA(),Sheet1!$O$5-(Sheet1!I481/Sheet1!$O$6))</f>
        <v/>
      </c>
    </row>
    <row r="482">
      <c r="A482">
        <f>Sheet1!K482</f>
        <v/>
      </c>
      <c r="B482">
        <f>IF(ISNA(Sheet1!I482),NA(),Sheet1!$O$5-(Sheet1!I482/Sheet1!$O$6))</f>
        <v/>
      </c>
    </row>
    <row r="483">
      <c r="A483">
        <f>Sheet1!K483</f>
        <v/>
      </c>
      <c r="B483">
        <f>IF(ISNA(Sheet1!I483),NA(),Sheet1!$O$5-(Sheet1!I483/Sheet1!$O$6))</f>
        <v/>
      </c>
    </row>
    <row r="484">
      <c r="A484">
        <f>Sheet1!K484</f>
        <v/>
      </c>
      <c r="B484">
        <f>IF(ISNA(Sheet1!I484),NA(),Sheet1!$O$5-(Sheet1!I484/Sheet1!$O$6))</f>
        <v/>
      </c>
    </row>
    <row r="485">
      <c r="A485">
        <f>Sheet1!K485</f>
        <v/>
      </c>
      <c r="B485">
        <f>IF(ISNA(Sheet1!I485),NA(),Sheet1!$O$5-(Sheet1!I485/Sheet1!$O$6))</f>
        <v/>
      </c>
    </row>
    <row r="486">
      <c r="A486">
        <f>Sheet1!K486</f>
        <v/>
      </c>
      <c r="B486">
        <f>IF(ISNA(Sheet1!I486),NA(),Sheet1!$O$5-(Sheet1!I486/Sheet1!$O$6))</f>
        <v/>
      </c>
    </row>
    <row r="487">
      <c r="A487">
        <f>Sheet1!K487</f>
        <v/>
      </c>
      <c r="B487">
        <f>IF(ISNA(Sheet1!I487),NA(),Sheet1!$O$5-(Sheet1!I487/Sheet1!$O$6))</f>
        <v/>
      </c>
    </row>
    <row r="488">
      <c r="A488">
        <f>Sheet1!K488</f>
        <v/>
      </c>
      <c r="B488">
        <f>IF(ISNA(Sheet1!I488),NA(),Sheet1!$O$5-(Sheet1!I488/Sheet1!$O$6))</f>
        <v/>
      </c>
    </row>
    <row r="489">
      <c r="A489">
        <f>Sheet1!K489</f>
        <v/>
      </c>
      <c r="B489">
        <f>IF(ISNA(Sheet1!I489),NA(),Sheet1!$O$5-(Sheet1!I489/Sheet1!$O$6))</f>
        <v/>
      </c>
    </row>
    <row r="490">
      <c r="A490">
        <f>Sheet1!K490</f>
        <v/>
      </c>
      <c r="B490">
        <f>IF(ISNA(Sheet1!I490),NA(),Sheet1!$O$5-(Sheet1!I490/Sheet1!$O$6))</f>
        <v/>
      </c>
    </row>
    <row r="491">
      <c r="A491">
        <f>Sheet1!K491</f>
        <v/>
      </c>
      <c r="B491">
        <f>IF(ISNA(Sheet1!I491),NA(),Sheet1!$O$5-(Sheet1!I491/Sheet1!$O$6))</f>
        <v/>
      </c>
    </row>
    <row r="492">
      <c r="A492">
        <f>Sheet1!K492</f>
        <v/>
      </c>
      <c r="B492">
        <f>IF(ISNA(Sheet1!I492),NA(),Sheet1!$O$5-(Sheet1!I492/Sheet1!$O$6))</f>
        <v/>
      </c>
    </row>
    <row r="493">
      <c r="A493">
        <f>Sheet1!K493</f>
        <v/>
      </c>
      <c r="B493">
        <f>IF(ISNA(Sheet1!I493),NA(),Sheet1!$O$5-(Sheet1!I493/Sheet1!$O$6))</f>
        <v/>
      </c>
    </row>
    <row r="494">
      <c r="A494">
        <f>Sheet1!K494</f>
        <v/>
      </c>
      <c r="B494">
        <f>IF(ISNA(Sheet1!I494),NA(),Sheet1!$O$5-(Sheet1!I494/Sheet1!$O$6))</f>
        <v/>
      </c>
    </row>
    <row r="495">
      <c r="A495">
        <f>Sheet1!K495</f>
        <v/>
      </c>
      <c r="B495">
        <f>IF(ISNA(Sheet1!I495),NA(),Sheet1!$O$5-(Sheet1!I495/Sheet1!$O$6))</f>
        <v/>
      </c>
    </row>
    <row r="496">
      <c r="A496">
        <f>Sheet1!K496</f>
        <v/>
      </c>
      <c r="B496">
        <f>IF(ISNA(Sheet1!I496),NA(),Sheet1!$O$5-(Sheet1!I496/Sheet1!$O$6))</f>
        <v/>
      </c>
    </row>
    <row r="497">
      <c r="A497">
        <f>Sheet1!K497</f>
        <v/>
      </c>
      <c r="B497">
        <f>IF(ISNA(Sheet1!I497),NA(),Sheet1!$O$5-(Sheet1!I497/Sheet1!$O$6))</f>
        <v/>
      </c>
    </row>
    <row r="498">
      <c r="A498">
        <f>Sheet1!K498</f>
        <v/>
      </c>
      <c r="B498">
        <f>IF(ISNA(Sheet1!I498),NA(),Sheet1!$O$5-(Sheet1!I498/Sheet1!$O$6))</f>
        <v/>
      </c>
    </row>
    <row r="499">
      <c r="A499">
        <f>Sheet1!K499</f>
        <v/>
      </c>
      <c r="B499">
        <f>IF(ISNA(Sheet1!I499),NA(),Sheet1!$O$5-(Sheet1!I499/Sheet1!$O$6))</f>
        <v/>
      </c>
    </row>
    <row r="500">
      <c r="A500">
        <f>Sheet1!K500</f>
        <v/>
      </c>
      <c r="B500">
        <f>IF(ISNA(Sheet1!I500),NA(),Sheet1!$O$5-(Sheet1!I500/Sheet1!$O$6))</f>
        <v/>
      </c>
    </row>
    <row r="501">
      <c r="A501">
        <f>Sheet1!K501</f>
        <v/>
      </c>
      <c r="B501">
        <f>IF(ISNA(Sheet1!I501),NA(),Sheet1!$O$5-(Sheet1!I501/Sheet1!$O$6))</f>
        <v/>
      </c>
    </row>
    <row r="502">
      <c r="A502">
        <f>Sheet1!K502</f>
        <v/>
      </c>
      <c r="B502">
        <f>IF(ISNA(Sheet1!I502),NA(),Sheet1!$O$5-(Sheet1!I502/Sheet1!$O$6))</f>
        <v/>
      </c>
    </row>
    <row r="503">
      <c r="A503">
        <f>Sheet1!K503</f>
        <v/>
      </c>
      <c r="B503">
        <f>IF(ISNA(Sheet1!I503),NA(),Sheet1!$O$5-(Sheet1!I503/Sheet1!$O$6))</f>
        <v/>
      </c>
    </row>
    <row r="504">
      <c r="A504">
        <f>Sheet1!K504</f>
        <v/>
      </c>
      <c r="B504">
        <f>IF(ISNA(Sheet1!I504),NA(),Sheet1!$O$5-(Sheet1!I504/Sheet1!$O$6))</f>
        <v/>
      </c>
    </row>
    <row r="505">
      <c r="A505">
        <f>Sheet1!K505</f>
        <v/>
      </c>
      <c r="B505">
        <f>IF(ISNA(Sheet1!I505),NA(),Sheet1!$O$5-(Sheet1!I505/Sheet1!$O$6))</f>
        <v/>
      </c>
    </row>
    <row r="506">
      <c r="A506">
        <f>Sheet1!K506</f>
        <v/>
      </c>
      <c r="B506">
        <f>IF(ISNA(Sheet1!I506),NA(),Sheet1!$O$5-(Sheet1!I506/Sheet1!$O$6))</f>
        <v/>
      </c>
    </row>
    <row r="507">
      <c r="A507">
        <f>Sheet1!K507</f>
        <v/>
      </c>
      <c r="B507">
        <f>IF(ISNA(Sheet1!I507),NA(),Sheet1!$O$5-(Sheet1!I507/Sheet1!$O$6))</f>
        <v/>
      </c>
    </row>
    <row r="508">
      <c r="A508">
        <f>Sheet1!K508</f>
        <v/>
      </c>
      <c r="B508">
        <f>IF(ISNA(Sheet1!I508),NA(),Sheet1!$O$5-(Sheet1!I508/Sheet1!$O$6))</f>
        <v/>
      </c>
    </row>
    <row r="509">
      <c r="A509">
        <f>Sheet1!K509</f>
        <v/>
      </c>
      <c r="B509">
        <f>IF(ISNA(Sheet1!I509),NA(),Sheet1!$O$5-(Sheet1!I509/Sheet1!$O$6))</f>
        <v/>
      </c>
    </row>
    <row r="510">
      <c r="A510">
        <f>Sheet1!K510</f>
        <v/>
      </c>
      <c r="B510">
        <f>IF(ISNA(Sheet1!I510),NA(),Sheet1!$O$5-(Sheet1!I510/Sheet1!$O$6))</f>
        <v/>
      </c>
    </row>
    <row r="511">
      <c r="A511">
        <f>Sheet1!K511</f>
        <v/>
      </c>
      <c r="B511">
        <f>IF(ISNA(Sheet1!I511),NA(),Sheet1!$O$5-(Sheet1!I511/Sheet1!$O$6))</f>
        <v/>
      </c>
    </row>
    <row r="512">
      <c r="A512">
        <f>Sheet1!K512</f>
        <v/>
      </c>
      <c r="B512">
        <f>IF(ISNA(Sheet1!I512),NA(),Sheet1!$O$5-(Sheet1!I512/Sheet1!$O$6))</f>
        <v/>
      </c>
    </row>
    <row r="513">
      <c r="A513">
        <f>Sheet1!K513</f>
        <v/>
      </c>
      <c r="B513">
        <f>IF(ISNA(Sheet1!I513),NA(),Sheet1!$O$5-(Sheet1!I513/Sheet1!$O$6))</f>
        <v/>
      </c>
    </row>
    <row r="514">
      <c r="A514">
        <f>Sheet1!K514</f>
        <v/>
      </c>
      <c r="B514">
        <f>IF(ISNA(Sheet1!I514),NA(),Sheet1!$O$5-(Sheet1!I514/Sheet1!$O$6))</f>
        <v/>
      </c>
    </row>
    <row r="515">
      <c r="A515">
        <f>Sheet1!K515</f>
        <v/>
      </c>
      <c r="B515">
        <f>IF(ISNA(Sheet1!I515),NA(),Sheet1!$O$5-(Sheet1!I515/Sheet1!$O$6))</f>
        <v/>
      </c>
    </row>
    <row r="516">
      <c r="A516">
        <f>Sheet1!K516</f>
        <v/>
      </c>
      <c r="B516">
        <f>IF(ISNA(Sheet1!I516),NA(),Sheet1!$O$5-(Sheet1!I516/Sheet1!$O$6))</f>
        <v/>
      </c>
    </row>
    <row r="517">
      <c r="A517">
        <f>Sheet1!K517</f>
        <v/>
      </c>
      <c r="B517">
        <f>IF(ISNA(Sheet1!I517),NA(),Sheet1!$O$5-(Sheet1!I517/Sheet1!$O$6))</f>
        <v/>
      </c>
    </row>
    <row r="518">
      <c r="A518">
        <f>Sheet1!K518</f>
        <v/>
      </c>
      <c r="B518">
        <f>IF(ISNA(Sheet1!I518),NA(),Sheet1!$O$5-(Sheet1!I518/Sheet1!$O$6))</f>
        <v/>
      </c>
    </row>
    <row r="519">
      <c r="A519">
        <f>Sheet1!K519</f>
        <v/>
      </c>
      <c r="B519">
        <f>IF(ISNA(Sheet1!I519),NA(),Sheet1!$O$5-(Sheet1!I519/Sheet1!$O$6))</f>
        <v/>
      </c>
    </row>
    <row r="520">
      <c r="A520">
        <f>Sheet1!K520</f>
        <v/>
      </c>
      <c r="B520">
        <f>IF(ISNA(Sheet1!I520),NA(),Sheet1!$O$5-(Sheet1!I520/Sheet1!$O$6))</f>
        <v/>
      </c>
    </row>
    <row r="521">
      <c r="A521">
        <f>Sheet1!K521</f>
        <v/>
      </c>
      <c r="B521">
        <f>IF(ISNA(Sheet1!I521),NA(),Sheet1!$O$5-(Sheet1!I521/Sheet1!$O$6))</f>
        <v/>
      </c>
    </row>
    <row r="522">
      <c r="A522">
        <f>Sheet1!K522</f>
        <v/>
      </c>
      <c r="B522">
        <f>IF(ISNA(Sheet1!I522),NA(),Sheet1!$O$5-(Sheet1!I522/Sheet1!$O$6))</f>
        <v/>
      </c>
    </row>
    <row r="523">
      <c r="A523">
        <f>Sheet1!K523</f>
        <v/>
      </c>
      <c r="B523">
        <f>IF(ISNA(Sheet1!I523),NA(),Sheet1!$O$5-(Sheet1!I523/Sheet1!$O$6))</f>
        <v/>
      </c>
    </row>
    <row r="524">
      <c r="A524">
        <f>Sheet1!K524</f>
        <v/>
      </c>
      <c r="B524">
        <f>IF(ISNA(Sheet1!I524),NA(),Sheet1!$O$5-(Sheet1!I524/Sheet1!$O$6))</f>
        <v/>
      </c>
    </row>
    <row r="525">
      <c r="A525">
        <f>Sheet1!K525</f>
        <v/>
      </c>
      <c r="B525">
        <f>IF(ISNA(Sheet1!I525),NA(),Sheet1!$O$5-(Sheet1!I525/Sheet1!$O$6))</f>
        <v/>
      </c>
    </row>
    <row r="526">
      <c r="A526">
        <f>Sheet1!K526</f>
        <v/>
      </c>
      <c r="B526">
        <f>IF(ISNA(Sheet1!I526),NA(),Sheet1!$O$5-(Sheet1!I526/Sheet1!$O$6))</f>
        <v/>
      </c>
    </row>
    <row r="527">
      <c r="A527">
        <f>Sheet1!K527</f>
        <v/>
      </c>
      <c r="B527">
        <f>IF(ISNA(Sheet1!I527),NA(),Sheet1!$O$5-(Sheet1!I527/Sheet1!$O$6))</f>
        <v/>
      </c>
    </row>
    <row r="528">
      <c r="A528">
        <f>Sheet1!K528</f>
        <v/>
      </c>
      <c r="B528">
        <f>IF(ISNA(Sheet1!I528),NA(),Sheet1!$O$5-(Sheet1!I528/Sheet1!$O$6))</f>
        <v/>
      </c>
    </row>
    <row r="529">
      <c r="A529">
        <f>Sheet1!K529</f>
        <v/>
      </c>
      <c r="B529">
        <f>IF(ISNA(Sheet1!I529),NA(),Sheet1!$O$5-(Sheet1!I529/Sheet1!$O$6))</f>
        <v/>
      </c>
    </row>
    <row r="530">
      <c r="A530">
        <f>Sheet1!K530</f>
        <v/>
      </c>
      <c r="B530">
        <f>IF(ISNA(Sheet1!I530),NA(),Sheet1!$O$5-(Sheet1!I530/Sheet1!$O$6))</f>
        <v/>
      </c>
    </row>
    <row r="531">
      <c r="A531">
        <f>Sheet1!K531</f>
        <v/>
      </c>
      <c r="B531">
        <f>IF(ISNA(Sheet1!I531),NA(),Sheet1!$O$5-(Sheet1!I531/Sheet1!$O$6))</f>
        <v/>
      </c>
    </row>
    <row r="532">
      <c r="A532">
        <f>Sheet1!K532</f>
        <v/>
      </c>
      <c r="B532">
        <f>IF(ISNA(Sheet1!I532),NA(),Sheet1!$O$5-(Sheet1!I532/Sheet1!$O$6))</f>
        <v/>
      </c>
    </row>
    <row r="533">
      <c r="A533">
        <f>Sheet1!K533</f>
        <v/>
      </c>
      <c r="B533">
        <f>IF(ISNA(Sheet1!I533),NA(),Sheet1!$O$5-(Sheet1!I533/Sheet1!$O$6))</f>
        <v/>
      </c>
    </row>
    <row r="534">
      <c r="A534">
        <f>Sheet1!K534</f>
        <v/>
      </c>
      <c r="B534">
        <f>IF(ISNA(Sheet1!I534),NA(),Sheet1!$O$5-(Sheet1!I534/Sheet1!$O$6))</f>
        <v/>
      </c>
    </row>
    <row r="535">
      <c r="A535">
        <f>Sheet1!K535</f>
        <v/>
      </c>
      <c r="B535">
        <f>IF(ISNA(Sheet1!I535),NA(),Sheet1!$O$5-(Sheet1!I535/Sheet1!$O$6))</f>
        <v/>
      </c>
    </row>
    <row r="536">
      <c r="A536">
        <f>Sheet1!K536</f>
        <v/>
      </c>
      <c r="B536">
        <f>IF(ISNA(Sheet1!I536),NA(),Sheet1!$O$5-(Sheet1!I536/Sheet1!$O$6))</f>
        <v/>
      </c>
    </row>
    <row r="537">
      <c r="A537">
        <f>Sheet1!K537</f>
        <v/>
      </c>
      <c r="B537">
        <f>IF(ISNA(Sheet1!I537),NA(),Sheet1!$O$5-(Sheet1!I537/Sheet1!$O$6))</f>
        <v/>
      </c>
    </row>
    <row r="538">
      <c r="A538">
        <f>Sheet1!K538</f>
        <v/>
      </c>
      <c r="B538">
        <f>IF(ISNA(Sheet1!I538),NA(),Sheet1!$O$5-(Sheet1!I538/Sheet1!$O$6))</f>
        <v/>
      </c>
    </row>
    <row r="539">
      <c r="A539">
        <f>Sheet1!K539</f>
        <v/>
      </c>
      <c r="B539">
        <f>IF(ISNA(Sheet1!I539),NA(),Sheet1!$O$5-(Sheet1!I539/Sheet1!$O$6))</f>
        <v/>
      </c>
    </row>
    <row r="540">
      <c r="A540">
        <f>Sheet1!K540</f>
        <v/>
      </c>
      <c r="B540">
        <f>IF(ISNA(Sheet1!I540),NA(),Sheet1!$O$5-(Sheet1!I540/Sheet1!$O$6))</f>
        <v/>
      </c>
    </row>
    <row r="541">
      <c r="A541">
        <f>Sheet1!K541</f>
        <v/>
      </c>
      <c r="B541">
        <f>IF(ISNA(Sheet1!I541),NA(),Sheet1!$O$5-(Sheet1!I541/Sheet1!$O$6))</f>
        <v/>
      </c>
    </row>
    <row r="542">
      <c r="A542">
        <f>Sheet1!K542</f>
        <v/>
      </c>
      <c r="B542">
        <f>IF(ISNA(Sheet1!I542),NA(),Sheet1!$O$5-(Sheet1!I542/Sheet1!$O$6))</f>
        <v/>
      </c>
    </row>
    <row r="543">
      <c r="A543">
        <f>Sheet1!K543</f>
        <v/>
      </c>
      <c r="B543">
        <f>IF(ISNA(Sheet1!I543),NA(),Sheet1!$O$5-(Sheet1!I543/Sheet1!$O$6))</f>
        <v/>
      </c>
    </row>
    <row r="544">
      <c r="A544">
        <f>Sheet1!K544</f>
        <v/>
      </c>
      <c r="B544">
        <f>IF(ISNA(Sheet1!I544),NA(),Sheet1!$O$5-(Sheet1!I544/Sheet1!$O$6))</f>
        <v/>
      </c>
    </row>
    <row r="545">
      <c r="A545">
        <f>Sheet1!K545</f>
        <v/>
      </c>
      <c r="B545">
        <f>IF(ISNA(Sheet1!I545),NA(),Sheet1!$O$5-(Sheet1!I545/Sheet1!$O$6))</f>
        <v/>
      </c>
    </row>
    <row r="546">
      <c r="A546">
        <f>Sheet1!K546</f>
        <v/>
      </c>
      <c r="B546">
        <f>IF(ISNA(Sheet1!I546),NA(),Sheet1!$O$5-(Sheet1!I546/Sheet1!$O$6))</f>
        <v/>
      </c>
    </row>
    <row r="547">
      <c r="A547">
        <f>Sheet1!K547</f>
        <v/>
      </c>
      <c r="B547">
        <f>IF(ISNA(Sheet1!I547),NA(),Sheet1!$O$5-(Sheet1!I547/Sheet1!$O$6))</f>
        <v/>
      </c>
    </row>
    <row r="548">
      <c r="A548">
        <f>Sheet1!K548</f>
        <v/>
      </c>
      <c r="B548">
        <f>IF(ISNA(Sheet1!I548),NA(),Sheet1!$O$5-(Sheet1!I548/Sheet1!$O$6))</f>
        <v/>
      </c>
    </row>
    <row r="549">
      <c r="A549">
        <f>Sheet1!K549</f>
        <v/>
      </c>
      <c r="B549">
        <f>IF(ISNA(Sheet1!I549),NA(),Sheet1!$O$5-(Sheet1!I549/Sheet1!$O$6))</f>
        <v/>
      </c>
    </row>
    <row r="550">
      <c r="A550">
        <f>Sheet1!K550</f>
        <v/>
      </c>
      <c r="B550">
        <f>IF(ISNA(Sheet1!I550),NA(),Sheet1!$O$5-(Sheet1!I550/Sheet1!$O$6))</f>
        <v/>
      </c>
    </row>
    <row r="551">
      <c r="A551">
        <f>Sheet1!K551</f>
        <v/>
      </c>
      <c r="B551">
        <f>IF(ISNA(Sheet1!I551),NA(),Sheet1!$O$5-(Sheet1!I551/Sheet1!$O$6))</f>
        <v/>
      </c>
    </row>
    <row r="552">
      <c r="A552">
        <f>Sheet1!K552</f>
        <v/>
      </c>
      <c r="B552">
        <f>IF(ISNA(Sheet1!I552),NA(),Sheet1!$O$5-(Sheet1!I552/Sheet1!$O$6))</f>
        <v/>
      </c>
    </row>
    <row r="553">
      <c r="A553">
        <f>Sheet1!K553</f>
        <v/>
      </c>
      <c r="B553">
        <f>IF(ISNA(Sheet1!I553),NA(),Sheet1!$O$5-(Sheet1!I553/Sheet1!$O$6))</f>
        <v/>
      </c>
    </row>
    <row r="554">
      <c r="A554">
        <f>Sheet1!K554</f>
        <v/>
      </c>
      <c r="B554">
        <f>IF(ISNA(Sheet1!I554),NA(),Sheet1!$O$5-(Sheet1!I554/Sheet1!$O$6))</f>
        <v/>
      </c>
    </row>
    <row r="555">
      <c r="A555">
        <f>Sheet1!K555</f>
        <v/>
      </c>
      <c r="B555">
        <f>IF(ISNA(Sheet1!I555),NA(),Sheet1!$O$5-(Sheet1!I555/Sheet1!$O$6))</f>
        <v/>
      </c>
    </row>
    <row r="556">
      <c r="A556">
        <f>Sheet1!K556</f>
        <v/>
      </c>
      <c r="B556">
        <f>IF(ISNA(Sheet1!I556),NA(),Sheet1!$O$5-(Sheet1!I556/Sheet1!$O$6))</f>
        <v/>
      </c>
    </row>
    <row r="557">
      <c r="A557">
        <f>Sheet1!K557</f>
        <v/>
      </c>
      <c r="B557">
        <f>IF(ISNA(Sheet1!I557),NA(),Sheet1!$O$5-(Sheet1!I557/Sheet1!$O$6))</f>
        <v/>
      </c>
    </row>
    <row r="558">
      <c r="A558">
        <f>Sheet1!K558</f>
        <v/>
      </c>
      <c r="B558">
        <f>IF(ISNA(Sheet1!I558),NA(),Sheet1!$O$5-(Sheet1!I558/Sheet1!$O$6))</f>
        <v/>
      </c>
    </row>
    <row r="559">
      <c r="A559">
        <f>Sheet1!K559</f>
        <v/>
      </c>
      <c r="B559">
        <f>IF(ISNA(Sheet1!I559),NA(),Sheet1!$O$5-(Sheet1!I559/Sheet1!$O$6))</f>
        <v/>
      </c>
    </row>
    <row r="560">
      <c r="A560">
        <f>Sheet1!K560</f>
        <v/>
      </c>
      <c r="B560">
        <f>IF(ISNA(Sheet1!I560),NA(),Sheet1!$O$5-(Sheet1!I560/Sheet1!$O$6))</f>
        <v/>
      </c>
    </row>
    <row r="561">
      <c r="A561">
        <f>Sheet1!K561</f>
        <v/>
      </c>
      <c r="B561">
        <f>IF(ISNA(Sheet1!I561),NA(),Sheet1!$O$5-(Sheet1!I561/Sheet1!$O$6))</f>
        <v/>
      </c>
    </row>
    <row r="562">
      <c r="A562">
        <f>Sheet1!K562</f>
        <v/>
      </c>
      <c r="B562">
        <f>IF(ISNA(Sheet1!I562),NA(),Sheet1!$O$5-(Sheet1!I562/Sheet1!$O$6))</f>
        <v/>
      </c>
    </row>
    <row r="563">
      <c r="A563">
        <f>Sheet1!K563</f>
        <v/>
      </c>
      <c r="B563">
        <f>IF(ISNA(Sheet1!I563),NA(),Sheet1!$O$5-(Sheet1!I563/Sheet1!$O$6))</f>
        <v/>
      </c>
    </row>
    <row r="564">
      <c r="A564">
        <f>Sheet1!K564</f>
        <v/>
      </c>
      <c r="B564">
        <f>IF(ISNA(Sheet1!I564),NA(),Sheet1!$O$5-(Sheet1!I564/Sheet1!$O$6))</f>
        <v/>
      </c>
    </row>
    <row r="565">
      <c r="A565">
        <f>Sheet1!K565</f>
        <v/>
      </c>
      <c r="B565">
        <f>IF(ISNA(Sheet1!I565),NA(),Sheet1!$O$5-(Sheet1!I565/Sheet1!$O$6))</f>
        <v/>
      </c>
    </row>
    <row r="566">
      <c r="A566">
        <f>Sheet1!K566</f>
        <v/>
      </c>
      <c r="B566">
        <f>IF(ISNA(Sheet1!I566),NA(),Sheet1!$O$5-(Sheet1!I566/Sheet1!$O$6))</f>
        <v/>
      </c>
    </row>
    <row r="567">
      <c r="A567">
        <f>Sheet1!K567</f>
        <v/>
      </c>
      <c r="B567">
        <f>IF(ISNA(Sheet1!I567),NA(),Sheet1!$O$5-(Sheet1!I567/Sheet1!$O$6))</f>
        <v/>
      </c>
    </row>
    <row r="568">
      <c r="A568">
        <f>Sheet1!K568</f>
        <v/>
      </c>
      <c r="B568">
        <f>IF(ISNA(Sheet1!I568),NA(),Sheet1!$O$5-(Sheet1!I568/Sheet1!$O$6))</f>
        <v/>
      </c>
    </row>
    <row r="569">
      <c r="A569">
        <f>Sheet1!K569</f>
        <v/>
      </c>
      <c r="B569">
        <f>IF(ISNA(Sheet1!I569),NA(),Sheet1!$O$5-(Sheet1!I569/Sheet1!$O$6))</f>
        <v/>
      </c>
    </row>
    <row r="570">
      <c r="A570">
        <f>Sheet1!K570</f>
        <v/>
      </c>
      <c r="B570">
        <f>IF(ISNA(Sheet1!I570),NA(),Sheet1!$O$5-(Sheet1!I570/Sheet1!$O$6))</f>
        <v/>
      </c>
    </row>
    <row r="571">
      <c r="A571">
        <f>Sheet1!K571</f>
        <v/>
      </c>
      <c r="B571">
        <f>IF(ISNA(Sheet1!I571),NA(),Sheet1!$O$5-(Sheet1!I571/Sheet1!$O$6))</f>
        <v/>
      </c>
    </row>
    <row r="572">
      <c r="A572">
        <f>Sheet1!K572</f>
        <v/>
      </c>
      <c r="B572">
        <f>IF(ISNA(Sheet1!I572),NA(),Sheet1!$O$5-(Sheet1!I572/Sheet1!$O$6))</f>
        <v/>
      </c>
    </row>
    <row r="573">
      <c r="A573">
        <f>Sheet1!K573</f>
        <v/>
      </c>
      <c r="B573">
        <f>IF(ISNA(Sheet1!I573),NA(),Sheet1!$O$5-(Sheet1!I573/Sheet1!$O$6))</f>
        <v/>
      </c>
    </row>
    <row r="574">
      <c r="A574">
        <f>Sheet1!K574</f>
        <v/>
      </c>
      <c r="B574">
        <f>IF(ISNA(Sheet1!I574),NA(),Sheet1!$O$5-(Sheet1!I574/Sheet1!$O$6))</f>
        <v/>
      </c>
    </row>
    <row r="575">
      <c r="A575">
        <f>Sheet1!K575</f>
        <v/>
      </c>
      <c r="B575">
        <f>IF(ISNA(Sheet1!I575),NA(),Sheet1!$O$5-(Sheet1!I575/Sheet1!$O$6))</f>
        <v/>
      </c>
    </row>
    <row r="576">
      <c r="A576">
        <f>Sheet1!K576</f>
        <v/>
      </c>
      <c r="B576">
        <f>IF(ISNA(Sheet1!I576),NA(),Sheet1!$O$5-(Sheet1!I576/Sheet1!$O$6))</f>
        <v/>
      </c>
    </row>
    <row r="577">
      <c r="A577">
        <f>Sheet1!K577</f>
        <v/>
      </c>
      <c r="B577">
        <f>IF(ISNA(Sheet1!I577),NA(),Sheet1!$O$5-(Sheet1!I577/Sheet1!$O$6))</f>
        <v/>
      </c>
    </row>
    <row r="578">
      <c r="A578">
        <f>Sheet1!K578</f>
        <v/>
      </c>
      <c r="B578">
        <f>IF(ISNA(Sheet1!I578),NA(),Sheet1!$O$5-(Sheet1!I578/Sheet1!$O$6))</f>
        <v/>
      </c>
    </row>
    <row r="579">
      <c r="A579">
        <f>Sheet1!K579</f>
        <v/>
      </c>
      <c r="B579">
        <f>IF(ISNA(Sheet1!I579),NA(),Sheet1!$O$5-(Sheet1!I579/Sheet1!$O$6))</f>
        <v/>
      </c>
    </row>
    <row r="580">
      <c r="A580">
        <f>Sheet1!K580</f>
        <v/>
      </c>
      <c r="B580">
        <f>IF(ISNA(Sheet1!I580),NA(),Sheet1!$O$5-(Sheet1!I580/Sheet1!$O$6))</f>
        <v/>
      </c>
    </row>
    <row r="581">
      <c r="A581">
        <f>Sheet1!K581</f>
        <v/>
      </c>
      <c r="B581">
        <f>IF(ISNA(Sheet1!I581),NA(),Sheet1!$O$5-(Sheet1!I581/Sheet1!$O$6))</f>
        <v/>
      </c>
    </row>
    <row r="582">
      <c r="A582">
        <f>Sheet1!K582</f>
        <v/>
      </c>
      <c r="B582">
        <f>IF(ISNA(Sheet1!I582),NA(),Sheet1!$O$5-(Sheet1!I582/Sheet1!$O$6))</f>
        <v/>
      </c>
    </row>
    <row r="583">
      <c r="A583">
        <f>Sheet1!K583</f>
        <v/>
      </c>
      <c r="B583">
        <f>IF(ISNA(Sheet1!I583),NA(),Sheet1!$O$5-(Sheet1!I583/Sheet1!$O$6))</f>
        <v/>
      </c>
    </row>
    <row r="584">
      <c r="A584">
        <f>Sheet1!K584</f>
        <v/>
      </c>
      <c r="B584">
        <f>IF(ISNA(Sheet1!I584),NA(),Sheet1!$O$5-(Sheet1!I584/Sheet1!$O$6))</f>
        <v/>
      </c>
    </row>
    <row r="585">
      <c r="A585">
        <f>Sheet1!K585</f>
        <v/>
      </c>
      <c r="B585">
        <f>IF(ISNA(Sheet1!I585),NA(),Sheet1!$O$5-(Sheet1!I585/Sheet1!$O$6))</f>
        <v/>
      </c>
    </row>
    <row r="586">
      <c r="A586">
        <f>Sheet1!K586</f>
        <v/>
      </c>
      <c r="B586">
        <f>IF(ISNA(Sheet1!I586),NA(),Sheet1!$O$5-(Sheet1!I586/Sheet1!$O$6))</f>
        <v/>
      </c>
    </row>
    <row r="587">
      <c r="A587">
        <f>Sheet1!K587</f>
        <v/>
      </c>
      <c r="B587">
        <f>IF(ISNA(Sheet1!I587),NA(),Sheet1!$O$5-(Sheet1!I587/Sheet1!$O$6))</f>
        <v/>
      </c>
    </row>
    <row r="588">
      <c r="A588">
        <f>Sheet1!K588</f>
        <v/>
      </c>
      <c r="B588">
        <f>IF(ISNA(Sheet1!I588),NA(),Sheet1!$O$5-(Sheet1!I588/Sheet1!$O$6))</f>
        <v/>
      </c>
    </row>
    <row r="589">
      <c r="A589">
        <f>Sheet1!K589</f>
        <v/>
      </c>
      <c r="B589">
        <f>IF(ISNA(Sheet1!I589),NA(),Sheet1!$O$5-(Sheet1!I589/Sheet1!$O$6))</f>
        <v/>
      </c>
    </row>
    <row r="590">
      <c r="A590">
        <f>Sheet1!K590</f>
        <v/>
      </c>
      <c r="B590">
        <f>IF(ISNA(Sheet1!I590),NA(),Sheet1!$O$5-(Sheet1!I590/Sheet1!$O$6))</f>
        <v/>
      </c>
    </row>
    <row r="591">
      <c r="A591">
        <f>Sheet1!K591</f>
        <v/>
      </c>
      <c r="B591">
        <f>IF(ISNA(Sheet1!I591),NA(),Sheet1!$O$5-(Sheet1!I591/Sheet1!$O$6))</f>
        <v/>
      </c>
    </row>
    <row r="592">
      <c r="A592">
        <f>Sheet1!K592</f>
        <v/>
      </c>
      <c r="B592">
        <f>IF(ISNA(Sheet1!I592),NA(),Sheet1!$O$5-(Sheet1!I592/Sheet1!$O$6))</f>
        <v/>
      </c>
    </row>
    <row r="593">
      <c r="A593">
        <f>Sheet1!K593</f>
        <v/>
      </c>
      <c r="B593">
        <f>IF(ISNA(Sheet1!I593),NA(),Sheet1!$O$5-(Sheet1!I593/Sheet1!$O$6))</f>
        <v/>
      </c>
    </row>
    <row r="594">
      <c r="A594">
        <f>Sheet1!K594</f>
        <v/>
      </c>
      <c r="B594">
        <f>IF(ISNA(Sheet1!I594),NA(),Sheet1!$O$5-(Sheet1!I594/Sheet1!$O$6))</f>
        <v/>
      </c>
    </row>
    <row r="595">
      <c r="A595">
        <f>Sheet1!K595</f>
        <v/>
      </c>
      <c r="B595">
        <f>IF(ISNA(Sheet1!I595),NA(),Sheet1!$O$5-(Sheet1!I595/Sheet1!$O$6))</f>
        <v/>
      </c>
    </row>
    <row r="596">
      <c r="A596">
        <f>Sheet1!K596</f>
        <v/>
      </c>
      <c r="B596">
        <f>IF(ISNA(Sheet1!I596),NA(),Sheet1!$O$5-(Sheet1!I596/Sheet1!$O$6))</f>
        <v/>
      </c>
    </row>
    <row r="597">
      <c r="A597">
        <f>Sheet1!K597</f>
        <v/>
      </c>
      <c r="B597">
        <f>IF(ISNA(Sheet1!I597),NA(),Sheet1!$O$5-(Sheet1!I597/Sheet1!$O$6))</f>
        <v/>
      </c>
    </row>
    <row r="598">
      <c r="A598">
        <f>Sheet1!K598</f>
        <v/>
      </c>
      <c r="B598">
        <f>IF(ISNA(Sheet1!I598),NA(),Sheet1!$O$5-(Sheet1!I598/Sheet1!$O$6))</f>
        <v/>
      </c>
    </row>
    <row r="599">
      <c r="A599">
        <f>Sheet1!K599</f>
        <v/>
      </c>
      <c r="B599">
        <f>IF(ISNA(Sheet1!I599),NA(),Sheet1!$O$5-(Sheet1!I599/Sheet1!$O$6))</f>
        <v/>
      </c>
    </row>
    <row r="600">
      <c r="A600">
        <f>Sheet1!K600</f>
        <v/>
      </c>
      <c r="B600">
        <f>IF(ISNA(Sheet1!I600),NA(),Sheet1!$O$5-(Sheet1!I600/Sheet1!$O$6))</f>
        <v/>
      </c>
    </row>
    <row r="601">
      <c r="A601">
        <f>Sheet1!K601</f>
        <v/>
      </c>
      <c r="B601">
        <f>IF(ISNA(Sheet1!I601),NA(),Sheet1!$O$5-(Sheet1!I601/Sheet1!$O$6))</f>
        <v/>
      </c>
    </row>
    <row r="602">
      <c r="A602">
        <f>Sheet1!K602</f>
        <v/>
      </c>
      <c r="B602">
        <f>IF(ISNA(Sheet1!I602),NA(),Sheet1!$O$5-(Sheet1!I602/Sheet1!$O$6))</f>
        <v/>
      </c>
    </row>
    <row r="603">
      <c r="A603">
        <f>Sheet1!K603</f>
        <v/>
      </c>
      <c r="B603">
        <f>IF(ISNA(Sheet1!I603),NA(),Sheet1!$O$5-(Sheet1!I603/Sheet1!$O$6))</f>
        <v/>
      </c>
    </row>
    <row r="604">
      <c r="A604">
        <f>Sheet1!K604</f>
        <v/>
      </c>
      <c r="B604">
        <f>IF(ISNA(Sheet1!I604),NA(),Sheet1!$O$5-(Sheet1!I604/Sheet1!$O$6))</f>
        <v/>
      </c>
    </row>
    <row r="605">
      <c r="A605">
        <f>Sheet1!K605</f>
        <v/>
      </c>
      <c r="B605">
        <f>IF(ISNA(Sheet1!I605),NA(),Sheet1!$O$5-(Sheet1!I605/Sheet1!$O$6))</f>
        <v/>
      </c>
    </row>
    <row r="606">
      <c r="A606">
        <f>Sheet1!K606</f>
        <v/>
      </c>
      <c r="B606">
        <f>IF(ISNA(Sheet1!I606),NA(),Sheet1!$O$5-(Sheet1!I606/Sheet1!$O$6))</f>
        <v/>
      </c>
    </row>
    <row r="607">
      <c r="A607">
        <f>Sheet1!K607</f>
        <v/>
      </c>
      <c r="B607">
        <f>IF(ISNA(Sheet1!I607),NA(),Sheet1!$O$5-(Sheet1!I607/Sheet1!$O$6))</f>
        <v/>
      </c>
    </row>
    <row r="608">
      <c r="A608">
        <f>Sheet1!K608</f>
        <v/>
      </c>
      <c r="B608">
        <f>IF(ISNA(Sheet1!I608),NA(),Sheet1!$O$5-(Sheet1!I608/Sheet1!$O$6))</f>
        <v/>
      </c>
    </row>
    <row r="609">
      <c r="A609">
        <f>Sheet1!K609</f>
        <v/>
      </c>
      <c r="B609">
        <f>IF(ISNA(Sheet1!I609),NA(),Sheet1!$O$5-(Sheet1!I609/Sheet1!$O$6))</f>
        <v/>
      </c>
    </row>
    <row r="610">
      <c r="A610">
        <f>Sheet1!K610</f>
        <v/>
      </c>
      <c r="B610">
        <f>IF(ISNA(Sheet1!I610),NA(),Sheet1!$O$5-(Sheet1!I610/Sheet1!$O$6))</f>
        <v/>
      </c>
    </row>
    <row r="611">
      <c r="A611">
        <f>Sheet1!K611</f>
        <v/>
      </c>
      <c r="B611">
        <f>IF(ISNA(Sheet1!I611),NA(),Sheet1!$O$5-(Sheet1!I611/Sheet1!$O$6))</f>
        <v/>
      </c>
    </row>
    <row r="612">
      <c r="A612">
        <f>Sheet1!K612</f>
        <v/>
      </c>
      <c r="B612">
        <f>IF(ISNA(Sheet1!I612),NA(),Sheet1!$O$5-(Sheet1!I612/Sheet1!$O$6))</f>
        <v/>
      </c>
    </row>
    <row r="613">
      <c r="A613">
        <f>Sheet1!K613</f>
        <v/>
      </c>
      <c r="B613">
        <f>IF(ISNA(Sheet1!I613),NA(),Sheet1!$O$5-(Sheet1!I613/Sheet1!$O$6))</f>
        <v/>
      </c>
    </row>
    <row r="614">
      <c r="A614">
        <f>Sheet1!K614</f>
        <v/>
      </c>
      <c r="B614">
        <f>IF(ISNA(Sheet1!I614),NA(),Sheet1!$O$5-(Sheet1!I614/Sheet1!$O$6))</f>
        <v/>
      </c>
    </row>
    <row r="615">
      <c r="A615">
        <f>Sheet1!K615</f>
        <v/>
      </c>
      <c r="B615">
        <f>IF(ISNA(Sheet1!I615),NA(),Sheet1!$O$5-(Sheet1!I615/Sheet1!$O$6))</f>
        <v/>
      </c>
    </row>
    <row r="616">
      <c r="A616">
        <f>Sheet1!K616</f>
        <v/>
      </c>
      <c r="B616">
        <f>IF(ISNA(Sheet1!I616),NA(),Sheet1!$O$5-(Sheet1!I616/Sheet1!$O$6))</f>
        <v/>
      </c>
    </row>
    <row r="617">
      <c r="A617">
        <f>Sheet1!K617</f>
        <v/>
      </c>
      <c r="B617">
        <f>IF(ISNA(Sheet1!I617),NA(),Sheet1!$O$5-(Sheet1!I617/Sheet1!$O$6))</f>
        <v/>
      </c>
    </row>
    <row r="618">
      <c r="A618">
        <f>Sheet1!K618</f>
        <v/>
      </c>
      <c r="B618">
        <f>IF(ISNA(Sheet1!I618),NA(),Sheet1!$O$5-(Sheet1!I618/Sheet1!$O$6))</f>
        <v/>
      </c>
    </row>
    <row r="619">
      <c r="A619">
        <f>Sheet1!K619</f>
        <v/>
      </c>
      <c r="B619">
        <f>IF(ISNA(Sheet1!I619),NA(),Sheet1!$O$5-(Sheet1!I619/Sheet1!$O$6))</f>
        <v/>
      </c>
    </row>
    <row r="620">
      <c r="A620">
        <f>Sheet1!K620</f>
        <v/>
      </c>
      <c r="B620">
        <f>IF(ISNA(Sheet1!I620),NA(),Sheet1!$O$5-(Sheet1!I620/Sheet1!$O$6))</f>
        <v/>
      </c>
    </row>
    <row r="621">
      <c r="A621">
        <f>Sheet1!K621</f>
        <v/>
      </c>
      <c r="B621">
        <f>IF(ISNA(Sheet1!I621),NA(),Sheet1!$O$5-(Sheet1!I621/Sheet1!$O$6))</f>
        <v/>
      </c>
    </row>
    <row r="622">
      <c r="A622">
        <f>Sheet1!K622</f>
        <v/>
      </c>
      <c r="B622">
        <f>IF(ISNA(Sheet1!I622),NA(),Sheet1!$O$5-(Sheet1!I622/Sheet1!$O$6))</f>
        <v/>
      </c>
    </row>
    <row r="623">
      <c r="A623">
        <f>Sheet1!K623</f>
        <v/>
      </c>
      <c r="B623">
        <f>IF(ISNA(Sheet1!I623),NA(),Sheet1!$O$5-(Sheet1!I623/Sheet1!$O$6))</f>
        <v/>
      </c>
    </row>
    <row r="624">
      <c r="A624">
        <f>Sheet1!K624</f>
        <v/>
      </c>
      <c r="B624">
        <f>IF(ISNA(Sheet1!I624),NA(),Sheet1!$O$5-(Sheet1!I624/Sheet1!$O$6))</f>
        <v/>
      </c>
    </row>
    <row r="625">
      <c r="A625">
        <f>Sheet1!K625</f>
        <v/>
      </c>
      <c r="B625">
        <f>IF(ISNA(Sheet1!I625),NA(),Sheet1!$O$5-(Sheet1!I625/Sheet1!$O$6))</f>
        <v/>
      </c>
    </row>
    <row r="626">
      <c r="A626">
        <f>Sheet1!K626</f>
        <v/>
      </c>
      <c r="B626">
        <f>IF(ISNA(Sheet1!I626),NA(),Sheet1!$O$5-(Sheet1!I626/Sheet1!$O$6))</f>
        <v/>
      </c>
    </row>
    <row r="627">
      <c r="A627">
        <f>Sheet1!K627</f>
        <v/>
      </c>
      <c r="B627">
        <f>IF(ISNA(Sheet1!I627),NA(),Sheet1!$O$5-(Sheet1!I627/Sheet1!$O$6))</f>
        <v/>
      </c>
    </row>
    <row r="628">
      <c r="A628">
        <f>Sheet1!K628</f>
        <v/>
      </c>
      <c r="B628">
        <f>IF(ISNA(Sheet1!I628),NA(),Sheet1!$O$5-(Sheet1!I628/Sheet1!$O$6))</f>
        <v/>
      </c>
    </row>
    <row r="629">
      <c r="A629">
        <f>Sheet1!K629</f>
        <v/>
      </c>
      <c r="B629">
        <f>IF(ISNA(Sheet1!I629),NA(),Sheet1!$O$5-(Sheet1!I629/Sheet1!$O$6))</f>
        <v/>
      </c>
    </row>
    <row r="630">
      <c r="A630">
        <f>Sheet1!K630</f>
        <v/>
      </c>
      <c r="B630">
        <f>IF(ISNA(Sheet1!I630),NA(),Sheet1!$O$5-(Sheet1!I630/Sheet1!$O$6))</f>
        <v/>
      </c>
    </row>
    <row r="631">
      <c r="A631">
        <f>Sheet1!K631</f>
        <v/>
      </c>
      <c r="B631">
        <f>IF(ISNA(Sheet1!I631),NA(),Sheet1!$O$5-(Sheet1!I631/Sheet1!$O$6))</f>
        <v/>
      </c>
    </row>
    <row r="632">
      <c r="A632">
        <f>Sheet1!K632</f>
        <v/>
      </c>
      <c r="B632">
        <f>IF(ISNA(Sheet1!I632),NA(),Sheet1!$O$5-(Sheet1!I632/Sheet1!$O$6))</f>
        <v/>
      </c>
    </row>
    <row r="633">
      <c r="A633">
        <f>Sheet1!K633</f>
        <v/>
      </c>
      <c r="B633">
        <f>IF(ISNA(Sheet1!I633),NA(),Sheet1!$O$5-(Sheet1!I633/Sheet1!$O$6))</f>
        <v/>
      </c>
    </row>
    <row r="634">
      <c r="A634">
        <f>Sheet1!K634</f>
        <v/>
      </c>
      <c r="B634">
        <f>IF(ISNA(Sheet1!I634),NA(),Sheet1!$O$5-(Sheet1!I634/Sheet1!$O$6))</f>
        <v/>
      </c>
    </row>
    <row r="635">
      <c r="A635">
        <f>Sheet1!K635</f>
        <v/>
      </c>
      <c r="B635">
        <f>IF(ISNA(Sheet1!I635),NA(),Sheet1!$O$5-(Sheet1!I635/Sheet1!$O$6))</f>
        <v/>
      </c>
    </row>
    <row r="636">
      <c r="A636">
        <f>Sheet1!K636</f>
        <v/>
      </c>
      <c r="B636">
        <f>IF(ISNA(Sheet1!I636),NA(),Sheet1!$O$5-(Sheet1!I636/Sheet1!$O$6))</f>
        <v/>
      </c>
    </row>
    <row r="637">
      <c r="A637">
        <f>Sheet1!K637</f>
        <v/>
      </c>
      <c r="B637">
        <f>IF(ISNA(Sheet1!I637),NA(),Sheet1!$O$5-(Sheet1!I637/Sheet1!$O$6))</f>
        <v/>
      </c>
    </row>
    <row r="638">
      <c r="A638">
        <f>Sheet1!K638</f>
        <v/>
      </c>
      <c r="B638">
        <f>IF(ISNA(Sheet1!I638),NA(),Sheet1!$O$5-(Sheet1!I638/Sheet1!$O$6))</f>
        <v/>
      </c>
    </row>
    <row r="639">
      <c r="A639">
        <f>Sheet1!K639</f>
        <v/>
      </c>
      <c r="B639">
        <f>IF(ISNA(Sheet1!I639),NA(),Sheet1!$O$5-(Sheet1!I639/Sheet1!$O$6))</f>
        <v/>
      </c>
    </row>
    <row r="640">
      <c r="A640">
        <f>Sheet1!K640</f>
        <v/>
      </c>
      <c r="B640">
        <f>IF(ISNA(Sheet1!I640),NA(),Sheet1!$O$5-(Sheet1!I640/Sheet1!$O$6))</f>
        <v/>
      </c>
    </row>
    <row r="641">
      <c r="A641">
        <f>Sheet1!K641</f>
        <v/>
      </c>
      <c r="B641">
        <f>IF(ISNA(Sheet1!I641),NA(),Sheet1!$O$5-(Sheet1!I641/Sheet1!$O$6))</f>
        <v/>
      </c>
    </row>
    <row r="642">
      <c r="A642">
        <f>Sheet1!K642</f>
        <v/>
      </c>
      <c r="B642">
        <f>IF(ISNA(Sheet1!I642),NA(),Sheet1!$O$5-(Sheet1!I642/Sheet1!$O$6))</f>
        <v/>
      </c>
    </row>
    <row r="643">
      <c r="A643">
        <f>Sheet1!K643</f>
        <v/>
      </c>
      <c r="B643">
        <f>IF(ISNA(Sheet1!I643),NA(),Sheet1!$O$5-(Sheet1!I643/Sheet1!$O$6))</f>
        <v/>
      </c>
    </row>
    <row r="644">
      <c r="A644">
        <f>Sheet1!K644</f>
        <v/>
      </c>
      <c r="B644">
        <f>IF(ISNA(Sheet1!I644),NA(),Sheet1!$O$5-(Sheet1!I644/Sheet1!$O$6))</f>
        <v/>
      </c>
    </row>
    <row r="645">
      <c r="A645">
        <f>Sheet1!K645</f>
        <v/>
      </c>
      <c r="B645">
        <f>IF(ISNA(Sheet1!I645),NA(),Sheet1!$O$5-(Sheet1!I645/Sheet1!$O$6))</f>
        <v/>
      </c>
    </row>
    <row r="646">
      <c r="A646">
        <f>Sheet1!K646</f>
        <v/>
      </c>
      <c r="B646">
        <f>IF(ISNA(Sheet1!I646),NA(),Sheet1!$O$5-(Sheet1!I646/Sheet1!$O$6))</f>
        <v/>
      </c>
    </row>
    <row r="647">
      <c r="A647">
        <f>Sheet1!K647</f>
        <v/>
      </c>
      <c r="B647">
        <f>IF(ISNA(Sheet1!I647),NA(),Sheet1!$O$5-(Sheet1!I647/Sheet1!$O$6))</f>
        <v/>
      </c>
    </row>
    <row r="648">
      <c r="A648">
        <f>Sheet1!K648</f>
        <v/>
      </c>
      <c r="B648">
        <f>IF(ISNA(Sheet1!I648),NA(),Sheet1!$O$5-(Sheet1!I648/Sheet1!$O$6))</f>
        <v/>
      </c>
    </row>
    <row r="649">
      <c r="A649">
        <f>Sheet1!K649</f>
        <v/>
      </c>
      <c r="B649">
        <f>IF(ISNA(Sheet1!I649),NA(),Sheet1!$O$5-(Sheet1!I649/Sheet1!$O$6))</f>
        <v/>
      </c>
    </row>
    <row r="650">
      <c r="A650">
        <f>Sheet1!K650</f>
        <v/>
      </c>
      <c r="B650">
        <f>IF(ISNA(Sheet1!I650),NA(),Sheet1!$O$5-(Sheet1!I650/Sheet1!$O$6))</f>
        <v/>
      </c>
    </row>
    <row r="651">
      <c r="A651">
        <f>Sheet1!K651</f>
        <v/>
      </c>
      <c r="B651">
        <f>IF(ISNA(Sheet1!I651),NA(),Sheet1!$O$5-(Sheet1!I651/Sheet1!$O$6))</f>
        <v/>
      </c>
    </row>
    <row r="652">
      <c r="A652">
        <f>Sheet1!K652</f>
        <v/>
      </c>
      <c r="B652">
        <f>IF(ISNA(Sheet1!I652),NA(),Sheet1!$O$5-(Sheet1!I652/Sheet1!$O$6))</f>
        <v/>
      </c>
    </row>
    <row r="653">
      <c r="A653">
        <f>Sheet1!K653</f>
        <v/>
      </c>
      <c r="B653">
        <f>IF(ISNA(Sheet1!I653),NA(),Sheet1!$O$5-(Sheet1!I653/Sheet1!$O$6))</f>
        <v/>
      </c>
    </row>
    <row r="654">
      <c r="A654">
        <f>Sheet1!K654</f>
        <v/>
      </c>
      <c r="B654">
        <f>IF(ISNA(Sheet1!I654),NA(),Sheet1!$O$5-(Sheet1!I654/Sheet1!$O$6))</f>
        <v/>
      </c>
    </row>
    <row r="655">
      <c r="A655">
        <f>Sheet1!K655</f>
        <v/>
      </c>
      <c r="B655">
        <f>IF(ISNA(Sheet1!I655),NA(),Sheet1!$O$5-(Sheet1!I655/Sheet1!$O$6))</f>
        <v/>
      </c>
    </row>
    <row r="656">
      <c r="A656">
        <f>Sheet1!K656</f>
        <v/>
      </c>
      <c r="B656">
        <f>IF(ISNA(Sheet1!I656),NA(),Sheet1!$O$5-(Sheet1!I656/Sheet1!$O$6))</f>
        <v/>
      </c>
    </row>
    <row r="657">
      <c r="A657">
        <f>Sheet1!K657</f>
        <v/>
      </c>
      <c r="B657">
        <f>IF(ISNA(Sheet1!I657),NA(),Sheet1!$O$5-(Sheet1!I657/Sheet1!$O$6))</f>
        <v/>
      </c>
    </row>
    <row r="658">
      <c r="A658">
        <f>Sheet1!K658</f>
        <v/>
      </c>
      <c r="B658">
        <f>IF(ISNA(Sheet1!I658),NA(),Sheet1!$O$5-(Sheet1!I658/Sheet1!$O$6))</f>
        <v/>
      </c>
    </row>
    <row r="659">
      <c r="A659">
        <f>Sheet1!K659</f>
        <v/>
      </c>
      <c r="B659">
        <f>IF(ISNA(Sheet1!I659),NA(),Sheet1!$O$5-(Sheet1!I659/Sheet1!$O$6))</f>
        <v/>
      </c>
    </row>
    <row r="660">
      <c r="A660">
        <f>Sheet1!K660</f>
        <v/>
      </c>
      <c r="B660">
        <f>IF(ISNA(Sheet1!I660),NA(),Sheet1!$O$5-(Sheet1!I660/Sheet1!$O$6))</f>
        <v/>
      </c>
    </row>
    <row r="661">
      <c r="A661">
        <f>Sheet1!K661</f>
        <v/>
      </c>
      <c r="B661">
        <f>IF(ISNA(Sheet1!I661),NA(),Sheet1!$O$5-(Sheet1!I661/Sheet1!$O$6))</f>
        <v/>
      </c>
    </row>
    <row r="662">
      <c r="A662">
        <f>Sheet1!K662</f>
        <v/>
      </c>
      <c r="B662">
        <f>IF(ISNA(Sheet1!I662),NA(),Sheet1!$O$5-(Sheet1!I662/Sheet1!$O$6))</f>
        <v/>
      </c>
    </row>
    <row r="663">
      <c r="A663">
        <f>Sheet1!K663</f>
        <v/>
      </c>
      <c r="B663">
        <f>IF(ISNA(Sheet1!I663),NA(),Sheet1!$O$5-(Sheet1!I663/Sheet1!$O$6))</f>
        <v/>
      </c>
    </row>
    <row r="664">
      <c r="A664">
        <f>Sheet1!K664</f>
        <v/>
      </c>
      <c r="B664">
        <f>IF(ISNA(Sheet1!I664),NA(),Sheet1!$O$5-(Sheet1!I664/Sheet1!$O$6))</f>
        <v/>
      </c>
    </row>
    <row r="665">
      <c r="A665">
        <f>Sheet1!K665</f>
        <v/>
      </c>
      <c r="B665">
        <f>IF(ISNA(Sheet1!I665),NA(),Sheet1!$O$5-(Sheet1!I665/Sheet1!$O$6))</f>
        <v/>
      </c>
    </row>
    <row r="666">
      <c r="A666">
        <f>Sheet1!K666</f>
        <v/>
      </c>
      <c r="B666">
        <f>IF(ISNA(Sheet1!I666),NA(),Sheet1!$O$5-(Sheet1!I666/Sheet1!$O$6))</f>
        <v/>
      </c>
    </row>
    <row r="667">
      <c r="A667">
        <f>Sheet1!K667</f>
        <v/>
      </c>
      <c r="B667">
        <f>IF(ISNA(Sheet1!I667),NA(),Sheet1!$O$5-(Sheet1!I667/Sheet1!$O$6))</f>
        <v/>
      </c>
    </row>
    <row r="668">
      <c r="A668">
        <f>Sheet1!K668</f>
        <v/>
      </c>
      <c r="B668">
        <f>IF(ISNA(Sheet1!I668),NA(),Sheet1!$O$5-(Sheet1!I668/Sheet1!$O$6))</f>
        <v/>
      </c>
    </row>
    <row r="669">
      <c r="A669">
        <f>Sheet1!K669</f>
        <v/>
      </c>
      <c r="B669">
        <f>IF(ISNA(Sheet1!I669),NA(),Sheet1!$O$5-(Sheet1!I669/Sheet1!$O$6))</f>
        <v/>
      </c>
    </row>
    <row r="670">
      <c r="A670">
        <f>Sheet1!K670</f>
        <v/>
      </c>
      <c r="B670">
        <f>IF(ISNA(Sheet1!I670),NA(),Sheet1!$O$5-(Sheet1!I670/Sheet1!$O$6))</f>
        <v/>
      </c>
    </row>
    <row r="671">
      <c r="A671">
        <f>Sheet1!K671</f>
        <v/>
      </c>
      <c r="B671">
        <f>IF(ISNA(Sheet1!I671),NA(),Sheet1!$O$5-(Sheet1!I671/Sheet1!$O$6))</f>
        <v/>
      </c>
    </row>
    <row r="672">
      <c r="A672">
        <f>Sheet1!K672</f>
        <v/>
      </c>
      <c r="B672">
        <f>IF(ISNA(Sheet1!I672),NA(),Sheet1!$O$5-(Sheet1!I672/Sheet1!$O$6))</f>
        <v/>
      </c>
    </row>
    <row r="673">
      <c r="A673">
        <f>Sheet1!K673</f>
        <v/>
      </c>
      <c r="B673">
        <f>IF(ISNA(Sheet1!I673),NA(),Sheet1!$O$5-(Sheet1!I673/Sheet1!$O$6))</f>
        <v/>
      </c>
    </row>
    <row r="674">
      <c r="A674">
        <f>Sheet1!K674</f>
        <v/>
      </c>
      <c r="B674">
        <f>IF(ISNA(Sheet1!I674),NA(),Sheet1!$O$5-(Sheet1!I674/Sheet1!$O$6))</f>
        <v/>
      </c>
    </row>
    <row r="675">
      <c r="A675">
        <f>Sheet1!K675</f>
        <v/>
      </c>
      <c r="B675">
        <f>IF(ISNA(Sheet1!I675),NA(),Sheet1!$O$5-(Sheet1!I675/Sheet1!$O$6))</f>
        <v/>
      </c>
    </row>
    <row r="676">
      <c r="A676">
        <f>Sheet1!K676</f>
        <v/>
      </c>
      <c r="B676">
        <f>IF(ISNA(Sheet1!I676),NA(),Sheet1!$O$5-(Sheet1!I676/Sheet1!$O$6))</f>
        <v/>
      </c>
    </row>
    <row r="677">
      <c r="A677">
        <f>Sheet1!K677</f>
        <v/>
      </c>
      <c r="B677">
        <f>IF(ISNA(Sheet1!I677),NA(),Sheet1!$O$5-(Sheet1!I677/Sheet1!$O$6))</f>
        <v/>
      </c>
    </row>
    <row r="678">
      <c r="A678">
        <f>Sheet1!K678</f>
        <v/>
      </c>
      <c r="B678">
        <f>IF(ISNA(Sheet1!I678),NA(),Sheet1!$O$5-(Sheet1!I678/Sheet1!$O$6))</f>
        <v/>
      </c>
    </row>
    <row r="679">
      <c r="A679">
        <f>Sheet1!K679</f>
        <v/>
      </c>
      <c r="B679">
        <f>IF(ISNA(Sheet1!I679),NA(),Sheet1!$O$5-(Sheet1!I679/Sheet1!$O$6))</f>
        <v/>
      </c>
    </row>
    <row r="680">
      <c r="A680">
        <f>Sheet1!K680</f>
        <v/>
      </c>
      <c r="B680">
        <f>IF(ISNA(Sheet1!I680),NA(),Sheet1!$O$5-(Sheet1!I680/Sheet1!$O$6))</f>
        <v/>
      </c>
    </row>
    <row r="681">
      <c r="A681">
        <f>Sheet1!K681</f>
        <v/>
      </c>
      <c r="B681">
        <f>IF(ISNA(Sheet1!I681),NA(),Sheet1!$O$5-(Sheet1!I681/Sheet1!$O$6))</f>
        <v/>
      </c>
    </row>
    <row r="682">
      <c r="A682">
        <f>Sheet1!K682</f>
        <v/>
      </c>
      <c r="B682">
        <f>IF(ISNA(Sheet1!I682),NA(),Sheet1!$O$5-(Sheet1!I682/Sheet1!$O$6))</f>
        <v/>
      </c>
    </row>
    <row r="683">
      <c r="A683">
        <f>Sheet1!K683</f>
        <v/>
      </c>
      <c r="B683">
        <f>IF(ISNA(Sheet1!I683),NA(),Sheet1!$O$5-(Sheet1!I683/Sheet1!$O$6))</f>
        <v/>
      </c>
    </row>
    <row r="684">
      <c r="A684">
        <f>Sheet1!K684</f>
        <v/>
      </c>
      <c r="B684">
        <f>IF(ISNA(Sheet1!I684),NA(),Sheet1!$O$5-(Sheet1!I684/Sheet1!$O$6))</f>
        <v/>
      </c>
    </row>
    <row r="685">
      <c r="A685">
        <f>Sheet1!K685</f>
        <v/>
      </c>
      <c r="B685">
        <f>IF(ISNA(Sheet1!I685),NA(),Sheet1!$O$5-(Sheet1!I685/Sheet1!$O$6))</f>
        <v/>
      </c>
    </row>
    <row r="686">
      <c r="A686">
        <f>Sheet1!K686</f>
        <v/>
      </c>
      <c r="B686">
        <f>IF(ISNA(Sheet1!I686),NA(),Sheet1!$O$5-(Sheet1!I686/Sheet1!$O$6))</f>
        <v/>
      </c>
    </row>
    <row r="687">
      <c r="A687">
        <f>Sheet1!K687</f>
        <v/>
      </c>
      <c r="B687">
        <f>IF(ISNA(Sheet1!I687),NA(),Sheet1!$O$5-(Sheet1!I687/Sheet1!$O$6))</f>
        <v/>
      </c>
    </row>
    <row r="688">
      <c r="A688">
        <f>Sheet1!K688</f>
        <v/>
      </c>
      <c r="B688">
        <f>IF(ISNA(Sheet1!I688),NA(),Sheet1!$O$5-(Sheet1!I688/Sheet1!$O$6))</f>
        <v/>
      </c>
    </row>
    <row r="689">
      <c r="A689">
        <f>Sheet1!K689</f>
        <v/>
      </c>
      <c r="B689">
        <f>IF(ISNA(Sheet1!I689),NA(),Sheet1!$O$5-(Sheet1!I689/Sheet1!$O$6))</f>
        <v/>
      </c>
    </row>
    <row r="690">
      <c r="A690">
        <f>Sheet1!K690</f>
        <v/>
      </c>
      <c r="B690">
        <f>IF(ISNA(Sheet1!I690),NA(),Sheet1!$O$5-(Sheet1!I690/Sheet1!$O$6))</f>
        <v/>
      </c>
    </row>
    <row r="691">
      <c r="A691">
        <f>Sheet1!K691</f>
        <v/>
      </c>
      <c r="B691">
        <f>IF(ISNA(Sheet1!I691),NA(),Sheet1!$O$5-(Sheet1!I691/Sheet1!$O$6))</f>
        <v/>
      </c>
    </row>
    <row r="692">
      <c r="A692">
        <f>Sheet1!K692</f>
        <v/>
      </c>
      <c r="B692">
        <f>IF(ISNA(Sheet1!I692),NA(),Sheet1!$O$5-(Sheet1!I692/Sheet1!$O$6))</f>
        <v/>
      </c>
    </row>
    <row r="693">
      <c r="A693">
        <f>Sheet1!K693</f>
        <v/>
      </c>
      <c r="B693">
        <f>IF(ISNA(Sheet1!I693),NA(),Sheet1!$O$5-(Sheet1!I693/Sheet1!$O$6))</f>
        <v/>
      </c>
    </row>
    <row r="694">
      <c r="A694">
        <f>Sheet1!K694</f>
        <v/>
      </c>
      <c r="B694">
        <f>IF(ISNA(Sheet1!I694),NA(),Sheet1!$O$5-(Sheet1!I694/Sheet1!$O$6))</f>
        <v/>
      </c>
    </row>
    <row r="695">
      <c r="A695">
        <f>Sheet1!K695</f>
        <v/>
      </c>
      <c r="B695">
        <f>IF(ISNA(Sheet1!I695),NA(),Sheet1!$O$5-(Sheet1!I695/Sheet1!$O$6))</f>
        <v/>
      </c>
    </row>
    <row r="696">
      <c r="A696">
        <f>Sheet1!K696</f>
        <v/>
      </c>
      <c r="B696">
        <f>IF(ISNA(Sheet1!I696),NA(),Sheet1!$O$5-(Sheet1!I696/Sheet1!$O$6))</f>
        <v/>
      </c>
    </row>
    <row r="697">
      <c r="A697">
        <f>Sheet1!K697</f>
        <v/>
      </c>
      <c r="B697">
        <f>IF(ISNA(Sheet1!I697),NA(),Sheet1!$O$5-(Sheet1!I697/Sheet1!$O$6))</f>
        <v/>
      </c>
    </row>
    <row r="698">
      <c r="A698">
        <f>Sheet1!K698</f>
        <v/>
      </c>
      <c r="B698">
        <f>IF(ISNA(Sheet1!I698),NA(),Sheet1!$O$5-(Sheet1!I698/Sheet1!$O$6))</f>
        <v/>
      </c>
    </row>
    <row r="699">
      <c r="A699">
        <f>Sheet1!K699</f>
        <v/>
      </c>
      <c r="B699">
        <f>IF(ISNA(Sheet1!I699),NA(),Sheet1!$O$5-(Sheet1!I699/Sheet1!$O$6))</f>
        <v/>
      </c>
    </row>
    <row r="700">
      <c r="A700">
        <f>Sheet1!K700</f>
        <v/>
      </c>
      <c r="B700">
        <f>IF(ISNA(Sheet1!I700),NA(),Sheet1!$O$5-(Sheet1!I700/Sheet1!$O$6))</f>
        <v/>
      </c>
    </row>
    <row r="701">
      <c r="A701">
        <f>Sheet1!K701</f>
        <v/>
      </c>
      <c r="B701">
        <f>IF(ISNA(Sheet1!I701),NA(),Sheet1!$O$5-(Sheet1!I701/Sheet1!$O$6))</f>
        <v/>
      </c>
    </row>
    <row r="702">
      <c r="A702">
        <f>Sheet1!K702</f>
        <v/>
      </c>
      <c r="B702">
        <f>IF(ISNA(Sheet1!I702),NA(),Sheet1!$O$5-(Sheet1!I702/Sheet1!$O$6))</f>
        <v/>
      </c>
    </row>
    <row r="703">
      <c r="A703">
        <f>Sheet1!K703</f>
        <v/>
      </c>
      <c r="B703">
        <f>IF(ISNA(Sheet1!I703),NA(),Sheet1!$O$5-(Sheet1!I703/Sheet1!$O$6))</f>
        <v/>
      </c>
    </row>
    <row r="704">
      <c r="A704">
        <f>Sheet1!K704</f>
        <v/>
      </c>
      <c r="B704">
        <f>IF(ISNA(Sheet1!I704),NA(),Sheet1!$O$5-(Sheet1!I704/Sheet1!$O$6))</f>
        <v/>
      </c>
    </row>
    <row r="705">
      <c r="A705">
        <f>Sheet1!K705</f>
        <v/>
      </c>
      <c r="B705">
        <f>IF(ISNA(Sheet1!I705),NA(),Sheet1!$O$5-(Sheet1!I705/Sheet1!$O$6))</f>
        <v/>
      </c>
    </row>
    <row r="706">
      <c r="A706">
        <f>Sheet1!K706</f>
        <v/>
      </c>
      <c r="B706">
        <f>IF(ISNA(Sheet1!I706),NA(),Sheet1!$O$5-(Sheet1!I706/Sheet1!$O$6))</f>
        <v/>
      </c>
    </row>
    <row r="707">
      <c r="A707">
        <f>Sheet1!K707</f>
        <v/>
      </c>
      <c r="B707">
        <f>IF(ISNA(Sheet1!I707),NA(),Sheet1!$O$5-(Sheet1!I707/Sheet1!$O$6))</f>
        <v/>
      </c>
    </row>
    <row r="708">
      <c r="A708">
        <f>Sheet1!K708</f>
        <v/>
      </c>
      <c r="B708">
        <f>IF(ISNA(Sheet1!I708),NA(),Sheet1!$O$5-(Sheet1!I708/Sheet1!$O$6))</f>
        <v/>
      </c>
    </row>
    <row r="709">
      <c r="A709">
        <f>Sheet1!K709</f>
        <v/>
      </c>
      <c r="B709">
        <f>IF(ISNA(Sheet1!I709),NA(),Sheet1!$O$5-(Sheet1!I709/Sheet1!$O$6))</f>
        <v/>
      </c>
    </row>
    <row r="710">
      <c r="A710">
        <f>Sheet1!K710</f>
        <v/>
      </c>
      <c r="B710">
        <f>IF(ISNA(Sheet1!I710),NA(),Sheet1!$O$5-(Sheet1!I710/Sheet1!$O$6))</f>
        <v/>
      </c>
    </row>
    <row r="711">
      <c r="A711">
        <f>Sheet1!K711</f>
        <v/>
      </c>
      <c r="B711">
        <f>IF(ISNA(Sheet1!I711),NA(),Sheet1!$O$5-(Sheet1!I711/Sheet1!$O$6))</f>
        <v/>
      </c>
    </row>
    <row r="712">
      <c r="A712">
        <f>Sheet1!K712</f>
        <v/>
      </c>
      <c r="B712">
        <f>IF(ISNA(Sheet1!I712),NA(),Sheet1!$O$5-(Sheet1!I712/Sheet1!$O$6))</f>
        <v/>
      </c>
    </row>
    <row r="713">
      <c r="A713">
        <f>Sheet1!K713</f>
        <v/>
      </c>
      <c r="B713">
        <f>IF(ISNA(Sheet1!I713),NA(),Sheet1!$O$5-(Sheet1!I713/Sheet1!$O$6))</f>
        <v/>
      </c>
    </row>
    <row r="714">
      <c r="A714">
        <f>Sheet1!K714</f>
        <v/>
      </c>
      <c r="B714">
        <f>IF(ISNA(Sheet1!I714),NA(),Sheet1!$O$5-(Sheet1!I714/Sheet1!$O$6))</f>
        <v/>
      </c>
    </row>
    <row r="715">
      <c r="A715">
        <f>Sheet1!K715</f>
        <v/>
      </c>
      <c r="B715">
        <f>IF(ISNA(Sheet1!I715),NA(),Sheet1!$O$5-(Sheet1!I715/Sheet1!$O$6))</f>
        <v/>
      </c>
    </row>
    <row r="716">
      <c r="A716">
        <f>Sheet1!K716</f>
        <v/>
      </c>
      <c r="B716">
        <f>IF(ISNA(Sheet1!I716),NA(),Sheet1!$O$5-(Sheet1!I716/Sheet1!$O$6))</f>
        <v/>
      </c>
    </row>
    <row r="717">
      <c r="A717">
        <f>Sheet1!K717</f>
        <v/>
      </c>
      <c r="B717">
        <f>IF(ISNA(Sheet1!I717),NA(),Sheet1!$O$5-(Sheet1!I717/Sheet1!$O$6))</f>
        <v/>
      </c>
    </row>
    <row r="718">
      <c r="A718">
        <f>Sheet1!K718</f>
        <v/>
      </c>
      <c r="B718">
        <f>IF(ISNA(Sheet1!I718),NA(),Sheet1!$O$5-(Sheet1!I718/Sheet1!$O$6))</f>
        <v/>
      </c>
    </row>
    <row r="719">
      <c r="A719">
        <f>Sheet1!K719</f>
        <v/>
      </c>
      <c r="B719">
        <f>IF(ISNA(Sheet1!I719),NA(),Sheet1!$O$5-(Sheet1!I719/Sheet1!$O$6))</f>
        <v/>
      </c>
    </row>
    <row r="720">
      <c r="A720">
        <f>Sheet1!K720</f>
        <v/>
      </c>
      <c r="B720">
        <f>IF(ISNA(Sheet1!I720),NA(),Sheet1!$O$5-(Sheet1!I720/Sheet1!$O$6))</f>
        <v/>
      </c>
    </row>
    <row r="721">
      <c r="A721">
        <f>Sheet1!K721</f>
        <v/>
      </c>
      <c r="B721">
        <f>IF(ISNA(Sheet1!I721),NA(),Sheet1!$O$5-(Sheet1!I721/Sheet1!$O$6))</f>
        <v/>
      </c>
    </row>
    <row r="722">
      <c r="A722">
        <f>Sheet1!K722</f>
        <v/>
      </c>
      <c r="B722">
        <f>IF(ISNA(Sheet1!I722),NA(),Sheet1!$O$5-(Sheet1!I722/Sheet1!$O$6))</f>
        <v/>
      </c>
    </row>
    <row r="723">
      <c r="A723">
        <f>Sheet1!K723</f>
        <v/>
      </c>
      <c r="B723">
        <f>IF(ISNA(Sheet1!I723),NA(),Sheet1!$O$5-(Sheet1!I723/Sheet1!$O$6))</f>
        <v/>
      </c>
    </row>
    <row r="724">
      <c r="A724">
        <f>Sheet1!K724</f>
        <v/>
      </c>
      <c r="B724">
        <f>IF(ISNA(Sheet1!I724),NA(),Sheet1!$O$5-(Sheet1!I724/Sheet1!$O$6))</f>
        <v/>
      </c>
    </row>
    <row r="725">
      <c r="A725">
        <f>Sheet1!K725</f>
        <v/>
      </c>
      <c r="B725">
        <f>IF(ISNA(Sheet1!I725),NA(),Sheet1!$O$5-(Sheet1!I725/Sheet1!$O$6))</f>
        <v/>
      </c>
    </row>
    <row r="726">
      <c r="A726">
        <f>Sheet1!K726</f>
        <v/>
      </c>
      <c r="B726">
        <f>IF(ISNA(Sheet1!I726),NA(),Sheet1!$O$5-(Sheet1!I726/Sheet1!$O$6))</f>
        <v/>
      </c>
    </row>
    <row r="727">
      <c r="A727">
        <f>Sheet1!K727</f>
        <v/>
      </c>
      <c r="B727">
        <f>IF(ISNA(Sheet1!I727),NA(),Sheet1!$O$5-(Sheet1!I727/Sheet1!$O$6))</f>
        <v/>
      </c>
    </row>
    <row r="728">
      <c r="A728">
        <f>Sheet1!K728</f>
        <v/>
      </c>
      <c r="B728">
        <f>IF(ISNA(Sheet1!I728),NA(),Sheet1!$O$5-(Sheet1!I728/Sheet1!$O$6))</f>
        <v/>
      </c>
    </row>
    <row r="729">
      <c r="A729">
        <f>Sheet1!K729</f>
        <v/>
      </c>
      <c r="B729">
        <f>IF(ISNA(Sheet1!I729),NA(),Sheet1!$O$5-(Sheet1!I729/Sheet1!$O$6))</f>
        <v/>
      </c>
    </row>
    <row r="730">
      <c r="A730">
        <f>Sheet1!K730</f>
        <v/>
      </c>
      <c r="B730">
        <f>IF(ISNA(Sheet1!I730),NA(),Sheet1!$O$5-(Sheet1!I730/Sheet1!$O$6))</f>
        <v/>
      </c>
    </row>
    <row r="731">
      <c r="A731">
        <f>Sheet1!K731</f>
        <v/>
      </c>
      <c r="B731">
        <f>IF(ISNA(Sheet1!I731),NA(),Sheet1!$O$5-(Sheet1!I731/Sheet1!$O$6))</f>
        <v/>
      </c>
    </row>
    <row r="732">
      <c r="A732">
        <f>Sheet1!K732</f>
        <v/>
      </c>
      <c r="B732">
        <f>IF(ISNA(Sheet1!I732),NA(),Sheet1!$O$5-(Sheet1!I732/Sheet1!$O$6))</f>
        <v/>
      </c>
    </row>
    <row r="733">
      <c r="A733">
        <f>Sheet1!K733</f>
        <v/>
      </c>
      <c r="B733">
        <f>IF(ISNA(Sheet1!I733),NA(),Sheet1!$O$5-(Sheet1!I733/Sheet1!$O$6))</f>
        <v/>
      </c>
    </row>
    <row r="734">
      <c r="A734">
        <f>Sheet1!K734</f>
        <v/>
      </c>
      <c r="B734">
        <f>IF(ISNA(Sheet1!I734),NA(),Sheet1!$O$5-(Sheet1!I734/Sheet1!$O$6))</f>
        <v/>
      </c>
    </row>
    <row r="735">
      <c r="A735">
        <f>Sheet1!K735</f>
        <v/>
      </c>
      <c r="B735">
        <f>IF(ISNA(Sheet1!I735),NA(),Sheet1!$O$5-(Sheet1!I735/Sheet1!$O$6))</f>
        <v/>
      </c>
    </row>
    <row r="736">
      <c r="A736">
        <f>Sheet1!K736</f>
        <v/>
      </c>
      <c r="B736">
        <f>IF(ISNA(Sheet1!I736),NA(),Sheet1!$O$5-(Sheet1!I736/Sheet1!$O$6))</f>
        <v/>
      </c>
    </row>
    <row r="737">
      <c r="A737">
        <f>Sheet1!K737</f>
        <v/>
      </c>
      <c r="B737">
        <f>IF(ISNA(Sheet1!I737),NA(),Sheet1!$O$5-(Sheet1!I737/Sheet1!$O$6))</f>
        <v/>
      </c>
    </row>
    <row r="738">
      <c r="A738">
        <f>Sheet1!K738</f>
        <v/>
      </c>
      <c r="B738">
        <f>IF(ISNA(Sheet1!I738),NA(),Sheet1!$O$5-(Sheet1!I738/Sheet1!$O$6))</f>
        <v/>
      </c>
    </row>
    <row r="739">
      <c r="A739">
        <f>Sheet1!K739</f>
        <v/>
      </c>
      <c r="B739">
        <f>IF(ISNA(Sheet1!I739),NA(),Sheet1!$O$5-(Sheet1!I739/Sheet1!$O$6))</f>
        <v/>
      </c>
    </row>
    <row r="740">
      <c r="A740">
        <f>Sheet1!K740</f>
        <v/>
      </c>
      <c r="B740">
        <f>IF(ISNA(Sheet1!I740),NA(),Sheet1!$O$5-(Sheet1!I740/Sheet1!$O$6))</f>
        <v/>
      </c>
    </row>
    <row r="741">
      <c r="A741">
        <f>Sheet1!K741</f>
        <v/>
      </c>
      <c r="B741">
        <f>IF(ISNA(Sheet1!I741),NA(),Sheet1!$O$5-(Sheet1!I741/Sheet1!$O$6))</f>
        <v/>
      </c>
    </row>
    <row r="742">
      <c r="A742">
        <f>Sheet1!K742</f>
        <v/>
      </c>
      <c r="B742">
        <f>IF(ISNA(Sheet1!I742),NA(),Sheet1!$O$5-(Sheet1!I742/Sheet1!$O$6))</f>
        <v/>
      </c>
    </row>
    <row r="743">
      <c r="A743">
        <f>Sheet1!K743</f>
        <v/>
      </c>
      <c r="B743">
        <f>IF(ISNA(Sheet1!I743),NA(),Sheet1!$O$5-(Sheet1!I743/Sheet1!$O$6))</f>
        <v/>
      </c>
    </row>
    <row r="744">
      <c r="A744">
        <f>Sheet1!K744</f>
        <v/>
      </c>
      <c r="B744">
        <f>IF(ISNA(Sheet1!I744),NA(),Sheet1!$O$5-(Sheet1!I744/Sheet1!$O$6))</f>
        <v/>
      </c>
    </row>
    <row r="745">
      <c r="A745">
        <f>Sheet1!K745</f>
        <v/>
      </c>
      <c r="B745">
        <f>IF(ISNA(Sheet1!I745),NA(),Sheet1!$O$5-(Sheet1!I745/Sheet1!$O$6))</f>
        <v/>
      </c>
    </row>
    <row r="746">
      <c r="A746">
        <f>Sheet1!K746</f>
        <v/>
      </c>
      <c r="B746">
        <f>IF(ISNA(Sheet1!I746),NA(),Sheet1!$O$5-(Sheet1!I746/Sheet1!$O$6))</f>
        <v/>
      </c>
    </row>
    <row r="747">
      <c r="A747">
        <f>Sheet1!K747</f>
        <v/>
      </c>
      <c r="B747">
        <f>IF(ISNA(Sheet1!I747),NA(),Sheet1!$O$5-(Sheet1!I747/Sheet1!$O$6))</f>
        <v/>
      </c>
    </row>
    <row r="748">
      <c r="A748">
        <f>Sheet1!K748</f>
        <v/>
      </c>
      <c r="B748">
        <f>IF(ISNA(Sheet1!I748),NA(),Sheet1!$O$5-(Sheet1!I748/Sheet1!$O$6))</f>
        <v/>
      </c>
    </row>
    <row r="749">
      <c r="A749">
        <f>Sheet1!K749</f>
        <v/>
      </c>
      <c r="B749">
        <f>IF(ISNA(Sheet1!I749),NA(),Sheet1!$O$5-(Sheet1!I749/Sheet1!$O$6))</f>
        <v/>
      </c>
    </row>
    <row r="750">
      <c r="A750">
        <f>Sheet1!K750</f>
        <v/>
      </c>
      <c r="B750">
        <f>IF(ISNA(Sheet1!I750),NA(),Sheet1!$O$5-(Sheet1!I750/Sheet1!$O$6))</f>
        <v/>
      </c>
    </row>
    <row r="751">
      <c r="A751">
        <f>Sheet1!K751</f>
        <v/>
      </c>
      <c r="B751">
        <f>IF(ISNA(Sheet1!I751),NA(),Sheet1!$O$5-(Sheet1!I751/Sheet1!$O$6))</f>
        <v/>
      </c>
    </row>
    <row r="752">
      <c r="A752">
        <f>Sheet1!K752</f>
        <v/>
      </c>
      <c r="B752">
        <f>IF(ISNA(Sheet1!I752),NA(),Sheet1!$O$5-(Sheet1!I752/Sheet1!$O$6))</f>
        <v/>
      </c>
    </row>
    <row r="753">
      <c r="A753">
        <f>Sheet1!K753</f>
        <v/>
      </c>
      <c r="B753">
        <f>IF(ISNA(Sheet1!I753),NA(),Sheet1!$O$5-(Sheet1!I753/Sheet1!$O$6))</f>
        <v/>
      </c>
    </row>
    <row r="754">
      <c r="A754">
        <f>Sheet1!K754</f>
        <v/>
      </c>
      <c r="B754">
        <f>IF(ISNA(Sheet1!I754),NA(),Sheet1!$O$5-(Sheet1!I754/Sheet1!$O$6))</f>
        <v/>
      </c>
    </row>
    <row r="755">
      <c r="A755">
        <f>Sheet1!K755</f>
        <v/>
      </c>
      <c r="B755">
        <f>IF(ISNA(Sheet1!I755),NA(),Sheet1!$O$5-(Sheet1!I755/Sheet1!$O$6))</f>
        <v/>
      </c>
    </row>
    <row r="756">
      <c r="A756">
        <f>Sheet1!K756</f>
        <v/>
      </c>
      <c r="B756">
        <f>IF(ISNA(Sheet1!I756),NA(),Sheet1!$O$5-(Sheet1!I756/Sheet1!$O$6))</f>
        <v/>
      </c>
    </row>
    <row r="757">
      <c r="A757">
        <f>Sheet1!K757</f>
        <v/>
      </c>
      <c r="B757">
        <f>IF(ISNA(Sheet1!I757),NA(),Sheet1!$O$5-(Sheet1!I757/Sheet1!$O$6))</f>
        <v/>
      </c>
    </row>
    <row r="758">
      <c r="A758">
        <f>Sheet1!K758</f>
        <v/>
      </c>
      <c r="B758">
        <f>IF(ISNA(Sheet1!I758),NA(),Sheet1!$O$5-(Sheet1!I758/Sheet1!$O$6))</f>
        <v/>
      </c>
    </row>
    <row r="759">
      <c r="A759">
        <f>Sheet1!K759</f>
        <v/>
      </c>
      <c r="B759">
        <f>IF(ISNA(Sheet1!I759),NA(),Sheet1!$O$5-(Sheet1!I759/Sheet1!$O$6))</f>
        <v/>
      </c>
    </row>
    <row r="760">
      <c r="A760">
        <f>Sheet1!K760</f>
        <v/>
      </c>
      <c r="B760">
        <f>IF(ISNA(Sheet1!I760),NA(),Sheet1!$O$5-(Sheet1!I760/Sheet1!$O$6))</f>
        <v/>
      </c>
    </row>
    <row r="761">
      <c r="A761">
        <f>Sheet1!K761</f>
        <v/>
      </c>
      <c r="B761">
        <f>IF(ISNA(Sheet1!I761),NA(),Sheet1!$O$5-(Sheet1!I761/Sheet1!$O$6))</f>
        <v/>
      </c>
    </row>
    <row r="762">
      <c r="A762">
        <f>Sheet1!K762</f>
        <v/>
      </c>
      <c r="B762">
        <f>IF(ISNA(Sheet1!I762),NA(),Sheet1!$O$5-(Sheet1!I762/Sheet1!$O$6))</f>
        <v/>
      </c>
    </row>
    <row r="763">
      <c r="A763">
        <f>Sheet1!K763</f>
        <v/>
      </c>
      <c r="B763">
        <f>IF(ISNA(Sheet1!I763),NA(),Sheet1!$O$5-(Sheet1!I763/Sheet1!$O$6))</f>
        <v/>
      </c>
    </row>
    <row r="764">
      <c r="A764">
        <f>Sheet1!K764</f>
        <v/>
      </c>
      <c r="B764">
        <f>IF(ISNA(Sheet1!I764),NA(),Sheet1!$O$5-(Sheet1!I764/Sheet1!$O$6))</f>
        <v/>
      </c>
    </row>
    <row r="765">
      <c r="A765">
        <f>Sheet1!K765</f>
        <v/>
      </c>
      <c r="B765">
        <f>IF(ISNA(Sheet1!I765),NA(),Sheet1!$O$5-(Sheet1!I765/Sheet1!$O$6))</f>
        <v/>
      </c>
    </row>
    <row r="766">
      <c r="A766">
        <f>Sheet1!K766</f>
        <v/>
      </c>
      <c r="B766">
        <f>IF(ISNA(Sheet1!I766),NA(),Sheet1!$O$5-(Sheet1!I766/Sheet1!$O$6))</f>
        <v/>
      </c>
    </row>
    <row r="767">
      <c r="A767">
        <f>Sheet1!K767</f>
        <v/>
      </c>
      <c r="B767">
        <f>IF(ISNA(Sheet1!I767),NA(),Sheet1!$O$5-(Sheet1!I767/Sheet1!$O$6))</f>
        <v/>
      </c>
    </row>
    <row r="768">
      <c r="A768">
        <f>Sheet1!K768</f>
        <v/>
      </c>
      <c r="B768">
        <f>IF(ISNA(Sheet1!I768),NA(),Sheet1!$O$5-(Sheet1!I768/Sheet1!$O$6))</f>
        <v/>
      </c>
    </row>
    <row r="769">
      <c r="A769">
        <f>Sheet1!K769</f>
        <v/>
      </c>
      <c r="B769">
        <f>IF(ISNA(Sheet1!I769),NA(),Sheet1!$O$5-(Sheet1!I769/Sheet1!$O$6))</f>
        <v/>
      </c>
    </row>
    <row r="770">
      <c r="A770">
        <f>Sheet1!K770</f>
        <v/>
      </c>
      <c r="B770">
        <f>IF(ISNA(Sheet1!I770),NA(),Sheet1!$O$5-(Sheet1!I770/Sheet1!$O$6))</f>
        <v/>
      </c>
    </row>
    <row r="771">
      <c r="A771">
        <f>Sheet1!K771</f>
        <v/>
      </c>
      <c r="B771">
        <f>IF(ISNA(Sheet1!I771),NA(),Sheet1!$O$5-(Sheet1!I771/Sheet1!$O$6))</f>
        <v/>
      </c>
    </row>
    <row r="772">
      <c r="A772">
        <f>Sheet1!K772</f>
        <v/>
      </c>
      <c r="B772">
        <f>IF(ISNA(Sheet1!I772),NA(),Sheet1!$O$5-(Sheet1!I772/Sheet1!$O$6))</f>
        <v/>
      </c>
    </row>
    <row r="773">
      <c r="A773">
        <f>Sheet1!K773</f>
        <v/>
      </c>
      <c r="B773">
        <f>IF(ISNA(Sheet1!I773),NA(),Sheet1!$O$5-(Sheet1!I773/Sheet1!$O$6))</f>
        <v/>
      </c>
    </row>
    <row r="774">
      <c r="A774">
        <f>Sheet1!K774</f>
        <v/>
      </c>
      <c r="B774">
        <f>IF(ISNA(Sheet1!I774),NA(),Sheet1!$O$5-(Sheet1!I774/Sheet1!$O$6))</f>
        <v/>
      </c>
    </row>
    <row r="775">
      <c r="A775">
        <f>Sheet1!K775</f>
        <v/>
      </c>
      <c r="B775">
        <f>IF(ISNA(Sheet1!I775),NA(),Sheet1!$O$5-(Sheet1!I775/Sheet1!$O$6))</f>
        <v/>
      </c>
    </row>
    <row r="776">
      <c r="A776">
        <f>Sheet1!K776</f>
        <v/>
      </c>
      <c r="B776">
        <f>IF(ISNA(Sheet1!I776),NA(),Sheet1!$O$5-(Sheet1!I776/Sheet1!$O$6))</f>
        <v/>
      </c>
    </row>
    <row r="777">
      <c r="A777">
        <f>Sheet1!K777</f>
        <v/>
      </c>
      <c r="B777">
        <f>IF(ISNA(Sheet1!I777),NA(),Sheet1!$O$5-(Sheet1!I777/Sheet1!$O$6))</f>
        <v/>
      </c>
    </row>
    <row r="778">
      <c r="A778">
        <f>Sheet1!K778</f>
        <v/>
      </c>
      <c r="B778">
        <f>IF(ISNA(Sheet1!I778),NA(),Sheet1!$O$5-(Sheet1!I778/Sheet1!$O$6))</f>
        <v/>
      </c>
    </row>
    <row r="779">
      <c r="A779">
        <f>Sheet1!K779</f>
        <v/>
      </c>
      <c r="B779">
        <f>IF(ISNA(Sheet1!I779),NA(),Sheet1!$O$5-(Sheet1!I779/Sheet1!$O$6))</f>
        <v/>
      </c>
    </row>
    <row r="780">
      <c r="A780">
        <f>Sheet1!K780</f>
        <v/>
      </c>
      <c r="B780">
        <f>IF(ISNA(Sheet1!I780),NA(),Sheet1!$O$5-(Sheet1!I780/Sheet1!$O$6))</f>
        <v/>
      </c>
    </row>
    <row r="781">
      <c r="A781">
        <f>Sheet1!K781</f>
        <v/>
      </c>
      <c r="B781">
        <f>IF(ISNA(Sheet1!I781),NA(),Sheet1!$O$5-(Sheet1!I781/Sheet1!$O$6))</f>
        <v/>
      </c>
    </row>
    <row r="782">
      <c r="A782">
        <f>Sheet1!K782</f>
        <v/>
      </c>
      <c r="B782">
        <f>IF(ISNA(Sheet1!I782),NA(),Sheet1!$O$5-(Sheet1!I782/Sheet1!$O$6))</f>
        <v/>
      </c>
    </row>
    <row r="783">
      <c r="A783">
        <f>Sheet1!K783</f>
        <v/>
      </c>
      <c r="B783">
        <f>IF(ISNA(Sheet1!I783),NA(),Sheet1!$O$5-(Sheet1!I783/Sheet1!$O$6))</f>
        <v/>
      </c>
    </row>
    <row r="784">
      <c r="A784">
        <f>Sheet1!K784</f>
        <v/>
      </c>
      <c r="B784">
        <f>IF(ISNA(Sheet1!I784),NA(),Sheet1!$O$5-(Sheet1!I784/Sheet1!$O$6))</f>
        <v/>
      </c>
    </row>
    <row r="785">
      <c r="A785">
        <f>Sheet1!K785</f>
        <v/>
      </c>
      <c r="B785">
        <f>IF(ISNA(Sheet1!I785),NA(),Sheet1!$O$5-(Sheet1!I785/Sheet1!$O$6))</f>
        <v/>
      </c>
    </row>
    <row r="786">
      <c r="A786">
        <f>Sheet1!K786</f>
        <v/>
      </c>
      <c r="B786">
        <f>IF(ISNA(Sheet1!I786),NA(),Sheet1!$O$5-(Sheet1!I786/Sheet1!$O$6))</f>
        <v/>
      </c>
    </row>
    <row r="787">
      <c r="A787">
        <f>Sheet1!K787</f>
        <v/>
      </c>
      <c r="B787">
        <f>IF(ISNA(Sheet1!I787),NA(),Sheet1!$O$5-(Sheet1!I787/Sheet1!$O$6))</f>
        <v/>
      </c>
    </row>
    <row r="788">
      <c r="A788">
        <f>Sheet1!K788</f>
        <v/>
      </c>
      <c r="B788">
        <f>IF(ISNA(Sheet1!I788),NA(),Sheet1!$O$5-(Sheet1!I788/Sheet1!$O$6))</f>
        <v/>
      </c>
    </row>
    <row r="789">
      <c r="A789">
        <f>Sheet1!K789</f>
        <v/>
      </c>
      <c r="B789">
        <f>IF(ISNA(Sheet1!I789),NA(),Sheet1!$O$5-(Sheet1!I789/Sheet1!$O$6))</f>
        <v/>
      </c>
    </row>
    <row r="790">
      <c r="A790">
        <f>Sheet1!K790</f>
        <v/>
      </c>
      <c r="B790">
        <f>IF(ISNA(Sheet1!I790),NA(),Sheet1!$O$5-(Sheet1!I790/Sheet1!$O$6))</f>
        <v/>
      </c>
    </row>
    <row r="791">
      <c r="A791">
        <f>Sheet1!K791</f>
        <v/>
      </c>
      <c r="B791">
        <f>IF(ISNA(Sheet1!I791),NA(),Sheet1!$O$5-(Sheet1!I791/Sheet1!$O$6))</f>
        <v/>
      </c>
    </row>
    <row r="792">
      <c r="A792">
        <f>Sheet1!K792</f>
        <v/>
      </c>
      <c r="B792">
        <f>IF(ISNA(Sheet1!I792),NA(),Sheet1!$O$5-(Sheet1!I792/Sheet1!$O$6))</f>
        <v/>
      </c>
    </row>
    <row r="793">
      <c r="A793">
        <f>Sheet1!K793</f>
        <v/>
      </c>
      <c r="B793">
        <f>IF(ISNA(Sheet1!I793),NA(),Sheet1!$O$5-(Sheet1!I793/Sheet1!$O$6))</f>
        <v/>
      </c>
    </row>
    <row r="794">
      <c r="A794">
        <f>Sheet1!K794</f>
        <v/>
      </c>
      <c r="B794">
        <f>IF(ISNA(Sheet1!I794),NA(),Sheet1!$O$5-(Sheet1!I794/Sheet1!$O$6))</f>
        <v/>
      </c>
    </row>
    <row r="795">
      <c r="A795">
        <f>Sheet1!K795</f>
        <v/>
      </c>
      <c r="B795">
        <f>IF(ISNA(Sheet1!I795),NA(),Sheet1!$O$5-(Sheet1!I795/Sheet1!$O$6))</f>
        <v/>
      </c>
    </row>
    <row r="796">
      <c r="A796">
        <f>Sheet1!K796</f>
        <v/>
      </c>
      <c r="B796">
        <f>IF(ISNA(Sheet1!I796),NA(),Sheet1!$O$5-(Sheet1!I796/Sheet1!$O$6))</f>
        <v/>
      </c>
    </row>
    <row r="797">
      <c r="A797">
        <f>Sheet1!K797</f>
        <v/>
      </c>
      <c r="B797">
        <f>IF(ISNA(Sheet1!I797),NA(),Sheet1!$O$5-(Sheet1!I797/Sheet1!$O$6))</f>
        <v/>
      </c>
    </row>
    <row r="798">
      <c r="A798">
        <f>Sheet1!K798</f>
        <v/>
      </c>
      <c r="B798">
        <f>IF(ISNA(Sheet1!I798),NA(),Sheet1!$O$5-(Sheet1!I798/Sheet1!$O$6))</f>
        <v/>
      </c>
    </row>
    <row r="799">
      <c r="A799">
        <f>Sheet1!K799</f>
        <v/>
      </c>
      <c r="B799">
        <f>IF(ISNA(Sheet1!I799),NA(),Sheet1!$O$5-(Sheet1!I799/Sheet1!$O$6))</f>
        <v/>
      </c>
    </row>
    <row r="800">
      <c r="A800">
        <f>Sheet1!K800</f>
        <v/>
      </c>
      <c r="B800">
        <f>IF(ISNA(Sheet1!I800),NA(),Sheet1!$O$5-(Sheet1!I800/Sheet1!$O$6))</f>
        <v/>
      </c>
    </row>
    <row r="801">
      <c r="A801">
        <f>Sheet1!K801</f>
        <v/>
      </c>
      <c r="B801">
        <f>IF(ISNA(Sheet1!I801),NA(),Sheet1!$O$5-(Sheet1!I801/Sheet1!$O$6))</f>
        <v/>
      </c>
    </row>
    <row r="802">
      <c r="A802">
        <f>Sheet1!K802</f>
        <v/>
      </c>
      <c r="B802">
        <f>IF(ISNA(Sheet1!I802),NA(),Sheet1!$O$5-(Sheet1!I802/Sheet1!$O$6))</f>
        <v/>
      </c>
    </row>
    <row r="803">
      <c r="A803">
        <f>Sheet1!K803</f>
        <v/>
      </c>
      <c r="B803">
        <f>IF(ISNA(Sheet1!I803),NA(),Sheet1!$O$5-(Sheet1!I803/Sheet1!$O$6))</f>
        <v/>
      </c>
    </row>
    <row r="804">
      <c r="A804">
        <f>Sheet1!K804</f>
        <v/>
      </c>
      <c r="B804">
        <f>IF(ISNA(Sheet1!I804),NA(),Sheet1!$O$5-(Sheet1!I804/Sheet1!$O$6))</f>
        <v/>
      </c>
    </row>
    <row r="805">
      <c r="A805">
        <f>Sheet1!K805</f>
        <v/>
      </c>
      <c r="B805">
        <f>IF(ISNA(Sheet1!I805),NA(),Sheet1!$O$5-(Sheet1!I805/Sheet1!$O$6))</f>
        <v/>
      </c>
    </row>
    <row r="806">
      <c r="A806">
        <f>Sheet1!K806</f>
        <v/>
      </c>
      <c r="B806">
        <f>IF(ISNA(Sheet1!I806),NA(),Sheet1!$O$5-(Sheet1!I806/Sheet1!$O$6))</f>
        <v/>
      </c>
    </row>
    <row r="807">
      <c r="A807">
        <f>Sheet1!K807</f>
        <v/>
      </c>
      <c r="B807">
        <f>IF(ISNA(Sheet1!I807),NA(),Sheet1!$O$5-(Sheet1!I807/Sheet1!$O$6))</f>
        <v/>
      </c>
    </row>
    <row r="808">
      <c r="A808">
        <f>Sheet1!K808</f>
        <v/>
      </c>
      <c r="B808">
        <f>IF(ISNA(Sheet1!I808),NA(),Sheet1!$O$5-(Sheet1!I808/Sheet1!$O$6))</f>
        <v/>
      </c>
    </row>
    <row r="809">
      <c r="A809">
        <f>Sheet1!K809</f>
        <v/>
      </c>
      <c r="B809">
        <f>IF(ISNA(Sheet1!I809),NA(),Sheet1!$O$5-(Sheet1!I809/Sheet1!$O$6))</f>
        <v/>
      </c>
    </row>
    <row r="810">
      <c r="A810">
        <f>Sheet1!K810</f>
        <v/>
      </c>
      <c r="B810">
        <f>IF(ISNA(Sheet1!I810),NA(),Sheet1!$O$5-(Sheet1!I810/Sheet1!$O$6))</f>
        <v/>
      </c>
    </row>
    <row r="811">
      <c r="A811">
        <f>Sheet1!K811</f>
        <v/>
      </c>
      <c r="B811">
        <f>IF(ISNA(Sheet1!I811),NA(),Sheet1!$O$5-(Sheet1!I811/Sheet1!$O$6))</f>
        <v/>
      </c>
    </row>
    <row r="812">
      <c r="A812">
        <f>Sheet1!K812</f>
        <v/>
      </c>
      <c r="B812">
        <f>IF(ISNA(Sheet1!I812),NA(),Sheet1!$O$5-(Sheet1!I812/Sheet1!$O$6))</f>
        <v/>
      </c>
    </row>
    <row r="813">
      <c r="A813">
        <f>Sheet1!K813</f>
        <v/>
      </c>
      <c r="B813">
        <f>IF(ISNA(Sheet1!I813),NA(),Sheet1!$O$5-(Sheet1!I813/Sheet1!$O$6))</f>
        <v/>
      </c>
    </row>
    <row r="814">
      <c r="A814">
        <f>Sheet1!K814</f>
        <v/>
      </c>
      <c r="B814">
        <f>IF(ISNA(Sheet1!I814),NA(),Sheet1!$O$5-(Sheet1!I814/Sheet1!$O$6))</f>
        <v/>
      </c>
    </row>
    <row r="815">
      <c r="A815">
        <f>Sheet1!K815</f>
        <v/>
      </c>
      <c r="B815">
        <f>IF(ISNA(Sheet1!I815),NA(),Sheet1!$O$5-(Sheet1!I815/Sheet1!$O$6))</f>
        <v/>
      </c>
    </row>
    <row r="816">
      <c r="A816">
        <f>Sheet1!K816</f>
        <v/>
      </c>
      <c r="B816">
        <f>IF(ISNA(Sheet1!I816),NA(),Sheet1!$O$5-(Sheet1!I816/Sheet1!$O$6))</f>
        <v/>
      </c>
    </row>
    <row r="817">
      <c r="A817">
        <f>Sheet1!K817</f>
        <v/>
      </c>
      <c r="B817">
        <f>IF(ISNA(Sheet1!I817),NA(),Sheet1!$O$5-(Sheet1!I817/Sheet1!$O$6))</f>
        <v/>
      </c>
    </row>
    <row r="818">
      <c r="A818">
        <f>Sheet1!K818</f>
        <v/>
      </c>
      <c r="B818">
        <f>IF(ISNA(Sheet1!I818),NA(),Sheet1!$O$5-(Sheet1!I818/Sheet1!$O$6))</f>
        <v/>
      </c>
    </row>
    <row r="819">
      <c r="A819">
        <f>Sheet1!K819</f>
        <v/>
      </c>
      <c r="B819">
        <f>IF(ISNA(Sheet1!I819),NA(),Sheet1!$O$5-(Sheet1!I819/Sheet1!$O$6))</f>
        <v/>
      </c>
    </row>
    <row r="820">
      <c r="A820">
        <f>Sheet1!K820</f>
        <v/>
      </c>
      <c r="B820">
        <f>IF(ISNA(Sheet1!I820),NA(),Sheet1!$O$5-(Sheet1!I820/Sheet1!$O$6))</f>
        <v/>
      </c>
    </row>
    <row r="821">
      <c r="A821">
        <f>Sheet1!K821</f>
        <v/>
      </c>
      <c r="B821">
        <f>IF(ISNA(Sheet1!I821),NA(),Sheet1!$O$5-(Sheet1!I821/Sheet1!$O$6))</f>
        <v/>
      </c>
    </row>
    <row r="822">
      <c r="A822">
        <f>Sheet1!K822</f>
        <v/>
      </c>
      <c r="B822">
        <f>IF(ISNA(Sheet1!I822),NA(),Sheet1!$O$5-(Sheet1!I822/Sheet1!$O$6))</f>
        <v/>
      </c>
    </row>
    <row r="823">
      <c r="A823">
        <f>Sheet1!K823</f>
        <v/>
      </c>
      <c r="B823">
        <f>IF(ISNA(Sheet1!I823),NA(),Sheet1!$O$5-(Sheet1!I823/Sheet1!$O$6))</f>
        <v/>
      </c>
    </row>
    <row r="824">
      <c r="A824">
        <f>Sheet1!K824</f>
        <v/>
      </c>
      <c r="B824">
        <f>IF(ISNA(Sheet1!I824),NA(),Sheet1!$O$5-(Sheet1!I824/Sheet1!$O$6))</f>
        <v/>
      </c>
    </row>
    <row r="825">
      <c r="A825">
        <f>Sheet1!K825</f>
        <v/>
      </c>
      <c r="B825">
        <f>IF(ISNA(Sheet1!I825),NA(),Sheet1!$O$5-(Sheet1!I825/Sheet1!$O$6))</f>
        <v/>
      </c>
    </row>
    <row r="826">
      <c r="A826">
        <f>Sheet1!K826</f>
        <v/>
      </c>
      <c r="B826">
        <f>IF(ISNA(Sheet1!I826),NA(),Sheet1!$O$5-(Sheet1!I826/Sheet1!$O$6))</f>
        <v/>
      </c>
    </row>
    <row r="827">
      <c r="A827">
        <f>Sheet1!K827</f>
        <v/>
      </c>
      <c r="B827">
        <f>IF(ISNA(Sheet1!I827),NA(),Sheet1!$O$5-(Sheet1!I827/Sheet1!$O$6))</f>
        <v/>
      </c>
    </row>
    <row r="828">
      <c r="A828">
        <f>Sheet1!K828</f>
        <v/>
      </c>
      <c r="B828">
        <f>IF(ISNA(Sheet1!I828),NA(),Sheet1!$O$5-(Sheet1!I828/Sheet1!$O$6))</f>
        <v/>
      </c>
    </row>
    <row r="829">
      <c r="A829">
        <f>Sheet1!K829</f>
        <v/>
      </c>
      <c r="B829">
        <f>IF(ISNA(Sheet1!I829),NA(),Sheet1!$O$5-(Sheet1!I829/Sheet1!$O$6))</f>
        <v/>
      </c>
    </row>
    <row r="830">
      <c r="A830">
        <f>Sheet1!K830</f>
        <v/>
      </c>
      <c r="B830">
        <f>IF(ISNA(Sheet1!I830),NA(),Sheet1!$O$5-(Sheet1!I830/Sheet1!$O$6))</f>
        <v/>
      </c>
    </row>
    <row r="831">
      <c r="A831">
        <f>Sheet1!K831</f>
        <v/>
      </c>
      <c r="B831">
        <f>IF(ISNA(Sheet1!I831),NA(),Sheet1!$O$5-(Sheet1!I831/Sheet1!$O$6))</f>
        <v/>
      </c>
    </row>
    <row r="832">
      <c r="A832">
        <f>Sheet1!K832</f>
        <v/>
      </c>
      <c r="B832">
        <f>IF(ISNA(Sheet1!I832),NA(),Sheet1!$O$5-(Sheet1!I832/Sheet1!$O$6))</f>
        <v/>
      </c>
    </row>
    <row r="833">
      <c r="A833">
        <f>Sheet1!K833</f>
        <v/>
      </c>
      <c r="B833">
        <f>IF(ISNA(Sheet1!I833),NA(),Sheet1!$O$5-(Sheet1!I833/Sheet1!$O$6))</f>
        <v/>
      </c>
    </row>
    <row r="834">
      <c r="A834">
        <f>Sheet1!K834</f>
        <v/>
      </c>
      <c r="B834">
        <f>IF(ISNA(Sheet1!I834),NA(),Sheet1!$O$5-(Sheet1!I834/Sheet1!$O$6))</f>
        <v/>
      </c>
    </row>
    <row r="835">
      <c r="A835">
        <f>Sheet1!K835</f>
        <v/>
      </c>
      <c r="B835">
        <f>IF(ISNA(Sheet1!I835),NA(),Sheet1!$O$5-(Sheet1!I835/Sheet1!$O$6))</f>
        <v/>
      </c>
    </row>
    <row r="836">
      <c r="A836">
        <f>Sheet1!K836</f>
        <v/>
      </c>
      <c r="B836">
        <f>IF(ISNA(Sheet1!I836),NA(),Sheet1!$O$5-(Sheet1!I836/Sheet1!$O$6))</f>
        <v/>
      </c>
    </row>
    <row r="837">
      <c r="A837">
        <f>Sheet1!K837</f>
        <v/>
      </c>
      <c r="B837">
        <f>IF(ISNA(Sheet1!I837),NA(),Sheet1!$O$5-(Sheet1!I837/Sheet1!$O$6))</f>
        <v/>
      </c>
    </row>
    <row r="838">
      <c r="A838">
        <f>Sheet1!K838</f>
        <v/>
      </c>
      <c r="B838">
        <f>IF(ISNA(Sheet1!I838),NA(),Sheet1!$O$5-(Sheet1!I838/Sheet1!$O$6))</f>
        <v/>
      </c>
    </row>
    <row r="839">
      <c r="A839">
        <f>Sheet1!K839</f>
        <v/>
      </c>
      <c r="B839">
        <f>IF(ISNA(Sheet1!I839),NA(),Sheet1!$O$5-(Sheet1!I839/Sheet1!$O$6))</f>
        <v/>
      </c>
    </row>
    <row r="840">
      <c r="A840">
        <f>Sheet1!K840</f>
        <v/>
      </c>
      <c r="B840">
        <f>IF(ISNA(Sheet1!I840),NA(),Sheet1!$O$5-(Sheet1!I840/Sheet1!$O$6))</f>
        <v/>
      </c>
    </row>
    <row r="841">
      <c r="A841">
        <f>Sheet1!K841</f>
        <v/>
      </c>
      <c r="B841">
        <f>IF(ISNA(Sheet1!I841),NA(),Sheet1!$O$5-(Sheet1!I841/Sheet1!$O$6))</f>
        <v/>
      </c>
    </row>
    <row r="842">
      <c r="A842">
        <f>Sheet1!K842</f>
        <v/>
      </c>
      <c r="B842">
        <f>IF(ISNA(Sheet1!I842),NA(),Sheet1!$O$5-(Sheet1!I842/Sheet1!$O$6))</f>
        <v/>
      </c>
    </row>
    <row r="843">
      <c r="A843">
        <f>Sheet1!K843</f>
        <v/>
      </c>
      <c r="B843">
        <f>IF(ISNA(Sheet1!I843),NA(),Sheet1!$O$5-(Sheet1!I843/Sheet1!$O$6))</f>
        <v/>
      </c>
    </row>
    <row r="844">
      <c r="A844">
        <f>Sheet1!K844</f>
        <v/>
      </c>
      <c r="B844">
        <f>IF(ISNA(Sheet1!I844),NA(),Sheet1!$O$5-(Sheet1!I844/Sheet1!$O$6))</f>
        <v/>
      </c>
    </row>
    <row r="845">
      <c r="A845">
        <f>Sheet1!K845</f>
        <v/>
      </c>
      <c r="B845">
        <f>IF(ISNA(Sheet1!I845),NA(),Sheet1!$O$5-(Sheet1!I845/Sheet1!$O$6))</f>
        <v/>
      </c>
    </row>
    <row r="846">
      <c r="A846">
        <f>Sheet1!K846</f>
        <v/>
      </c>
      <c r="B846">
        <f>IF(ISNA(Sheet1!I846),NA(),Sheet1!$O$5-(Sheet1!I846/Sheet1!$O$6))</f>
        <v/>
      </c>
    </row>
    <row r="847">
      <c r="A847">
        <f>Sheet1!K847</f>
        <v/>
      </c>
      <c r="B847">
        <f>IF(ISNA(Sheet1!I847),NA(),Sheet1!$O$5-(Sheet1!I847/Sheet1!$O$6))</f>
        <v/>
      </c>
    </row>
    <row r="848">
      <c r="A848">
        <f>Sheet1!K848</f>
        <v/>
      </c>
      <c r="B848">
        <f>IF(ISNA(Sheet1!I848),NA(),Sheet1!$O$5-(Sheet1!I848/Sheet1!$O$6))</f>
        <v/>
      </c>
    </row>
    <row r="849">
      <c r="A849">
        <f>Sheet1!K849</f>
        <v/>
      </c>
      <c r="B849">
        <f>IF(ISNA(Sheet1!I849),NA(),Sheet1!$O$5-(Sheet1!I849/Sheet1!$O$6))</f>
        <v/>
      </c>
    </row>
    <row r="850">
      <c r="A850">
        <f>Sheet1!K850</f>
        <v/>
      </c>
      <c r="B850">
        <f>IF(ISNA(Sheet1!I850),NA(),Sheet1!$O$5-(Sheet1!I850/Sheet1!$O$6))</f>
        <v/>
      </c>
    </row>
    <row r="851">
      <c r="A851">
        <f>Sheet1!K851</f>
        <v/>
      </c>
      <c r="B851">
        <f>IF(ISNA(Sheet1!I851),NA(),Sheet1!$O$5-(Sheet1!I851/Sheet1!$O$6))</f>
        <v/>
      </c>
    </row>
    <row r="852">
      <c r="A852">
        <f>Sheet1!K852</f>
        <v/>
      </c>
      <c r="B852">
        <f>IF(ISNA(Sheet1!I852),NA(),Sheet1!$O$5-(Sheet1!I852/Sheet1!$O$6))</f>
        <v/>
      </c>
    </row>
    <row r="853">
      <c r="A853">
        <f>Sheet1!K853</f>
        <v/>
      </c>
      <c r="B853">
        <f>IF(ISNA(Sheet1!I853),NA(),Sheet1!$O$5-(Sheet1!I853/Sheet1!$O$6))</f>
        <v/>
      </c>
    </row>
    <row r="854">
      <c r="A854">
        <f>Sheet1!K854</f>
        <v/>
      </c>
      <c r="B854">
        <f>IF(ISNA(Sheet1!I854),NA(),Sheet1!$O$5-(Sheet1!I854/Sheet1!$O$6))</f>
        <v/>
      </c>
    </row>
    <row r="855">
      <c r="A855">
        <f>Sheet1!K855</f>
        <v/>
      </c>
      <c r="B855">
        <f>IF(ISNA(Sheet1!I855),NA(),Sheet1!$O$5-(Sheet1!I855/Sheet1!$O$6))</f>
        <v/>
      </c>
    </row>
    <row r="856">
      <c r="A856">
        <f>Sheet1!K856</f>
        <v/>
      </c>
      <c r="B856">
        <f>IF(ISNA(Sheet1!I856),NA(),Sheet1!$O$5-(Sheet1!I856/Sheet1!$O$6))</f>
        <v/>
      </c>
    </row>
    <row r="857">
      <c r="A857">
        <f>Sheet1!K857</f>
        <v/>
      </c>
      <c r="B857">
        <f>IF(ISNA(Sheet1!I857),NA(),Sheet1!$O$5-(Sheet1!I857/Sheet1!$O$6))</f>
        <v/>
      </c>
    </row>
    <row r="858">
      <c r="A858">
        <f>Sheet1!K858</f>
        <v/>
      </c>
      <c r="B858">
        <f>IF(ISNA(Sheet1!I858),NA(),Sheet1!$O$5-(Sheet1!I858/Sheet1!$O$6))</f>
        <v/>
      </c>
    </row>
    <row r="859">
      <c r="A859">
        <f>Sheet1!K859</f>
        <v/>
      </c>
      <c r="B859">
        <f>IF(ISNA(Sheet1!I859),NA(),Sheet1!$O$5-(Sheet1!I859/Sheet1!$O$6))</f>
        <v/>
      </c>
    </row>
    <row r="860">
      <c r="A860">
        <f>Sheet1!K860</f>
        <v/>
      </c>
      <c r="B860">
        <f>IF(ISNA(Sheet1!I860),NA(),Sheet1!$O$5-(Sheet1!I860/Sheet1!$O$6))</f>
        <v/>
      </c>
    </row>
    <row r="861">
      <c r="A861">
        <f>Sheet1!K861</f>
        <v/>
      </c>
      <c r="B861">
        <f>IF(ISNA(Sheet1!I861),NA(),Sheet1!$O$5-(Sheet1!I861/Sheet1!$O$6))</f>
        <v/>
      </c>
    </row>
    <row r="862">
      <c r="A862">
        <f>Sheet1!K862</f>
        <v/>
      </c>
      <c r="B862">
        <f>IF(ISNA(Sheet1!I862),NA(),Sheet1!$O$5-(Sheet1!I862/Sheet1!$O$6))</f>
        <v/>
      </c>
    </row>
    <row r="863">
      <c r="A863">
        <f>Sheet1!K863</f>
        <v/>
      </c>
      <c r="B863">
        <f>IF(ISNA(Sheet1!I863),NA(),Sheet1!$O$5-(Sheet1!I863/Sheet1!$O$6))</f>
        <v/>
      </c>
    </row>
    <row r="864">
      <c r="A864">
        <f>Sheet1!K864</f>
        <v/>
      </c>
      <c r="B864">
        <f>IF(ISNA(Sheet1!I864),NA(),Sheet1!$O$5-(Sheet1!I864/Sheet1!$O$6))</f>
        <v/>
      </c>
    </row>
    <row r="865">
      <c r="A865">
        <f>Sheet1!K865</f>
        <v/>
      </c>
      <c r="B865">
        <f>IF(ISNA(Sheet1!I865),NA(),Sheet1!$O$5-(Sheet1!I865/Sheet1!$O$6))</f>
        <v/>
      </c>
    </row>
    <row r="866">
      <c r="A866">
        <f>Sheet1!K866</f>
        <v/>
      </c>
      <c r="B866">
        <f>IF(ISNA(Sheet1!I866),NA(),Sheet1!$O$5-(Sheet1!I866/Sheet1!$O$6))</f>
        <v/>
      </c>
    </row>
    <row r="867">
      <c r="A867">
        <f>Sheet1!K867</f>
        <v/>
      </c>
      <c r="B867">
        <f>IF(ISNA(Sheet1!I867),NA(),Sheet1!$O$5-(Sheet1!I867/Sheet1!$O$6))</f>
        <v/>
      </c>
    </row>
    <row r="868">
      <c r="A868">
        <f>Sheet1!K868</f>
        <v/>
      </c>
      <c r="B868">
        <f>IF(ISNA(Sheet1!I868),NA(),Sheet1!$O$5-(Sheet1!I868/Sheet1!$O$6))</f>
        <v/>
      </c>
    </row>
    <row r="869">
      <c r="A869">
        <f>Sheet1!K869</f>
        <v/>
      </c>
      <c r="B869">
        <f>IF(ISNA(Sheet1!I869),NA(),Sheet1!$O$5-(Sheet1!I869/Sheet1!$O$6))</f>
        <v/>
      </c>
    </row>
    <row r="870">
      <c r="A870">
        <f>Sheet1!K870</f>
        <v/>
      </c>
      <c r="B870">
        <f>IF(ISNA(Sheet1!I870),NA(),Sheet1!$O$5-(Sheet1!I870/Sheet1!$O$6))</f>
        <v/>
      </c>
    </row>
    <row r="871">
      <c r="A871">
        <f>Sheet1!K871</f>
        <v/>
      </c>
      <c r="B871">
        <f>IF(ISNA(Sheet1!I871),NA(),Sheet1!$O$5-(Sheet1!I871/Sheet1!$O$6))</f>
        <v/>
      </c>
    </row>
    <row r="872">
      <c r="A872">
        <f>Sheet1!K872</f>
        <v/>
      </c>
      <c r="B872">
        <f>IF(ISNA(Sheet1!I872),NA(),Sheet1!$O$5-(Sheet1!I872/Sheet1!$O$6))</f>
        <v/>
      </c>
    </row>
    <row r="873">
      <c r="A873">
        <f>Sheet1!K873</f>
        <v/>
      </c>
      <c r="B873">
        <f>IF(ISNA(Sheet1!I873),NA(),Sheet1!$O$5-(Sheet1!I873/Sheet1!$O$6))</f>
        <v/>
      </c>
    </row>
    <row r="874">
      <c r="A874">
        <f>Sheet1!K874</f>
        <v/>
      </c>
      <c r="B874">
        <f>IF(ISNA(Sheet1!I874),NA(),Sheet1!$O$5-(Sheet1!I874/Sheet1!$O$6))</f>
        <v/>
      </c>
    </row>
    <row r="875">
      <c r="A875">
        <f>Sheet1!K875</f>
        <v/>
      </c>
      <c r="B875">
        <f>IF(ISNA(Sheet1!I875),NA(),Sheet1!$O$5-(Sheet1!I875/Sheet1!$O$6))</f>
        <v/>
      </c>
    </row>
    <row r="876">
      <c r="A876">
        <f>Sheet1!K876</f>
        <v/>
      </c>
      <c r="B876">
        <f>IF(ISNA(Sheet1!I876),NA(),Sheet1!$O$5-(Sheet1!I876/Sheet1!$O$6))</f>
        <v/>
      </c>
    </row>
    <row r="877">
      <c r="A877">
        <f>Sheet1!K877</f>
        <v/>
      </c>
      <c r="B877">
        <f>IF(ISNA(Sheet1!I877),NA(),Sheet1!$O$5-(Sheet1!I877/Sheet1!$O$6))</f>
        <v/>
      </c>
    </row>
    <row r="878">
      <c r="A878">
        <f>Sheet1!K878</f>
        <v/>
      </c>
      <c r="B878">
        <f>IF(ISNA(Sheet1!I878),NA(),Sheet1!$O$5-(Sheet1!I878/Sheet1!$O$6))</f>
        <v/>
      </c>
    </row>
    <row r="879">
      <c r="A879">
        <f>Sheet1!K879</f>
        <v/>
      </c>
      <c r="B879">
        <f>IF(ISNA(Sheet1!I879),NA(),Sheet1!$O$5-(Sheet1!I879/Sheet1!$O$6))</f>
        <v/>
      </c>
    </row>
    <row r="880">
      <c r="A880">
        <f>Sheet1!K880</f>
        <v/>
      </c>
      <c r="B880">
        <f>IF(ISNA(Sheet1!I880),NA(),Sheet1!$O$5-(Sheet1!I880/Sheet1!$O$6))</f>
        <v/>
      </c>
    </row>
    <row r="881">
      <c r="A881">
        <f>Sheet1!K881</f>
        <v/>
      </c>
      <c r="B881">
        <f>IF(ISNA(Sheet1!I881),NA(),Sheet1!$O$5-(Sheet1!I881/Sheet1!$O$6))</f>
        <v/>
      </c>
    </row>
    <row r="882">
      <c r="A882">
        <f>Sheet1!K882</f>
        <v/>
      </c>
      <c r="B882">
        <f>IF(ISNA(Sheet1!I882),NA(),Sheet1!$O$5-(Sheet1!I882/Sheet1!$O$6))</f>
        <v/>
      </c>
    </row>
    <row r="883">
      <c r="A883">
        <f>Sheet1!K883</f>
        <v/>
      </c>
      <c r="B883">
        <f>IF(ISNA(Sheet1!I883),NA(),Sheet1!$O$5-(Sheet1!I883/Sheet1!$O$6))</f>
        <v/>
      </c>
    </row>
    <row r="884">
      <c r="A884">
        <f>Sheet1!K884</f>
        <v/>
      </c>
      <c r="B884">
        <f>IF(ISNA(Sheet1!I884),NA(),Sheet1!$O$5-(Sheet1!I884/Sheet1!$O$6))</f>
        <v/>
      </c>
    </row>
    <row r="885">
      <c r="A885">
        <f>Sheet1!K885</f>
        <v/>
      </c>
      <c r="B885">
        <f>IF(ISNA(Sheet1!I885),NA(),Sheet1!$O$5-(Sheet1!I885/Sheet1!$O$6))</f>
        <v/>
      </c>
    </row>
    <row r="886">
      <c r="A886">
        <f>Sheet1!K886</f>
        <v/>
      </c>
      <c r="B886">
        <f>IF(ISNA(Sheet1!I886),NA(),Sheet1!$O$5-(Sheet1!I886/Sheet1!$O$6))</f>
        <v/>
      </c>
    </row>
    <row r="887">
      <c r="A887">
        <f>Sheet1!K887</f>
        <v/>
      </c>
      <c r="B887">
        <f>IF(ISNA(Sheet1!I887),NA(),Sheet1!$O$5-(Sheet1!I887/Sheet1!$O$6))</f>
        <v/>
      </c>
    </row>
    <row r="888">
      <c r="A888">
        <f>Sheet1!K888</f>
        <v/>
      </c>
      <c r="B888">
        <f>IF(ISNA(Sheet1!I888),NA(),Sheet1!$O$5-(Sheet1!I888/Sheet1!$O$6))</f>
        <v/>
      </c>
    </row>
    <row r="889">
      <c r="A889">
        <f>Sheet1!K889</f>
        <v/>
      </c>
      <c r="B889">
        <f>IF(ISNA(Sheet1!I889),NA(),Sheet1!$O$5-(Sheet1!I889/Sheet1!$O$6))</f>
        <v/>
      </c>
    </row>
    <row r="890">
      <c r="A890">
        <f>Sheet1!K890</f>
        <v/>
      </c>
      <c r="B890">
        <f>IF(ISNA(Sheet1!I890),NA(),Sheet1!$O$5-(Sheet1!I890/Sheet1!$O$6))</f>
        <v/>
      </c>
    </row>
    <row r="891">
      <c r="A891">
        <f>Sheet1!K891</f>
        <v/>
      </c>
      <c r="B891">
        <f>IF(ISNA(Sheet1!I891),NA(),Sheet1!$O$5-(Sheet1!I891/Sheet1!$O$6))</f>
        <v/>
      </c>
    </row>
    <row r="892">
      <c r="A892">
        <f>Sheet1!K892</f>
        <v/>
      </c>
      <c r="B892">
        <f>IF(ISNA(Sheet1!I892),NA(),Sheet1!$O$5-(Sheet1!I892/Sheet1!$O$6))</f>
        <v/>
      </c>
    </row>
    <row r="893">
      <c r="A893">
        <f>Sheet1!K893</f>
        <v/>
      </c>
      <c r="B893">
        <f>IF(ISNA(Sheet1!I893),NA(),Sheet1!$O$5-(Sheet1!I893/Sheet1!$O$6))</f>
        <v/>
      </c>
    </row>
    <row r="894">
      <c r="A894">
        <f>Sheet1!K894</f>
        <v/>
      </c>
      <c r="B894">
        <f>IF(ISNA(Sheet1!I894),NA(),Sheet1!$O$5-(Sheet1!I894/Sheet1!$O$6))</f>
        <v/>
      </c>
    </row>
    <row r="895">
      <c r="A895">
        <f>Sheet1!K895</f>
        <v/>
      </c>
      <c r="B895">
        <f>IF(ISNA(Sheet1!I895),NA(),Sheet1!$O$5-(Sheet1!I895/Sheet1!$O$6))</f>
        <v/>
      </c>
    </row>
    <row r="896">
      <c r="A896">
        <f>Sheet1!K896</f>
        <v/>
      </c>
      <c r="B896">
        <f>IF(ISNA(Sheet1!I896),NA(),Sheet1!$O$5-(Sheet1!I896/Sheet1!$O$6))</f>
        <v/>
      </c>
    </row>
    <row r="897">
      <c r="A897">
        <f>Sheet1!K897</f>
        <v/>
      </c>
      <c r="B897">
        <f>IF(ISNA(Sheet1!I897),NA(),Sheet1!$O$5-(Sheet1!I897/Sheet1!$O$6))</f>
        <v/>
      </c>
    </row>
    <row r="898">
      <c r="A898">
        <f>Sheet1!K898</f>
        <v/>
      </c>
      <c r="B898">
        <f>IF(ISNA(Sheet1!I898),NA(),Sheet1!$O$5-(Sheet1!I898/Sheet1!$O$6))</f>
        <v/>
      </c>
    </row>
    <row r="899">
      <c r="A899">
        <f>Sheet1!K899</f>
        <v/>
      </c>
      <c r="B899">
        <f>IF(ISNA(Sheet1!I899),NA(),Sheet1!$O$5-(Sheet1!I899/Sheet1!$O$6))</f>
        <v/>
      </c>
    </row>
    <row r="900">
      <c r="A900">
        <f>Sheet1!K900</f>
        <v/>
      </c>
      <c r="B900">
        <f>IF(ISNA(Sheet1!I900),NA(),Sheet1!$O$5-(Sheet1!I900/Sheet1!$O$6))</f>
        <v/>
      </c>
    </row>
    <row r="901">
      <c r="A901">
        <f>Sheet1!K901</f>
        <v/>
      </c>
      <c r="B901">
        <f>IF(ISNA(Sheet1!I901),NA(),Sheet1!$O$5-(Sheet1!I901/Sheet1!$O$6))</f>
        <v/>
      </c>
    </row>
    <row r="902">
      <c r="A902">
        <f>Sheet1!K902</f>
        <v/>
      </c>
      <c r="B902">
        <f>IF(ISNA(Sheet1!I902),NA(),Sheet1!$O$5-(Sheet1!I902/Sheet1!$O$6))</f>
        <v/>
      </c>
    </row>
    <row r="903">
      <c r="A903">
        <f>Sheet1!K903</f>
        <v/>
      </c>
      <c r="B903">
        <f>IF(ISNA(Sheet1!I903),NA(),Sheet1!$O$5-(Sheet1!I903/Sheet1!$O$6))</f>
        <v/>
      </c>
    </row>
    <row r="904">
      <c r="A904">
        <f>Sheet1!K904</f>
        <v/>
      </c>
      <c r="B904">
        <f>IF(ISNA(Sheet1!I904),NA(),Sheet1!$O$5-(Sheet1!I904/Sheet1!$O$6))</f>
        <v/>
      </c>
    </row>
    <row r="905">
      <c r="A905">
        <f>Sheet1!K905</f>
        <v/>
      </c>
      <c r="B905">
        <f>IF(ISNA(Sheet1!I905),NA(),Sheet1!$O$5-(Sheet1!I905/Sheet1!$O$6))</f>
        <v/>
      </c>
    </row>
    <row r="906">
      <c r="A906">
        <f>Sheet1!K906</f>
        <v/>
      </c>
      <c r="B906">
        <f>IF(ISNA(Sheet1!I906),NA(),Sheet1!$O$5-(Sheet1!I906/Sheet1!$O$6))</f>
        <v/>
      </c>
    </row>
    <row r="907">
      <c r="A907">
        <f>Sheet1!K907</f>
        <v/>
      </c>
      <c r="B907">
        <f>IF(ISNA(Sheet1!I907),NA(),Sheet1!$O$5-(Sheet1!I907/Sheet1!$O$6))</f>
        <v/>
      </c>
    </row>
    <row r="908">
      <c r="A908">
        <f>Sheet1!K908</f>
        <v/>
      </c>
      <c r="B908">
        <f>IF(ISNA(Sheet1!I908),NA(),Sheet1!$O$5-(Sheet1!I908/Sheet1!$O$6))</f>
        <v/>
      </c>
    </row>
    <row r="909">
      <c r="A909">
        <f>Sheet1!K909</f>
        <v/>
      </c>
      <c r="B909">
        <f>IF(ISNA(Sheet1!I909),NA(),Sheet1!$O$5-(Sheet1!I909/Sheet1!$O$6))</f>
        <v/>
      </c>
    </row>
    <row r="910">
      <c r="A910">
        <f>Sheet1!K910</f>
        <v/>
      </c>
      <c r="B910">
        <f>IF(ISNA(Sheet1!I910),NA(),Sheet1!$O$5-(Sheet1!I910/Sheet1!$O$6))</f>
        <v/>
      </c>
    </row>
    <row r="911">
      <c r="A911">
        <f>Sheet1!K911</f>
        <v/>
      </c>
      <c r="B911">
        <f>IF(ISNA(Sheet1!I911),NA(),Sheet1!$O$5-(Sheet1!I911/Sheet1!$O$6))</f>
        <v/>
      </c>
    </row>
    <row r="912">
      <c r="A912">
        <f>Sheet1!K912</f>
        <v/>
      </c>
      <c r="B912">
        <f>IF(ISNA(Sheet1!I912),NA(),Sheet1!$O$5-(Sheet1!I912/Sheet1!$O$6))</f>
        <v/>
      </c>
    </row>
    <row r="913">
      <c r="A913">
        <f>Sheet1!K913</f>
        <v/>
      </c>
      <c r="B913">
        <f>IF(ISNA(Sheet1!I913),NA(),Sheet1!$O$5-(Sheet1!I913/Sheet1!$O$6))</f>
        <v/>
      </c>
    </row>
    <row r="914">
      <c r="A914">
        <f>Sheet1!K914</f>
        <v/>
      </c>
      <c r="B914">
        <f>IF(ISNA(Sheet1!I914),NA(),Sheet1!$O$5-(Sheet1!I914/Sheet1!$O$6))</f>
        <v/>
      </c>
    </row>
    <row r="915">
      <c r="A915">
        <f>Sheet1!K915</f>
        <v/>
      </c>
      <c r="B915">
        <f>IF(ISNA(Sheet1!I915),NA(),Sheet1!$O$5-(Sheet1!I915/Sheet1!$O$6))</f>
        <v/>
      </c>
    </row>
    <row r="916">
      <c r="A916">
        <f>Sheet1!K916</f>
        <v/>
      </c>
      <c r="B916">
        <f>IF(ISNA(Sheet1!I916),NA(),Sheet1!$O$5-(Sheet1!I916/Sheet1!$O$6))</f>
        <v/>
      </c>
    </row>
    <row r="917">
      <c r="A917">
        <f>Sheet1!K917</f>
        <v/>
      </c>
      <c r="B917">
        <f>IF(ISNA(Sheet1!I917),NA(),Sheet1!$O$5-(Sheet1!I917/Sheet1!$O$6))</f>
        <v/>
      </c>
    </row>
    <row r="918">
      <c r="A918">
        <f>Sheet1!K918</f>
        <v/>
      </c>
      <c r="B918">
        <f>IF(ISNA(Sheet1!I918),NA(),Sheet1!$O$5-(Sheet1!I918/Sheet1!$O$6))</f>
        <v/>
      </c>
    </row>
    <row r="919">
      <c r="A919">
        <f>Sheet1!K919</f>
        <v/>
      </c>
      <c r="B919">
        <f>IF(ISNA(Sheet1!I919),NA(),Sheet1!$O$5-(Sheet1!I919/Sheet1!$O$6))</f>
        <v/>
      </c>
    </row>
    <row r="920">
      <c r="A920">
        <f>Sheet1!K920</f>
        <v/>
      </c>
      <c r="B920">
        <f>IF(ISNA(Sheet1!I920),NA(),Sheet1!$O$5-(Sheet1!I920/Sheet1!$O$6))</f>
        <v/>
      </c>
    </row>
    <row r="921">
      <c r="A921">
        <f>Sheet1!K921</f>
        <v/>
      </c>
      <c r="B921">
        <f>IF(ISNA(Sheet1!I921),NA(),Sheet1!$O$5-(Sheet1!I921/Sheet1!$O$6))</f>
        <v/>
      </c>
    </row>
    <row r="922">
      <c r="A922">
        <f>Sheet1!K922</f>
        <v/>
      </c>
      <c r="B922">
        <f>IF(ISNA(Sheet1!I922),NA(),Sheet1!$O$5-(Sheet1!I922/Sheet1!$O$6))</f>
        <v/>
      </c>
    </row>
    <row r="923">
      <c r="A923">
        <f>Sheet1!K923</f>
        <v/>
      </c>
      <c r="B923">
        <f>IF(ISNA(Sheet1!I923),NA(),Sheet1!$O$5-(Sheet1!I923/Sheet1!$O$6))</f>
        <v/>
      </c>
    </row>
    <row r="924">
      <c r="A924">
        <f>Sheet1!K924</f>
        <v/>
      </c>
      <c r="B924">
        <f>IF(ISNA(Sheet1!I924),NA(),Sheet1!$O$5-(Sheet1!I924/Sheet1!$O$6))</f>
        <v/>
      </c>
    </row>
    <row r="925">
      <c r="A925">
        <f>Sheet1!K925</f>
        <v/>
      </c>
      <c r="B925">
        <f>IF(ISNA(Sheet1!I925),NA(),Sheet1!$O$5-(Sheet1!I925/Sheet1!$O$6))</f>
        <v/>
      </c>
    </row>
    <row r="926">
      <c r="A926">
        <f>Sheet1!K926</f>
        <v/>
      </c>
      <c r="B926">
        <f>IF(ISNA(Sheet1!I926),NA(),Sheet1!$O$5-(Sheet1!I926/Sheet1!$O$6))</f>
        <v/>
      </c>
    </row>
    <row r="927">
      <c r="A927">
        <f>Sheet1!K927</f>
        <v/>
      </c>
      <c r="B927">
        <f>IF(ISNA(Sheet1!I927),NA(),Sheet1!$O$5-(Sheet1!I927/Sheet1!$O$6))</f>
        <v/>
      </c>
    </row>
    <row r="928">
      <c r="A928">
        <f>Sheet1!K928</f>
        <v/>
      </c>
      <c r="B928">
        <f>IF(ISNA(Sheet1!I928),NA(),Sheet1!$O$5-(Sheet1!I928/Sheet1!$O$6))</f>
        <v/>
      </c>
    </row>
    <row r="929">
      <c r="A929">
        <f>Sheet1!K929</f>
        <v/>
      </c>
      <c r="B929">
        <f>IF(ISNA(Sheet1!I929),NA(),Sheet1!$O$5-(Sheet1!I929/Sheet1!$O$6))</f>
        <v/>
      </c>
    </row>
    <row r="930">
      <c r="A930">
        <f>Sheet1!K930</f>
        <v/>
      </c>
      <c r="B930">
        <f>IF(ISNA(Sheet1!I930),NA(),Sheet1!$O$5-(Sheet1!I930/Sheet1!$O$6))</f>
        <v/>
      </c>
    </row>
    <row r="931">
      <c r="A931">
        <f>Sheet1!K931</f>
        <v/>
      </c>
      <c r="B931">
        <f>IF(ISNA(Sheet1!I931),NA(),Sheet1!$O$5-(Sheet1!I931/Sheet1!$O$6))</f>
        <v/>
      </c>
    </row>
    <row r="932">
      <c r="A932">
        <f>Sheet1!K932</f>
        <v/>
      </c>
      <c r="B932">
        <f>IF(ISNA(Sheet1!I932),NA(),Sheet1!$O$5-(Sheet1!I932/Sheet1!$O$6))</f>
        <v/>
      </c>
    </row>
    <row r="933">
      <c r="A933">
        <f>Sheet1!K933</f>
        <v/>
      </c>
      <c r="B933">
        <f>IF(ISNA(Sheet1!I933),NA(),Sheet1!$O$5-(Sheet1!I933/Sheet1!$O$6))</f>
        <v/>
      </c>
    </row>
    <row r="934">
      <c r="A934">
        <f>Sheet1!K934</f>
        <v/>
      </c>
      <c r="B934">
        <f>IF(ISNA(Sheet1!I934),NA(),Sheet1!$O$5-(Sheet1!I934/Sheet1!$O$6))</f>
        <v/>
      </c>
    </row>
    <row r="935">
      <c r="A935">
        <f>Sheet1!K935</f>
        <v/>
      </c>
      <c r="B935">
        <f>IF(ISNA(Sheet1!I935),NA(),Sheet1!$O$5-(Sheet1!I935/Sheet1!$O$6))</f>
        <v/>
      </c>
    </row>
    <row r="936">
      <c r="A936">
        <f>Sheet1!K936</f>
        <v/>
      </c>
      <c r="B936">
        <f>IF(ISNA(Sheet1!I936),NA(),Sheet1!$O$5-(Sheet1!I936/Sheet1!$O$6))</f>
        <v/>
      </c>
    </row>
    <row r="937">
      <c r="A937">
        <f>Sheet1!K937</f>
        <v/>
      </c>
      <c r="B937">
        <f>IF(ISNA(Sheet1!I937),NA(),Sheet1!$O$5-(Sheet1!I937/Sheet1!$O$6))</f>
        <v/>
      </c>
    </row>
    <row r="938">
      <c r="A938">
        <f>Sheet1!K938</f>
        <v/>
      </c>
      <c r="B938">
        <f>IF(ISNA(Sheet1!I938),NA(),Sheet1!$O$5-(Sheet1!I938/Sheet1!$O$6))</f>
        <v/>
      </c>
    </row>
    <row r="939">
      <c r="A939">
        <f>Sheet1!K939</f>
        <v/>
      </c>
      <c r="B939">
        <f>IF(ISNA(Sheet1!I939),NA(),Sheet1!$O$5-(Sheet1!I939/Sheet1!$O$6))</f>
        <v/>
      </c>
    </row>
    <row r="940">
      <c r="A940">
        <f>Sheet1!K940</f>
        <v/>
      </c>
      <c r="B940">
        <f>IF(ISNA(Sheet1!I940),NA(),Sheet1!$O$5-(Sheet1!I940/Sheet1!$O$6))</f>
        <v/>
      </c>
    </row>
    <row r="941">
      <c r="A941">
        <f>Sheet1!K941</f>
        <v/>
      </c>
      <c r="B941">
        <f>IF(ISNA(Sheet1!I941),NA(),Sheet1!$O$5-(Sheet1!I941/Sheet1!$O$6))</f>
        <v/>
      </c>
    </row>
    <row r="942">
      <c r="A942">
        <f>Sheet1!K942</f>
        <v/>
      </c>
      <c r="B942">
        <f>IF(ISNA(Sheet1!I942),NA(),Sheet1!$O$5-(Sheet1!I942/Sheet1!$O$6))</f>
        <v/>
      </c>
    </row>
    <row r="943">
      <c r="A943">
        <f>Sheet1!K943</f>
        <v/>
      </c>
      <c r="B943">
        <f>IF(ISNA(Sheet1!I943),NA(),Sheet1!$O$5-(Sheet1!I943/Sheet1!$O$6))</f>
        <v/>
      </c>
    </row>
    <row r="944">
      <c r="A944">
        <f>Sheet1!K944</f>
        <v/>
      </c>
      <c r="B944">
        <f>IF(ISNA(Sheet1!I944),NA(),Sheet1!$O$5-(Sheet1!I944/Sheet1!$O$6))</f>
        <v/>
      </c>
    </row>
    <row r="945">
      <c r="A945">
        <f>Sheet1!K945</f>
        <v/>
      </c>
      <c r="B945">
        <f>IF(ISNA(Sheet1!I945),NA(),Sheet1!$O$5-(Sheet1!I945/Sheet1!$O$6))</f>
        <v/>
      </c>
    </row>
    <row r="946">
      <c r="A946">
        <f>Sheet1!K946</f>
        <v/>
      </c>
      <c r="B946">
        <f>IF(ISNA(Sheet1!I946),NA(),Sheet1!$O$5-(Sheet1!I946/Sheet1!$O$6))</f>
        <v/>
      </c>
    </row>
    <row r="947">
      <c r="A947">
        <f>Sheet1!K947</f>
        <v/>
      </c>
      <c r="B947">
        <f>IF(ISNA(Sheet1!I947),NA(),Sheet1!$O$5-(Sheet1!I947/Sheet1!$O$6))</f>
        <v/>
      </c>
    </row>
    <row r="948">
      <c r="A948">
        <f>Sheet1!K948</f>
        <v/>
      </c>
      <c r="B948">
        <f>IF(ISNA(Sheet1!I948),NA(),Sheet1!$O$5-(Sheet1!I948/Sheet1!$O$6))</f>
        <v/>
      </c>
    </row>
    <row r="949">
      <c r="A949">
        <f>Sheet1!K949</f>
        <v/>
      </c>
      <c r="B949">
        <f>IF(ISNA(Sheet1!I949),NA(),Sheet1!$O$5-(Sheet1!I949/Sheet1!$O$6))</f>
        <v/>
      </c>
    </row>
    <row r="950">
      <c r="A950">
        <f>Sheet1!K950</f>
        <v/>
      </c>
      <c r="B950">
        <f>IF(ISNA(Sheet1!I950),NA(),Sheet1!$O$5-(Sheet1!I950/Sheet1!$O$6))</f>
        <v/>
      </c>
    </row>
    <row r="951">
      <c r="A951">
        <f>Sheet1!K951</f>
        <v/>
      </c>
      <c r="B951">
        <f>IF(ISNA(Sheet1!I951),NA(),Sheet1!$O$5-(Sheet1!I951/Sheet1!$O$6))</f>
        <v/>
      </c>
    </row>
    <row r="952">
      <c r="A952">
        <f>Sheet1!K952</f>
        <v/>
      </c>
      <c r="B952">
        <f>IF(ISNA(Sheet1!I952),NA(),Sheet1!$O$5-(Sheet1!I952/Sheet1!$O$6))</f>
        <v/>
      </c>
    </row>
    <row r="953">
      <c r="A953">
        <f>Sheet1!K953</f>
        <v/>
      </c>
      <c r="B953">
        <f>IF(ISNA(Sheet1!I953),NA(),Sheet1!$O$5-(Sheet1!I953/Sheet1!$O$6))</f>
        <v/>
      </c>
    </row>
    <row r="954">
      <c r="A954">
        <f>Sheet1!K954</f>
        <v/>
      </c>
      <c r="B954">
        <f>IF(ISNA(Sheet1!I954),NA(),Sheet1!$O$5-(Sheet1!I954/Sheet1!$O$6))</f>
        <v/>
      </c>
    </row>
    <row r="955">
      <c r="A955">
        <f>Sheet1!K955</f>
        <v/>
      </c>
      <c r="B955">
        <f>IF(ISNA(Sheet1!I955),NA(),Sheet1!$O$5-(Sheet1!I955/Sheet1!$O$6))</f>
        <v/>
      </c>
    </row>
    <row r="956">
      <c r="A956">
        <f>Sheet1!K956</f>
        <v/>
      </c>
      <c r="B956">
        <f>IF(ISNA(Sheet1!I956),NA(),Sheet1!$O$5-(Sheet1!I956/Sheet1!$O$6))</f>
        <v/>
      </c>
    </row>
    <row r="957">
      <c r="A957">
        <f>Sheet1!K957</f>
        <v/>
      </c>
      <c r="B957">
        <f>IF(ISNA(Sheet1!I957),NA(),Sheet1!$O$5-(Sheet1!I957/Sheet1!$O$6))</f>
        <v/>
      </c>
    </row>
    <row r="958">
      <c r="A958">
        <f>Sheet1!K958</f>
        <v/>
      </c>
      <c r="B958">
        <f>IF(ISNA(Sheet1!I958),NA(),Sheet1!$O$5-(Sheet1!I958/Sheet1!$O$6))</f>
        <v/>
      </c>
    </row>
    <row r="959">
      <c r="A959">
        <f>Sheet1!K959</f>
        <v/>
      </c>
      <c r="B959">
        <f>IF(ISNA(Sheet1!I959),NA(),Sheet1!$O$5-(Sheet1!I959/Sheet1!$O$6))</f>
        <v/>
      </c>
    </row>
    <row r="960">
      <c r="A960">
        <f>Sheet1!K960</f>
        <v/>
      </c>
      <c r="B960">
        <f>IF(ISNA(Sheet1!I960),NA(),Sheet1!$O$5-(Sheet1!I960/Sheet1!$O$6))</f>
        <v/>
      </c>
    </row>
    <row r="961">
      <c r="A961">
        <f>Sheet1!K961</f>
        <v/>
      </c>
      <c r="B961">
        <f>IF(ISNA(Sheet1!I961),NA(),Sheet1!$O$5-(Sheet1!I961/Sheet1!$O$6))</f>
        <v/>
      </c>
    </row>
    <row r="962">
      <c r="A962">
        <f>Sheet1!K962</f>
        <v/>
      </c>
      <c r="B962">
        <f>IF(ISNA(Sheet1!I962),NA(),Sheet1!$O$5-(Sheet1!I962/Sheet1!$O$6))</f>
        <v/>
      </c>
    </row>
    <row r="963">
      <c r="A963">
        <f>Sheet1!K963</f>
        <v/>
      </c>
      <c r="B963">
        <f>IF(ISNA(Sheet1!I963),NA(),Sheet1!$O$5-(Sheet1!I963/Sheet1!$O$6))</f>
        <v/>
      </c>
    </row>
    <row r="964">
      <c r="A964">
        <f>Sheet1!K964</f>
        <v/>
      </c>
      <c r="B964">
        <f>IF(ISNA(Sheet1!I964),NA(),Sheet1!$O$5-(Sheet1!I964/Sheet1!$O$6))</f>
        <v/>
      </c>
    </row>
    <row r="965">
      <c r="A965">
        <f>Sheet1!K965</f>
        <v/>
      </c>
      <c r="B965">
        <f>IF(ISNA(Sheet1!I965),NA(),Sheet1!$O$5-(Sheet1!I965/Sheet1!$O$6))</f>
        <v/>
      </c>
    </row>
    <row r="966">
      <c r="A966">
        <f>Sheet1!K966</f>
        <v/>
      </c>
      <c r="B966">
        <f>IF(ISNA(Sheet1!I966),NA(),Sheet1!$O$5-(Sheet1!I966/Sheet1!$O$6))</f>
        <v/>
      </c>
    </row>
    <row r="967">
      <c r="A967">
        <f>Sheet1!K967</f>
        <v/>
      </c>
      <c r="B967">
        <f>IF(ISNA(Sheet1!I967),NA(),Sheet1!$O$5-(Sheet1!I967/Sheet1!$O$6))</f>
        <v/>
      </c>
    </row>
    <row r="968">
      <c r="A968">
        <f>Sheet1!K968</f>
        <v/>
      </c>
      <c r="B968">
        <f>IF(ISNA(Sheet1!I968),NA(),Sheet1!$O$5-(Sheet1!I968/Sheet1!$O$6))</f>
        <v/>
      </c>
    </row>
    <row r="969">
      <c r="A969">
        <f>Sheet1!K969</f>
        <v/>
      </c>
      <c r="B969">
        <f>IF(ISNA(Sheet1!I969),NA(),Sheet1!$O$5-(Sheet1!I969/Sheet1!$O$6))</f>
        <v/>
      </c>
    </row>
    <row r="970">
      <c r="A970">
        <f>Sheet1!K970</f>
        <v/>
      </c>
      <c r="B970">
        <f>IF(ISNA(Sheet1!I970),NA(),Sheet1!$O$5-(Sheet1!I970/Sheet1!$O$6))</f>
        <v/>
      </c>
    </row>
    <row r="971">
      <c r="A971">
        <f>Sheet1!K971</f>
        <v/>
      </c>
      <c r="B971">
        <f>IF(ISNA(Sheet1!I971),NA(),Sheet1!$O$5-(Sheet1!I971/Sheet1!$O$6))</f>
        <v/>
      </c>
    </row>
    <row r="972">
      <c r="A972">
        <f>Sheet1!K972</f>
        <v/>
      </c>
      <c r="B972">
        <f>IF(ISNA(Sheet1!I972),NA(),Sheet1!$O$5-(Sheet1!I972/Sheet1!$O$6))</f>
        <v/>
      </c>
    </row>
    <row r="973">
      <c r="A973">
        <f>Sheet1!K973</f>
        <v/>
      </c>
      <c r="B973">
        <f>IF(ISNA(Sheet1!I973),NA(),Sheet1!$O$5-(Sheet1!I973/Sheet1!$O$6))</f>
        <v/>
      </c>
    </row>
    <row r="974">
      <c r="A974">
        <f>Sheet1!K974</f>
        <v/>
      </c>
      <c r="B974">
        <f>IF(ISNA(Sheet1!I974),NA(),Sheet1!$O$5-(Sheet1!I974/Sheet1!$O$6))</f>
        <v/>
      </c>
    </row>
    <row r="975">
      <c r="A975">
        <f>Sheet1!K975</f>
        <v/>
      </c>
      <c r="B975">
        <f>IF(ISNA(Sheet1!I975),NA(),Sheet1!$O$5-(Sheet1!I975/Sheet1!$O$6))</f>
        <v/>
      </c>
    </row>
    <row r="976">
      <c r="A976">
        <f>Sheet1!K976</f>
        <v/>
      </c>
      <c r="B976">
        <f>IF(ISNA(Sheet1!I976),NA(),Sheet1!$O$5-(Sheet1!I976/Sheet1!$O$6))</f>
        <v/>
      </c>
    </row>
    <row r="977">
      <c r="A977">
        <f>Sheet1!K977</f>
        <v/>
      </c>
      <c r="B977">
        <f>IF(ISNA(Sheet1!I977),NA(),Sheet1!$O$5-(Sheet1!I977/Sheet1!$O$6))</f>
        <v/>
      </c>
    </row>
    <row r="978">
      <c r="A978">
        <f>Sheet1!K978</f>
        <v/>
      </c>
      <c r="B978">
        <f>IF(ISNA(Sheet1!I978),NA(),Sheet1!$O$5-(Sheet1!I978/Sheet1!$O$6))</f>
        <v/>
      </c>
    </row>
    <row r="979">
      <c r="A979">
        <f>Sheet1!K979</f>
        <v/>
      </c>
      <c r="B979">
        <f>IF(ISNA(Sheet1!I979),NA(),Sheet1!$O$5-(Sheet1!I979/Sheet1!$O$6))</f>
        <v/>
      </c>
    </row>
    <row r="980">
      <c r="A980">
        <f>Sheet1!K980</f>
        <v/>
      </c>
      <c r="B980">
        <f>IF(ISNA(Sheet1!I980),NA(),Sheet1!$O$5-(Sheet1!I980/Sheet1!$O$6))</f>
        <v/>
      </c>
    </row>
    <row r="981">
      <c r="A981">
        <f>Sheet1!K981</f>
        <v/>
      </c>
      <c r="B981">
        <f>IF(ISNA(Sheet1!I981),NA(),Sheet1!$O$5-(Sheet1!I981/Sheet1!$O$6))</f>
        <v/>
      </c>
    </row>
    <row r="982">
      <c r="A982">
        <f>Sheet1!K982</f>
        <v/>
      </c>
      <c r="B982">
        <f>IF(ISNA(Sheet1!I982),NA(),Sheet1!$O$5-(Sheet1!I982/Sheet1!$O$6))</f>
        <v/>
      </c>
    </row>
    <row r="983">
      <c r="A983">
        <f>Sheet1!K983</f>
        <v/>
      </c>
      <c r="B983">
        <f>IF(ISNA(Sheet1!I983),NA(),Sheet1!$O$5-(Sheet1!I983/Sheet1!$O$6))</f>
        <v/>
      </c>
    </row>
    <row r="984">
      <c r="A984">
        <f>Sheet1!K984</f>
        <v/>
      </c>
      <c r="B984">
        <f>IF(ISNA(Sheet1!I984),NA(),Sheet1!$O$5-(Sheet1!I984/Sheet1!$O$6))</f>
        <v/>
      </c>
    </row>
    <row r="985">
      <c r="A985">
        <f>Sheet1!K985</f>
        <v/>
      </c>
      <c r="B985">
        <f>IF(ISNA(Sheet1!I985),NA(),Sheet1!$O$5-(Sheet1!I985/Sheet1!$O$6))</f>
        <v/>
      </c>
    </row>
    <row r="986">
      <c r="A986">
        <f>Sheet1!K986</f>
        <v/>
      </c>
      <c r="B986">
        <f>IF(ISNA(Sheet1!I986),NA(),Sheet1!$O$5-(Sheet1!I986/Sheet1!$O$6))</f>
        <v/>
      </c>
    </row>
    <row r="987">
      <c r="A987">
        <f>Sheet1!K987</f>
        <v/>
      </c>
      <c r="B987">
        <f>IF(ISNA(Sheet1!I987),NA(),Sheet1!$O$5-(Sheet1!I987/Sheet1!$O$6))</f>
        <v/>
      </c>
    </row>
    <row r="988">
      <c r="A988">
        <f>Sheet1!K988</f>
        <v/>
      </c>
      <c r="B988">
        <f>IF(ISNA(Sheet1!I988),NA(),Sheet1!$O$5-(Sheet1!I988/Sheet1!$O$6))</f>
        <v/>
      </c>
    </row>
    <row r="989">
      <c r="A989">
        <f>Sheet1!K989</f>
        <v/>
      </c>
      <c r="B989">
        <f>IF(ISNA(Sheet1!I989),NA(),Sheet1!$O$5-(Sheet1!I989/Sheet1!$O$6))</f>
        <v/>
      </c>
    </row>
    <row r="990">
      <c r="A990">
        <f>Sheet1!K990</f>
        <v/>
      </c>
      <c r="B990">
        <f>IF(ISNA(Sheet1!I990),NA(),Sheet1!$O$5-(Sheet1!I990/Sheet1!$O$6))</f>
        <v/>
      </c>
    </row>
    <row r="991">
      <c r="A991">
        <f>Sheet1!K991</f>
        <v/>
      </c>
      <c r="B991">
        <f>IF(ISNA(Sheet1!I991),NA(),Sheet1!$O$5-(Sheet1!I991/Sheet1!$O$6))</f>
        <v/>
      </c>
    </row>
    <row r="992">
      <c r="A992">
        <f>Sheet1!K992</f>
        <v/>
      </c>
      <c r="B992">
        <f>IF(ISNA(Sheet1!I992),NA(),Sheet1!$O$5-(Sheet1!I992/Sheet1!$O$6))</f>
        <v/>
      </c>
    </row>
    <row r="993">
      <c r="A993">
        <f>Sheet1!K993</f>
        <v/>
      </c>
      <c r="B993">
        <f>IF(ISNA(Sheet1!I993),NA(),Sheet1!$O$5-(Sheet1!I993/Sheet1!$O$6))</f>
        <v/>
      </c>
    </row>
    <row r="994">
      <c r="A994">
        <f>Sheet1!K994</f>
        <v/>
      </c>
      <c r="B994">
        <f>IF(ISNA(Sheet1!I994),NA(),Sheet1!$O$5-(Sheet1!I994/Sheet1!$O$6))</f>
        <v/>
      </c>
    </row>
    <row r="995">
      <c r="A995">
        <f>Sheet1!K995</f>
        <v/>
      </c>
      <c r="B995">
        <f>IF(ISNA(Sheet1!I995),NA(),Sheet1!$O$5-(Sheet1!I995/Sheet1!$O$6))</f>
        <v/>
      </c>
    </row>
    <row r="996">
      <c r="A996">
        <f>Sheet1!K996</f>
        <v/>
      </c>
      <c r="B996">
        <f>IF(ISNA(Sheet1!I996),NA(),Sheet1!$O$5-(Sheet1!I996/Sheet1!$O$6))</f>
        <v/>
      </c>
    </row>
    <row r="997">
      <c r="A997">
        <f>Sheet1!K997</f>
        <v/>
      </c>
      <c r="B997">
        <f>IF(ISNA(Sheet1!I997),NA(),Sheet1!$O$5-(Sheet1!I997/Sheet1!$O$6))</f>
        <v/>
      </c>
    </row>
    <row r="998">
      <c r="A998">
        <f>Sheet1!K998</f>
        <v/>
      </c>
      <c r="B998">
        <f>IF(ISNA(Sheet1!I998),NA(),Sheet1!$O$5-(Sheet1!I998/Sheet1!$O$6))</f>
        <v/>
      </c>
    </row>
    <row r="999">
      <c r="A999">
        <f>Sheet1!K999</f>
        <v/>
      </c>
      <c r="B999">
        <f>IF(ISNA(Sheet1!I999),NA(),Sheet1!$O$5-(Sheet1!I999/Sheet1!$O$6))</f>
        <v/>
      </c>
    </row>
    <row r="1000">
      <c r="A1000">
        <f>Sheet1!K1000</f>
        <v/>
      </c>
      <c r="B1000">
        <f>IF(ISNA(Sheet1!I1000),NA(),Sheet1!$O$5-(Sheet1!I1000/Sheet1!$O$6))</f>
        <v/>
      </c>
    </row>
    <row r="1001">
      <c r="A1001">
        <f>Sheet1!K1001</f>
        <v/>
      </c>
      <c r="B1001">
        <f>IF(ISNA(Sheet1!I1001),NA(),Sheet1!$O$5-(Sheet1!I1001/Sheet1!$O$6))</f>
        <v/>
      </c>
    </row>
    <row r="1002">
      <c r="A1002">
        <f>Sheet1!K1002</f>
        <v/>
      </c>
      <c r="B1002">
        <f>IF(ISNA(Sheet1!I1002),NA(),Sheet1!$O$5-(Sheet1!I1002/Sheet1!$O$6))</f>
        <v/>
      </c>
    </row>
    <row r="1003">
      <c r="A1003">
        <f>Sheet1!K1003</f>
        <v/>
      </c>
      <c r="B1003">
        <f>IF(ISNA(Sheet1!I1003),NA(),Sheet1!$O$5-(Sheet1!I1003/Sheet1!$O$6))</f>
        <v/>
      </c>
    </row>
    <row r="1004">
      <c r="A1004">
        <f>Sheet1!K1004</f>
        <v/>
      </c>
      <c r="B1004">
        <f>IF(ISNA(Sheet1!I1004),NA(),Sheet1!$O$5-(Sheet1!I1004/Sheet1!$O$6))</f>
        <v/>
      </c>
    </row>
    <row r="1005">
      <c r="A1005">
        <f>Sheet1!K1005</f>
        <v/>
      </c>
      <c r="B1005">
        <f>IF(ISNA(Sheet1!I1005),NA(),Sheet1!$O$5-(Sheet1!I1005/Sheet1!$O$6))</f>
        <v/>
      </c>
    </row>
    <row r="1006">
      <c r="A1006">
        <f>Sheet1!K1006</f>
        <v/>
      </c>
      <c r="B1006">
        <f>IF(ISNA(Sheet1!I1006),NA(),Sheet1!$O$5-(Sheet1!I1006/Sheet1!$O$6))</f>
        <v/>
      </c>
    </row>
    <row r="1007">
      <c r="A1007">
        <f>Sheet1!K1007</f>
        <v/>
      </c>
      <c r="B1007">
        <f>IF(ISNA(Sheet1!I1007),NA(),Sheet1!$O$5-(Sheet1!I1007/Sheet1!$O$6))</f>
        <v/>
      </c>
    </row>
    <row r="1008">
      <c r="A1008">
        <f>Sheet1!K1008</f>
        <v/>
      </c>
      <c r="B1008">
        <f>IF(ISNA(Sheet1!I1008),NA(),Sheet1!$O$5-(Sheet1!I1008/Sheet1!$O$6))</f>
        <v/>
      </c>
    </row>
    <row r="1009">
      <c r="A1009">
        <f>Sheet1!K1009</f>
        <v/>
      </c>
      <c r="B1009">
        <f>IF(ISNA(Sheet1!I1009),NA(),Sheet1!$O$5-(Sheet1!I1009/Sheet1!$O$6))</f>
        <v/>
      </c>
    </row>
    <row r="1010">
      <c r="A1010">
        <f>Sheet1!K1010</f>
        <v/>
      </c>
      <c r="B1010">
        <f>IF(ISNA(Sheet1!I1010),NA(),Sheet1!$O$5-(Sheet1!I1010/Sheet1!$O$6))</f>
        <v/>
      </c>
    </row>
    <row r="1011">
      <c r="A1011">
        <f>Sheet1!K1011</f>
        <v/>
      </c>
      <c r="B1011">
        <f>IF(ISNA(Sheet1!I1011),NA(),Sheet1!$O$5-(Sheet1!I1011/Sheet1!$O$6))</f>
        <v/>
      </c>
    </row>
    <row r="1012">
      <c r="A1012">
        <f>Sheet1!K1012</f>
        <v/>
      </c>
      <c r="B1012">
        <f>IF(ISNA(Sheet1!I1012),NA(),Sheet1!$O$5-(Sheet1!I1012/Sheet1!$O$6))</f>
        <v/>
      </c>
    </row>
    <row r="1013">
      <c r="A1013">
        <f>Sheet1!K1013</f>
        <v/>
      </c>
      <c r="B1013">
        <f>IF(ISNA(Sheet1!I1013),NA(),Sheet1!$O$5-(Sheet1!I1013/Sheet1!$O$6))</f>
        <v/>
      </c>
    </row>
    <row r="1014">
      <c r="A1014">
        <f>Sheet1!K1014</f>
        <v/>
      </c>
      <c r="B1014">
        <f>IF(ISNA(Sheet1!I1014),NA(),Sheet1!$O$5-(Sheet1!I1014/Sheet1!$O$6))</f>
        <v/>
      </c>
    </row>
    <row r="1015">
      <c r="A1015">
        <f>Sheet1!K1015</f>
        <v/>
      </c>
      <c r="B1015">
        <f>IF(ISNA(Sheet1!I1015),NA(),Sheet1!$O$5-(Sheet1!I1015/Sheet1!$O$6))</f>
        <v/>
      </c>
    </row>
    <row r="1016">
      <c r="A1016">
        <f>Sheet1!K1016</f>
        <v/>
      </c>
      <c r="B1016">
        <f>IF(ISNA(Sheet1!I1016),NA(),Sheet1!$O$5-(Sheet1!I1016/Sheet1!$O$6))</f>
        <v/>
      </c>
    </row>
    <row r="1017">
      <c r="A1017">
        <f>Sheet1!K1017</f>
        <v/>
      </c>
      <c r="B1017">
        <f>IF(ISNA(Sheet1!I1017),NA(),Sheet1!$O$5-(Sheet1!I1017/Sheet1!$O$6))</f>
        <v/>
      </c>
    </row>
    <row r="1018">
      <c r="A1018">
        <f>Sheet1!K1018</f>
        <v/>
      </c>
      <c r="B1018">
        <f>IF(ISNA(Sheet1!I1018),NA(),Sheet1!$O$5-(Sheet1!I1018/Sheet1!$O$6))</f>
        <v/>
      </c>
    </row>
    <row r="1019">
      <c r="A1019">
        <f>Sheet1!K1019</f>
        <v/>
      </c>
      <c r="B1019">
        <f>IF(ISNA(Sheet1!I1019),NA(),Sheet1!$O$5-(Sheet1!I1019/Sheet1!$O$6))</f>
        <v/>
      </c>
    </row>
    <row r="1020">
      <c r="A1020">
        <f>Sheet1!K1020</f>
        <v/>
      </c>
      <c r="B1020">
        <f>IF(ISNA(Sheet1!I1020),NA(),Sheet1!$O$5-(Sheet1!I1020/Sheet1!$O$6))</f>
        <v/>
      </c>
    </row>
    <row r="1021">
      <c r="A1021">
        <f>Sheet1!K1021</f>
        <v/>
      </c>
      <c r="B1021">
        <f>IF(ISNA(Sheet1!I1021),NA(),Sheet1!$O$5-(Sheet1!I1021/Sheet1!$O$6))</f>
        <v/>
      </c>
    </row>
    <row r="1022">
      <c r="A1022">
        <f>Sheet1!K1022</f>
        <v/>
      </c>
      <c r="B1022">
        <f>IF(ISNA(Sheet1!I1022),NA(),Sheet1!$O$5-(Sheet1!I1022/Sheet1!$O$6))</f>
        <v/>
      </c>
    </row>
    <row r="1023">
      <c r="A1023">
        <f>Sheet1!K1023</f>
        <v/>
      </c>
      <c r="B1023">
        <f>IF(ISNA(Sheet1!I1023),NA(),Sheet1!$O$5-(Sheet1!I1023/Sheet1!$O$6))</f>
        <v/>
      </c>
    </row>
    <row r="1024">
      <c r="A1024">
        <f>Sheet1!K1024</f>
        <v/>
      </c>
      <c r="B1024">
        <f>IF(ISNA(Sheet1!I1024),NA(),Sheet1!$O$5-(Sheet1!I1024/Sheet1!$O$6))</f>
        <v/>
      </c>
    </row>
    <row r="1025">
      <c r="A1025">
        <f>Sheet1!K1025</f>
        <v/>
      </c>
      <c r="B1025">
        <f>IF(ISNA(Sheet1!I1025),NA(),Sheet1!$O$5-(Sheet1!I1025/Sheet1!$O$6))</f>
        <v/>
      </c>
    </row>
    <row r="1026">
      <c r="A1026">
        <f>Sheet1!K1026</f>
        <v/>
      </c>
      <c r="B1026">
        <f>IF(ISNA(Sheet1!I1026),NA(),Sheet1!$O$5-(Sheet1!I1026/Sheet1!$O$6))</f>
        <v/>
      </c>
    </row>
    <row r="1027">
      <c r="A1027">
        <f>Sheet1!K1027</f>
        <v/>
      </c>
      <c r="B1027">
        <f>IF(ISNA(Sheet1!I1027),NA(),Sheet1!$O$5-(Sheet1!I1027/Sheet1!$O$6))</f>
        <v/>
      </c>
    </row>
    <row r="1028">
      <c r="A1028">
        <f>Sheet1!K1028</f>
        <v/>
      </c>
      <c r="B1028">
        <f>IF(ISNA(Sheet1!I1028),NA(),Sheet1!$O$5-(Sheet1!I1028/Sheet1!$O$6))</f>
        <v/>
      </c>
    </row>
    <row r="1029">
      <c r="A1029">
        <f>Sheet1!K1029</f>
        <v/>
      </c>
      <c r="B1029">
        <f>IF(ISNA(Sheet1!I1029),NA(),Sheet1!$O$5-(Sheet1!I1029/Sheet1!$O$6))</f>
        <v/>
      </c>
    </row>
    <row r="1030">
      <c r="A1030">
        <f>Sheet1!K1030</f>
        <v/>
      </c>
      <c r="B1030">
        <f>IF(ISNA(Sheet1!I1030),NA(),Sheet1!$O$5-(Sheet1!I1030/Sheet1!$O$6))</f>
        <v/>
      </c>
    </row>
    <row r="1031">
      <c r="A1031">
        <f>Sheet1!K1031</f>
        <v/>
      </c>
      <c r="B1031">
        <f>IF(ISNA(Sheet1!I1031),NA(),Sheet1!$O$5-(Sheet1!I1031/Sheet1!$O$6))</f>
        <v/>
      </c>
    </row>
    <row r="1032">
      <c r="A1032">
        <f>Sheet1!K1032</f>
        <v/>
      </c>
      <c r="B1032">
        <f>IF(ISNA(Sheet1!I1032),NA(),Sheet1!$O$5-(Sheet1!I1032/Sheet1!$O$6))</f>
        <v/>
      </c>
    </row>
    <row r="1033">
      <c r="A1033">
        <f>Sheet1!K1033</f>
        <v/>
      </c>
      <c r="B1033">
        <f>IF(ISNA(Sheet1!I1033),NA(),Sheet1!$O$5-(Sheet1!I1033/Sheet1!$O$6))</f>
        <v/>
      </c>
    </row>
    <row r="1034">
      <c r="A1034">
        <f>Sheet1!K1034</f>
        <v/>
      </c>
      <c r="B1034">
        <f>IF(ISNA(Sheet1!I1034),NA(),Sheet1!$O$5-(Sheet1!I1034/Sheet1!$O$6))</f>
        <v/>
      </c>
    </row>
    <row r="1035">
      <c r="A1035">
        <f>Sheet1!K1035</f>
        <v/>
      </c>
      <c r="B1035">
        <f>IF(ISNA(Sheet1!I1035),NA(),Sheet1!$O$5-(Sheet1!I1035/Sheet1!$O$6))</f>
        <v/>
      </c>
    </row>
    <row r="1036">
      <c r="A1036">
        <f>Sheet1!K1036</f>
        <v/>
      </c>
      <c r="B1036">
        <f>IF(ISNA(Sheet1!I1036),NA(),Sheet1!$O$5-(Sheet1!I1036/Sheet1!$O$6))</f>
        <v/>
      </c>
    </row>
    <row r="1037">
      <c r="A1037">
        <f>Sheet1!K1037</f>
        <v/>
      </c>
      <c r="B1037">
        <f>IF(ISNA(Sheet1!I1037),NA(),Sheet1!$O$5-(Sheet1!I1037/Sheet1!$O$6))</f>
        <v/>
      </c>
    </row>
    <row r="1038">
      <c r="A1038">
        <f>Sheet1!K1038</f>
        <v/>
      </c>
      <c r="B1038">
        <f>IF(ISNA(Sheet1!I1038),NA(),Sheet1!$O$5-(Sheet1!I1038/Sheet1!$O$6))</f>
        <v/>
      </c>
    </row>
    <row r="1039">
      <c r="A1039">
        <f>Sheet1!K1039</f>
        <v/>
      </c>
      <c r="B1039">
        <f>IF(ISNA(Sheet1!I1039),NA(),Sheet1!$O$5-(Sheet1!I1039/Sheet1!$O$6))</f>
        <v/>
      </c>
    </row>
    <row r="1040">
      <c r="A1040">
        <f>Sheet1!K1040</f>
        <v/>
      </c>
      <c r="B1040">
        <f>IF(ISNA(Sheet1!I1040),NA(),Sheet1!$O$5-(Sheet1!I1040/Sheet1!$O$6))</f>
        <v/>
      </c>
    </row>
    <row r="1041">
      <c r="A1041">
        <f>Sheet1!K1041</f>
        <v/>
      </c>
      <c r="B1041">
        <f>IF(ISNA(Sheet1!I1041),NA(),Sheet1!$O$5-(Sheet1!I1041/Sheet1!$O$6))</f>
        <v/>
      </c>
    </row>
    <row r="1042">
      <c r="A1042">
        <f>Sheet1!K1042</f>
        <v/>
      </c>
      <c r="B1042">
        <f>IF(ISNA(Sheet1!I1042),NA(),Sheet1!$O$5-(Sheet1!I1042/Sheet1!$O$6))</f>
        <v/>
      </c>
    </row>
    <row r="1043">
      <c r="A1043">
        <f>Sheet1!K1043</f>
        <v/>
      </c>
      <c r="B1043">
        <f>IF(ISNA(Sheet1!I1043),NA(),Sheet1!$O$5-(Sheet1!I1043/Sheet1!$O$6))</f>
        <v/>
      </c>
    </row>
    <row r="1044">
      <c r="A1044">
        <f>Sheet1!K1044</f>
        <v/>
      </c>
      <c r="B1044">
        <f>IF(ISNA(Sheet1!I1044),NA(),Sheet1!$O$5-(Sheet1!I1044/Sheet1!$O$6))</f>
        <v/>
      </c>
    </row>
    <row r="1045">
      <c r="A1045">
        <f>Sheet1!K1045</f>
        <v/>
      </c>
      <c r="B1045">
        <f>IF(ISNA(Sheet1!I1045),NA(),Sheet1!$O$5-(Sheet1!I1045/Sheet1!$O$6))</f>
        <v/>
      </c>
    </row>
    <row r="1046">
      <c r="A1046">
        <f>Sheet1!K1046</f>
        <v/>
      </c>
      <c r="B1046">
        <f>IF(ISNA(Sheet1!I1046),NA(),Sheet1!$O$5-(Sheet1!I1046/Sheet1!$O$6))</f>
        <v/>
      </c>
    </row>
    <row r="1047">
      <c r="A1047">
        <f>Sheet1!K1047</f>
        <v/>
      </c>
      <c r="B1047">
        <f>IF(ISNA(Sheet1!I1047),NA(),Sheet1!$O$5-(Sheet1!I1047/Sheet1!$O$6))</f>
        <v/>
      </c>
    </row>
    <row r="1048">
      <c r="A1048">
        <f>Sheet1!K1048</f>
        <v/>
      </c>
      <c r="B1048">
        <f>IF(ISNA(Sheet1!I1048),NA(),Sheet1!$O$5-(Sheet1!I1048/Sheet1!$O$6))</f>
        <v/>
      </c>
    </row>
    <row r="1049">
      <c r="A1049">
        <f>Sheet1!K1049</f>
        <v/>
      </c>
      <c r="B1049">
        <f>IF(ISNA(Sheet1!I1049),NA(),Sheet1!$O$5-(Sheet1!I1049/Sheet1!$O$6))</f>
        <v/>
      </c>
    </row>
    <row r="1050">
      <c r="A1050">
        <f>Sheet1!K1050</f>
        <v/>
      </c>
      <c r="B1050">
        <f>IF(ISNA(Sheet1!I1050),NA(),Sheet1!$O$5-(Sheet1!I1050/Sheet1!$O$6))</f>
        <v/>
      </c>
    </row>
    <row r="1051">
      <c r="A1051">
        <f>Sheet1!K1051</f>
        <v/>
      </c>
      <c r="B1051">
        <f>IF(ISNA(Sheet1!I1051),NA(),Sheet1!$O$5-(Sheet1!I1051/Sheet1!$O$6))</f>
        <v/>
      </c>
    </row>
    <row r="1052">
      <c r="A1052">
        <f>Sheet1!K1052</f>
        <v/>
      </c>
      <c r="B1052">
        <f>IF(ISNA(Sheet1!I1052),NA(),Sheet1!$O$5-(Sheet1!I1052/Sheet1!$O$6))</f>
        <v/>
      </c>
    </row>
    <row r="1053">
      <c r="A1053">
        <f>Sheet1!K1053</f>
        <v/>
      </c>
      <c r="B1053">
        <f>IF(ISNA(Sheet1!I1053),NA(),Sheet1!$O$5-(Sheet1!I1053/Sheet1!$O$6))</f>
        <v/>
      </c>
    </row>
    <row r="1054">
      <c r="A1054">
        <f>Sheet1!K1054</f>
        <v/>
      </c>
      <c r="B1054">
        <f>IF(ISNA(Sheet1!I1054),NA(),Sheet1!$O$5-(Sheet1!I1054/Sheet1!$O$6))</f>
        <v/>
      </c>
    </row>
    <row r="1055">
      <c r="A1055">
        <f>Sheet1!K1055</f>
        <v/>
      </c>
      <c r="B1055">
        <f>IF(ISNA(Sheet1!I1055),NA(),Sheet1!$O$5-(Sheet1!I1055/Sheet1!$O$6))</f>
        <v/>
      </c>
    </row>
    <row r="1056">
      <c r="A1056">
        <f>Sheet1!K1056</f>
        <v/>
      </c>
      <c r="B1056">
        <f>IF(ISNA(Sheet1!I1056),NA(),Sheet1!$O$5-(Sheet1!I1056/Sheet1!$O$6))</f>
        <v/>
      </c>
    </row>
    <row r="1057">
      <c r="A1057">
        <f>Sheet1!K1057</f>
        <v/>
      </c>
      <c r="B1057">
        <f>IF(ISNA(Sheet1!I1057),NA(),Sheet1!$O$5-(Sheet1!I1057/Sheet1!$O$6))</f>
        <v/>
      </c>
    </row>
    <row r="1058">
      <c r="A1058">
        <f>Sheet1!K1058</f>
        <v/>
      </c>
      <c r="B1058">
        <f>IF(ISNA(Sheet1!I1058),NA(),Sheet1!$O$5-(Sheet1!I1058/Sheet1!$O$6))</f>
        <v/>
      </c>
    </row>
    <row r="1059">
      <c r="A1059">
        <f>Sheet1!K1059</f>
        <v/>
      </c>
      <c r="B1059">
        <f>IF(ISNA(Sheet1!I1059),NA(),Sheet1!$O$5-(Sheet1!I1059/Sheet1!$O$6))</f>
        <v/>
      </c>
    </row>
    <row r="1060">
      <c r="A1060">
        <f>Sheet1!K1060</f>
        <v/>
      </c>
      <c r="B1060">
        <f>IF(ISNA(Sheet1!I1060),NA(),Sheet1!$O$5-(Sheet1!I1060/Sheet1!$O$6))</f>
        <v/>
      </c>
    </row>
    <row r="1061">
      <c r="A1061">
        <f>Sheet1!K1061</f>
        <v/>
      </c>
      <c r="B1061">
        <f>IF(ISNA(Sheet1!I1061),NA(),Sheet1!$O$5-(Sheet1!I1061/Sheet1!$O$6))</f>
        <v/>
      </c>
    </row>
    <row r="1062">
      <c r="A1062">
        <f>Sheet1!K1062</f>
        <v/>
      </c>
      <c r="B1062">
        <f>IF(ISNA(Sheet1!I1062),NA(),Sheet1!$O$5-(Sheet1!I1062/Sheet1!$O$6))</f>
        <v/>
      </c>
    </row>
    <row r="1063">
      <c r="A1063">
        <f>Sheet1!K1063</f>
        <v/>
      </c>
      <c r="B1063">
        <f>IF(ISNA(Sheet1!I1063),NA(),Sheet1!$O$5-(Sheet1!I1063/Sheet1!$O$6))</f>
        <v/>
      </c>
    </row>
    <row r="1064">
      <c r="A1064">
        <f>Sheet1!K1064</f>
        <v/>
      </c>
      <c r="B1064">
        <f>IF(ISNA(Sheet1!I1064),NA(),Sheet1!$O$5-(Sheet1!I1064/Sheet1!$O$6))</f>
        <v/>
      </c>
    </row>
    <row r="1065">
      <c r="A1065">
        <f>Sheet1!K1065</f>
        <v/>
      </c>
      <c r="B1065">
        <f>IF(ISNA(Sheet1!I1065),NA(),Sheet1!$O$5-(Sheet1!I1065/Sheet1!$O$6))</f>
        <v/>
      </c>
    </row>
    <row r="1066">
      <c r="A1066">
        <f>Sheet1!K1066</f>
        <v/>
      </c>
      <c r="B1066">
        <f>IF(ISNA(Sheet1!I1066),NA(),Sheet1!$O$5-(Sheet1!I1066/Sheet1!$O$6))</f>
        <v/>
      </c>
    </row>
    <row r="1067">
      <c r="A1067">
        <f>Sheet1!K1067</f>
        <v/>
      </c>
      <c r="B1067">
        <f>IF(ISNA(Sheet1!I1067),NA(),Sheet1!$O$5-(Sheet1!I1067/Sheet1!$O$6))</f>
        <v/>
      </c>
    </row>
    <row r="1068">
      <c r="A1068">
        <f>Sheet1!K1068</f>
        <v/>
      </c>
      <c r="B1068">
        <f>IF(ISNA(Sheet1!I1068),NA(),Sheet1!$O$5-(Sheet1!I1068/Sheet1!$O$6))</f>
        <v/>
      </c>
    </row>
    <row r="1069">
      <c r="A1069">
        <f>Sheet1!K1069</f>
        <v/>
      </c>
      <c r="B1069">
        <f>IF(ISNA(Sheet1!I1069),NA(),Sheet1!$O$5-(Sheet1!I1069/Sheet1!$O$6))</f>
        <v/>
      </c>
    </row>
    <row r="1070">
      <c r="A1070">
        <f>Sheet1!K1070</f>
        <v/>
      </c>
      <c r="B1070">
        <f>IF(ISNA(Sheet1!I1070),NA(),Sheet1!$O$5-(Sheet1!I1070/Sheet1!$O$6))</f>
        <v/>
      </c>
    </row>
    <row r="1071">
      <c r="A1071">
        <f>Sheet1!K1071</f>
        <v/>
      </c>
      <c r="B1071">
        <f>IF(ISNA(Sheet1!I1071),NA(),Sheet1!$O$5-(Sheet1!I1071/Sheet1!$O$6))</f>
        <v/>
      </c>
    </row>
    <row r="1072">
      <c r="A1072">
        <f>Sheet1!K1072</f>
        <v/>
      </c>
      <c r="B1072">
        <f>IF(ISNA(Sheet1!I1072),NA(),Sheet1!$O$5-(Sheet1!I1072/Sheet1!$O$6))</f>
        <v/>
      </c>
    </row>
    <row r="1073">
      <c r="A1073">
        <f>Sheet1!K1073</f>
        <v/>
      </c>
      <c r="B1073">
        <f>IF(ISNA(Sheet1!I1073),NA(),Sheet1!$O$5-(Sheet1!I1073/Sheet1!$O$6))</f>
        <v/>
      </c>
    </row>
    <row r="1074">
      <c r="A1074">
        <f>Sheet1!K1074</f>
        <v/>
      </c>
      <c r="B1074">
        <f>IF(ISNA(Sheet1!I1074),NA(),Sheet1!$O$5-(Sheet1!I1074/Sheet1!$O$6))</f>
        <v/>
      </c>
    </row>
    <row r="1075">
      <c r="A1075">
        <f>Sheet1!K1075</f>
        <v/>
      </c>
      <c r="B1075">
        <f>IF(ISNA(Sheet1!I1075),NA(),Sheet1!$O$5-(Sheet1!I1075/Sheet1!$O$6))</f>
        <v/>
      </c>
    </row>
    <row r="1076">
      <c r="A1076">
        <f>Sheet1!K1076</f>
        <v/>
      </c>
      <c r="B1076">
        <f>IF(ISNA(Sheet1!I1076),NA(),Sheet1!$O$5-(Sheet1!I1076/Sheet1!$O$6))</f>
        <v/>
      </c>
    </row>
    <row r="1077">
      <c r="A1077">
        <f>Sheet1!K1077</f>
        <v/>
      </c>
      <c r="B1077">
        <f>IF(ISNA(Sheet1!I1077),NA(),Sheet1!$O$5-(Sheet1!I1077/Sheet1!$O$6))</f>
        <v/>
      </c>
    </row>
    <row r="1078">
      <c r="A1078">
        <f>Sheet1!K1078</f>
        <v/>
      </c>
      <c r="B1078">
        <f>IF(ISNA(Sheet1!I1078),NA(),Sheet1!$O$5-(Sheet1!I1078/Sheet1!$O$6))</f>
        <v/>
      </c>
    </row>
    <row r="1079">
      <c r="A1079">
        <f>Sheet1!K1079</f>
        <v/>
      </c>
      <c r="B1079">
        <f>IF(ISNA(Sheet1!I1079),NA(),Sheet1!$O$5-(Sheet1!I1079/Sheet1!$O$6))</f>
        <v/>
      </c>
    </row>
    <row r="1080">
      <c r="A1080">
        <f>Sheet1!K1080</f>
        <v/>
      </c>
      <c r="B1080">
        <f>IF(ISNA(Sheet1!I1080),NA(),Sheet1!$O$5-(Sheet1!I1080/Sheet1!$O$6))</f>
        <v/>
      </c>
    </row>
    <row r="1081">
      <c r="A1081">
        <f>Sheet1!K1081</f>
        <v/>
      </c>
      <c r="B1081">
        <f>IF(ISNA(Sheet1!I1081),NA(),Sheet1!$O$5-(Sheet1!I1081/Sheet1!$O$6))</f>
        <v/>
      </c>
    </row>
    <row r="1082">
      <c r="A1082">
        <f>Sheet1!K1082</f>
        <v/>
      </c>
      <c r="B1082">
        <f>IF(ISNA(Sheet1!I1082),NA(),Sheet1!$O$5-(Sheet1!I1082/Sheet1!$O$6))</f>
        <v/>
      </c>
    </row>
    <row r="1083">
      <c r="A1083">
        <f>Sheet1!K1083</f>
        <v/>
      </c>
      <c r="B1083">
        <f>IF(ISNA(Sheet1!I1083),NA(),Sheet1!$O$5-(Sheet1!I1083/Sheet1!$O$6))</f>
        <v/>
      </c>
    </row>
    <row r="1084">
      <c r="A1084">
        <f>Sheet1!K1084</f>
        <v/>
      </c>
      <c r="B1084">
        <f>IF(ISNA(Sheet1!I1084),NA(),Sheet1!$O$5-(Sheet1!I1084/Sheet1!$O$6))</f>
        <v/>
      </c>
    </row>
    <row r="1085">
      <c r="A1085">
        <f>Sheet1!K1085</f>
        <v/>
      </c>
      <c r="B1085">
        <f>IF(ISNA(Sheet1!I1085),NA(),Sheet1!$O$5-(Sheet1!I1085/Sheet1!$O$6))</f>
        <v/>
      </c>
    </row>
    <row r="1086">
      <c r="A1086">
        <f>Sheet1!K1086</f>
        <v/>
      </c>
      <c r="B1086">
        <f>IF(ISNA(Sheet1!I1086),NA(),Sheet1!$O$5-(Sheet1!I1086/Sheet1!$O$6))</f>
        <v/>
      </c>
    </row>
    <row r="1087">
      <c r="A1087">
        <f>Sheet1!K1087</f>
        <v/>
      </c>
      <c r="B1087">
        <f>IF(ISNA(Sheet1!I1087),NA(),Sheet1!$O$5-(Sheet1!I1087/Sheet1!$O$6))</f>
        <v/>
      </c>
    </row>
    <row r="1088">
      <c r="A1088">
        <f>Sheet1!K1088</f>
        <v/>
      </c>
      <c r="B1088">
        <f>IF(ISNA(Sheet1!I1088),NA(),Sheet1!$O$5-(Sheet1!I1088/Sheet1!$O$6))</f>
        <v/>
      </c>
    </row>
    <row r="1089">
      <c r="A1089">
        <f>Sheet1!K1089</f>
        <v/>
      </c>
      <c r="B1089">
        <f>IF(ISNA(Sheet1!I1089),NA(),Sheet1!$O$5-(Sheet1!I1089/Sheet1!$O$6))</f>
        <v/>
      </c>
    </row>
    <row r="1090">
      <c r="A1090">
        <f>Sheet1!K1090</f>
        <v/>
      </c>
      <c r="B1090">
        <f>IF(ISNA(Sheet1!I1090),NA(),Sheet1!$O$5-(Sheet1!I1090/Sheet1!$O$6))</f>
        <v/>
      </c>
    </row>
    <row r="1091">
      <c r="A1091">
        <f>Sheet1!K1091</f>
        <v/>
      </c>
      <c r="B1091">
        <f>IF(ISNA(Sheet1!I1091),NA(),Sheet1!$O$5-(Sheet1!I1091/Sheet1!$O$6))</f>
        <v/>
      </c>
    </row>
    <row r="1092">
      <c r="A1092">
        <f>Sheet1!K1092</f>
        <v/>
      </c>
      <c r="B1092">
        <f>IF(ISNA(Sheet1!I1092),NA(),Sheet1!$O$5-(Sheet1!I1092/Sheet1!$O$6))</f>
        <v/>
      </c>
    </row>
    <row r="1093">
      <c r="A1093">
        <f>Sheet1!K1093</f>
        <v/>
      </c>
      <c r="B1093">
        <f>IF(ISNA(Sheet1!I1093),NA(),Sheet1!$O$5-(Sheet1!I1093/Sheet1!$O$6))</f>
        <v/>
      </c>
    </row>
    <row r="1094">
      <c r="A1094">
        <f>Sheet1!K1094</f>
        <v/>
      </c>
      <c r="B1094">
        <f>IF(ISNA(Sheet1!I1094),NA(),Sheet1!$O$5-(Sheet1!I1094/Sheet1!$O$6))</f>
        <v/>
      </c>
    </row>
    <row r="1095">
      <c r="A1095">
        <f>Sheet1!K1095</f>
        <v/>
      </c>
      <c r="B1095">
        <f>IF(ISNA(Sheet1!I1095),NA(),Sheet1!$O$5-(Sheet1!I1095/Sheet1!$O$6))</f>
        <v/>
      </c>
    </row>
    <row r="1096">
      <c r="A1096">
        <f>Sheet1!K1096</f>
        <v/>
      </c>
      <c r="B1096">
        <f>IF(ISNA(Sheet1!I1096),NA(),Sheet1!$O$5-(Sheet1!I1096/Sheet1!$O$6))</f>
        <v/>
      </c>
    </row>
    <row r="1097">
      <c r="A1097">
        <f>Sheet1!K1097</f>
        <v/>
      </c>
      <c r="B1097">
        <f>IF(ISNA(Sheet1!I1097),NA(),Sheet1!$O$5-(Sheet1!I1097/Sheet1!$O$6))</f>
        <v/>
      </c>
    </row>
    <row r="1098">
      <c r="A1098">
        <f>Sheet1!K1098</f>
        <v/>
      </c>
      <c r="B1098">
        <f>IF(ISNA(Sheet1!I1098),NA(),Sheet1!$O$5-(Sheet1!I1098/Sheet1!$O$6))</f>
        <v/>
      </c>
    </row>
    <row r="1099">
      <c r="A1099">
        <f>Sheet1!K1099</f>
        <v/>
      </c>
      <c r="B1099">
        <f>IF(ISNA(Sheet1!I1099),NA(),Sheet1!$O$5-(Sheet1!I1099/Sheet1!$O$6))</f>
        <v/>
      </c>
    </row>
    <row r="1100">
      <c r="A1100">
        <f>Sheet1!K1100</f>
        <v/>
      </c>
      <c r="B1100">
        <f>IF(ISNA(Sheet1!I1100),NA(),Sheet1!$O$5-(Sheet1!I1100/Sheet1!$O$6))</f>
        <v/>
      </c>
    </row>
    <row r="1101">
      <c r="A1101">
        <f>Sheet1!K1101</f>
        <v/>
      </c>
      <c r="B1101">
        <f>IF(ISNA(Sheet1!I1101),NA(),Sheet1!$O$5-(Sheet1!I1101/Sheet1!$O$6))</f>
        <v/>
      </c>
    </row>
    <row r="1102">
      <c r="A1102">
        <f>Sheet1!K1102</f>
        <v/>
      </c>
      <c r="B1102">
        <f>IF(ISNA(Sheet1!I1102),NA(),Sheet1!$O$5-(Sheet1!I1102/Sheet1!$O$6))</f>
        <v/>
      </c>
    </row>
    <row r="1103">
      <c r="A1103">
        <f>Sheet1!K1103</f>
        <v/>
      </c>
      <c r="B1103">
        <f>IF(ISNA(Sheet1!I1103),NA(),Sheet1!$O$5-(Sheet1!I1103/Sheet1!$O$6))</f>
        <v/>
      </c>
    </row>
    <row r="1104">
      <c r="A1104">
        <f>Sheet1!K1104</f>
        <v/>
      </c>
      <c r="B1104">
        <f>IF(ISNA(Sheet1!I1104),NA(),Sheet1!$O$5-(Sheet1!I1104/Sheet1!$O$6))</f>
        <v/>
      </c>
    </row>
    <row r="1105">
      <c r="A1105">
        <f>Sheet1!K1105</f>
        <v/>
      </c>
      <c r="B1105">
        <f>IF(ISNA(Sheet1!I1105),NA(),Sheet1!$O$5-(Sheet1!I1105/Sheet1!$O$6))</f>
        <v/>
      </c>
    </row>
    <row r="1106">
      <c r="A1106">
        <f>Sheet1!K1106</f>
        <v/>
      </c>
      <c r="B1106">
        <f>IF(ISNA(Sheet1!I1106),NA(),Sheet1!$O$5-(Sheet1!I1106/Sheet1!$O$6))</f>
        <v/>
      </c>
    </row>
    <row r="1107">
      <c r="A1107">
        <f>Sheet1!K1107</f>
        <v/>
      </c>
      <c r="B1107">
        <f>IF(ISNA(Sheet1!I1107),NA(),Sheet1!$O$5-(Sheet1!I1107/Sheet1!$O$6))</f>
        <v/>
      </c>
    </row>
    <row r="1108">
      <c r="A1108">
        <f>Sheet1!K1108</f>
        <v/>
      </c>
      <c r="B1108">
        <f>IF(ISNA(Sheet1!I1108),NA(),Sheet1!$O$5-(Sheet1!I1108/Sheet1!$O$6))</f>
        <v/>
      </c>
    </row>
    <row r="1109">
      <c r="A1109">
        <f>Sheet1!K1109</f>
        <v/>
      </c>
      <c r="B1109">
        <f>IF(ISNA(Sheet1!I1109),NA(),Sheet1!$O$5-(Sheet1!I1109/Sheet1!$O$6))</f>
        <v/>
      </c>
    </row>
    <row r="1110">
      <c r="A1110">
        <f>Sheet1!K1110</f>
        <v/>
      </c>
      <c r="B1110">
        <f>IF(ISNA(Sheet1!I1110),NA(),Sheet1!$O$5-(Sheet1!I1110/Sheet1!$O$6))</f>
        <v/>
      </c>
    </row>
    <row r="1111">
      <c r="A1111">
        <f>Sheet1!K1111</f>
        <v/>
      </c>
      <c r="B1111">
        <f>IF(ISNA(Sheet1!I1111),NA(),Sheet1!$O$5-(Sheet1!I1111/Sheet1!$O$6))</f>
        <v/>
      </c>
    </row>
    <row r="1112">
      <c r="A1112">
        <f>Sheet1!K1112</f>
        <v/>
      </c>
      <c r="B1112">
        <f>IF(ISNA(Sheet1!I1112),NA(),Sheet1!$O$5-(Sheet1!I1112/Sheet1!$O$6))</f>
        <v/>
      </c>
    </row>
    <row r="1113">
      <c r="A1113">
        <f>Sheet1!K1113</f>
        <v/>
      </c>
      <c r="B1113">
        <f>IF(ISNA(Sheet1!I1113),NA(),Sheet1!$O$5-(Sheet1!I1113/Sheet1!$O$6))</f>
        <v/>
      </c>
    </row>
    <row r="1114">
      <c r="A1114">
        <f>Sheet1!K1114</f>
        <v/>
      </c>
      <c r="B1114">
        <f>IF(ISNA(Sheet1!I1114),NA(),Sheet1!$O$5-(Sheet1!I1114/Sheet1!$O$6))</f>
        <v/>
      </c>
    </row>
    <row r="1115">
      <c r="A1115">
        <f>Sheet1!K1115</f>
        <v/>
      </c>
      <c r="B1115">
        <f>IF(ISNA(Sheet1!I1115),NA(),Sheet1!$O$5-(Sheet1!I1115/Sheet1!$O$6))</f>
        <v/>
      </c>
    </row>
    <row r="1116">
      <c r="A1116">
        <f>Sheet1!K1116</f>
        <v/>
      </c>
      <c r="B1116">
        <f>IF(ISNA(Sheet1!I1116),NA(),Sheet1!$O$5-(Sheet1!I1116/Sheet1!$O$6))</f>
        <v/>
      </c>
    </row>
    <row r="1117">
      <c r="A1117">
        <f>Sheet1!K1117</f>
        <v/>
      </c>
      <c r="B1117">
        <f>IF(ISNA(Sheet1!I1117),NA(),Sheet1!$O$5-(Sheet1!I1117/Sheet1!$O$6))</f>
        <v/>
      </c>
    </row>
    <row r="1118">
      <c r="A1118">
        <f>Sheet1!K1118</f>
        <v/>
      </c>
      <c r="B1118">
        <f>IF(ISNA(Sheet1!I1118),NA(),Sheet1!$O$5-(Sheet1!I1118/Sheet1!$O$6))</f>
        <v/>
      </c>
    </row>
    <row r="1119">
      <c r="A1119">
        <f>Sheet1!K1119</f>
        <v/>
      </c>
      <c r="B1119">
        <f>IF(ISNA(Sheet1!I1119),NA(),Sheet1!$O$5-(Sheet1!I1119/Sheet1!$O$6))</f>
        <v/>
      </c>
    </row>
    <row r="1120">
      <c r="A1120">
        <f>Sheet1!K1120</f>
        <v/>
      </c>
      <c r="B1120">
        <f>IF(ISNA(Sheet1!I1120),NA(),Sheet1!$O$5-(Sheet1!I1120/Sheet1!$O$6))</f>
        <v/>
      </c>
    </row>
    <row r="1121">
      <c r="A1121">
        <f>Sheet1!K1121</f>
        <v/>
      </c>
      <c r="B1121">
        <f>IF(ISNA(Sheet1!I1121),NA(),Sheet1!$O$5-(Sheet1!I1121/Sheet1!$O$6))</f>
        <v/>
      </c>
    </row>
    <row r="1122">
      <c r="A1122">
        <f>Sheet1!K1122</f>
        <v/>
      </c>
      <c r="B1122">
        <f>IF(ISNA(Sheet1!I1122),NA(),Sheet1!$O$5-(Sheet1!I1122/Sheet1!$O$6))</f>
        <v/>
      </c>
    </row>
    <row r="1123">
      <c r="A1123">
        <f>Sheet1!K1123</f>
        <v/>
      </c>
      <c r="B1123">
        <f>IF(ISNA(Sheet1!I1123),NA(),Sheet1!$O$5-(Sheet1!I1123/Sheet1!$O$6))</f>
        <v/>
      </c>
    </row>
    <row r="1124">
      <c r="A1124">
        <f>Sheet1!K1124</f>
        <v/>
      </c>
      <c r="B1124">
        <f>IF(ISNA(Sheet1!I1124),NA(),Sheet1!$O$5-(Sheet1!I1124/Sheet1!$O$6))</f>
        <v/>
      </c>
    </row>
    <row r="1125">
      <c r="A1125">
        <f>Sheet1!K1125</f>
        <v/>
      </c>
      <c r="B1125">
        <f>IF(ISNA(Sheet1!I1125),NA(),Sheet1!$O$5-(Sheet1!I1125/Sheet1!$O$6))</f>
        <v/>
      </c>
    </row>
    <row r="1126">
      <c r="A1126">
        <f>Sheet1!K1126</f>
        <v/>
      </c>
      <c r="B1126">
        <f>IF(ISNA(Sheet1!I1126),NA(),Sheet1!$O$5-(Sheet1!I1126/Sheet1!$O$6))</f>
        <v/>
      </c>
    </row>
    <row r="1127">
      <c r="A1127">
        <f>Sheet1!K1127</f>
        <v/>
      </c>
      <c r="B1127">
        <f>IF(ISNA(Sheet1!I1127),NA(),Sheet1!$O$5-(Sheet1!I1127/Sheet1!$O$6))</f>
        <v/>
      </c>
    </row>
    <row r="1128">
      <c r="A1128">
        <f>Sheet1!K1128</f>
        <v/>
      </c>
      <c r="B1128">
        <f>IF(ISNA(Sheet1!I1128),NA(),Sheet1!$O$5-(Sheet1!I1128/Sheet1!$O$6))</f>
        <v/>
      </c>
    </row>
    <row r="1129">
      <c r="A1129">
        <f>Sheet1!K1129</f>
        <v/>
      </c>
      <c r="B1129">
        <f>IF(ISNA(Sheet1!I1129),NA(),Sheet1!$O$5-(Sheet1!I1129/Sheet1!$O$6))</f>
        <v/>
      </c>
    </row>
    <row r="1130">
      <c r="A1130">
        <f>Sheet1!K1130</f>
        <v/>
      </c>
      <c r="B1130">
        <f>IF(ISNA(Sheet1!I1130),NA(),Sheet1!$O$5-(Sheet1!I1130/Sheet1!$O$6))</f>
        <v/>
      </c>
    </row>
    <row r="1131">
      <c r="A1131">
        <f>Sheet1!K1131</f>
        <v/>
      </c>
      <c r="B1131">
        <f>IF(ISNA(Sheet1!I1131),NA(),Sheet1!$O$5-(Sheet1!I1131/Sheet1!$O$6))</f>
        <v/>
      </c>
    </row>
    <row r="1132">
      <c r="A1132">
        <f>Sheet1!K1132</f>
        <v/>
      </c>
      <c r="B1132">
        <f>IF(ISNA(Sheet1!I1132),NA(),Sheet1!$O$5-(Sheet1!I1132/Sheet1!$O$6))</f>
        <v/>
      </c>
    </row>
    <row r="1133">
      <c r="A1133">
        <f>Sheet1!K1133</f>
        <v/>
      </c>
      <c r="B1133">
        <f>IF(ISNA(Sheet1!I1133),NA(),Sheet1!$O$5-(Sheet1!I1133/Sheet1!$O$6))</f>
        <v/>
      </c>
    </row>
    <row r="1134">
      <c r="A1134">
        <f>Sheet1!K1134</f>
        <v/>
      </c>
      <c r="B1134">
        <f>IF(ISNA(Sheet1!I1134),NA(),Sheet1!$O$5-(Sheet1!I1134/Sheet1!$O$6))</f>
        <v/>
      </c>
    </row>
    <row r="1135">
      <c r="A1135">
        <f>Sheet1!K1135</f>
        <v/>
      </c>
      <c r="B1135">
        <f>IF(ISNA(Sheet1!I1135),NA(),Sheet1!$O$5-(Sheet1!I1135/Sheet1!$O$6))</f>
        <v/>
      </c>
    </row>
    <row r="1136">
      <c r="A1136">
        <f>Sheet1!K1136</f>
        <v/>
      </c>
      <c r="B1136">
        <f>IF(ISNA(Sheet1!I1136),NA(),Sheet1!$O$5-(Sheet1!I1136/Sheet1!$O$6))</f>
        <v/>
      </c>
    </row>
    <row r="1137">
      <c r="A1137">
        <f>Sheet1!K1137</f>
        <v/>
      </c>
      <c r="B1137">
        <f>IF(ISNA(Sheet1!I1137),NA(),Sheet1!$O$5-(Sheet1!I1137/Sheet1!$O$6))</f>
        <v/>
      </c>
    </row>
    <row r="1138">
      <c r="A1138">
        <f>Sheet1!K1138</f>
        <v/>
      </c>
      <c r="B1138">
        <f>IF(ISNA(Sheet1!I1138),NA(),Sheet1!$O$5-(Sheet1!I1138/Sheet1!$O$6))</f>
        <v/>
      </c>
    </row>
    <row r="1139">
      <c r="A1139">
        <f>Sheet1!K1139</f>
        <v/>
      </c>
      <c r="B1139">
        <f>IF(ISNA(Sheet1!I1139),NA(),Sheet1!$O$5-(Sheet1!I1139/Sheet1!$O$6))</f>
        <v/>
      </c>
    </row>
    <row r="1140">
      <c r="A1140">
        <f>Sheet1!K1140</f>
        <v/>
      </c>
      <c r="B1140">
        <f>IF(ISNA(Sheet1!I1140),NA(),Sheet1!$O$5-(Sheet1!I1140/Sheet1!$O$6))</f>
        <v/>
      </c>
    </row>
    <row r="1141">
      <c r="A1141">
        <f>Sheet1!K1141</f>
        <v/>
      </c>
      <c r="B1141">
        <f>IF(ISNA(Sheet1!I1141),NA(),Sheet1!$O$5-(Sheet1!I1141/Sheet1!$O$6))</f>
        <v/>
      </c>
    </row>
    <row r="1142">
      <c r="A1142">
        <f>Sheet1!K1142</f>
        <v/>
      </c>
      <c r="B1142">
        <f>IF(ISNA(Sheet1!I1142),NA(),Sheet1!$O$5-(Sheet1!I1142/Sheet1!$O$6))</f>
        <v/>
      </c>
    </row>
    <row r="1143">
      <c r="A1143">
        <f>Sheet1!K1143</f>
        <v/>
      </c>
      <c r="B1143">
        <f>IF(ISNA(Sheet1!I1143),NA(),Sheet1!$O$5-(Sheet1!I1143/Sheet1!$O$6))</f>
        <v/>
      </c>
    </row>
    <row r="1144">
      <c r="A1144">
        <f>Sheet1!K1144</f>
        <v/>
      </c>
      <c r="B1144">
        <f>IF(ISNA(Sheet1!I1144),NA(),Sheet1!$O$5-(Sheet1!I1144/Sheet1!$O$6))</f>
        <v/>
      </c>
    </row>
    <row r="1145">
      <c r="A1145">
        <f>Sheet1!K1145</f>
        <v/>
      </c>
      <c r="B1145">
        <f>IF(ISNA(Sheet1!I1145),NA(),Sheet1!$O$5-(Sheet1!I1145/Sheet1!$O$6))</f>
        <v/>
      </c>
    </row>
    <row r="1146">
      <c r="A1146">
        <f>Sheet1!K1146</f>
        <v/>
      </c>
      <c r="B1146">
        <f>IF(ISNA(Sheet1!I1146),NA(),Sheet1!$O$5-(Sheet1!I1146/Sheet1!$O$6))</f>
        <v/>
      </c>
    </row>
    <row r="1147">
      <c r="A1147">
        <f>Sheet1!K1147</f>
        <v/>
      </c>
      <c r="B1147">
        <f>IF(ISNA(Sheet1!I1147),NA(),Sheet1!$O$5-(Sheet1!I1147/Sheet1!$O$6))</f>
        <v/>
      </c>
    </row>
    <row r="1148">
      <c r="A1148">
        <f>Sheet1!K1148</f>
        <v/>
      </c>
      <c r="B1148">
        <f>IF(ISNA(Sheet1!I1148),NA(),Sheet1!$O$5-(Sheet1!I1148/Sheet1!$O$6))</f>
        <v/>
      </c>
    </row>
    <row r="1149">
      <c r="A1149">
        <f>Sheet1!K1149</f>
        <v/>
      </c>
      <c r="B1149">
        <f>IF(ISNA(Sheet1!I1149),NA(),Sheet1!$O$5-(Sheet1!I1149/Sheet1!$O$6))</f>
        <v/>
      </c>
    </row>
    <row r="1150">
      <c r="A1150">
        <f>Sheet1!K1150</f>
        <v/>
      </c>
      <c r="B1150">
        <f>IF(ISNA(Sheet1!I1150),NA(),Sheet1!$O$5-(Sheet1!I1150/Sheet1!$O$6))</f>
        <v/>
      </c>
    </row>
    <row r="1151">
      <c r="A1151">
        <f>Sheet1!K1151</f>
        <v/>
      </c>
      <c r="B1151">
        <f>IF(ISNA(Sheet1!I1151),NA(),Sheet1!$O$5-(Sheet1!I1151/Sheet1!$O$6))</f>
        <v/>
      </c>
    </row>
    <row r="1152">
      <c r="A1152">
        <f>Sheet1!K1152</f>
        <v/>
      </c>
      <c r="B1152">
        <f>IF(ISNA(Sheet1!I1152),NA(),Sheet1!$O$5-(Sheet1!I1152/Sheet1!$O$6))</f>
        <v/>
      </c>
    </row>
    <row r="1153">
      <c r="A1153">
        <f>Sheet1!K1153</f>
        <v/>
      </c>
      <c r="B1153">
        <f>IF(ISNA(Sheet1!I1153),NA(),Sheet1!$O$5-(Sheet1!I1153/Sheet1!$O$6))</f>
        <v/>
      </c>
    </row>
    <row r="1154">
      <c r="A1154">
        <f>Sheet1!K1154</f>
        <v/>
      </c>
      <c r="B1154">
        <f>IF(ISNA(Sheet1!I1154),NA(),Sheet1!$O$5-(Sheet1!I1154/Sheet1!$O$6))</f>
        <v/>
      </c>
    </row>
    <row r="1155">
      <c r="A1155">
        <f>Sheet1!K1155</f>
        <v/>
      </c>
      <c r="B1155">
        <f>IF(ISNA(Sheet1!I1155),NA(),Sheet1!$O$5-(Sheet1!I1155/Sheet1!$O$6))</f>
        <v/>
      </c>
    </row>
    <row r="1156">
      <c r="A1156">
        <f>Sheet1!K1156</f>
        <v/>
      </c>
      <c r="B1156">
        <f>IF(ISNA(Sheet1!I1156),NA(),Sheet1!$O$5-(Sheet1!I1156/Sheet1!$O$6))</f>
        <v/>
      </c>
    </row>
    <row r="1157">
      <c r="A1157">
        <f>Sheet1!K1157</f>
        <v/>
      </c>
      <c r="B1157">
        <f>IF(ISNA(Sheet1!I1157),NA(),Sheet1!$O$5-(Sheet1!I1157/Sheet1!$O$6))</f>
        <v/>
      </c>
    </row>
    <row r="1158">
      <c r="A1158">
        <f>Sheet1!K1158</f>
        <v/>
      </c>
      <c r="B1158">
        <f>IF(ISNA(Sheet1!I1158),NA(),Sheet1!$O$5-(Sheet1!I1158/Sheet1!$O$6))</f>
        <v/>
      </c>
    </row>
    <row r="1159">
      <c r="A1159">
        <f>Sheet1!K1159</f>
        <v/>
      </c>
      <c r="B1159">
        <f>IF(ISNA(Sheet1!I1159),NA(),Sheet1!$O$5-(Sheet1!I1159/Sheet1!$O$6))</f>
        <v/>
      </c>
    </row>
    <row r="1160">
      <c r="A1160">
        <f>Sheet1!K1160</f>
        <v/>
      </c>
      <c r="B1160">
        <f>IF(ISNA(Sheet1!I1160),NA(),Sheet1!$O$5-(Sheet1!I1160/Sheet1!$O$6))</f>
        <v/>
      </c>
    </row>
    <row r="1161">
      <c r="A1161">
        <f>Sheet1!K1161</f>
        <v/>
      </c>
      <c r="B1161">
        <f>IF(ISNA(Sheet1!I1161),NA(),Sheet1!$O$5-(Sheet1!I1161/Sheet1!$O$6))</f>
        <v/>
      </c>
    </row>
    <row r="1162">
      <c r="A1162">
        <f>Sheet1!K1162</f>
        <v/>
      </c>
      <c r="B1162">
        <f>IF(ISNA(Sheet1!I1162),NA(),Sheet1!$O$5-(Sheet1!I1162/Sheet1!$O$6))</f>
        <v/>
      </c>
    </row>
    <row r="1163">
      <c r="A1163">
        <f>Sheet1!K1163</f>
        <v/>
      </c>
      <c r="B1163">
        <f>IF(ISNA(Sheet1!I1163),NA(),Sheet1!$O$5-(Sheet1!I1163/Sheet1!$O$6))</f>
        <v/>
      </c>
    </row>
    <row r="1164">
      <c r="A1164">
        <f>Sheet1!K1164</f>
        <v/>
      </c>
      <c r="B1164">
        <f>IF(ISNA(Sheet1!I1164),NA(),Sheet1!$O$5-(Sheet1!I1164/Sheet1!$O$6))</f>
        <v/>
      </c>
    </row>
    <row r="1165">
      <c r="A1165">
        <f>Sheet1!K1165</f>
        <v/>
      </c>
      <c r="B1165">
        <f>IF(ISNA(Sheet1!I1165),NA(),Sheet1!$O$5-(Sheet1!I1165/Sheet1!$O$6))</f>
        <v/>
      </c>
    </row>
    <row r="1166">
      <c r="A1166">
        <f>Sheet1!K1166</f>
        <v/>
      </c>
      <c r="B1166">
        <f>IF(ISNA(Sheet1!I1166),NA(),Sheet1!$O$5-(Sheet1!I1166/Sheet1!$O$6))</f>
        <v/>
      </c>
    </row>
    <row r="1167">
      <c r="A1167">
        <f>Sheet1!K1167</f>
        <v/>
      </c>
      <c r="B1167">
        <f>IF(ISNA(Sheet1!I1167),NA(),Sheet1!$O$5-(Sheet1!I1167/Sheet1!$O$6))</f>
        <v/>
      </c>
    </row>
    <row r="1168">
      <c r="A1168">
        <f>Sheet1!K1168</f>
        <v/>
      </c>
      <c r="B1168">
        <f>IF(ISNA(Sheet1!I1168),NA(),Sheet1!$O$5-(Sheet1!I1168/Sheet1!$O$6))</f>
        <v/>
      </c>
    </row>
    <row r="1169">
      <c r="A1169">
        <f>Sheet1!K1169</f>
        <v/>
      </c>
      <c r="B1169">
        <f>IF(ISNA(Sheet1!I1169),NA(),Sheet1!$O$5-(Sheet1!I1169/Sheet1!$O$6))</f>
        <v/>
      </c>
    </row>
    <row r="1170">
      <c r="A1170">
        <f>Sheet1!K1170</f>
        <v/>
      </c>
      <c r="B1170">
        <f>IF(ISNA(Sheet1!I1170),NA(),Sheet1!$O$5-(Sheet1!I1170/Sheet1!$O$6))</f>
        <v/>
      </c>
    </row>
    <row r="1171">
      <c r="A1171">
        <f>Sheet1!K1171</f>
        <v/>
      </c>
      <c r="B1171">
        <f>IF(ISNA(Sheet1!I1171),NA(),Sheet1!$O$5-(Sheet1!I1171/Sheet1!$O$6))</f>
        <v/>
      </c>
    </row>
    <row r="1172">
      <c r="A1172">
        <f>Sheet1!K1172</f>
        <v/>
      </c>
      <c r="B1172">
        <f>IF(ISNA(Sheet1!I1172),NA(),Sheet1!$O$5-(Sheet1!I1172/Sheet1!$O$6))</f>
        <v/>
      </c>
    </row>
    <row r="1173">
      <c r="A1173">
        <f>Sheet1!K1173</f>
        <v/>
      </c>
      <c r="B1173">
        <f>IF(ISNA(Sheet1!I1173),NA(),Sheet1!$O$5-(Sheet1!I1173/Sheet1!$O$6))</f>
        <v/>
      </c>
    </row>
    <row r="1174">
      <c r="A1174">
        <f>Sheet1!K1174</f>
        <v/>
      </c>
      <c r="B1174">
        <f>IF(ISNA(Sheet1!I1174),NA(),Sheet1!$O$5-(Sheet1!I1174/Sheet1!$O$6))</f>
        <v/>
      </c>
    </row>
    <row r="1175">
      <c r="A1175">
        <f>Sheet1!K1175</f>
        <v/>
      </c>
      <c r="B1175">
        <f>IF(ISNA(Sheet1!I1175),NA(),Sheet1!$O$5-(Sheet1!I1175/Sheet1!$O$6))</f>
        <v/>
      </c>
    </row>
    <row r="1176">
      <c r="A1176">
        <f>Sheet1!K1176</f>
        <v/>
      </c>
      <c r="B1176">
        <f>IF(ISNA(Sheet1!I1176),NA(),Sheet1!$O$5-(Sheet1!I1176/Sheet1!$O$6))</f>
        <v/>
      </c>
    </row>
    <row r="1177">
      <c r="A1177">
        <f>Sheet1!K1177</f>
        <v/>
      </c>
      <c r="B1177">
        <f>IF(ISNA(Sheet1!I1177),NA(),Sheet1!$O$5-(Sheet1!I1177/Sheet1!$O$6))</f>
        <v/>
      </c>
    </row>
    <row r="1178">
      <c r="A1178">
        <f>Sheet1!K1178</f>
        <v/>
      </c>
      <c r="B1178">
        <f>IF(ISNA(Sheet1!I1178),NA(),Sheet1!$O$5-(Sheet1!I1178/Sheet1!$O$6))</f>
        <v/>
      </c>
    </row>
    <row r="1179">
      <c r="A1179">
        <f>Sheet1!K1179</f>
        <v/>
      </c>
      <c r="B1179">
        <f>IF(ISNA(Sheet1!I1179),NA(),Sheet1!$O$5-(Sheet1!I1179/Sheet1!$O$6))</f>
        <v/>
      </c>
    </row>
    <row r="1180">
      <c r="A1180">
        <f>Sheet1!K1180</f>
        <v/>
      </c>
      <c r="B1180">
        <f>IF(ISNA(Sheet1!I1180),NA(),Sheet1!$O$5-(Sheet1!I1180/Sheet1!$O$6))</f>
        <v/>
      </c>
    </row>
    <row r="1181">
      <c r="A1181">
        <f>Sheet1!K1181</f>
        <v/>
      </c>
      <c r="B1181">
        <f>IF(ISNA(Sheet1!I1181),NA(),Sheet1!$O$5-(Sheet1!I1181/Sheet1!$O$6))</f>
        <v/>
      </c>
    </row>
    <row r="1182">
      <c r="A1182">
        <f>Sheet1!K1182</f>
        <v/>
      </c>
      <c r="B1182">
        <f>IF(ISNA(Sheet1!I1182),NA(),Sheet1!$O$5-(Sheet1!I1182/Sheet1!$O$6))</f>
        <v/>
      </c>
    </row>
    <row r="1183">
      <c r="A1183">
        <f>Sheet1!K1183</f>
        <v/>
      </c>
      <c r="B1183">
        <f>IF(ISNA(Sheet1!I1183),NA(),Sheet1!$O$5-(Sheet1!I1183/Sheet1!$O$6))</f>
        <v/>
      </c>
    </row>
    <row r="1184">
      <c r="A1184">
        <f>Sheet1!K1184</f>
        <v/>
      </c>
      <c r="B1184">
        <f>IF(ISNA(Sheet1!I1184),NA(),Sheet1!$O$5-(Sheet1!I1184/Sheet1!$O$6))</f>
        <v/>
      </c>
    </row>
    <row r="1185">
      <c r="A1185">
        <f>Sheet1!K1185</f>
        <v/>
      </c>
      <c r="B1185">
        <f>IF(ISNA(Sheet1!I1185),NA(),Sheet1!$O$5-(Sheet1!I1185/Sheet1!$O$6))</f>
        <v/>
      </c>
    </row>
    <row r="1186">
      <c r="A1186">
        <f>Sheet1!K1186</f>
        <v/>
      </c>
      <c r="B1186">
        <f>IF(ISNA(Sheet1!I1186),NA(),Sheet1!$O$5-(Sheet1!I1186/Sheet1!$O$6))</f>
        <v/>
      </c>
    </row>
    <row r="1187">
      <c r="A1187">
        <f>Sheet1!K1187</f>
        <v/>
      </c>
      <c r="B1187">
        <f>IF(ISNA(Sheet1!I1187),NA(),Sheet1!$O$5-(Sheet1!I1187/Sheet1!$O$6))</f>
        <v/>
      </c>
    </row>
    <row r="1188">
      <c r="A1188">
        <f>Sheet1!K1188</f>
        <v/>
      </c>
      <c r="B1188">
        <f>IF(ISNA(Sheet1!I1188),NA(),Sheet1!$O$5-(Sheet1!I1188/Sheet1!$O$6))</f>
        <v/>
      </c>
    </row>
    <row r="1189">
      <c r="A1189">
        <f>Sheet1!K1189</f>
        <v/>
      </c>
      <c r="B1189">
        <f>IF(ISNA(Sheet1!I1189),NA(),Sheet1!$O$5-(Sheet1!I1189/Sheet1!$O$6))</f>
        <v/>
      </c>
    </row>
    <row r="1190">
      <c r="A1190">
        <f>Sheet1!K1190</f>
        <v/>
      </c>
      <c r="B1190">
        <f>IF(ISNA(Sheet1!I1190),NA(),Sheet1!$O$5-(Sheet1!I1190/Sheet1!$O$6))</f>
        <v/>
      </c>
    </row>
    <row r="1191">
      <c r="A1191">
        <f>Sheet1!K1191</f>
        <v/>
      </c>
      <c r="B1191">
        <f>IF(ISNA(Sheet1!I1191),NA(),Sheet1!$O$5-(Sheet1!I1191/Sheet1!$O$6))</f>
        <v/>
      </c>
    </row>
    <row r="1192">
      <c r="A1192">
        <f>Sheet1!K1192</f>
        <v/>
      </c>
      <c r="B1192">
        <f>IF(ISNA(Sheet1!I1192),NA(),Sheet1!$O$5-(Sheet1!I1192/Sheet1!$O$6))</f>
        <v/>
      </c>
    </row>
    <row r="1193">
      <c r="A1193">
        <f>Sheet1!K1193</f>
        <v/>
      </c>
      <c r="B1193">
        <f>IF(ISNA(Sheet1!I1193),NA(),Sheet1!$O$5-(Sheet1!I1193/Sheet1!$O$6))</f>
        <v/>
      </c>
    </row>
    <row r="1194">
      <c r="A1194">
        <f>Sheet1!K1194</f>
        <v/>
      </c>
      <c r="B1194">
        <f>IF(ISNA(Sheet1!I1194),NA(),Sheet1!$O$5-(Sheet1!I1194/Sheet1!$O$6))</f>
        <v/>
      </c>
    </row>
    <row r="1195">
      <c r="A1195">
        <f>Sheet1!K1195</f>
        <v/>
      </c>
      <c r="B1195">
        <f>IF(ISNA(Sheet1!I1195),NA(),Sheet1!$O$5-(Sheet1!I1195/Sheet1!$O$6))</f>
        <v/>
      </c>
    </row>
    <row r="1196">
      <c r="A1196">
        <f>Sheet1!K1196</f>
        <v/>
      </c>
      <c r="B1196">
        <f>IF(ISNA(Sheet1!I1196),NA(),Sheet1!$O$5-(Sheet1!I1196/Sheet1!$O$6))</f>
        <v/>
      </c>
    </row>
    <row r="1197">
      <c r="A1197">
        <f>Sheet1!K1197</f>
        <v/>
      </c>
      <c r="B1197">
        <f>IF(ISNA(Sheet1!I1197),NA(),Sheet1!$O$5-(Sheet1!I1197/Sheet1!$O$6))</f>
        <v/>
      </c>
    </row>
    <row r="1198">
      <c r="A1198">
        <f>Sheet1!K1198</f>
        <v/>
      </c>
      <c r="B1198">
        <f>IF(ISNA(Sheet1!I1198),NA(),Sheet1!$O$5-(Sheet1!I1198/Sheet1!$O$6))</f>
        <v/>
      </c>
    </row>
    <row r="1199">
      <c r="A1199">
        <f>Sheet1!K1199</f>
        <v/>
      </c>
      <c r="B1199">
        <f>IF(ISNA(Sheet1!I1199),NA(),Sheet1!$O$5-(Sheet1!I1199/Sheet1!$O$6))</f>
        <v/>
      </c>
    </row>
    <row r="1200">
      <c r="A1200">
        <f>Sheet1!K1200</f>
        <v/>
      </c>
      <c r="B1200">
        <f>IF(ISNA(Sheet1!I1200),NA(),Sheet1!$O$5-(Sheet1!I1200/Sheet1!$O$6))</f>
        <v/>
      </c>
    </row>
    <row r="1201">
      <c r="A1201">
        <f>Sheet1!K1201</f>
        <v/>
      </c>
      <c r="B1201">
        <f>IF(ISNA(Sheet1!I1201),NA(),Sheet1!$O$5-(Sheet1!I1201/Sheet1!$O$6))</f>
        <v/>
      </c>
    </row>
    <row r="1202">
      <c r="A1202">
        <f>Sheet1!K1202</f>
        <v/>
      </c>
      <c r="B1202">
        <f>IF(ISNA(Sheet1!I1202),NA(),Sheet1!$O$5-(Sheet1!I1202/Sheet1!$O$6))</f>
        <v/>
      </c>
    </row>
    <row r="1203">
      <c r="A1203">
        <f>Sheet1!K1203</f>
        <v/>
      </c>
      <c r="B1203">
        <f>IF(ISNA(Sheet1!I1203),NA(),Sheet1!$O$5-(Sheet1!I1203/Sheet1!$O$6))</f>
        <v/>
      </c>
    </row>
    <row r="1204">
      <c r="A1204">
        <f>Sheet1!K1204</f>
        <v/>
      </c>
      <c r="B1204">
        <f>IF(ISNA(Sheet1!I1204),NA(),Sheet1!$O$5-(Sheet1!I1204/Sheet1!$O$6))</f>
        <v/>
      </c>
    </row>
    <row r="1205">
      <c r="A1205">
        <f>Sheet1!K1205</f>
        <v/>
      </c>
      <c r="B1205">
        <f>IF(ISNA(Sheet1!I1205),NA(),Sheet1!$O$5-(Sheet1!I1205/Sheet1!$O$6))</f>
        <v/>
      </c>
    </row>
    <row r="1206">
      <c r="A1206">
        <f>Sheet1!K1206</f>
        <v/>
      </c>
      <c r="B1206">
        <f>IF(ISNA(Sheet1!I1206),NA(),Sheet1!$O$5-(Sheet1!I1206/Sheet1!$O$6))</f>
        <v/>
      </c>
    </row>
    <row r="1207">
      <c r="A1207">
        <f>Sheet1!K1207</f>
        <v/>
      </c>
      <c r="B1207">
        <f>IF(ISNA(Sheet1!I1207),NA(),Sheet1!$O$5-(Sheet1!I1207/Sheet1!$O$6))</f>
        <v/>
      </c>
    </row>
    <row r="1208">
      <c r="A1208">
        <f>Sheet1!K1208</f>
        <v/>
      </c>
      <c r="B1208">
        <f>IF(ISNA(Sheet1!I1208),NA(),Sheet1!$O$5-(Sheet1!I1208/Sheet1!$O$6))</f>
        <v/>
      </c>
    </row>
    <row r="1209">
      <c r="A1209">
        <f>Sheet1!K1209</f>
        <v/>
      </c>
      <c r="B1209">
        <f>IF(ISNA(Sheet1!I1209),NA(),Sheet1!$O$5-(Sheet1!I1209/Sheet1!$O$6))</f>
        <v/>
      </c>
    </row>
    <row r="1210">
      <c r="A1210">
        <f>Sheet1!K1210</f>
        <v/>
      </c>
      <c r="B1210">
        <f>IF(ISNA(Sheet1!I1210),NA(),Sheet1!$O$5-(Sheet1!I1210/Sheet1!$O$6))</f>
        <v/>
      </c>
    </row>
    <row r="1211">
      <c r="A1211">
        <f>Sheet1!K1211</f>
        <v/>
      </c>
      <c r="B1211">
        <f>IF(ISNA(Sheet1!I1211),NA(),Sheet1!$O$5-(Sheet1!I1211/Sheet1!$O$6))</f>
        <v/>
      </c>
    </row>
    <row r="1212">
      <c r="A1212">
        <f>Sheet1!K1212</f>
        <v/>
      </c>
      <c r="B1212">
        <f>IF(ISNA(Sheet1!I1212),NA(),Sheet1!$O$5-(Sheet1!I1212/Sheet1!$O$6))</f>
        <v/>
      </c>
    </row>
    <row r="1213">
      <c r="A1213">
        <f>Sheet1!K1213</f>
        <v/>
      </c>
      <c r="B1213">
        <f>IF(ISNA(Sheet1!I1213),NA(),Sheet1!$O$5-(Sheet1!I1213/Sheet1!$O$6))</f>
        <v/>
      </c>
    </row>
    <row r="1214">
      <c r="A1214">
        <f>Sheet1!K1214</f>
        <v/>
      </c>
      <c r="B1214">
        <f>IF(ISNA(Sheet1!I1214),NA(),Sheet1!$O$5-(Sheet1!I1214/Sheet1!$O$6))</f>
        <v/>
      </c>
    </row>
    <row r="1215">
      <c r="A1215">
        <f>Sheet1!K1215</f>
        <v/>
      </c>
      <c r="B1215">
        <f>IF(ISNA(Sheet1!I1215),NA(),Sheet1!$O$5-(Sheet1!I1215/Sheet1!$O$6))</f>
        <v/>
      </c>
    </row>
    <row r="1216">
      <c r="A1216">
        <f>Sheet1!K1216</f>
        <v/>
      </c>
      <c r="B1216">
        <f>IF(ISNA(Sheet1!I1216),NA(),Sheet1!$O$5-(Sheet1!I1216/Sheet1!$O$6))</f>
        <v/>
      </c>
    </row>
    <row r="1217">
      <c r="A1217">
        <f>Sheet1!K1217</f>
        <v/>
      </c>
      <c r="B1217">
        <f>IF(ISNA(Sheet1!I1217),NA(),Sheet1!$O$5-(Sheet1!I1217/Sheet1!$O$6))</f>
        <v/>
      </c>
    </row>
    <row r="1218">
      <c r="A1218">
        <f>Sheet1!K1218</f>
        <v/>
      </c>
      <c r="B1218">
        <f>IF(ISNA(Sheet1!I1218),NA(),Sheet1!$O$5-(Sheet1!I1218/Sheet1!$O$6))</f>
        <v/>
      </c>
    </row>
    <row r="1219">
      <c r="A1219">
        <f>Sheet1!K1219</f>
        <v/>
      </c>
      <c r="B1219">
        <f>IF(ISNA(Sheet1!I1219),NA(),Sheet1!$O$5-(Sheet1!I1219/Sheet1!$O$6))</f>
        <v/>
      </c>
    </row>
    <row r="1220">
      <c r="A1220">
        <f>Sheet1!K1220</f>
        <v/>
      </c>
      <c r="B1220">
        <f>IF(ISNA(Sheet1!I1220),NA(),Sheet1!$O$5-(Sheet1!I1220/Sheet1!$O$6))</f>
        <v/>
      </c>
    </row>
    <row r="1221">
      <c r="A1221">
        <f>Sheet1!K1221</f>
        <v/>
      </c>
      <c r="B1221">
        <f>IF(ISNA(Sheet1!I1221),NA(),Sheet1!$O$5-(Sheet1!I1221/Sheet1!$O$6))</f>
        <v/>
      </c>
    </row>
    <row r="1222">
      <c r="A1222">
        <f>Sheet1!K1222</f>
        <v/>
      </c>
      <c r="B1222">
        <f>IF(ISNA(Sheet1!I1222),NA(),Sheet1!$O$5-(Sheet1!I1222/Sheet1!$O$6))</f>
        <v/>
      </c>
    </row>
    <row r="1223">
      <c r="A1223">
        <f>Sheet1!K1223</f>
        <v/>
      </c>
      <c r="B1223">
        <f>IF(ISNA(Sheet1!I1223),NA(),Sheet1!$O$5-(Sheet1!I1223/Sheet1!$O$6))</f>
        <v/>
      </c>
    </row>
    <row r="1224">
      <c r="A1224">
        <f>Sheet1!K1224</f>
        <v/>
      </c>
      <c r="B1224">
        <f>IF(ISNA(Sheet1!I1224),NA(),Sheet1!$O$5-(Sheet1!I1224/Sheet1!$O$6))</f>
        <v/>
      </c>
    </row>
    <row r="1225">
      <c r="A1225">
        <f>Sheet1!K1225</f>
        <v/>
      </c>
      <c r="B1225">
        <f>IF(ISNA(Sheet1!I1225),NA(),Sheet1!$O$5-(Sheet1!I1225/Sheet1!$O$6))</f>
        <v/>
      </c>
    </row>
    <row r="1226">
      <c r="A1226">
        <f>Sheet1!K1226</f>
        <v/>
      </c>
      <c r="B1226">
        <f>IF(ISNA(Sheet1!I1226),NA(),Sheet1!$O$5-(Sheet1!I1226/Sheet1!$O$6))</f>
        <v/>
      </c>
    </row>
    <row r="1227">
      <c r="A1227">
        <f>Sheet1!K1227</f>
        <v/>
      </c>
      <c r="B1227">
        <f>IF(ISNA(Sheet1!I1227),NA(),Sheet1!$O$5-(Sheet1!I1227/Sheet1!$O$6))</f>
        <v/>
      </c>
    </row>
    <row r="1228">
      <c r="A1228">
        <f>Sheet1!K1228</f>
        <v/>
      </c>
      <c r="B1228">
        <f>IF(ISNA(Sheet1!I1228),NA(),Sheet1!$O$5-(Sheet1!I1228/Sheet1!$O$6))</f>
        <v/>
      </c>
    </row>
    <row r="1229">
      <c r="A1229">
        <f>Sheet1!K1229</f>
        <v/>
      </c>
      <c r="B1229">
        <f>IF(ISNA(Sheet1!I1229),NA(),Sheet1!$O$5-(Sheet1!I1229/Sheet1!$O$6))</f>
        <v/>
      </c>
    </row>
    <row r="1230">
      <c r="A1230">
        <f>Sheet1!K1230</f>
        <v/>
      </c>
      <c r="B1230">
        <f>IF(ISNA(Sheet1!I1230),NA(),Sheet1!$O$5-(Sheet1!I1230/Sheet1!$O$6))</f>
        <v/>
      </c>
    </row>
    <row r="1231">
      <c r="A1231">
        <f>Sheet1!K1231</f>
        <v/>
      </c>
      <c r="B1231">
        <f>IF(ISNA(Sheet1!I1231),NA(),Sheet1!$O$5-(Sheet1!I1231/Sheet1!$O$6))</f>
        <v/>
      </c>
    </row>
    <row r="1232">
      <c r="A1232">
        <f>Sheet1!K1232</f>
        <v/>
      </c>
      <c r="B1232">
        <f>IF(ISNA(Sheet1!I1232),NA(),Sheet1!$O$5-(Sheet1!I1232/Sheet1!$O$6))</f>
        <v/>
      </c>
    </row>
    <row r="1233">
      <c r="A1233">
        <f>Sheet1!K1233</f>
        <v/>
      </c>
      <c r="B1233">
        <f>IF(ISNA(Sheet1!I1233),NA(),Sheet1!$O$5-(Sheet1!I1233/Sheet1!$O$6))</f>
        <v/>
      </c>
    </row>
    <row r="1234">
      <c r="A1234">
        <f>Sheet1!K1234</f>
        <v/>
      </c>
      <c r="B1234">
        <f>IF(ISNA(Sheet1!I1234),NA(),Sheet1!$O$5-(Sheet1!I1234/Sheet1!$O$6))</f>
        <v/>
      </c>
    </row>
    <row r="1235">
      <c r="A1235">
        <f>Sheet1!K1235</f>
        <v/>
      </c>
      <c r="B1235">
        <f>IF(ISNA(Sheet1!I1235),NA(),Sheet1!$O$5-(Sheet1!I1235/Sheet1!$O$6))</f>
        <v/>
      </c>
    </row>
    <row r="1236">
      <c r="A1236">
        <f>Sheet1!K1236</f>
        <v/>
      </c>
      <c r="B1236">
        <f>IF(ISNA(Sheet1!I1236),NA(),Sheet1!$O$5-(Sheet1!I1236/Sheet1!$O$6))</f>
        <v/>
      </c>
    </row>
    <row r="1237">
      <c r="A1237">
        <f>Sheet1!K1237</f>
        <v/>
      </c>
      <c r="B1237">
        <f>IF(ISNA(Sheet1!I1237),NA(),Sheet1!$O$5-(Sheet1!I1237/Sheet1!$O$6))</f>
        <v/>
      </c>
    </row>
    <row r="1238">
      <c r="A1238">
        <f>Sheet1!K1238</f>
        <v/>
      </c>
      <c r="B1238">
        <f>IF(ISNA(Sheet1!I1238),NA(),Sheet1!$O$5-(Sheet1!I1238/Sheet1!$O$6))</f>
        <v/>
      </c>
    </row>
    <row r="1239">
      <c r="A1239">
        <f>Sheet1!K1239</f>
        <v/>
      </c>
      <c r="B1239">
        <f>IF(ISNA(Sheet1!I1239),NA(),Sheet1!$O$5-(Sheet1!I1239/Sheet1!$O$6))</f>
        <v/>
      </c>
    </row>
    <row r="1240">
      <c r="A1240">
        <f>Sheet1!K1240</f>
        <v/>
      </c>
      <c r="B1240">
        <f>IF(ISNA(Sheet1!I1240),NA(),Sheet1!$O$5-(Sheet1!I1240/Sheet1!$O$6))</f>
        <v/>
      </c>
    </row>
    <row r="1241">
      <c r="A1241">
        <f>Sheet1!K1241</f>
        <v/>
      </c>
      <c r="B1241">
        <f>IF(ISNA(Sheet1!I1241),NA(),Sheet1!$O$5-(Sheet1!I1241/Sheet1!$O$6))</f>
        <v/>
      </c>
    </row>
    <row r="1242">
      <c r="A1242">
        <f>Sheet1!K1242</f>
        <v/>
      </c>
      <c r="B1242">
        <f>IF(ISNA(Sheet1!I1242),NA(),Sheet1!$O$5-(Sheet1!I1242/Sheet1!$O$6))</f>
        <v/>
      </c>
    </row>
    <row r="1243">
      <c r="A1243">
        <f>Sheet1!K1243</f>
        <v/>
      </c>
      <c r="B1243">
        <f>IF(ISNA(Sheet1!I1243),NA(),Sheet1!$O$5-(Sheet1!I1243/Sheet1!$O$6))</f>
        <v/>
      </c>
    </row>
    <row r="1244">
      <c r="A1244">
        <f>Sheet1!K1244</f>
        <v/>
      </c>
      <c r="B1244">
        <f>IF(ISNA(Sheet1!I1244),NA(),Sheet1!$O$5-(Sheet1!I1244/Sheet1!$O$6))</f>
        <v/>
      </c>
    </row>
    <row r="1245">
      <c r="A1245">
        <f>Sheet1!K1245</f>
        <v/>
      </c>
      <c r="B1245">
        <f>IF(ISNA(Sheet1!I1245),NA(),Sheet1!$O$5-(Sheet1!I1245/Sheet1!$O$6))</f>
        <v/>
      </c>
    </row>
    <row r="1246">
      <c r="A1246">
        <f>Sheet1!K1246</f>
        <v/>
      </c>
      <c r="B1246">
        <f>IF(ISNA(Sheet1!I1246),NA(),Sheet1!$O$5-(Sheet1!I1246/Sheet1!$O$6))</f>
        <v/>
      </c>
    </row>
    <row r="1247">
      <c r="A1247">
        <f>Sheet1!K1247</f>
        <v/>
      </c>
      <c r="B1247">
        <f>IF(ISNA(Sheet1!I1247),NA(),Sheet1!$O$5-(Sheet1!I1247/Sheet1!$O$6))</f>
        <v/>
      </c>
    </row>
    <row r="1248">
      <c r="A1248">
        <f>Sheet1!K1248</f>
        <v/>
      </c>
      <c r="B1248">
        <f>IF(ISNA(Sheet1!I1248),NA(),Sheet1!$O$5-(Sheet1!I1248/Sheet1!$O$6))</f>
        <v/>
      </c>
    </row>
    <row r="1249">
      <c r="A1249">
        <f>Sheet1!K1249</f>
        <v/>
      </c>
      <c r="B1249">
        <f>IF(ISNA(Sheet1!I1249),NA(),Sheet1!$O$5-(Sheet1!I1249/Sheet1!$O$6))</f>
        <v/>
      </c>
    </row>
    <row r="1250">
      <c r="A1250">
        <f>Sheet1!K1250</f>
        <v/>
      </c>
      <c r="B1250">
        <f>IF(ISNA(Sheet1!I1250),NA(),Sheet1!$O$5-(Sheet1!I1250/Sheet1!$O$6))</f>
        <v/>
      </c>
    </row>
    <row r="1251">
      <c r="A1251">
        <f>Sheet1!K1251</f>
        <v/>
      </c>
      <c r="B1251">
        <f>IF(ISNA(Sheet1!I1251),NA(),Sheet1!$O$5-(Sheet1!I1251/Sheet1!$O$6))</f>
        <v/>
      </c>
    </row>
    <row r="1252">
      <c r="A1252">
        <f>Sheet1!K1252</f>
        <v/>
      </c>
      <c r="B1252">
        <f>IF(ISNA(Sheet1!I1252),NA(),Sheet1!$O$5-(Sheet1!I1252/Sheet1!$O$6))</f>
        <v/>
      </c>
    </row>
    <row r="1253">
      <c r="A1253">
        <f>Sheet1!K1253</f>
        <v/>
      </c>
      <c r="B1253">
        <f>IF(ISNA(Sheet1!I1253),NA(),Sheet1!$O$5-(Sheet1!I1253/Sheet1!$O$6))</f>
        <v/>
      </c>
    </row>
    <row r="1254">
      <c r="A1254">
        <f>Sheet1!K1254</f>
        <v/>
      </c>
      <c r="B1254">
        <f>IF(ISNA(Sheet1!I1254),NA(),Sheet1!$O$5-(Sheet1!I1254/Sheet1!$O$6))</f>
        <v/>
      </c>
    </row>
    <row r="1255">
      <c r="A1255">
        <f>Sheet1!K1255</f>
        <v/>
      </c>
      <c r="B1255">
        <f>IF(ISNA(Sheet1!I1255),NA(),Sheet1!$O$5-(Sheet1!I1255/Sheet1!$O$6))</f>
        <v/>
      </c>
    </row>
    <row r="1256">
      <c r="A1256">
        <f>Sheet1!K1256</f>
        <v/>
      </c>
      <c r="B1256">
        <f>IF(ISNA(Sheet1!I1256),NA(),Sheet1!$O$5-(Sheet1!I1256/Sheet1!$O$6))</f>
        <v/>
      </c>
    </row>
    <row r="1257">
      <c r="A1257">
        <f>Sheet1!K1257</f>
        <v/>
      </c>
      <c r="B1257">
        <f>IF(ISNA(Sheet1!I1257),NA(),Sheet1!$O$5-(Sheet1!I1257/Sheet1!$O$6))</f>
        <v/>
      </c>
    </row>
    <row r="1258">
      <c r="A1258">
        <f>Sheet1!K1258</f>
        <v/>
      </c>
      <c r="B1258">
        <f>IF(ISNA(Sheet1!I1258),NA(),Sheet1!$O$5-(Sheet1!I1258/Sheet1!$O$6))</f>
        <v/>
      </c>
    </row>
    <row r="1259">
      <c r="A1259">
        <f>Sheet1!K1259</f>
        <v/>
      </c>
      <c r="B1259">
        <f>IF(ISNA(Sheet1!I1259),NA(),Sheet1!$O$5-(Sheet1!I1259/Sheet1!$O$6))</f>
        <v/>
      </c>
    </row>
    <row r="1260">
      <c r="A1260">
        <f>Sheet1!K1260</f>
        <v/>
      </c>
      <c r="B1260">
        <f>IF(ISNA(Sheet1!I1260),NA(),Sheet1!$O$5-(Sheet1!I1260/Sheet1!$O$6))</f>
        <v/>
      </c>
    </row>
    <row r="1261">
      <c r="A1261">
        <f>Sheet1!K1261</f>
        <v/>
      </c>
      <c r="B1261">
        <f>IF(ISNA(Sheet1!I1261),NA(),Sheet1!$O$5-(Sheet1!I1261/Sheet1!$O$6))</f>
        <v/>
      </c>
    </row>
    <row r="1262">
      <c r="A1262">
        <f>Sheet1!K1262</f>
        <v/>
      </c>
      <c r="B1262">
        <f>IF(ISNA(Sheet1!I1262),NA(),Sheet1!$O$5-(Sheet1!I1262/Sheet1!$O$6))</f>
        <v/>
      </c>
    </row>
    <row r="1263">
      <c r="A1263">
        <f>Sheet1!K1263</f>
        <v/>
      </c>
      <c r="B1263">
        <f>IF(ISNA(Sheet1!I1263),NA(),Sheet1!$O$5-(Sheet1!I1263/Sheet1!$O$6))</f>
        <v/>
      </c>
    </row>
    <row r="1264">
      <c r="A1264">
        <f>Sheet1!K1264</f>
        <v/>
      </c>
      <c r="B1264">
        <f>IF(ISNA(Sheet1!I1264),NA(),Sheet1!$O$5-(Sheet1!I1264/Sheet1!$O$6))</f>
        <v/>
      </c>
    </row>
    <row r="1265">
      <c r="A1265">
        <f>Sheet1!K1265</f>
        <v/>
      </c>
      <c r="B1265">
        <f>IF(ISNA(Sheet1!I1265),NA(),Sheet1!$O$5-(Sheet1!I1265/Sheet1!$O$6))</f>
        <v/>
      </c>
    </row>
    <row r="1266">
      <c r="A1266">
        <f>Sheet1!K1266</f>
        <v/>
      </c>
      <c r="B1266">
        <f>IF(ISNA(Sheet1!I1266),NA(),Sheet1!$O$5-(Sheet1!I1266/Sheet1!$O$6))</f>
        <v/>
      </c>
    </row>
    <row r="1267">
      <c r="A1267">
        <f>Sheet1!K1267</f>
        <v/>
      </c>
      <c r="B1267">
        <f>IF(ISNA(Sheet1!I1267),NA(),Sheet1!$O$5-(Sheet1!I1267/Sheet1!$O$6))</f>
        <v/>
      </c>
    </row>
    <row r="1268">
      <c r="A1268">
        <f>Sheet1!K1268</f>
        <v/>
      </c>
      <c r="B1268">
        <f>IF(ISNA(Sheet1!I1268),NA(),Sheet1!$O$5-(Sheet1!I1268/Sheet1!$O$6))</f>
        <v/>
      </c>
    </row>
    <row r="1269">
      <c r="A1269">
        <f>Sheet1!K1269</f>
        <v/>
      </c>
      <c r="B1269">
        <f>IF(ISNA(Sheet1!I1269),NA(),Sheet1!$O$5-(Sheet1!I1269/Sheet1!$O$6))</f>
        <v/>
      </c>
    </row>
    <row r="1270">
      <c r="A1270">
        <f>Sheet1!K1270</f>
        <v/>
      </c>
      <c r="B1270">
        <f>IF(ISNA(Sheet1!I1270),NA(),Sheet1!$O$5-(Sheet1!I1270/Sheet1!$O$6))</f>
        <v/>
      </c>
    </row>
    <row r="1271">
      <c r="A1271">
        <f>Sheet1!K1271</f>
        <v/>
      </c>
      <c r="B1271">
        <f>IF(ISNA(Sheet1!I1271),NA(),Sheet1!$O$5-(Sheet1!I1271/Sheet1!$O$6))</f>
        <v/>
      </c>
    </row>
    <row r="1272">
      <c r="A1272">
        <f>Sheet1!K1272</f>
        <v/>
      </c>
      <c r="B1272">
        <f>IF(ISNA(Sheet1!I1272),NA(),Sheet1!$O$5-(Sheet1!I1272/Sheet1!$O$6))</f>
        <v/>
      </c>
    </row>
    <row r="1273">
      <c r="A1273">
        <f>Sheet1!K1273</f>
        <v/>
      </c>
      <c r="B1273">
        <f>IF(ISNA(Sheet1!I1273),NA(),Sheet1!$O$5-(Sheet1!I1273/Sheet1!$O$6))</f>
        <v/>
      </c>
    </row>
    <row r="1274">
      <c r="A1274">
        <f>Sheet1!K1274</f>
        <v/>
      </c>
      <c r="B1274">
        <f>IF(ISNA(Sheet1!I1274),NA(),Sheet1!$O$5-(Sheet1!I1274/Sheet1!$O$6))</f>
        <v/>
      </c>
    </row>
    <row r="1275">
      <c r="A1275">
        <f>Sheet1!K1275</f>
        <v/>
      </c>
      <c r="B1275">
        <f>IF(ISNA(Sheet1!I1275),NA(),Sheet1!$O$5-(Sheet1!I1275/Sheet1!$O$6))</f>
        <v/>
      </c>
    </row>
    <row r="1276">
      <c r="A1276">
        <f>Sheet1!K1276</f>
        <v/>
      </c>
      <c r="B1276">
        <f>IF(ISNA(Sheet1!I1276),NA(),Sheet1!$O$5-(Sheet1!I1276/Sheet1!$O$6))</f>
        <v/>
      </c>
    </row>
    <row r="1277">
      <c r="A1277">
        <f>Sheet1!K1277</f>
        <v/>
      </c>
      <c r="B1277">
        <f>IF(ISNA(Sheet1!I1277),NA(),Sheet1!$O$5-(Sheet1!I1277/Sheet1!$O$6))</f>
        <v/>
      </c>
    </row>
    <row r="1278">
      <c r="A1278">
        <f>Sheet1!K1278</f>
        <v/>
      </c>
      <c r="B1278">
        <f>IF(ISNA(Sheet1!I1278),NA(),Sheet1!$O$5-(Sheet1!I1278/Sheet1!$O$6))</f>
        <v/>
      </c>
    </row>
    <row r="1279">
      <c r="A1279">
        <f>Sheet1!K1279</f>
        <v/>
      </c>
      <c r="B1279">
        <f>IF(ISNA(Sheet1!I1279),NA(),Sheet1!$O$5-(Sheet1!I1279/Sheet1!$O$6))</f>
        <v/>
      </c>
    </row>
    <row r="1280">
      <c r="A1280">
        <f>Sheet1!K1280</f>
        <v/>
      </c>
      <c r="B1280">
        <f>IF(ISNA(Sheet1!I1280),NA(),Sheet1!$O$5-(Sheet1!I1280/Sheet1!$O$6))</f>
        <v/>
      </c>
    </row>
    <row r="1281">
      <c r="A1281">
        <f>Sheet1!K1281</f>
        <v/>
      </c>
      <c r="B1281">
        <f>IF(ISNA(Sheet1!I1281),NA(),Sheet1!$O$5-(Sheet1!I1281/Sheet1!$O$6))</f>
        <v/>
      </c>
    </row>
    <row r="1282">
      <c r="A1282">
        <f>Sheet1!K1282</f>
        <v/>
      </c>
      <c r="B1282">
        <f>IF(ISNA(Sheet1!I1282),NA(),Sheet1!$O$5-(Sheet1!I1282/Sheet1!$O$6))</f>
        <v/>
      </c>
    </row>
    <row r="1283">
      <c r="A1283">
        <f>Sheet1!K1283</f>
        <v/>
      </c>
      <c r="B1283">
        <f>IF(ISNA(Sheet1!I1283),NA(),Sheet1!$O$5-(Sheet1!I1283/Sheet1!$O$6))</f>
        <v/>
      </c>
    </row>
    <row r="1284">
      <c r="A1284">
        <f>Sheet1!K1284</f>
        <v/>
      </c>
      <c r="B1284">
        <f>IF(ISNA(Sheet1!I1284),NA(),Sheet1!$O$5-(Sheet1!I1284/Sheet1!$O$6))</f>
        <v/>
      </c>
    </row>
    <row r="1285">
      <c r="A1285">
        <f>Sheet1!K1285</f>
        <v/>
      </c>
      <c r="B1285">
        <f>IF(ISNA(Sheet1!I1285),NA(),Sheet1!$O$5-(Sheet1!I1285/Sheet1!$O$6))</f>
        <v/>
      </c>
    </row>
    <row r="1286">
      <c r="A1286">
        <f>Sheet1!K1286</f>
        <v/>
      </c>
      <c r="B1286">
        <f>IF(ISNA(Sheet1!I1286),NA(),Sheet1!$O$5-(Sheet1!I1286/Sheet1!$O$6))</f>
        <v/>
      </c>
    </row>
    <row r="1287">
      <c r="A1287">
        <f>Sheet1!K1287</f>
        <v/>
      </c>
      <c r="B1287">
        <f>IF(ISNA(Sheet1!I1287),NA(),Sheet1!$O$5-(Sheet1!I1287/Sheet1!$O$6))</f>
        <v/>
      </c>
    </row>
    <row r="1288">
      <c r="A1288">
        <f>Sheet1!K1288</f>
        <v/>
      </c>
      <c r="B1288">
        <f>IF(ISNA(Sheet1!I1288),NA(),Sheet1!$O$5-(Sheet1!I1288/Sheet1!$O$6))</f>
        <v/>
      </c>
    </row>
    <row r="1289">
      <c r="A1289">
        <f>Sheet1!K1289</f>
        <v/>
      </c>
      <c r="B1289">
        <f>IF(ISNA(Sheet1!I1289),NA(),Sheet1!$O$5-(Sheet1!I1289/Sheet1!$O$6))</f>
        <v/>
      </c>
    </row>
    <row r="1290">
      <c r="A1290">
        <f>Sheet1!K1290</f>
        <v/>
      </c>
      <c r="B1290">
        <f>IF(ISNA(Sheet1!I1290),NA(),Sheet1!$O$5-(Sheet1!I1290/Sheet1!$O$6))</f>
        <v/>
      </c>
    </row>
    <row r="1291">
      <c r="A1291">
        <f>Sheet1!K1291</f>
        <v/>
      </c>
      <c r="B1291">
        <f>IF(ISNA(Sheet1!I1291),NA(),Sheet1!$O$5-(Sheet1!I1291/Sheet1!$O$6))</f>
        <v/>
      </c>
    </row>
    <row r="1292">
      <c r="A1292">
        <f>Sheet1!K1292</f>
        <v/>
      </c>
      <c r="B1292">
        <f>IF(ISNA(Sheet1!I1292),NA(),Sheet1!$O$5-(Sheet1!I1292/Sheet1!$O$6))</f>
        <v/>
      </c>
    </row>
    <row r="1293">
      <c r="A1293">
        <f>Sheet1!K1293</f>
        <v/>
      </c>
      <c r="B1293">
        <f>IF(ISNA(Sheet1!I1293),NA(),Sheet1!$O$5-(Sheet1!I1293/Sheet1!$O$6))</f>
        <v/>
      </c>
    </row>
    <row r="1294">
      <c r="A1294">
        <f>Sheet1!K1294</f>
        <v/>
      </c>
      <c r="B1294">
        <f>IF(ISNA(Sheet1!I1294),NA(),Sheet1!$O$5-(Sheet1!I1294/Sheet1!$O$6))</f>
        <v/>
      </c>
    </row>
    <row r="1295">
      <c r="A1295">
        <f>Sheet1!K1295</f>
        <v/>
      </c>
      <c r="B1295">
        <f>IF(ISNA(Sheet1!I1295),NA(),Sheet1!$O$5-(Sheet1!I1295/Sheet1!$O$6))</f>
        <v/>
      </c>
    </row>
    <row r="1296">
      <c r="A1296">
        <f>Sheet1!K1296</f>
        <v/>
      </c>
      <c r="B1296">
        <f>IF(ISNA(Sheet1!I1296),NA(),Sheet1!$O$5-(Sheet1!I1296/Sheet1!$O$6))</f>
        <v/>
      </c>
    </row>
    <row r="1297">
      <c r="A1297">
        <f>Sheet1!K1297</f>
        <v/>
      </c>
      <c r="B1297">
        <f>IF(ISNA(Sheet1!I1297),NA(),Sheet1!$O$5-(Sheet1!I1297/Sheet1!$O$6))</f>
        <v/>
      </c>
    </row>
    <row r="1298">
      <c r="A1298">
        <f>Sheet1!K1298</f>
        <v/>
      </c>
      <c r="B1298">
        <f>IF(ISNA(Sheet1!I1298),NA(),Sheet1!$O$5-(Sheet1!I1298/Sheet1!$O$6))</f>
        <v/>
      </c>
    </row>
    <row r="1299">
      <c r="A1299">
        <f>Sheet1!K1299</f>
        <v/>
      </c>
      <c r="B1299">
        <f>IF(ISNA(Sheet1!I1299),NA(),Sheet1!$O$5-(Sheet1!I1299/Sheet1!$O$6))</f>
        <v/>
      </c>
    </row>
    <row r="1300">
      <c r="A1300">
        <f>Sheet1!K1300</f>
        <v/>
      </c>
      <c r="B1300">
        <f>IF(ISNA(Sheet1!I1300),NA(),Sheet1!$O$5-(Sheet1!I1300/Sheet1!$O$6))</f>
        <v/>
      </c>
    </row>
    <row r="1301">
      <c r="A1301">
        <f>Sheet1!K1301</f>
        <v/>
      </c>
      <c r="B1301">
        <f>IF(ISNA(Sheet1!I1301),NA(),Sheet1!$O$5-(Sheet1!I1301/Sheet1!$O$6))</f>
        <v/>
      </c>
    </row>
    <row r="1302">
      <c r="A1302">
        <f>Sheet1!K1302</f>
        <v/>
      </c>
      <c r="B1302">
        <f>IF(ISNA(Sheet1!I1302),NA(),Sheet1!$O$5-(Sheet1!I1302/Sheet1!$O$6))</f>
        <v/>
      </c>
    </row>
    <row r="1303">
      <c r="A1303">
        <f>Sheet1!K1303</f>
        <v/>
      </c>
      <c r="B1303">
        <f>IF(ISNA(Sheet1!I1303),NA(),Sheet1!$O$5-(Sheet1!I1303/Sheet1!$O$6))</f>
        <v/>
      </c>
    </row>
    <row r="1304">
      <c r="A1304">
        <f>Sheet1!K1304</f>
        <v/>
      </c>
      <c r="B1304">
        <f>IF(ISNA(Sheet1!I1304),NA(),Sheet1!$O$5-(Sheet1!I1304/Sheet1!$O$6))</f>
        <v/>
      </c>
    </row>
    <row r="1305">
      <c r="A1305">
        <f>Sheet1!K1305</f>
        <v/>
      </c>
      <c r="B1305">
        <f>IF(ISNA(Sheet1!I1305),NA(),Sheet1!$O$5-(Sheet1!I1305/Sheet1!$O$6))</f>
        <v/>
      </c>
    </row>
    <row r="1306">
      <c r="A1306">
        <f>Sheet1!K1306</f>
        <v/>
      </c>
      <c r="B1306">
        <f>IF(ISNA(Sheet1!I1306),NA(),Sheet1!$O$5-(Sheet1!I1306/Sheet1!$O$6))</f>
        <v/>
      </c>
    </row>
    <row r="1307">
      <c r="A1307">
        <f>Sheet1!K1307</f>
        <v/>
      </c>
      <c r="B1307">
        <f>IF(ISNA(Sheet1!I1307),NA(),Sheet1!$O$5-(Sheet1!I1307/Sheet1!$O$6))</f>
        <v/>
      </c>
    </row>
    <row r="1308">
      <c r="A1308">
        <f>Sheet1!K1308</f>
        <v/>
      </c>
      <c r="B1308">
        <f>IF(ISNA(Sheet1!I1308),NA(),Sheet1!$O$5-(Sheet1!I1308/Sheet1!$O$6))</f>
        <v/>
      </c>
    </row>
    <row r="1309">
      <c r="A1309">
        <f>Sheet1!K1309</f>
        <v/>
      </c>
      <c r="B1309">
        <f>IF(ISNA(Sheet1!I1309),NA(),Sheet1!$O$5-(Sheet1!I1309/Sheet1!$O$6))</f>
        <v/>
      </c>
    </row>
    <row r="1310">
      <c r="A1310">
        <f>Sheet1!K1310</f>
        <v/>
      </c>
      <c r="B1310">
        <f>IF(ISNA(Sheet1!I1310),NA(),Sheet1!$O$5-(Sheet1!I1310/Sheet1!$O$6))</f>
        <v/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2026-08-07T13:38:54Z</dcterms:created>
  <dcterms:modified xsi:type="dcterms:W3CDTF">2026-08-07T14:57:15Z</dcterms:modified>
</cp:coreProperties>
</file>