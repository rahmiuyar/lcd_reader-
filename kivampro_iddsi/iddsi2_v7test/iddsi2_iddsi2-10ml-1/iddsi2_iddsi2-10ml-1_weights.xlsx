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iddsi2_iddsi2-10ml-1_weights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'Sheet1'!$B$2:$B$2105</f>
            </numRef>
          </xVal>
          <yVal>
            <numRef>
              <f>'Sheet1'!$D$2:$D$2105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iddsi2_iddsi2-10ml-1_weights - kept weight vs corrected time</a:t>
            </a:r>
          </a:p>
        </rich>
      </tx>
    </title>
    <plotArea>
      <scatterChart>
        <ser>
          <idx val="0"/>
          <order val="0"/>
          <tx>
            <strRef>
              <f>'Sheet1'!I1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'Sheet1'!$K$2:$K$2105</f>
            </numRef>
          </xVal>
          <yVal>
            <numRef>
              <f>'Sheet1'!$I$2:$I$2105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iddsi2_iddsi2-10ml-1_weights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'Hacim'!$A$2:$A$2105</f>
            </numRef>
          </xVal>
          <yVal>
            <numRef>
              <f>'Hacim'!$B$2:$B$2105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local_median_g</t>
        </is>
      </c>
      <c r="F1" s="1" t="inlineStr">
        <is>
          <t>trend_ref_g</t>
        </is>
      </c>
      <c r="G1" s="1" t="inlineStr">
        <is>
          <t>reset_drop_g</t>
        </is>
      </c>
      <c r="H1" s="1" t="inlineStr">
        <is>
          <t>excluded</t>
        </is>
      </c>
      <c r="I1" s="1" t="inlineStr">
        <is>
          <t>weight_kept_g</t>
        </is>
      </c>
      <c r="J1" s="1" t="inlineStr">
        <is>
          <t>is_started</t>
        </is>
      </c>
      <c r="K1" s="1" t="inlineStr">
        <is>
          <t>time_corrected_s</t>
        </is>
      </c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>
        <f>MEDIAN(D2:D22)</f>
        <v/>
      </c>
      <c r="F2">
        <f>E2</f>
        <v/>
      </c>
      <c r="G2">
        <f>F2-E2</f>
        <v/>
      </c>
      <c r="H2">
        <f>IF(OR(NOT(ISNUMBER(D2)),ABS(D2-E2)&gt;$O$3,AND($O$11=1,B2&lt;$O$12)),1,0)</f>
        <v/>
      </c>
      <c r="I2">
        <f>IF(H2=1,NA(),D2)</f>
        <v/>
      </c>
      <c r="J2">
        <f>IF(AND(ISNUMBER(D2),D2&gt;=$O$4,OR($O$11=0,B2&gt;=$O$12)),1,0)</f>
        <v/>
      </c>
      <c r="K2">
        <f>B2-$O$14</f>
        <v/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000</t>
        </is>
      </c>
      <c r="D3" t="n">
        <v>0</v>
      </c>
      <c r="E3">
        <f>MEDIAN(D2:D23)</f>
        <v/>
      </c>
      <c r="F3">
        <f>E3</f>
        <v/>
      </c>
      <c r="G3">
        <f>F3-E3</f>
        <v/>
      </c>
      <c r="H3">
        <f>IF(OR(NOT(ISNUMBER(D3)),ABS(D3-E3)&gt;$O$3,AND($O$11=1,B3&lt;$O$12)),1,0)</f>
        <v/>
      </c>
      <c r="I3">
        <f>IF(H3=1,NA(),D3)</f>
        <v/>
      </c>
      <c r="J3">
        <f>IF(AND(ISNUMBER(D3),D3&gt;=$O$4,OR($O$11=0,B3&gt;=$O$12)),1,0)</f>
        <v/>
      </c>
      <c r="K3">
        <f>B3-$O$14</f>
        <v/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  <c r="E4">
        <f>MEDIAN(D2:D24)</f>
        <v/>
      </c>
      <c r="F4">
        <f>E4</f>
        <v/>
      </c>
      <c r="G4">
        <f>F4-E4</f>
        <v/>
      </c>
      <c r="H4">
        <f>IF(OR(NOT(ISNUMBER(D4)),ABS(D4-E4)&gt;$O$3,AND($O$11=1,B4&lt;$O$12)),1,0)</f>
        <v/>
      </c>
      <c r="I4">
        <f>IF(H4=1,NA(),D4)</f>
        <v/>
      </c>
      <c r="J4">
        <f>IF(AND(ISNUMBER(D4),D4&gt;=$O$4,OR($O$11=0,B4&gt;=$O$12)),1,0)</f>
        <v/>
      </c>
      <c r="K4">
        <f>B4-$O$14</f>
        <v/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  <c r="E5">
        <f>MEDIAN(D2:D25)</f>
        <v/>
      </c>
      <c r="F5">
        <f>E5</f>
        <v/>
      </c>
      <c r="G5">
        <f>F5-E5</f>
        <v/>
      </c>
      <c r="H5">
        <f>IF(OR(NOT(ISNUMBER(D5)),ABS(D5-E5)&gt;$O$3,AND($O$11=1,B5&lt;$O$12)),1,0)</f>
        <v/>
      </c>
      <c r="I5">
        <f>IF(H5=1,NA(),D5)</f>
        <v/>
      </c>
      <c r="J5">
        <f>IF(AND(ISNUMBER(D5),D5&gt;=$O$4,OR($O$11=0,B5&gt;=$O$12)),1,0)</f>
        <v/>
      </c>
      <c r="K5">
        <f>B5-$O$14</f>
        <v/>
      </c>
      <c r="N5" t="inlineStr">
        <is>
          <t>Siringa hacmi (mL)</t>
        </is>
      </c>
      <c r="O5" t="n">
        <v>10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  <c r="E6">
        <f>MEDIAN(D2:D26)</f>
        <v/>
      </c>
      <c r="F6">
        <f>E6</f>
        <v/>
      </c>
      <c r="G6">
        <f>F6-E6</f>
        <v/>
      </c>
      <c r="H6">
        <f>IF(OR(NOT(ISNUMBER(D6)),ABS(D6-E6)&gt;$O$3,AND($O$11=1,B6&lt;$O$12)),1,0)</f>
        <v/>
      </c>
      <c r="I6">
        <f>IF(H6=1,NA(),D6)</f>
        <v/>
      </c>
      <c r="J6">
        <f>IF(AND(ISNUMBER(D6),D6&gt;=$O$4,OR($O$11=0,B6&gt;=$O$12)),1,0)</f>
        <v/>
      </c>
      <c r="K6">
        <f>B6-$O$14</f>
        <v/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  <c r="E7">
        <f>MEDIAN(D2:D27)</f>
        <v/>
      </c>
      <c r="F7">
        <f>E7</f>
        <v/>
      </c>
      <c r="G7">
        <f>F7-E7</f>
        <v/>
      </c>
      <c r="H7">
        <f>IF(OR(NOT(ISNUMBER(D7)),ABS(D7-E7)&gt;$O$3,AND($O$11=1,B7&lt;$O$12)),1,0)</f>
        <v/>
      </c>
      <c r="I7">
        <f>IF(H7=1,NA(),D7)</f>
        <v/>
      </c>
      <c r="J7">
        <f>IF(AND(ISNUMBER(D7),D7&gt;=$O$4,OR($O$11=0,B7&gt;=$O$12)),1,0)</f>
        <v/>
      </c>
      <c r="K7">
        <f>B7-$O$14</f>
        <v/>
      </c>
      <c r="N7" t="inlineStr">
        <is>
          <t>Reset bakis penceresi (satir)</t>
        </is>
      </c>
      <c r="O7" t="n">
        <v>20</v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  <c r="E8">
        <f>MEDIAN(D2:D28)</f>
        <v/>
      </c>
      <c r="F8">
        <f>E8</f>
        <v/>
      </c>
      <c r="G8">
        <f>F8-E8</f>
        <v/>
      </c>
      <c r="H8">
        <f>IF(OR(NOT(ISNUMBER(D8)),ABS(D8-E8)&gt;$O$3,AND($O$11=1,B8&lt;$O$12)),1,0)</f>
        <v/>
      </c>
      <c r="I8">
        <f>IF(H8=1,NA(),D8)</f>
        <v/>
      </c>
      <c r="J8">
        <f>IF(AND(ISNUMBER(D8),D8&gt;=$O$4,OR($O$11=0,B8&gt;=$O$12)),1,0)</f>
        <v/>
      </c>
      <c r="K8">
        <f>B8-$O$14</f>
        <v/>
      </c>
      <c r="N8" t="inlineStr">
        <is>
          <t>Reset esigi (g)</t>
        </is>
      </c>
      <c r="O8" t="n">
        <v>5</v>
      </c>
    </row>
    <row r="9">
      <c r="A9" t="n">
        <v>21</v>
      </c>
      <c r="B9" t="n">
        <v>0.7</v>
      </c>
      <c r="C9" t="inlineStr">
        <is>
          <t>000</t>
        </is>
      </c>
      <c r="D9" t="n">
        <v>0</v>
      </c>
      <c r="E9">
        <f>MEDIAN(D2:D29)</f>
        <v/>
      </c>
      <c r="F9">
        <f>E9</f>
        <v/>
      </c>
      <c r="G9">
        <f>F9-E9</f>
        <v/>
      </c>
      <c r="H9">
        <f>IF(OR(NOT(ISNUMBER(D9)),ABS(D9-E9)&gt;$O$3,AND($O$11=1,B9&lt;$O$12)),1,0)</f>
        <v/>
      </c>
      <c r="I9">
        <f>IF(H9=1,NA(),D9)</f>
        <v/>
      </c>
      <c r="J9">
        <f>IF(AND(ISNUMBER(D9),D9&gt;=$O$4,OR($O$11=0,B9&gt;=$O$12)),1,0)</f>
        <v/>
      </c>
      <c r="K9">
        <f>B9-$O$14</f>
        <v/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  <c r="E10">
        <f>MEDIAN(D2:D30)</f>
        <v/>
      </c>
      <c r="F10">
        <f>E10</f>
        <v/>
      </c>
      <c r="G10">
        <f>F10-E10</f>
        <v/>
      </c>
      <c r="H10">
        <f>IF(OR(NOT(ISNUMBER(D10)),ABS(D10-E10)&gt;$O$3,AND($O$11=1,B10&lt;$O$12)),1,0)</f>
        <v/>
      </c>
      <c r="I10">
        <f>IF(H10=1,NA(),D10)</f>
        <v/>
      </c>
      <c r="J10">
        <f>IF(AND(ISNUMBER(D10),D10&gt;=$O$4,OR($O$11=0,B10&gt;=$O$12)),1,0)</f>
        <v/>
      </c>
      <c r="K10">
        <f>B10-$O$14</f>
        <v/>
      </c>
      <c r="N10" t="inlineStr">
        <is>
          <t>En buyuk dusus (g)</t>
        </is>
      </c>
      <c r="O10">
        <f>MAX(G2:G2105)</f>
        <v/>
      </c>
    </row>
    <row r="11">
      <c r="A11" t="n">
        <v>27</v>
      </c>
      <c r="B11" t="n">
        <v>0.9</v>
      </c>
      <c r="C11" t="inlineStr">
        <is>
          <t>000</t>
        </is>
      </c>
      <c r="D11" t="n">
        <v>0</v>
      </c>
      <c r="E11">
        <f>MEDIAN(D2:D31)</f>
        <v/>
      </c>
      <c r="F11">
        <f>E11</f>
        <v/>
      </c>
      <c r="G11">
        <f>F11-E11</f>
        <v/>
      </c>
      <c r="H11">
        <f>IF(OR(NOT(ISNUMBER(D11)),ABS(D11-E11)&gt;$O$3,AND($O$11=1,B11&lt;$O$12)),1,0)</f>
        <v/>
      </c>
      <c r="I11">
        <f>IF(H11=1,NA(),D11)</f>
        <v/>
      </c>
      <c r="J11">
        <f>IF(AND(ISNUMBER(D11),D11&gt;=$O$4,OR($O$11=0,B11&gt;=$O$12)),1,0)</f>
        <v/>
      </c>
      <c r="K11">
        <f>B11-$O$14</f>
        <v/>
      </c>
      <c r="N11" t="inlineStr">
        <is>
          <t>Reset tespit edildi mi (1/0)</t>
        </is>
      </c>
      <c r="O11">
        <f>IF(O10&gt;$O$8,1,0)</f>
        <v/>
      </c>
    </row>
    <row r="12">
      <c r="A12" t="n">
        <v>30</v>
      </c>
      <c r="B12" t="n">
        <v>1</v>
      </c>
      <c r="C12" t="inlineStr">
        <is>
          <t>000</t>
        </is>
      </c>
      <c r="D12" t="n">
        <v>0</v>
      </c>
      <c r="E12">
        <f>MEDIAN(D2:D32)</f>
        <v/>
      </c>
      <c r="F12">
        <f>E12</f>
        <v/>
      </c>
      <c r="G12">
        <f>F12-E12</f>
        <v/>
      </c>
      <c r="H12">
        <f>IF(OR(NOT(ISNUMBER(D12)),ABS(D12-E12)&gt;$O$3,AND($O$11=1,B12&lt;$O$12)),1,0)</f>
        <v/>
      </c>
      <c r="I12">
        <f>IF(H12=1,NA(),D12)</f>
        <v/>
      </c>
      <c r="J12">
        <f>IF(AND(ISNUMBER(D12),D12&gt;=$O$4,OR($O$11=0,B12&gt;=$O$12)),1,0)</f>
        <v/>
      </c>
      <c r="K12">
        <f>B12-$O$14</f>
        <v/>
      </c>
      <c r="N12" t="inlineStr">
        <is>
          <t>Reset zamani (s)</t>
        </is>
      </c>
      <c r="O12">
        <f>IF(O11=1,INDEX(B2:B2105,MATCH(O10,G2:G2105,0)),-1000000)</f>
        <v/>
      </c>
    </row>
    <row r="13">
      <c r="A13" t="n">
        <v>33</v>
      </c>
      <c r="B13" t="n">
        <v>1.1</v>
      </c>
      <c r="C13" t="inlineStr">
        <is>
          <t>000</t>
        </is>
      </c>
      <c r="D13" t="n">
        <v>0</v>
      </c>
      <c r="E13">
        <f>MEDIAN(D2:D33)</f>
        <v/>
      </c>
      <c r="F13">
        <f>E13</f>
        <v/>
      </c>
      <c r="G13">
        <f>F13-E13</f>
        <v/>
      </c>
      <c r="H13">
        <f>IF(OR(NOT(ISNUMBER(D13)),ABS(D13-E13)&gt;$O$3,AND($O$11=1,B13&lt;$O$12)),1,0)</f>
        <v/>
      </c>
      <c r="I13">
        <f>IF(H13=1,NA(),D13)</f>
        <v/>
      </c>
      <c r="J13">
        <f>IF(AND(ISNUMBER(D13),D13&gt;=$O$4,OR($O$11=0,B13&gt;=$O$12)),1,0)</f>
        <v/>
      </c>
      <c r="K13">
        <f>B13-$O$14</f>
        <v/>
      </c>
    </row>
    <row r="14">
      <c r="A14" t="n">
        <v>36</v>
      </c>
      <c r="B14" t="n">
        <v>1.2</v>
      </c>
      <c r="C14" t="inlineStr">
        <is>
          <t>000</t>
        </is>
      </c>
      <c r="D14" t="n">
        <v>0</v>
      </c>
      <c r="E14">
        <f>MEDIAN(D2:D34)</f>
        <v/>
      </c>
      <c r="F14">
        <f>E14</f>
        <v/>
      </c>
      <c r="G14">
        <f>F14-E14</f>
        <v/>
      </c>
      <c r="H14">
        <f>IF(OR(NOT(ISNUMBER(D14)),ABS(D14-E14)&gt;$O$3,AND($O$11=1,B14&lt;$O$12)),1,0)</f>
        <v/>
      </c>
      <c r="I14">
        <f>IF(H14=1,NA(),D14)</f>
        <v/>
      </c>
      <c r="J14">
        <f>IF(AND(ISNUMBER(D14),D14&gt;=$O$4,OR($O$11=0,B14&gt;=$O$12)),1,0)</f>
        <v/>
      </c>
      <c r="K14">
        <f>B14-$O$14</f>
        <v/>
      </c>
      <c r="N14" t="inlineStr">
        <is>
          <t>Baslangic zamani (s)</t>
        </is>
      </c>
      <c r="O14">
        <f>INDEX(B2:B2105,MATCH(1,J2:J2105,0))</f>
        <v/>
      </c>
    </row>
    <row r="15">
      <c r="A15" t="n">
        <v>39</v>
      </c>
      <c r="B15" t="n">
        <v>1.3</v>
      </c>
      <c r="C15" t="inlineStr">
        <is>
          <t>000</t>
        </is>
      </c>
      <c r="D15" t="n">
        <v>0</v>
      </c>
      <c r="E15">
        <f>MEDIAN(D2:D35)</f>
        <v/>
      </c>
      <c r="F15">
        <f>E15</f>
        <v/>
      </c>
      <c r="G15">
        <f>F15-E15</f>
        <v/>
      </c>
      <c r="H15">
        <f>IF(OR(NOT(ISNUMBER(D15)),ABS(D15-E15)&gt;$O$3,AND($O$11=1,B15&lt;$O$12)),1,0)</f>
        <v/>
      </c>
      <c r="I15">
        <f>IF(H15=1,NA(),D15)</f>
        <v/>
      </c>
      <c r="J15">
        <f>IF(AND(ISNUMBER(D15),D15&gt;=$O$4,OR($O$11=0,B15&gt;=$O$12)),1,0)</f>
        <v/>
      </c>
      <c r="K15">
        <f>B15-$O$14</f>
        <v/>
      </c>
    </row>
    <row r="16">
      <c r="A16" t="n">
        <v>42</v>
      </c>
      <c r="B16" t="n">
        <v>1.4</v>
      </c>
      <c r="C16" t="inlineStr">
        <is>
          <t>001</t>
        </is>
      </c>
      <c r="D16" t="n">
        <v>0.01</v>
      </c>
      <c r="E16">
        <f>MEDIAN(D2:D36)</f>
        <v/>
      </c>
      <c r="F16">
        <f>E16</f>
        <v/>
      </c>
      <c r="G16">
        <f>F16-E16</f>
        <v/>
      </c>
      <c r="H16">
        <f>IF(OR(NOT(ISNUMBER(D16)),ABS(D16-E16)&gt;$O$3,AND($O$11=1,B16&lt;$O$12)),1,0)</f>
        <v/>
      </c>
      <c r="I16">
        <f>IF(H16=1,NA(),D16)</f>
        <v/>
      </c>
      <c r="J16">
        <f>IF(AND(ISNUMBER(D16),D16&gt;=$O$4,OR($O$11=0,B16&gt;=$O$12)),1,0)</f>
        <v/>
      </c>
      <c r="K16">
        <f>B16-$O$14</f>
        <v/>
      </c>
    </row>
    <row r="17">
      <c r="A17" t="n">
        <v>45</v>
      </c>
      <c r="B17" t="n">
        <v>1.5</v>
      </c>
      <c r="C17" t="inlineStr">
        <is>
          <t>002</t>
        </is>
      </c>
      <c r="D17" t="n">
        <v>0.02</v>
      </c>
      <c r="E17">
        <f>MEDIAN(D2:D37)</f>
        <v/>
      </c>
      <c r="F17">
        <f>E17</f>
        <v/>
      </c>
      <c r="G17">
        <f>F17-E17</f>
        <v/>
      </c>
      <c r="H17">
        <f>IF(OR(NOT(ISNUMBER(D17)),ABS(D17-E17)&gt;$O$3,AND($O$11=1,B17&lt;$O$12)),1,0)</f>
        <v/>
      </c>
      <c r="I17">
        <f>IF(H17=1,NA(),D17)</f>
        <v/>
      </c>
      <c r="J17">
        <f>IF(AND(ISNUMBER(D17),D17&gt;=$O$4,OR($O$11=0,B17&gt;=$O$12)),1,0)</f>
        <v/>
      </c>
      <c r="K17">
        <f>B17-$O$14</f>
        <v/>
      </c>
    </row>
    <row r="18">
      <c r="A18" t="n">
        <v>48</v>
      </c>
      <c r="B18" t="n">
        <v>1.6</v>
      </c>
      <c r="C18" t="inlineStr">
        <is>
          <t>003</t>
        </is>
      </c>
      <c r="D18" t="n">
        <v>0.03</v>
      </c>
      <c r="E18">
        <f>MEDIAN(D2:D38)</f>
        <v/>
      </c>
      <c r="F18">
        <f>E18</f>
        <v/>
      </c>
      <c r="G18">
        <f>F18-E18</f>
        <v/>
      </c>
      <c r="H18">
        <f>IF(OR(NOT(ISNUMBER(D18)),ABS(D18-E18)&gt;$O$3,AND($O$11=1,B18&lt;$O$12)),1,0)</f>
        <v/>
      </c>
      <c r="I18">
        <f>IF(H18=1,NA(),D18)</f>
        <v/>
      </c>
      <c r="J18">
        <f>IF(AND(ISNUMBER(D18),D18&gt;=$O$4,OR($O$11=0,B18&gt;=$O$12)),1,0)</f>
        <v/>
      </c>
      <c r="K18">
        <f>B18-$O$14</f>
        <v/>
      </c>
    </row>
    <row r="19">
      <c r="A19" t="n">
        <v>51</v>
      </c>
      <c r="B19" t="n">
        <v>1.7</v>
      </c>
      <c r="C19" t="inlineStr">
        <is>
          <t>018</t>
        </is>
      </c>
      <c r="D19" t="n">
        <v>0.18</v>
      </c>
      <c r="E19">
        <f>MEDIAN(D2:D39)</f>
        <v/>
      </c>
      <c r="F19">
        <f>E19</f>
        <v/>
      </c>
      <c r="G19">
        <f>F19-E19</f>
        <v/>
      </c>
      <c r="H19">
        <f>IF(OR(NOT(ISNUMBER(D19)),ABS(D19-E19)&gt;$O$3,AND($O$11=1,B19&lt;$O$12)),1,0)</f>
        <v/>
      </c>
      <c r="I19">
        <f>IF(H19=1,NA(),D19)</f>
        <v/>
      </c>
      <c r="J19">
        <f>IF(AND(ISNUMBER(D19),D19&gt;=$O$4,OR($O$11=0,B19&gt;=$O$12)),1,0)</f>
        <v/>
      </c>
      <c r="K19">
        <f>B19-$O$14</f>
        <v/>
      </c>
    </row>
    <row r="20">
      <c r="A20" t="n">
        <v>54</v>
      </c>
      <c r="B20" t="n">
        <v>1.8</v>
      </c>
      <c r="C20" t="inlineStr">
        <is>
          <t>018</t>
        </is>
      </c>
      <c r="D20" t="n">
        <v>0.18</v>
      </c>
      <c r="E20">
        <f>MEDIAN(D2:D40)</f>
        <v/>
      </c>
      <c r="F20">
        <f>E20</f>
        <v/>
      </c>
      <c r="G20">
        <f>F20-E20</f>
        <v/>
      </c>
      <c r="H20">
        <f>IF(OR(NOT(ISNUMBER(D20)),ABS(D20-E20)&gt;$O$3,AND($O$11=1,B20&lt;$O$12)),1,0)</f>
        <v/>
      </c>
      <c r="I20">
        <f>IF(H20=1,NA(),D20)</f>
        <v/>
      </c>
      <c r="J20">
        <f>IF(AND(ISNUMBER(D20),D20&gt;=$O$4,OR($O$11=0,B20&gt;=$O$12)),1,0)</f>
        <v/>
      </c>
      <c r="K20">
        <f>B20-$O$14</f>
        <v/>
      </c>
    </row>
    <row r="21">
      <c r="A21" t="n">
        <v>57</v>
      </c>
      <c r="B21" t="n">
        <v>1.9</v>
      </c>
      <c r="C21" t="inlineStr">
        <is>
          <t>019</t>
        </is>
      </c>
      <c r="D21" t="n">
        <v>0.19</v>
      </c>
      <c r="E21">
        <f>MEDIAN(D2:D41)</f>
        <v/>
      </c>
      <c r="F21">
        <f>E21</f>
        <v/>
      </c>
      <c r="G21">
        <f>F21-E21</f>
        <v/>
      </c>
      <c r="H21">
        <f>IF(OR(NOT(ISNUMBER(D21)),ABS(D21-E21)&gt;$O$3,AND($O$11=1,B21&lt;$O$12)),1,0)</f>
        <v/>
      </c>
      <c r="I21">
        <f>IF(H21=1,NA(),D21)</f>
        <v/>
      </c>
      <c r="J21">
        <f>IF(AND(ISNUMBER(D21),D21&gt;=$O$4,OR($O$11=0,B21&gt;=$O$12)),1,0)</f>
        <v/>
      </c>
      <c r="K21">
        <f>B21-$O$14</f>
        <v/>
      </c>
    </row>
    <row r="22">
      <c r="A22" t="n">
        <v>60</v>
      </c>
      <c r="B22" t="n">
        <v>2</v>
      </c>
      <c r="C22" t="inlineStr">
        <is>
          <t>035</t>
        </is>
      </c>
      <c r="D22" t="n">
        <v>0.35</v>
      </c>
      <c r="E22">
        <f>MEDIAN(D2:D42)</f>
        <v/>
      </c>
      <c r="F22">
        <f>E2</f>
        <v/>
      </c>
      <c r="G22">
        <f>F22-E22</f>
        <v/>
      </c>
      <c r="H22">
        <f>IF(OR(NOT(ISNUMBER(D22)),ABS(D22-E22)&gt;$O$3,AND($O$11=1,B22&lt;$O$12)),1,0)</f>
        <v/>
      </c>
      <c r="I22">
        <f>IF(H22=1,NA(),D22)</f>
        <v/>
      </c>
      <c r="J22">
        <f>IF(AND(ISNUMBER(D22),D22&gt;=$O$4,OR($O$11=0,B22&gt;=$O$12)),1,0)</f>
        <v/>
      </c>
      <c r="K22">
        <f>B22-$O$14</f>
        <v/>
      </c>
    </row>
    <row r="23">
      <c r="A23" t="n">
        <v>63</v>
      </c>
      <c r="B23" t="n">
        <v>2.1</v>
      </c>
      <c r="C23" t="inlineStr">
        <is>
          <t>035</t>
        </is>
      </c>
      <c r="D23" t="n">
        <v>0.35</v>
      </c>
      <c r="E23">
        <f>MEDIAN(D3:D43)</f>
        <v/>
      </c>
      <c r="F23">
        <f>E3</f>
        <v/>
      </c>
      <c r="G23">
        <f>F23-E23</f>
        <v/>
      </c>
      <c r="H23">
        <f>IF(OR(NOT(ISNUMBER(D23)),ABS(D23-E23)&gt;$O$3,AND($O$11=1,B23&lt;$O$12)),1,0)</f>
        <v/>
      </c>
      <c r="I23">
        <f>IF(H23=1,NA(),D23)</f>
        <v/>
      </c>
      <c r="J23">
        <f>IF(AND(ISNUMBER(D23),D23&gt;=$O$4,OR($O$11=0,B23&gt;=$O$12)),1,0)</f>
        <v/>
      </c>
      <c r="K23">
        <f>B23-$O$14</f>
        <v/>
      </c>
    </row>
    <row r="24">
      <c r="A24" t="n">
        <v>66</v>
      </c>
      <c r="B24" t="n">
        <v>2.2</v>
      </c>
      <c r="C24" t="inlineStr">
        <is>
          <t>049</t>
        </is>
      </c>
      <c r="D24" t="n">
        <v>0.49</v>
      </c>
      <c r="E24">
        <f>MEDIAN(D4:D44)</f>
        <v/>
      </c>
      <c r="F24">
        <f>E4</f>
        <v/>
      </c>
      <c r="G24">
        <f>F24-E24</f>
        <v/>
      </c>
      <c r="H24">
        <f>IF(OR(NOT(ISNUMBER(D24)),ABS(D24-E24)&gt;$O$3,AND($O$11=1,B24&lt;$O$12)),1,0)</f>
        <v/>
      </c>
      <c r="I24">
        <f>IF(H24=1,NA(),D24)</f>
        <v/>
      </c>
      <c r="J24">
        <f>IF(AND(ISNUMBER(D24),D24&gt;=$O$4,OR($O$11=0,B24&gt;=$O$12)),1,0)</f>
        <v/>
      </c>
      <c r="K24">
        <f>B24-$O$14</f>
        <v/>
      </c>
    </row>
    <row r="25">
      <c r="A25" t="n">
        <v>69</v>
      </c>
      <c r="B25" t="n">
        <v>2.3</v>
      </c>
      <c r="C25" t="inlineStr">
        <is>
          <t>050</t>
        </is>
      </c>
      <c r="D25" t="n">
        <v>0.5</v>
      </c>
      <c r="E25">
        <f>MEDIAN(D5:D45)</f>
        <v/>
      </c>
      <c r="F25">
        <f>E5</f>
        <v/>
      </c>
      <c r="G25">
        <f>F25-E25</f>
        <v/>
      </c>
      <c r="H25">
        <f>IF(OR(NOT(ISNUMBER(D25)),ABS(D25-E25)&gt;$O$3,AND($O$11=1,B25&lt;$O$12)),1,0)</f>
        <v/>
      </c>
      <c r="I25">
        <f>IF(H25=1,NA(),D25)</f>
        <v/>
      </c>
      <c r="J25">
        <f>IF(AND(ISNUMBER(D25),D25&gt;=$O$4,OR($O$11=0,B25&gt;=$O$12)),1,0)</f>
        <v/>
      </c>
      <c r="K25">
        <f>B25-$O$14</f>
        <v/>
      </c>
    </row>
    <row r="26">
      <c r="A26" t="n">
        <v>72</v>
      </c>
      <c r="B26" t="n">
        <v>2.4</v>
      </c>
      <c r="C26" t="inlineStr">
        <is>
          <t>051</t>
        </is>
      </c>
      <c r="D26" t="n">
        <v>0.51</v>
      </c>
      <c r="E26">
        <f>MEDIAN(D6:D46)</f>
        <v/>
      </c>
      <c r="F26">
        <f>E6</f>
        <v/>
      </c>
      <c r="G26">
        <f>F26-E26</f>
        <v/>
      </c>
      <c r="H26">
        <f>IF(OR(NOT(ISNUMBER(D26)),ABS(D26-E26)&gt;$O$3,AND($O$11=1,B26&lt;$O$12)),1,0)</f>
        <v/>
      </c>
      <c r="I26">
        <f>IF(H26=1,NA(),D26)</f>
        <v/>
      </c>
      <c r="J26">
        <f>IF(AND(ISNUMBER(D26),D26&gt;=$O$4,OR($O$11=0,B26&gt;=$O$12)),1,0)</f>
        <v/>
      </c>
      <c r="K26">
        <f>B26-$O$14</f>
        <v/>
      </c>
    </row>
    <row r="27">
      <c r="A27" t="n">
        <v>75</v>
      </c>
      <c r="B27" t="n">
        <v>2.5</v>
      </c>
      <c r="C27" t="inlineStr">
        <is>
          <t>069</t>
        </is>
      </c>
      <c r="D27" t="n">
        <v>0.6899999999999999</v>
      </c>
      <c r="E27">
        <f>MEDIAN(D7:D47)</f>
        <v/>
      </c>
      <c r="F27">
        <f>E7</f>
        <v/>
      </c>
      <c r="G27">
        <f>F27-E27</f>
        <v/>
      </c>
      <c r="H27">
        <f>IF(OR(NOT(ISNUMBER(D27)),ABS(D27-E27)&gt;$O$3,AND($O$11=1,B27&lt;$O$12)),1,0)</f>
        <v/>
      </c>
      <c r="I27">
        <f>IF(H27=1,NA(),D27)</f>
        <v/>
      </c>
      <c r="J27">
        <f>IF(AND(ISNUMBER(D27),D27&gt;=$O$4,OR($O$11=0,B27&gt;=$O$12)),1,0)</f>
        <v/>
      </c>
      <c r="K27">
        <f>B27-$O$14</f>
        <v/>
      </c>
    </row>
    <row r="28">
      <c r="A28" t="n">
        <v>78</v>
      </c>
      <c r="B28" t="n">
        <v>2.6</v>
      </c>
      <c r="C28" t="inlineStr">
        <is>
          <t>070</t>
        </is>
      </c>
      <c r="D28" t="n">
        <v>0.7</v>
      </c>
      <c r="E28">
        <f>MEDIAN(D8:D48)</f>
        <v/>
      </c>
      <c r="F28">
        <f>E8</f>
        <v/>
      </c>
      <c r="G28">
        <f>F28-E28</f>
        <v/>
      </c>
      <c r="H28">
        <f>IF(OR(NOT(ISNUMBER(D28)),ABS(D28-E28)&gt;$O$3,AND($O$11=1,B28&lt;$O$12)),1,0)</f>
        <v/>
      </c>
      <c r="I28">
        <f>IF(H28=1,NA(),D28)</f>
        <v/>
      </c>
      <c r="J28">
        <f>IF(AND(ISNUMBER(D28),D28&gt;=$O$4,OR($O$11=0,B28&gt;=$O$12)),1,0)</f>
        <v/>
      </c>
      <c r="K28">
        <f>B28-$O$14</f>
        <v/>
      </c>
    </row>
    <row r="29">
      <c r="A29" t="n">
        <v>81</v>
      </c>
      <c r="B29" t="n">
        <v>2.7</v>
      </c>
      <c r="C29" t="inlineStr">
        <is>
          <t>0??</t>
        </is>
      </c>
      <c r="E29">
        <f>MEDIAN(D9:D49)</f>
        <v/>
      </c>
      <c r="F29">
        <f>E9</f>
        <v/>
      </c>
      <c r="G29">
        <f>F29-E29</f>
        <v/>
      </c>
      <c r="H29">
        <f>IF(OR(NOT(ISNUMBER(D29)),ABS(D29-E29)&gt;$O$3,AND($O$11=1,B29&lt;$O$12)),1,0)</f>
        <v/>
      </c>
      <c r="I29">
        <f>IF(H29=1,NA(),D29)</f>
        <v/>
      </c>
      <c r="J29">
        <f>IF(AND(ISNUMBER(D29),D29&gt;=$O$4,OR($O$11=0,B29&gt;=$O$12)),1,0)</f>
        <v/>
      </c>
      <c r="K29">
        <f>B29-$O$14</f>
        <v/>
      </c>
    </row>
    <row r="30">
      <c r="A30" t="n">
        <v>84</v>
      </c>
      <c r="B30" t="n">
        <v>2.8</v>
      </c>
      <c r="C30" t="inlineStr">
        <is>
          <t>089</t>
        </is>
      </c>
      <c r="D30" t="n">
        <v>0.89</v>
      </c>
      <c r="E30">
        <f>MEDIAN(D10:D50)</f>
        <v/>
      </c>
      <c r="F30">
        <f>E10</f>
        <v/>
      </c>
      <c r="G30">
        <f>F30-E30</f>
        <v/>
      </c>
      <c r="H30">
        <f>IF(OR(NOT(ISNUMBER(D30)),ABS(D30-E30)&gt;$O$3,AND($O$11=1,B30&lt;$O$12)),1,0)</f>
        <v/>
      </c>
      <c r="I30">
        <f>IF(H30=1,NA(),D30)</f>
        <v/>
      </c>
      <c r="J30">
        <f>IF(AND(ISNUMBER(D30),D30&gt;=$O$4,OR($O$11=0,B30&gt;=$O$12)),1,0)</f>
        <v/>
      </c>
      <c r="K30">
        <f>B30-$O$14</f>
        <v/>
      </c>
    </row>
    <row r="31">
      <c r="A31" t="n">
        <v>87</v>
      </c>
      <c r="B31" t="n">
        <v>2.9</v>
      </c>
      <c r="C31" t="inlineStr">
        <is>
          <t>089</t>
        </is>
      </c>
      <c r="D31" t="n">
        <v>0.89</v>
      </c>
      <c r="E31">
        <f>MEDIAN(D11:D51)</f>
        <v/>
      </c>
      <c r="F31">
        <f>E11</f>
        <v/>
      </c>
      <c r="G31">
        <f>F31-E31</f>
        <v/>
      </c>
      <c r="H31">
        <f>IF(OR(NOT(ISNUMBER(D31)),ABS(D31-E31)&gt;$O$3,AND($O$11=1,B31&lt;$O$12)),1,0)</f>
        <v/>
      </c>
      <c r="I31">
        <f>IF(H31=1,NA(),D31)</f>
        <v/>
      </c>
      <c r="J31">
        <f>IF(AND(ISNUMBER(D31),D31&gt;=$O$4,OR($O$11=0,B31&gt;=$O$12)),1,0)</f>
        <v/>
      </c>
      <c r="K31">
        <f>B31-$O$14</f>
        <v/>
      </c>
    </row>
    <row r="32">
      <c r="A32" t="n">
        <v>90</v>
      </c>
      <c r="B32" t="n">
        <v>3</v>
      </c>
      <c r="C32" t="inlineStr">
        <is>
          <t>097</t>
        </is>
      </c>
      <c r="D32" t="n">
        <v>0.97</v>
      </c>
      <c r="E32">
        <f>MEDIAN(D12:D52)</f>
        <v/>
      </c>
      <c r="F32">
        <f>E12</f>
        <v/>
      </c>
      <c r="G32">
        <f>F32-E32</f>
        <v/>
      </c>
      <c r="H32">
        <f>IF(OR(NOT(ISNUMBER(D32)),ABS(D32-E32)&gt;$O$3,AND($O$11=1,B32&lt;$O$12)),1,0)</f>
        <v/>
      </c>
      <c r="I32">
        <f>IF(H32=1,NA(),D32)</f>
        <v/>
      </c>
      <c r="J32">
        <f>IF(AND(ISNUMBER(D32),D32&gt;=$O$4,OR($O$11=0,B32&gt;=$O$12)),1,0)</f>
        <v/>
      </c>
      <c r="K32">
        <f>B32-$O$14</f>
        <v/>
      </c>
    </row>
    <row r="33">
      <c r="A33" t="n">
        <v>93</v>
      </c>
      <c r="B33" t="n">
        <v>3.1</v>
      </c>
      <c r="C33" t="inlineStr">
        <is>
          <t>104</t>
        </is>
      </c>
      <c r="D33" t="n">
        <v>1.04</v>
      </c>
      <c r="E33">
        <f>MEDIAN(D13:D53)</f>
        <v/>
      </c>
      <c r="F33">
        <f>E13</f>
        <v/>
      </c>
      <c r="G33">
        <f>F33-E33</f>
        <v/>
      </c>
      <c r="H33">
        <f>IF(OR(NOT(ISNUMBER(D33)),ABS(D33-E33)&gt;$O$3,AND($O$11=1,B33&lt;$O$12)),1,0)</f>
        <v/>
      </c>
      <c r="I33">
        <f>IF(H33=1,NA(),D33)</f>
        <v/>
      </c>
      <c r="J33">
        <f>IF(AND(ISNUMBER(D33),D33&gt;=$O$4,OR($O$11=0,B33&gt;=$O$12)),1,0)</f>
        <v/>
      </c>
      <c r="K33">
        <f>B33-$O$14</f>
        <v/>
      </c>
    </row>
    <row r="34">
      <c r="A34" t="n">
        <v>96</v>
      </c>
      <c r="B34" t="n">
        <v>3.2</v>
      </c>
      <c r="C34" t="inlineStr">
        <is>
          <t>108</t>
        </is>
      </c>
      <c r="D34" t="n">
        <v>1.08</v>
      </c>
      <c r="E34">
        <f>MEDIAN(D14:D54)</f>
        <v/>
      </c>
      <c r="F34">
        <f>E14</f>
        <v/>
      </c>
      <c r="G34">
        <f>F34-E34</f>
        <v/>
      </c>
      <c r="H34">
        <f>IF(OR(NOT(ISNUMBER(D34)),ABS(D34-E34)&gt;$O$3,AND($O$11=1,B34&lt;$O$12)),1,0)</f>
        <v/>
      </c>
      <c r="I34">
        <f>IF(H34=1,NA(),D34)</f>
        <v/>
      </c>
      <c r="J34">
        <f>IF(AND(ISNUMBER(D34),D34&gt;=$O$4,OR($O$11=0,B34&gt;=$O$12)),1,0)</f>
        <v/>
      </c>
      <c r="K34">
        <f>B34-$O$14</f>
        <v/>
      </c>
    </row>
    <row r="35">
      <c r="A35" t="n">
        <v>99</v>
      </c>
      <c r="B35" t="n">
        <v>3.3</v>
      </c>
      <c r="C35" t="inlineStr">
        <is>
          <t>109</t>
        </is>
      </c>
      <c r="D35" t="n">
        <v>1.09</v>
      </c>
      <c r="E35">
        <f>MEDIAN(D15:D55)</f>
        <v/>
      </c>
      <c r="F35">
        <f>E15</f>
        <v/>
      </c>
      <c r="G35">
        <f>F35-E35</f>
        <v/>
      </c>
      <c r="H35">
        <f>IF(OR(NOT(ISNUMBER(D35)),ABS(D35-E35)&gt;$O$3,AND($O$11=1,B35&lt;$O$12)),1,0)</f>
        <v/>
      </c>
      <c r="I35">
        <f>IF(H35=1,NA(),D35)</f>
        <v/>
      </c>
      <c r="J35">
        <f>IF(AND(ISNUMBER(D35),D35&gt;=$O$4,OR($O$11=0,B35&gt;=$O$12)),1,0)</f>
        <v/>
      </c>
      <c r="K35">
        <f>B35-$O$14</f>
        <v/>
      </c>
    </row>
    <row r="36">
      <c r="A36" t="n">
        <v>102</v>
      </c>
      <c r="B36" t="n">
        <v>3.4</v>
      </c>
      <c r="C36" t="inlineStr">
        <is>
          <t>125</t>
        </is>
      </c>
      <c r="D36" t="n">
        <v>1.25</v>
      </c>
      <c r="E36">
        <f>MEDIAN(D16:D56)</f>
        <v/>
      </c>
      <c r="F36">
        <f>E16</f>
        <v/>
      </c>
      <c r="G36">
        <f>F36-E36</f>
        <v/>
      </c>
      <c r="H36">
        <f>IF(OR(NOT(ISNUMBER(D36)),ABS(D36-E36)&gt;$O$3,AND($O$11=1,B36&lt;$O$12)),1,0)</f>
        <v/>
      </c>
      <c r="I36">
        <f>IF(H36=1,NA(),D36)</f>
        <v/>
      </c>
      <c r="J36">
        <f>IF(AND(ISNUMBER(D36),D36&gt;=$O$4,OR($O$11=0,B36&gt;=$O$12)),1,0)</f>
        <v/>
      </c>
      <c r="K36">
        <f>B36-$O$14</f>
        <v/>
      </c>
    </row>
    <row r="37">
      <c r="A37" t="n">
        <v>105</v>
      </c>
      <c r="B37" t="n">
        <v>3.5</v>
      </c>
      <c r="C37" t="inlineStr">
        <is>
          <t>126</t>
        </is>
      </c>
      <c r="D37" t="n">
        <v>1.26</v>
      </c>
      <c r="E37">
        <f>MEDIAN(D17:D57)</f>
        <v/>
      </c>
      <c r="F37">
        <f>E17</f>
        <v/>
      </c>
      <c r="G37">
        <f>F37-E37</f>
        <v/>
      </c>
      <c r="H37">
        <f>IF(OR(NOT(ISNUMBER(D37)),ABS(D37-E37)&gt;$O$3,AND($O$11=1,B37&lt;$O$12)),1,0)</f>
        <v/>
      </c>
      <c r="I37">
        <f>IF(H37=1,NA(),D37)</f>
        <v/>
      </c>
      <c r="J37">
        <f>IF(AND(ISNUMBER(D37),D37&gt;=$O$4,OR($O$11=0,B37&gt;=$O$12)),1,0)</f>
        <v/>
      </c>
      <c r="K37">
        <f>B37-$O$14</f>
        <v/>
      </c>
    </row>
    <row r="38">
      <c r="A38" t="n">
        <v>108</v>
      </c>
      <c r="B38" t="n">
        <v>3.6</v>
      </c>
      <c r="C38" t="inlineStr">
        <is>
          <t>184</t>
        </is>
      </c>
      <c r="D38" t="n">
        <v>1.84</v>
      </c>
      <c r="E38">
        <f>MEDIAN(D18:D58)</f>
        <v/>
      </c>
      <c r="F38">
        <f>E18</f>
        <v/>
      </c>
      <c r="G38">
        <f>F38-E38</f>
        <v/>
      </c>
      <c r="H38">
        <f>IF(OR(NOT(ISNUMBER(D38)),ABS(D38-E38)&gt;$O$3,AND($O$11=1,B38&lt;$O$12)),1,0)</f>
        <v/>
      </c>
      <c r="I38">
        <f>IF(H38=1,NA(),D38)</f>
        <v/>
      </c>
      <c r="J38">
        <f>IF(AND(ISNUMBER(D38),D38&gt;=$O$4,OR($O$11=0,B38&gt;=$O$12)),1,0)</f>
        <v/>
      </c>
      <c r="K38">
        <f>B38-$O$14</f>
        <v/>
      </c>
    </row>
    <row r="39">
      <c r="A39" t="n">
        <v>111</v>
      </c>
      <c r="B39" t="n">
        <v>3.7</v>
      </c>
      <c r="C39" t="inlineStr">
        <is>
          <t>144</t>
        </is>
      </c>
      <c r="D39" t="n">
        <v>1.44</v>
      </c>
      <c r="E39">
        <f>MEDIAN(D19:D59)</f>
        <v/>
      </c>
      <c r="F39">
        <f>E19</f>
        <v/>
      </c>
      <c r="G39">
        <f>F39-E39</f>
        <v/>
      </c>
      <c r="H39">
        <f>IF(OR(NOT(ISNUMBER(D39)),ABS(D39-E39)&gt;$O$3,AND($O$11=1,B39&lt;$O$12)),1,0)</f>
        <v/>
      </c>
      <c r="I39">
        <f>IF(H39=1,NA(),D39)</f>
        <v/>
      </c>
      <c r="J39">
        <f>IF(AND(ISNUMBER(D39),D39&gt;=$O$4,OR($O$11=0,B39&gt;=$O$12)),1,0)</f>
        <v/>
      </c>
      <c r="K39">
        <f>B39-$O$14</f>
        <v/>
      </c>
    </row>
    <row r="40">
      <c r="A40" t="n">
        <v>114</v>
      </c>
      <c r="B40" t="n">
        <v>3.8</v>
      </c>
      <c r="C40" t="inlineStr">
        <is>
          <t>144</t>
        </is>
      </c>
      <c r="D40" t="n">
        <v>1.44</v>
      </c>
      <c r="E40">
        <f>MEDIAN(D20:D60)</f>
        <v/>
      </c>
      <c r="F40">
        <f>E20</f>
        <v/>
      </c>
      <c r="G40">
        <f>F40-E40</f>
        <v/>
      </c>
      <c r="H40">
        <f>IF(OR(NOT(ISNUMBER(D40)),ABS(D40-E40)&gt;$O$3,AND($O$11=1,B40&lt;$O$12)),1,0)</f>
        <v/>
      </c>
      <c r="I40">
        <f>IF(H40=1,NA(),D40)</f>
        <v/>
      </c>
      <c r="J40">
        <f>IF(AND(ISNUMBER(D40),D40&gt;=$O$4,OR($O$11=0,B40&gt;=$O$12)),1,0)</f>
        <v/>
      </c>
      <c r="K40">
        <f>B40-$O$14</f>
        <v/>
      </c>
    </row>
    <row r="41">
      <c r="A41" t="n">
        <v>117</v>
      </c>
      <c r="B41" t="n">
        <v>3.9</v>
      </c>
      <c r="C41" t="inlineStr">
        <is>
          <t>149</t>
        </is>
      </c>
      <c r="D41" t="n">
        <v>1.49</v>
      </c>
      <c r="E41">
        <f>MEDIAN(D21:D61)</f>
        <v/>
      </c>
      <c r="F41">
        <f>E21</f>
        <v/>
      </c>
      <c r="G41">
        <f>F41-E41</f>
        <v/>
      </c>
      <c r="H41">
        <f>IF(OR(NOT(ISNUMBER(D41)),ABS(D41-E41)&gt;$O$3,AND($O$11=1,B41&lt;$O$12)),1,0)</f>
        <v/>
      </c>
      <c r="I41">
        <f>IF(H41=1,NA(),D41)</f>
        <v/>
      </c>
      <c r="J41">
        <f>IF(AND(ISNUMBER(D41),D41&gt;=$O$4,OR($O$11=0,B41&gt;=$O$12)),1,0)</f>
        <v/>
      </c>
      <c r="K41">
        <f>B41-$O$14</f>
        <v/>
      </c>
    </row>
    <row r="42">
      <c r="A42" t="n">
        <v>120</v>
      </c>
      <c r="B42" t="n">
        <v>4</v>
      </c>
      <c r="C42" t="inlineStr">
        <is>
          <t>162</t>
        </is>
      </c>
      <c r="D42" t="n">
        <v>1.62</v>
      </c>
      <c r="E42">
        <f>MEDIAN(D22:D62)</f>
        <v/>
      </c>
      <c r="F42">
        <f>E22</f>
        <v/>
      </c>
      <c r="G42">
        <f>F42-E42</f>
        <v/>
      </c>
      <c r="H42">
        <f>IF(OR(NOT(ISNUMBER(D42)),ABS(D42-E42)&gt;$O$3,AND($O$11=1,B42&lt;$O$12)),1,0)</f>
        <v/>
      </c>
      <c r="I42">
        <f>IF(H42=1,NA(),D42)</f>
        <v/>
      </c>
      <c r="J42">
        <f>IF(AND(ISNUMBER(D42),D42&gt;=$O$4,OR($O$11=0,B42&gt;=$O$12)),1,0)</f>
        <v/>
      </c>
      <c r="K42">
        <f>B42-$O$14</f>
        <v/>
      </c>
    </row>
    <row r="43">
      <c r="A43" t="n">
        <v>123</v>
      </c>
      <c r="B43" t="n">
        <v>4.1</v>
      </c>
      <c r="C43" t="inlineStr">
        <is>
          <t>162</t>
        </is>
      </c>
      <c r="D43" t="n">
        <v>1.62</v>
      </c>
      <c r="E43">
        <f>MEDIAN(D23:D63)</f>
        <v/>
      </c>
      <c r="F43">
        <f>E23</f>
        <v/>
      </c>
      <c r="G43">
        <f>F43-E43</f>
        <v/>
      </c>
      <c r="H43">
        <f>IF(OR(NOT(ISNUMBER(D43)),ABS(D43-E43)&gt;$O$3,AND($O$11=1,B43&lt;$O$12)),1,0)</f>
        <v/>
      </c>
      <c r="I43">
        <f>IF(H43=1,NA(),D43)</f>
        <v/>
      </c>
      <c r="J43">
        <f>IF(AND(ISNUMBER(D43),D43&gt;=$O$4,OR($O$11=0,B43&gt;=$O$12)),1,0)</f>
        <v/>
      </c>
      <c r="K43">
        <f>B43-$O$14</f>
        <v/>
      </c>
    </row>
    <row r="44">
      <c r="A44" t="n">
        <v>126</v>
      </c>
      <c r="B44" t="n">
        <v>4.2</v>
      </c>
      <c r="C44" t="inlineStr">
        <is>
          <t>182</t>
        </is>
      </c>
      <c r="D44" t="n">
        <v>1.82</v>
      </c>
      <c r="E44">
        <f>MEDIAN(D24:D64)</f>
        <v/>
      </c>
      <c r="F44">
        <f>E24</f>
        <v/>
      </c>
      <c r="G44">
        <f>F44-E44</f>
        <v/>
      </c>
      <c r="H44">
        <f>IF(OR(NOT(ISNUMBER(D44)),ABS(D44-E44)&gt;$O$3,AND($O$11=1,B44&lt;$O$12)),1,0)</f>
        <v/>
      </c>
      <c r="I44">
        <f>IF(H44=1,NA(),D44)</f>
        <v/>
      </c>
      <c r="J44">
        <f>IF(AND(ISNUMBER(D44),D44&gt;=$O$4,OR($O$11=0,B44&gt;=$O$12)),1,0)</f>
        <v/>
      </c>
      <c r="K44">
        <f>B44-$O$14</f>
        <v/>
      </c>
    </row>
    <row r="45">
      <c r="A45" t="n">
        <v>129</v>
      </c>
      <c r="B45" t="n">
        <v>4.3</v>
      </c>
      <c r="C45" t="inlineStr">
        <is>
          <t>178</t>
        </is>
      </c>
      <c r="D45" t="n">
        <v>1.78</v>
      </c>
      <c r="E45">
        <f>MEDIAN(D25:D65)</f>
        <v/>
      </c>
      <c r="F45">
        <f>E25</f>
        <v/>
      </c>
      <c r="G45">
        <f>F45-E45</f>
        <v/>
      </c>
      <c r="H45">
        <f>IF(OR(NOT(ISNUMBER(D45)),ABS(D45-E45)&gt;$O$3,AND($O$11=1,B45&lt;$O$12)),1,0)</f>
        <v/>
      </c>
      <c r="I45">
        <f>IF(H45=1,NA(),D45)</f>
        <v/>
      </c>
      <c r="J45">
        <f>IF(AND(ISNUMBER(D45),D45&gt;=$O$4,OR($O$11=0,B45&gt;=$O$12)),1,0)</f>
        <v/>
      </c>
      <c r="K45">
        <f>B45-$O$14</f>
        <v/>
      </c>
    </row>
    <row r="46">
      <c r="A46" t="n">
        <v>132</v>
      </c>
      <c r="B46" t="n">
        <v>4.4</v>
      </c>
      <c r="C46" t="inlineStr">
        <is>
          <t>188</t>
        </is>
      </c>
      <c r="D46" t="n">
        <v>1.88</v>
      </c>
      <c r="E46">
        <f>MEDIAN(D26:D66)</f>
        <v/>
      </c>
      <c r="F46">
        <f>E26</f>
        <v/>
      </c>
      <c r="G46">
        <f>F46-E46</f>
        <v/>
      </c>
      <c r="H46">
        <f>IF(OR(NOT(ISNUMBER(D46)),ABS(D46-E46)&gt;$O$3,AND($O$11=1,B46&lt;$O$12)),1,0)</f>
        <v/>
      </c>
      <c r="I46">
        <f>IF(H46=1,NA(),D46)</f>
        <v/>
      </c>
      <c r="J46">
        <f>IF(AND(ISNUMBER(D46),D46&gt;=$O$4,OR($O$11=0,B46&gt;=$O$12)),1,0)</f>
        <v/>
      </c>
      <c r="K46">
        <f>B46-$O$14</f>
        <v/>
      </c>
    </row>
    <row r="47">
      <c r="A47" t="n">
        <v>135</v>
      </c>
      <c r="B47" t="n">
        <v>4.5</v>
      </c>
      <c r="C47" t="inlineStr">
        <is>
          <t>188</t>
        </is>
      </c>
      <c r="D47" t="n">
        <v>1.88</v>
      </c>
      <c r="E47">
        <f>MEDIAN(D27:D67)</f>
        <v/>
      </c>
      <c r="F47">
        <f>E27</f>
        <v/>
      </c>
      <c r="G47">
        <f>F47-E47</f>
        <v/>
      </c>
      <c r="H47">
        <f>IF(OR(NOT(ISNUMBER(D47)),ABS(D47-E47)&gt;$O$3,AND($O$11=1,B47&lt;$O$12)),1,0)</f>
        <v/>
      </c>
      <c r="I47">
        <f>IF(H47=1,NA(),D47)</f>
        <v/>
      </c>
      <c r="J47">
        <f>IF(AND(ISNUMBER(D47),D47&gt;=$O$4,OR($O$11=0,B47&gt;=$O$12)),1,0)</f>
        <v/>
      </c>
      <c r="K47">
        <f>B47-$O$14</f>
        <v/>
      </c>
    </row>
    <row r="48">
      <c r="A48" t="n">
        <v>138</v>
      </c>
      <c r="B48" t="n">
        <v>4.6</v>
      </c>
      <c r="C48" t="inlineStr">
        <is>
          <t>195</t>
        </is>
      </c>
      <c r="D48" t="n">
        <v>1.95</v>
      </c>
      <c r="E48">
        <f>MEDIAN(D28:D68)</f>
        <v/>
      </c>
      <c r="F48">
        <f>E28</f>
        <v/>
      </c>
      <c r="G48">
        <f>F48-E48</f>
        <v/>
      </c>
      <c r="H48">
        <f>IF(OR(NOT(ISNUMBER(D48)),ABS(D48-E48)&gt;$O$3,AND($O$11=1,B48&lt;$O$12)),1,0)</f>
        <v/>
      </c>
      <c r="I48">
        <f>IF(H48=1,NA(),D48)</f>
        <v/>
      </c>
      <c r="J48">
        <f>IF(AND(ISNUMBER(D48),D48&gt;=$O$4,OR($O$11=0,B48&gt;=$O$12)),1,0)</f>
        <v/>
      </c>
      <c r="K48">
        <f>B48-$O$14</f>
        <v/>
      </c>
    </row>
    <row r="49">
      <c r="A49" t="n">
        <v>141</v>
      </c>
      <c r="B49" t="n">
        <v>4.7</v>
      </c>
      <c r="C49" t="inlineStr">
        <is>
          <t>196</t>
        </is>
      </c>
      <c r="D49" t="n">
        <v>1.96</v>
      </c>
      <c r="E49">
        <f>MEDIAN(D29:D69)</f>
        <v/>
      </c>
      <c r="F49">
        <f>E29</f>
        <v/>
      </c>
      <c r="G49">
        <f>F49-E49</f>
        <v/>
      </c>
      <c r="H49">
        <f>IF(OR(NOT(ISNUMBER(D49)),ABS(D49-E49)&gt;$O$3,AND($O$11=1,B49&lt;$O$12)),1,0)</f>
        <v/>
      </c>
      <c r="I49">
        <f>IF(H49=1,NA(),D49)</f>
        <v/>
      </c>
      <c r="J49">
        <f>IF(AND(ISNUMBER(D49),D49&gt;=$O$4,OR($O$11=0,B49&gt;=$O$12)),1,0)</f>
        <v/>
      </c>
      <c r="K49">
        <f>B49-$O$14</f>
        <v/>
      </c>
    </row>
    <row r="50">
      <c r="A50" t="n">
        <v>144</v>
      </c>
      <c r="B50" t="n">
        <v>4.8</v>
      </c>
      <c r="C50" t="inlineStr">
        <is>
          <t>298</t>
        </is>
      </c>
      <c r="D50" t="n">
        <v>2.98</v>
      </c>
      <c r="E50">
        <f>MEDIAN(D30:D70)</f>
        <v/>
      </c>
      <c r="F50">
        <f>E30</f>
        <v/>
      </c>
      <c r="G50">
        <f>F50-E50</f>
        <v/>
      </c>
      <c r="H50">
        <f>IF(OR(NOT(ISNUMBER(D50)),ABS(D50-E50)&gt;$O$3,AND($O$11=1,B50&lt;$O$12)),1,0)</f>
        <v/>
      </c>
      <c r="I50">
        <f>IF(H50=1,NA(),D50)</f>
        <v/>
      </c>
      <c r="J50">
        <f>IF(AND(ISNUMBER(D50),D50&gt;=$O$4,OR($O$11=0,B50&gt;=$O$12)),1,0)</f>
        <v/>
      </c>
      <c r="K50">
        <f>B50-$O$14</f>
        <v/>
      </c>
    </row>
    <row r="51">
      <c r="A51" t="n">
        <v>147</v>
      </c>
      <c r="B51" t="n">
        <v>4.9</v>
      </c>
      <c r="C51" t="inlineStr">
        <is>
          <t>212</t>
        </is>
      </c>
      <c r="D51" t="n">
        <v>2.12</v>
      </c>
      <c r="E51">
        <f>MEDIAN(D31:D71)</f>
        <v/>
      </c>
      <c r="F51">
        <f>E31</f>
        <v/>
      </c>
      <c r="G51">
        <f>F51-E51</f>
        <v/>
      </c>
      <c r="H51">
        <f>IF(OR(NOT(ISNUMBER(D51)),ABS(D51-E51)&gt;$O$3,AND($O$11=1,B51&lt;$O$12)),1,0)</f>
        <v/>
      </c>
      <c r="I51">
        <f>IF(H51=1,NA(),D51)</f>
        <v/>
      </c>
      <c r="J51">
        <f>IF(AND(ISNUMBER(D51),D51&gt;=$O$4,OR($O$11=0,B51&gt;=$O$12)),1,0)</f>
        <v/>
      </c>
      <c r="K51">
        <f>B51-$O$14</f>
        <v/>
      </c>
    </row>
    <row r="52">
      <c r="A52" t="n">
        <v>150</v>
      </c>
      <c r="B52" t="n">
        <v>5</v>
      </c>
      <c r="C52" t="inlineStr">
        <is>
          <t>212</t>
        </is>
      </c>
      <c r="D52" t="n">
        <v>2.12</v>
      </c>
      <c r="E52">
        <f>MEDIAN(D32:D72)</f>
        <v/>
      </c>
      <c r="F52">
        <f>E32</f>
        <v/>
      </c>
      <c r="G52">
        <f>F52-E52</f>
        <v/>
      </c>
      <c r="H52">
        <f>IF(OR(NOT(ISNUMBER(D52)),ABS(D52-E52)&gt;$O$3,AND($O$11=1,B52&lt;$O$12)),1,0)</f>
        <v/>
      </c>
      <c r="I52">
        <f>IF(H52=1,NA(),D52)</f>
        <v/>
      </c>
      <c r="J52">
        <f>IF(AND(ISNUMBER(D52),D52&gt;=$O$4,OR($O$11=0,B52&gt;=$O$12)),1,0)</f>
        <v/>
      </c>
      <c r="K52">
        <f>B52-$O$14</f>
        <v/>
      </c>
    </row>
    <row r="53">
      <c r="A53" t="n">
        <v>153</v>
      </c>
      <c r="B53" t="n">
        <v>5.1</v>
      </c>
      <c r="C53" t="inlineStr">
        <is>
          <t>228</t>
        </is>
      </c>
      <c r="D53" t="n">
        <v>2.28</v>
      </c>
      <c r="E53">
        <f>MEDIAN(D33:D73)</f>
        <v/>
      </c>
      <c r="F53">
        <f>E33</f>
        <v/>
      </c>
      <c r="G53">
        <f>F53-E53</f>
        <v/>
      </c>
      <c r="H53">
        <f>IF(OR(NOT(ISNUMBER(D53)),ABS(D53-E53)&gt;$O$3,AND($O$11=1,B53&lt;$O$12)),1,0)</f>
        <v/>
      </c>
      <c r="I53">
        <f>IF(H53=1,NA(),D53)</f>
        <v/>
      </c>
      <c r="J53">
        <f>IF(AND(ISNUMBER(D53),D53&gt;=$O$4,OR($O$11=0,B53&gt;=$O$12)),1,0)</f>
        <v/>
      </c>
      <c r="K53">
        <f>B53-$O$14</f>
        <v/>
      </c>
    </row>
    <row r="54">
      <c r="A54" t="n">
        <v>156</v>
      </c>
      <c r="B54" t="n">
        <v>5.2</v>
      </c>
      <c r="C54" t="inlineStr">
        <is>
          <t>228</t>
        </is>
      </c>
      <c r="D54" t="n">
        <v>2.28</v>
      </c>
      <c r="E54">
        <f>MEDIAN(D34:D74)</f>
        <v/>
      </c>
      <c r="F54">
        <f>E34</f>
        <v/>
      </c>
      <c r="G54">
        <f>F54-E54</f>
        <v/>
      </c>
      <c r="H54">
        <f>IF(OR(NOT(ISNUMBER(D54)),ABS(D54-E54)&gt;$O$3,AND($O$11=1,B54&lt;$O$12)),1,0)</f>
        <v/>
      </c>
      <c r="I54">
        <f>IF(H54=1,NA(),D54)</f>
        <v/>
      </c>
      <c r="J54">
        <f>IF(AND(ISNUMBER(D54),D54&gt;=$O$4,OR($O$11=0,B54&gt;=$O$12)),1,0)</f>
        <v/>
      </c>
      <c r="K54">
        <f>B54-$O$14</f>
        <v/>
      </c>
    </row>
    <row r="55">
      <c r="A55" t="n">
        <v>159</v>
      </c>
      <c r="B55" t="n">
        <v>5.3</v>
      </c>
      <c r="C55" t="inlineStr">
        <is>
          <t>228</t>
        </is>
      </c>
      <c r="D55" t="n">
        <v>2.28</v>
      </c>
      <c r="E55">
        <f>MEDIAN(D35:D75)</f>
        <v/>
      </c>
      <c r="F55">
        <f>E35</f>
        <v/>
      </c>
      <c r="G55">
        <f>F55-E55</f>
        <v/>
      </c>
      <c r="H55">
        <f>IF(OR(NOT(ISNUMBER(D55)),ABS(D55-E55)&gt;$O$3,AND($O$11=1,B55&lt;$O$12)),1,0)</f>
        <v/>
      </c>
      <c r="I55">
        <f>IF(H55=1,NA(),D55)</f>
        <v/>
      </c>
      <c r="J55">
        <f>IF(AND(ISNUMBER(D55),D55&gt;=$O$4,OR($O$11=0,B55&gt;=$O$12)),1,0)</f>
        <v/>
      </c>
      <c r="K55">
        <f>B55-$O$14</f>
        <v/>
      </c>
    </row>
    <row r="56">
      <c r="A56" t="n">
        <v>162</v>
      </c>
      <c r="B56" t="n">
        <v>5.4</v>
      </c>
      <c r="C56" t="inlineStr">
        <is>
          <t>229</t>
        </is>
      </c>
      <c r="D56" t="n">
        <v>2.29</v>
      </c>
      <c r="E56">
        <f>MEDIAN(D36:D76)</f>
        <v/>
      </c>
      <c r="F56">
        <f>E36</f>
        <v/>
      </c>
      <c r="G56">
        <f>F56-E56</f>
        <v/>
      </c>
      <c r="H56">
        <f>IF(OR(NOT(ISNUMBER(D56)),ABS(D56-E56)&gt;$O$3,AND($O$11=1,B56&lt;$O$12)),1,0)</f>
        <v/>
      </c>
      <c r="I56">
        <f>IF(H56=1,NA(),D56)</f>
        <v/>
      </c>
      <c r="J56">
        <f>IF(AND(ISNUMBER(D56),D56&gt;=$O$4,OR($O$11=0,B56&gt;=$O$12)),1,0)</f>
        <v/>
      </c>
      <c r="K56">
        <f>B56-$O$14</f>
        <v/>
      </c>
    </row>
    <row r="57">
      <c r="A57" t="n">
        <v>165</v>
      </c>
      <c r="B57" t="n">
        <v>5.5</v>
      </c>
      <c r="C57" t="inlineStr">
        <is>
          <t>298</t>
        </is>
      </c>
      <c r="D57" t="n">
        <v>2.98</v>
      </c>
      <c r="E57">
        <f>MEDIAN(D37:D77)</f>
        <v/>
      </c>
      <c r="F57">
        <f>E37</f>
        <v/>
      </c>
      <c r="G57">
        <f>F57-E57</f>
        <v/>
      </c>
      <c r="H57">
        <f>IF(OR(NOT(ISNUMBER(D57)),ABS(D57-E57)&gt;$O$3,AND($O$11=1,B57&lt;$O$12)),1,0)</f>
        <v/>
      </c>
      <c r="I57">
        <f>IF(H57=1,NA(),D57)</f>
        <v/>
      </c>
      <c r="J57">
        <f>IF(AND(ISNUMBER(D57),D57&gt;=$O$4,OR($O$11=0,B57&gt;=$O$12)),1,0)</f>
        <v/>
      </c>
      <c r="K57">
        <f>B57-$O$14</f>
        <v/>
      </c>
    </row>
    <row r="58">
      <c r="A58" t="n">
        <v>168</v>
      </c>
      <c r="B58" t="n">
        <v>5.6</v>
      </c>
      <c r="C58" t="inlineStr">
        <is>
          <t>248</t>
        </is>
      </c>
      <c r="D58" t="n">
        <v>2.48</v>
      </c>
      <c r="E58">
        <f>MEDIAN(D38:D78)</f>
        <v/>
      </c>
      <c r="F58">
        <f>E38</f>
        <v/>
      </c>
      <c r="G58">
        <f>F58-E58</f>
        <v/>
      </c>
      <c r="H58">
        <f>IF(OR(NOT(ISNUMBER(D58)),ABS(D58-E58)&gt;$O$3,AND($O$11=1,B58&lt;$O$12)),1,0)</f>
        <v/>
      </c>
      <c r="I58">
        <f>IF(H58=1,NA(),D58)</f>
        <v/>
      </c>
      <c r="J58">
        <f>IF(AND(ISNUMBER(D58),D58&gt;=$O$4,OR($O$11=0,B58&gt;=$O$12)),1,0)</f>
        <v/>
      </c>
      <c r="K58">
        <f>B58-$O$14</f>
        <v/>
      </c>
    </row>
    <row r="59">
      <c r="A59" t="n">
        <v>171</v>
      </c>
      <c r="B59" t="n">
        <v>5.7</v>
      </c>
      <c r="C59" t="inlineStr">
        <is>
          <t>298</t>
        </is>
      </c>
      <c r="D59" t="n">
        <v>2.98</v>
      </c>
      <c r="E59">
        <f>MEDIAN(D39:D79)</f>
        <v/>
      </c>
      <c r="F59">
        <f>E39</f>
        <v/>
      </c>
      <c r="G59">
        <f>F59-E59</f>
        <v/>
      </c>
      <c r="H59">
        <f>IF(OR(NOT(ISNUMBER(D59)),ABS(D59-E59)&gt;$O$3,AND($O$11=1,B59&lt;$O$12)),1,0)</f>
        <v/>
      </c>
      <c r="I59">
        <f>IF(H59=1,NA(),D59)</f>
        <v/>
      </c>
      <c r="J59">
        <f>IF(AND(ISNUMBER(D59),D59&gt;=$O$4,OR($O$11=0,B59&gt;=$O$12)),1,0)</f>
        <v/>
      </c>
      <c r="K59">
        <f>B59-$O$14</f>
        <v/>
      </c>
    </row>
    <row r="60">
      <c r="A60" t="n">
        <v>174</v>
      </c>
      <c r="B60" t="n">
        <v>5.8</v>
      </c>
      <c r="C60" t="inlineStr">
        <is>
          <t>250</t>
        </is>
      </c>
      <c r="D60" t="n">
        <v>2.5</v>
      </c>
      <c r="E60">
        <f>MEDIAN(D40:D80)</f>
        <v/>
      </c>
      <c r="F60">
        <f>E40</f>
        <v/>
      </c>
      <c r="G60">
        <f>F60-E60</f>
        <v/>
      </c>
      <c r="H60">
        <f>IF(OR(NOT(ISNUMBER(D60)),ABS(D60-E60)&gt;$O$3,AND($O$11=1,B60&lt;$O$12)),1,0)</f>
        <v/>
      </c>
      <c r="I60">
        <f>IF(H60=1,NA(),D60)</f>
        <v/>
      </c>
      <c r="J60">
        <f>IF(AND(ISNUMBER(D60),D60&gt;=$O$4,OR($O$11=0,B60&gt;=$O$12)),1,0)</f>
        <v/>
      </c>
      <c r="K60">
        <f>B60-$O$14</f>
        <v/>
      </c>
    </row>
    <row r="61">
      <c r="A61" t="n">
        <v>177</v>
      </c>
      <c r="B61" t="n">
        <v>5.9</v>
      </c>
      <c r="C61" t="inlineStr">
        <is>
          <t>268</t>
        </is>
      </c>
      <c r="D61" t="n">
        <v>2.68</v>
      </c>
      <c r="E61">
        <f>MEDIAN(D41:D81)</f>
        <v/>
      </c>
      <c r="F61">
        <f>E41</f>
        <v/>
      </c>
      <c r="G61">
        <f>F61-E61</f>
        <v/>
      </c>
      <c r="H61">
        <f>IF(OR(NOT(ISNUMBER(D61)),ABS(D61-E61)&gt;$O$3,AND($O$11=1,B61&lt;$O$12)),1,0)</f>
        <v/>
      </c>
      <c r="I61">
        <f>IF(H61=1,NA(),D61)</f>
        <v/>
      </c>
      <c r="J61">
        <f>IF(AND(ISNUMBER(D61),D61&gt;=$O$4,OR($O$11=0,B61&gt;=$O$12)),1,0)</f>
        <v/>
      </c>
      <c r="K61">
        <f>B61-$O$14</f>
        <v/>
      </c>
    </row>
    <row r="62">
      <c r="A62" t="n">
        <v>180</v>
      </c>
      <c r="B62" t="n">
        <v>6</v>
      </c>
      <c r="C62" t="inlineStr">
        <is>
          <t>268</t>
        </is>
      </c>
      <c r="D62" t="n">
        <v>2.68</v>
      </c>
      <c r="E62">
        <f>MEDIAN(D42:D82)</f>
        <v/>
      </c>
      <c r="F62">
        <f>E42</f>
        <v/>
      </c>
      <c r="G62">
        <f>F62-E62</f>
        <v/>
      </c>
      <c r="H62">
        <f>IF(OR(NOT(ISNUMBER(D62)),ABS(D62-E62)&gt;$O$3,AND($O$11=1,B62&lt;$O$12)),1,0)</f>
        <v/>
      </c>
      <c r="I62">
        <f>IF(H62=1,NA(),D62)</f>
        <v/>
      </c>
      <c r="J62">
        <f>IF(AND(ISNUMBER(D62),D62&gt;=$O$4,OR($O$11=0,B62&gt;=$O$12)),1,0)</f>
        <v/>
      </c>
      <c r="K62">
        <f>B62-$O$14</f>
        <v/>
      </c>
    </row>
    <row r="63">
      <c r="A63" t="n">
        <v>183</v>
      </c>
      <c r="B63" t="n">
        <v>6.1</v>
      </c>
      <c r="C63" t="inlineStr">
        <is>
          <t>268</t>
        </is>
      </c>
      <c r="D63" t="n">
        <v>2.68</v>
      </c>
      <c r="E63">
        <f>MEDIAN(D43:D83)</f>
        <v/>
      </c>
      <c r="F63">
        <f>E43</f>
        <v/>
      </c>
      <c r="G63">
        <f>F63-E63</f>
        <v/>
      </c>
      <c r="H63">
        <f>IF(OR(NOT(ISNUMBER(D63)),ABS(D63-E63)&gt;$O$3,AND($O$11=1,B63&lt;$O$12)),1,0)</f>
        <v/>
      </c>
      <c r="I63">
        <f>IF(H63=1,NA(),D63)</f>
        <v/>
      </c>
      <c r="J63">
        <f>IF(AND(ISNUMBER(D63),D63&gt;=$O$4,OR($O$11=0,B63&gt;=$O$12)),1,0)</f>
        <v/>
      </c>
      <c r="K63">
        <f>B63-$O$14</f>
        <v/>
      </c>
    </row>
    <row r="64">
      <c r="A64" t="n">
        <v>186</v>
      </c>
      <c r="B64" t="n">
        <v>6.2</v>
      </c>
      <c r="C64" t="inlineStr">
        <is>
          <t>289</t>
        </is>
      </c>
      <c r="D64" t="n">
        <v>2.89</v>
      </c>
      <c r="E64">
        <f>MEDIAN(D44:D84)</f>
        <v/>
      </c>
      <c r="F64">
        <f>E44</f>
        <v/>
      </c>
      <c r="G64">
        <f>F64-E64</f>
        <v/>
      </c>
      <c r="H64">
        <f>IF(OR(NOT(ISNUMBER(D64)),ABS(D64-E64)&gt;$O$3,AND($O$11=1,B64&lt;$O$12)),1,0)</f>
        <v/>
      </c>
      <c r="I64">
        <f>IF(H64=1,NA(),D64)</f>
        <v/>
      </c>
      <c r="J64">
        <f>IF(AND(ISNUMBER(D64),D64&gt;=$O$4,OR($O$11=0,B64&gt;=$O$12)),1,0)</f>
        <v/>
      </c>
      <c r="K64">
        <f>B64-$O$14</f>
        <v/>
      </c>
    </row>
    <row r="65">
      <c r="A65" t="n">
        <v>189</v>
      </c>
      <c r="B65" t="n">
        <v>6.3</v>
      </c>
      <c r="C65" t="inlineStr">
        <is>
          <t>287</t>
        </is>
      </c>
      <c r="D65" t="n">
        <v>2.87</v>
      </c>
      <c r="E65">
        <f>MEDIAN(D45:D85)</f>
        <v/>
      </c>
      <c r="F65">
        <f>E45</f>
        <v/>
      </c>
      <c r="G65">
        <f>F65-E65</f>
        <v/>
      </c>
      <c r="H65">
        <f>IF(OR(NOT(ISNUMBER(D65)),ABS(D65-E65)&gt;$O$3,AND($O$11=1,B65&lt;$O$12)),1,0)</f>
        <v/>
      </c>
      <c r="I65">
        <f>IF(H65=1,NA(),D65)</f>
        <v/>
      </c>
      <c r="J65">
        <f>IF(AND(ISNUMBER(D65),D65&gt;=$O$4,OR($O$11=0,B65&gt;=$O$12)),1,0)</f>
        <v/>
      </c>
      <c r="K65">
        <f>B65-$O$14</f>
        <v/>
      </c>
    </row>
    <row r="66">
      <c r="A66" t="n">
        <v>192</v>
      </c>
      <c r="B66" t="n">
        <v>6.4</v>
      </c>
      <c r="C66" t="inlineStr">
        <is>
          <t>287</t>
        </is>
      </c>
      <c r="D66" t="n">
        <v>2.87</v>
      </c>
      <c r="E66">
        <f>MEDIAN(D46:D86)</f>
        <v/>
      </c>
      <c r="F66">
        <f>E46</f>
        <v/>
      </c>
      <c r="G66">
        <f>F66-E66</f>
        <v/>
      </c>
      <c r="H66">
        <f>IF(OR(NOT(ISNUMBER(D66)),ABS(D66-E66)&gt;$O$3,AND($O$11=1,B66&lt;$O$12)),1,0)</f>
        <v/>
      </c>
      <c r="I66">
        <f>IF(H66=1,NA(),D66)</f>
        <v/>
      </c>
      <c r="J66">
        <f>IF(AND(ISNUMBER(D66),D66&gt;=$O$4,OR($O$11=0,B66&gt;=$O$12)),1,0)</f>
        <v/>
      </c>
      <c r="K66">
        <f>B66-$O$14</f>
        <v/>
      </c>
    </row>
    <row r="67">
      <c r="A67" t="n">
        <v>195</v>
      </c>
      <c r="B67" t="n">
        <v>6.5</v>
      </c>
      <c r="C67" t="inlineStr">
        <is>
          <t>288</t>
        </is>
      </c>
      <c r="D67" t="n">
        <v>2.88</v>
      </c>
      <c r="E67">
        <f>MEDIAN(D47:D87)</f>
        <v/>
      </c>
      <c r="F67">
        <f>E47</f>
        <v/>
      </c>
      <c r="G67">
        <f>F67-E67</f>
        <v/>
      </c>
      <c r="H67">
        <f>IF(OR(NOT(ISNUMBER(D67)),ABS(D67-E67)&gt;$O$3,AND($O$11=1,B67&lt;$O$12)),1,0)</f>
        <v/>
      </c>
      <c r="I67">
        <f>IF(H67=1,NA(),D67)</f>
        <v/>
      </c>
      <c r="J67">
        <f>IF(AND(ISNUMBER(D67),D67&gt;=$O$4,OR($O$11=0,B67&gt;=$O$12)),1,0)</f>
        <v/>
      </c>
      <c r="K67">
        <f>B67-$O$14</f>
        <v/>
      </c>
    </row>
    <row r="68">
      <c r="A68" t="n">
        <v>198</v>
      </c>
      <c r="B68" t="n">
        <v>6.6</v>
      </c>
      <c r="C68" t="inlineStr">
        <is>
          <t>288</t>
        </is>
      </c>
      <c r="D68" t="n">
        <v>2.88</v>
      </c>
      <c r="E68">
        <f>MEDIAN(D48:D88)</f>
        <v/>
      </c>
      <c r="F68">
        <f>E48</f>
        <v/>
      </c>
      <c r="G68">
        <f>F68-E68</f>
        <v/>
      </c>
      <c r="H68">
        <f>IF(OR(NOT(ISNUMBER(D68)),ABS(D68-E68)&gt;$O$3,AND($O$11=1,B68&lt;$O$12)),1,0)</f>
        <v/>
      </c>
      <c r="I68">
        <f>IF(H68=1,NA(),D68)</f>
        <v/>
      </c>
      <c r="J68">
        <f>IF(AND(ISNUMBER(D68),D68&gt;=$O$4,OR($O$11=0,B68&gt;=$O$12)),1,0)</f>
        <v/>
      </c>
      <c r="K68">
        <f>B68-$O$14</f>
        <v/>
      </c>
    </row>
    <row r="69">
      <c r="A69" t="n">
        <v>201</v>
      </c>
      <c r="B69" t="n">
        <v>6.7</v>
      </c>
      <c r="C69" t="inlineStr">
        <is>
          <t>289</t>
        </is>
      </c>
      <c r="D69" t="n">
        <v>2.89</v>
      </c>
      <c r="E69">
        <f>MEDIAN(D49:D89)</f>
        <v/>
      </c>
      <c r="F69">
        <f>E49</f>
        <v/>
      </c>
      <c r="G69">
        <f>F69-E69</f>
        <v/>
      </c>
      <c r="H69">
        <f>IF(OR(NOT(ISNUMBER(D69)),ABS(D69-E69)&gt;$O$3,AND($O$11=1,B69&lt;$O$12)),1,0)</f>
        <v/>
      </c>
      <c r="I69">
        <f>IF(H69=1,NA(),D69)</f>
        <v/>
      </c>
      <c r="J69">
        <f>IF(AND(ISNUMBER(D69),D69&gt;=$O$4,OR($O$11=0,B69&gt;=$O$12)),1,0)</f>
        <v/>
      </c>
      <c r="K69">
        <f>B69-$O$14</f>
        <v/>
      </c>
    </row>
    <row r="70">
      <c r="A70" t="n">
        <v>204</v>
      </c>
      <c r="B70" t="n">
        <v>6.8</v>
      </c>
      <c r="C70" t="inlineStr">
        <is>
          <t>305</t>
        </is>
      </c>
      <c r="D70" t="n">
        <v>3.05</v>
      </c>
      <c r="E70">
        <f>MEDIAN(D50:D90)</f>
        <v/>
      </c>
      <c r="F70">
        <f>E50</f>
        <v/>
      </c>
      <c r="G70">
        <f>F70-E70</f>
        <v/>
      </c>
      <c r="H70">
        <f>IF(OR(NOT(ISNUMBER(D70)),ABS(D70-E70)&gt;$O$3,AND($O$11=1,B70&lt;$O$12)),1,0)</f>
        <v/>
      </c>
      <c r="I70">
        <f>IF(H70=1,NA(),D70)</f>
        <v/>
      </c>
      <c r="J70">
        <f>IF(AND(ISNUMBER(D70),D70&gt;=$O$4,OR($O$11=0,B70&gt;=$O$12)),1,0)</f>
        <v/>
      </c>
      <c r="K70">
        <f>B70-$O$14</f>
        <v/>
      </c>
    </row>
    <row r="71">
      <c r="A71" t="n">
        <v>207</v>
      </c>
      <c r="B71" t="n">
        <v>6.9</v>
      </c>
      <c r="C71" t="inlineStr">
        <is>
          <t>305</t>
        </is>
      </c>
      <c r="D71" t="n">
        <v>3.05</v>
      </c>
      <c r="E71">
        <f>MEDIAN(D51:D91)</f>
        <v/>
      </c>
      <c r="F71">
        <f>E51</f>
        <v/>
      </c>
      <c r="G71">
        <f>F71-E71</f>
        <v/>
      </c>
      <c r="H71">
        <f>IF(OR(NOT(ISNUMBER(D71)),ABS(D71-E71)&gt;$O$3,AND($O$11=1,B71&lt;$O$12)),1,0)</f>
        <v/>
      </c>
      <c r="I71">
        <f>IF(H71=1,NA(),D71)</f>
        <v/>
      </c>
      <c r="J71">
        <f>IF(AND(ISNUMBER(D71),D71&gt;=$O$4,OR($O$11=0,B71&gt;=$O$12)),1,0)</f>
        <v/>
      </c>
      <c r="K71">
        <f>B71-$O$14</f>
        <v/>
      </c>
    </row>
    <row r="72">
      <c r="A72" t="n">
        <v>210</v>
      </c>
      <c r="B72" t="n">
        <v>7</v>
      </c>
      <c r="C72" t="inlineStr">
        <is>
          <t>306</t>
        </is>
      </c>
      <c r="D72" t="n">
        <v>3.06</v>
      </c>
      <c r="E72">
        <f>MEDIAN(D52:D92)</f>
        <v/>
      </c>
      <c r="F72">
        <f>E52</f>
        <v/>
      </c>
      <c r="G72">
        <f>F72-E72</f>
        <v/>
      </c>
      <c r="H72">
        <f>IF(OR(NOT(ISNUMBER(D72)),ABS(D72-E72)&gt;$O$3,AND($O$11=1,B72&lt;$O$12)),1,0)</f>
        <v/>
      </c>
      <c r="I72">
        <f>IF(H72=1,NA(),D72)</f>
        <v/>
      </c>
      <c r="J72">
        <f>IF(AND(ISNUMBER(D72),D72&gt;=$O$4,OR($O$11=0,B72&gt;=$O$12)),1,0)</f>
        <v/>
      </c>
      <c r="K72">
        <f>B72-$O$14</f>
        <v/>
      </c>
    </row>
    <row r="73">
      <c r="A73" t="n">
        <v>213</v>
      </c>
      <c r="B73" t="n">
        <v>7.1</v>
      </c>
      <c r="C73" t="inlineStr">
        <is>
          <t>308</t>
        </is>
      </c>
      <c r="D73" t="n">
        <v>3.08</v>
      </c>
      <c r="E73">
        <f>MEDIAN(D53:D93)</f>
        <v/>
      </c>
      <c r="F73">
        <f>E53</f>
        <v/>
      </c>
      <c r="G73">
        <f>F73-E73</f>
        <v/>
      </c>
      <c r="H73">
        <f>IF(OR(NOT(ISNUMBER(D73)),ABS(D73-E73)&gt;$O$3,AND($O$11=1,B73&lt;$O$12)),1,0)</f>
        <v/>
      </c>
      <c r="I73">
        <f>IF(H73=1,NA(),D73)</f>
        <v/>
      </c>
      <c r="J73">
        <f>IF(AND(ISNUMBER(D73),D73&gt;=$O$4,OR($O$11=0,B73&gt;=$O$12)),1,0)</f>
        <v/>
      </c>
      <c r="K73">
        <f>B73-$O$14</f>
        <v/>
      </c>
    </row>
    <row r="74">
      <c r="A74" t="n">
        <v>216</v>
      </c>
      <c r="B74" t="n">
        <v>7.2</v>
      </c>
      <c r="C74" t="inlineStr">
        <is>
          <t>388</t>
        </is>
      </c>
      <c r="D74" t="n">
        <v>3.88</v>
      </c>
      <c r="E74">
        <f>MEDIAN(D54:D94)</f>
        <v/>
      </c>
      <c r="F74">
        <f>E54</f>
        <v/>
      </c>
      <c r="G74">
        <f>F74-E74</f>
        <v/>
      </c>
      <c r="H74">
        <f>IF(OR(NOT(ISNUMBER(D74)),ABS(D74-E74)&gt;$O$3,AND($O$11=1,B74&lt;$O$12)),1,0)</f>
        <v/>
      </c>
      <c r="I74">
        <f>IF(H74=1,NA(),D74)</f>
        <v/>
      </c>
      <c r="J74">
        <f>IF(AND(ISNUMBER(D74),D74&gt;=$O$4,OR($O$11=0,B74&gt;=$O$12)),1,0)</f>
        <v/>
      </c>
      <c r="K74">
        <f>B74-$O$14</f>
        <v/>
      </c>
    </row>
    <row r="75">
      <c r="A75" t="n">
        <v>219</v>
      </c>
      <c r="B75" t="n">
        <v>7.3</v>
      </c>
      <c r="C75" t="inlineStr">
        <is>
          <t>323</t>
        </is>
      </c>
      <c r="D75" t="n">
        <v>3.23</v>
      </c>
      <c r="E75">
        <f>MEDIAN(D55:D95)</f>
        <v/>
      </c>
      <c r="F75">
        <f>E55</f>
        <v/>
      </c>
      <c r="G75">
        <f>F75-E75</f>
        <v/>
      </c>
      <c r="H75">
        <f>IF(OR(NOT(ISNUMBER(D75)),ABS(D75-E75)&gt;$O$3,AND($O$11=1,B75&lt;$O$12)),1,0)</f>
        <v/>
      </c>
      <c r="I75">
        <f>IF(H75=1,NA(),D75)</f>
        <v/>
      </c>
      <c r="J75">
        <f>IF(AND(ISNUMBER(D75),D75&gt;=$O$4,OR($O$11=0,B75&gt;=$O$12)),1,0)</f>
        <v/>
      </c>
      <c r="K75">
        <f>B75-$O$14</f>
        <v/>
      </c>
    </row>
    <row r="76">
      <c r="A76" t="n">
        <v>222</v>
      </c>
      <c r="B76" t="n">
        <v>7.4</v>
      </c>
      <c r="C76" t="inlineStr">
        <is>
          <t>329</t>
        </is>
      </c>
      <c r="D76" t="n">
        <v>3.29</v>
      </c>
      <c r="E76">
        <f>MEDIAN(D56:D96)</f>
        <v/>
      </c>
      <c r="F76">
        <f>E56</f>
        <v/>
      </c>
      <c r="G76">
        <f>F76-E76</f>
        <v/>
      </c>
      <c r="H76">
        <f>IF(OR(NOT(ISNUMBER(D76)),ABS(D76-E76)&gt;$O$3,AND($O$11=1,B76&lt;$O$12)),1,0)</f>
        <v/>
      </c>
      <c r="I76">
        <f>IF(H76=1,NA(),D76)</f>
        <v/>
      </c>
      <c r="J76">
        <f>IF(AND(ISNUMBER(D76),D76&gt;=$O$4,OR($O$11=0,B76&gt;=$O$12)),1,0)</f>
        <v/>
      </c>
      <c r="K76">
        <f>B76-$O$14</f>
        <v/>
      </c>
    </row>
    <row r="77">
      <c r="A77" t="n">
        <v>225</v>
      </c>
      <c r="B77" t="n">
        <v>7.5</v>
      </c>
      <c r="C77" t="inlineStr">
        <is>
          <t>329</t>
        </is>
      </c>
      <c r="D77" t="n">
        <v>3.29</v>
      </c>
      <c r="E77">
        <f>MEDIAN(D57:D97)</f>
        <v/>
      </c>
      <c r="F77">
        <f>E57</f>
        <v/>
      </c>
      <c r="G77">
        <f>F77-E77</f>
        <v/>
      </c>
      <c r="H77">
        <f>IF(OR(NOT(ISNUMBER(D77)),ABS(D77-E77)&gt;$O$3,AND($O$11=1,B77&lt;$O$12)),1,0)</f>
        <v/>
      </c>
      <c r="I77">
        <f>IF(H77=1,NA(),D77)</f>
        <v/>
      </c>
      <c r="J77">
        <f>IF(AND(ISNUMBER(D77),D77&gt;=$O$4,OR($O$11=0,B77&gt;=$O$12)),1,0)</f>
        <v/>
      </c>
      <c r="K77">
        <f>B77-$O$14</f>
        <v/>
      </c>
    </row>
    <row r="78">
      <c r="A78" t="n">
        <v>228</v>
      </c>
      <c r="B78" t="n">
        <v>7.6</v>
      </c>
      <c r="C78" t="inlineStr">
        <is>
          <t>326</t>
        </is>
      </c>
      <c r="D78" t="n">
        <v>3.26</v>
      </c>
      <c r="E78">
        <f>MEDIAN(D58:D98)</f>
        <v/>
      </c>
      <c r="F78">
        <f>E58</f>
        <v/>
      </c>
      <c r="G78">
        <f>F78-E78</f>
        <v/>
      </c>
      <c r="H78">
        <f>IF(OR(NOT(ISNUMBER(D78)),ABS(D78-E78)&gt;$O$3,AND($O$11=1,B78&lt;$O$12)),1,0)</f>
        <v/>
      </c>
      <c r="I78">
        <f>IF(H78=1,NA(),D78)</f>
        <v/>
      </c>
      <c r="J78">
        <f>IF(AND(ISNUMBER(D78),D78&gt;=$O$4,OR($O$11=0,B78&gt;=$O$12)),1,0)</f>
        <v/>
      </c>
      <c r="K78">
        <f>B78-$O$14</f>
        <v/>
      </c>
    </row>
    <row r="79">
      <c r="A79" t="n">
        <v>231</v>
      </c>
      <c r="B79" t="n">
        <v>7.7</v>
      </c>
      <c r="C79" t="inlineStr">
        <is>
          <t>328</t>
        </is>
      </c>
      <c r="D79" t="n">
        <v>3.28</v>
      </c>
      <c r="E79">
        <f>MEDIAN(D59:D99)</f>
        <v/>
      </c>
      <c r="F79">
        <f>E59</f>
        <v/>
      </c>
      <c r="G79">
        <f>F79-E79</f>
        <v/>
      </c>
      <c r="H79">
        <f>IF(OR(NOT(ISNUMBER(D79)),ABS(D79-E79)&gt;$O$3,AND($O$11=1,B79&lt;$O$12)),1,0)</f>
        <v/>
      </c>
      <c r="I79">
        <f>IF(H79=1,NA(),D79)</f>
        <v/>
      </c>
      <c r="J79">
        <f>IF(AND(ISNUMBER(D79),D79&gt;=$O$4,OR($O$11=0,B79&gt;=$O$12)),1,0)</f>
        <v/>
      </c>
      <c r="K79">
        <f>B79-$O$14</f>
        <v/>
      </c>
    </row>
    <row r="80">
      <c r="A80" t="n">
        <v>234</v>
      </c>
      <c r="B80" t="n">
        <v>7.8</v>
      </c>
      <c r="C80" t="inlineStr">
        <is>
          <t>388</t>
        </is>
      </c>
      <c r="D80" t="n">
        <v>3.88</v>
      </c>
      <c r="E80">
        <f>MEDIAN(D60:D100)</f>
        <v/>
      </c>
      <c r="F80">
        <f>E60</f>
        <v/>
      </c>
      <c r="G80">
        <f>F80-E80</f>
        <v/>
      </c>
      <c r="H80">
        <f>IF(OR(NOT(ISNUMBER(D80)),ABS(D80-E80)&gt;$O$3,AND($O$11=1,B80&lt;$O$12)),1,0)</f>
        <v/>
      </c>
      <c r="I80">
        <f>IF(H80=1,NA(),D80)</f>
        <v/>
      </c>
      <c r="J80">
        <f>IF(AND(ISNUMBER(D80),D80&gt;=$O$4,OR($O$11=0,B80&gt;=$O$12)),1,0)</f>
        <v/>
      </c>
      <c r="K80">
        <f>B80-$O$14</f>
        <v/>
      </c>
    </row>
    <row r="81">
      <c r="A81" t="n">
        <v>237</v>
      </c>
      <c r="B81" t="n">
        <v>7.9</v>
      </c>
      <c r="C81" t="inlineStr">
        <is>
          <t>343</t>
        </is>
      </c>
      <c r="D81" t="n">
        <v>3.43</v>
      </c>
      <c r="E81">
        <f>MEDIAN(D61:D101)</f>
        <v/>
      </c>
      <c r="F81">
        <f>E61</f>
        <v/>
      </c>
      <c r="G81">
        <f>F81-E81</f>
        <v/>
      </c>
      <c r="H81">
        <f>IF(OR(NOT(ISNUMBER(D81)),ABS(D81-E81)&gt;$O$3,AND($O$11=1,B81&lt;$O$12)),1,0)</f>
        <v/>
      </c>
      <c r="I81">
        <f>IF(H81=1,NA(),D81)</f>
        <v/>
      </c>
      <c r="J81">
        <f>IF(AND(ISNUMBER(D81),D81&gt;=$O$4,OR($O$11=0,B81&gt;=$O$12)),1,0)</f>
        <v/>
      </c>
      <c r="K81">
        <f>B81-$O$14</f>
        <v/>
      </c>
    </row>
    <row r="82">
      <c r="A82" t="n">
        <v>240</v>
      </c>
      <c r="B82" t="n">
        <v>8</v>
      </c>
      <c r="C82" t="inlineStr">
        <is>
          <t>349</t>
        </is>
      </c>
      <c r="D82" t="n">
        <v>3.49</v>
      </c>
      <c r="E82">
        <f>MEDIAN(D62:D102)</f>
        <v/>
      </c>
      <c r="F82">
        <f>E62</f>
        <v/>
      </c>
      <c r="G82">
        <f>F82-E82</f>
        <v/>
      </c>
      <c r="H82">
        <f>IF(OR(NOT(ISNUMBER(D82)),ABS(D82-E82)&gt;$O$3,AND($O$11=1,B82&lt;$O$12)),1,0)</f>
        <v/>
      </c>
      <c r="I82">
        <f>IF(H82=1,NA(),D82)</f>
        <v/>
      </c>
      <c r="J82">
        <f>IF(AND(ISNUMBER(D82),D82&gt;=$O$4,OR($O$11=0,B82&gt;=$O$12)),1,0)</f>
        <v/>
      </c>
      <c r="K82">
        <f>B82-$O$14</f>
        <v/>
      </c>
    </row>
    <row r="83">
      <c r="A83" t="n">
        <v>243</v>
      </c>
      <c r="B83" t="n">
        <v>8.1</v>
      </c>
      <c r="C83" t="inlineStr">
        <is>
          <t>349</t>
        </is>
      </c>
      <c r="D83" t="n">
        <v>3.49</v>
      </c>
      <c r="E83">
        <f>MEDIAN(D63:D103)</f>
        <v/>
      </c>
      <c r="F83">
        <f>E63</f>
        <v/>
      </c>
      <c r="G83">
        <f>F83-E83</f>
        <v/>
      </c>
      <c r="H83">
        <f>IF(OR(NOT(ISNUMBER(D83)),ABS(D83-E83)&gt;$O$3,AND($O$11=1,B83&lt;$O$12)),1,0)</f>
        <v/>
      </c>
      <c r="I83">
        <f>IF(H83=1,NA(),D83)</f>
        <v/>
      </c>
      <c r="J83">
        <f>IF(AND(ISNUMBER(D83),D83&gt;=$O$4,OR($O$11=0,B83&gt;=$O$12)),1,0)</f>
        <v/>
      </c>
      <c r="K83">
        <f>B83-$O$14</f>
        <v/>
      </c>
    </row>
    <row r="84">
      <c r="A84" t="n">
        <v>246</v>
      </c>
      <c r="B84" t="n">
        <v>8.199999999999999</v>
      </c>
      <c r="C84" t="inlineStr">
        <is>
          <t>349</t>
        </is>
      </c>
      <c r="D84" t="n">
        <v>3.49</v>
      </c>
      <c r="E84">
        <f>MEDIAN(D64:D104)</f>
        <v/>
      </c>
      <c r="F84">
        <f>E64</f>
        <v/>
      </c>
      <c r="G84">
        <f>F84-E84</f>
        <v/>
      </c>
      <c r="H84">
        <f>IF(OR(NOT(ISNUMBER(D84)),ABS(D84-E84)&gt;$O$3,AND($O$11=1,B84&lt;$O$12)),1,0)</f>
        <v/>
      </c>
      <c r="I84">
        <f>IF(H84=1,NA(),D84)</f>
        <v/>
      </c>
      <c r="J84">
        <f>IF(AND(ISNUMBER(D84),D84&gt;=$O$4,OR($O$11=0,B84&gt;=$O$12)),1,0)</f>
        <v/>
      </c>
      <c r="K84">
        <f>B84-$O$14</f>
        <v/>
      </c>
    </row>
    <row r="85">
      <c r="A85" t="n">
        <v>249</v>
      </c>
      <c r="B85" t="n">
        <v>8.300000000000001</v>
      </c>
      <c r="C85" t="inlineStr">
        <is>
          <t>348</t>
        </is>
      </c>
      <c r="D85" t="n">
        <v>3.48</v>
      </c>
      <c r="E85">
        <f>MEDIAN(D65:D105)</f>
        <v/>
      </c>
      <c r="F85">
        <f>E65</f>
        <v/>
      </c>
      <c r="G85">
        <f>F85-E85</f>
        <v/>
      </c>
      <c r="H85">
        <f>IF(OR(NOT(ISNUMBER(D85)),ABS(D85-E85)&gt;$O$3,AND($O$11=1,B85&lt;$O$12)),1,0)</f>
        <v/>
      </c>
      <c r="I85">
        <f>IF(H85=1,NA(),D85)</f>
        <v/>
      </c>
      <c r="J85">
        <f>IF(AND(ISNUMBER(D85),D85&gt;=$O$4,OR($O$11=0,B85&gt;=$O$12)),1,0)</f>
        <v/>
      </c>
      <c r="K85">
        <f>B85-$O$14</f>
        <v/>
      </c>
    </row>
    <row r="86">
      <c r="A86" t="n">
        <v>252</v>
      </c>
      <c r="B86" t="n">
        <v>8.4</v>
      </c>
      <c r="C86" t="inlineStr">
        <is>
          <t>390</t>
        </is>
      </c>
      <c r="D86" t="n">
        <v>3.9</v>
      </c>
      <c r="E86">
        <f>MEDIAN(D66:D106)</f>
        <v/>
      </c>
      <c r="F86">
        <f>E66</f>
        <v/>
      </c>
      <c r="G86">
        <f>F86-E86</f>
        <v/>
      </c>
      <c r="H86">
        <f>IF(OR(NOT(ISNUMBER(D86)),ABS(D86-E86)&gt;$O$3,AND($O$11=1,B86&lt;$O$12)),1,0)</f>
        <v/>
      </c>
      <c r="I86">
        <f>IF(H86=1,NA(),D86)</f>
        <v/>
      </c>
      <c r="J86">
        <f>IF(AND(ISNUMBER(D86),D86&gt;=$O$4,OR($O$11=0,B86&gt;=$O$12)),1,0)</f>
        <v/>
      </c>
      <c r="K86">
        <f>B86-$O$14</f>
        <v/>
      </c>
    </row>
    <row r="87">
      <c r="A87" t="n">
        <v>255</v>
      </c>
      <c r="B87" t="n">
        <v>8.5</v>
      </c>
      <c r="C87" t="inlineStr">
        <is>
          <t>368</t>
        </is>
      </c>
      <c r="D87" t="n">
        <v>3.68</v>
      </c>
      <c r="E87">
        <f>MEDIAN(D67:D107)</f>
        <v/>
      </c>
      <c r="F87">
        <f>E67</f>
        <v/>
      </c>
      <c r="G87">
        <f>F87-E87</f>
        <v/>
      </c>
      <c r="H87">
        <f>IF(OR(NOT(ISNUMBER(D87)),ABS(D87-E87)&gt;$O$3,AND($O$11=1,B87&lt;$O$12)),1,0)</f>
        <v/>
      </c>
      <c r="I87">
        <f>IF(H87=1,NA(),D87)</f>
        <v/>
      </c>
      <c r="J87">
        <f>IF(AND(ISNUMBER(D87),D87&gt;=$O$4,OR($O$11=0,B87&gt;=$O$12)),1,0)</f>
        <v/>
      </c>
      <c r="K87">
        <f>B87-$O$14</f>
        <v/>
      </c>
    </row>
    <row r="88">
      <c r="A88" t="n">
        <v>258</v>
      </c>
      <c r="B88" t="n">
        <v>8.6</v>
      </c>
      <c r="C88" t="inlineStr">
        <is>
          <t>365</t>
        </is>
      </c>
      <c r="D88" t="n">
        <v>3.65</v>
      </c>
      <c r="E88">
        <f>MEDIAN(D68:D108)</f>
        <v/>
      </c>
      <c r="F88">
        <f>E68</f>
        <v/>
      </c>
      <c r="G88">
        <f>F88-E88</f>
        <v/>
      </c>
      <c r="H88">
        <f>IF(OR(NOT(ISNUMBER(D88)),ABS(D88-E88)&gt;$O$3,AND($O$11=1,B88&lt;$O$12)),1,0)</f>
        <v/>
      </c>
      <c r="I88">
        <f>IF(H88=1,NA(),D88)</f>
        <v/>
      </c>
      <c r="J88">
        <f>IF(AND(ISNUMBER(D88),D88&gt;=$O$4,OR($O$11=0,B88&gt;=$O$12)),1,0)</f>
        <v/>
      </c>
      <c r="K88">
        <f>B88-$O$14</f>
        <v/>
      </c>
    </row>
    <row r="89">
      <c r="A89" t="n">
        <v>261</v>
      </c>
      <c r="B89" t="n">
        <v>8.699999999999999</v>
      </c>
      <c r="C89" t="inlineStr">
        <is>
          <t>365</t>
        </is>
      </c>
      <c r="D89" t="n">
        <v>3.65</v>
      </c>
      <c r="E89">
        <f>MEDIAN(D69:D109)</f>
        <v/>
      </c>
      <c r="F89">
        <f>E69</f>
        <v/>
      </c>
      <c r="G89">
        <f>F89-E89</f>
        <v/>
      </c>
      <c r="H89">
        <f>IF(OR(NOT(ISNUMBER(D89)),ABS(D89-E89)&gt;$O$3,AND($O$11=1,B89&lt;$O$12)),1,0)</f>
        <v/>
      </c>
      <c r="I89">
        <f>IF(H89=1,NA(),D89)</f>
        <v/>
      </c>
      <c r="J89">
        <f>IF(AND(ISNUMBER(D89),D89&gt;=$O$4,OR($O$11=0,B89&gt;=$O$12)),1,0)</f>
        <v/>
      </c>
      <c r="K89">
        <f>B89-$O$14</f>
        <v/>
      </c>
    </row>
    <row r="90">
      <c r="A90" t="n">
        <v>264</v>
      </c>
      <c r="B90" t="n">
        <v>8.800000000000001</v>
      </c>
      <c r="C90" t="inlineStr">
        <is>
          <t>366</t>
        </is>
      </c>
      <c r="D90" t="n">
        <v>3.66</v>
      </c>
      <c r="E90">
        <f>MEDIAN(D70:D110)</f>
        <v/>
      </c>
      <c r="F90">
        <f>E70</f>
        <v/>
      </c>
      <c r="G90">
        <f>F90-E90</f>
        <v/>
      </c>
      <c r="H90">
        <f>IF(OR(NOT(ISNUMBER(D90)),ABS(D90-E90)&gt;$O$3,AND($O$11=1,B90&lt;$O$12)),1,0)</f>
        <v/>
      </c>
      <c r="I90">
        <f>IF(H90=1,NA(),D90)</f>
        <v/>
      </c>
      <c r="J90">
        <f>IF(AND(ISNUMBER(D90),D90&gt;=$O$4,OR($O$11=0,B90&gt;=$O$12)),1,0)</f>
        <v/>
      </c>
      <c r="K90">
        <f>B90-$O$14</f>
        <v/>
      </c>
    </row>
    <row r="91">
      <c r="A91" t="n">
        <v>267</v>
      </c>
      <c r="B91" t="n">
        <v>8.9</v>
      </c>
      <c r="C91" t="inlineStr">
        <is>
          <t>366</t>
        </is>
      </c>
      <c r="D91" t="n">
        <v>3.66</v>
      </c>
      <c r="E91">
        <f>MEDIAN(D71:D111)</f>
        <v/>
      </c>
      <c r="F91">
        <f>E71</f>
        <v/>
      </c>
      <c r="G91">
        <f>F91-E91</f>
        <v/>
      </c>
      <c r="H91">
        <f>IF(OR(NOT(ISNUMBER(D91)),ABS(D91-E91)&gt;$O$3,AND($O$11=1,B91&lt;$O$12)),1,0)</f>
        <v/>
      </c>
      <c r="I91">
        <f>IF(H91=1,NA(),D91)</f>
        <v/>
      </c>
      <c r="J91">
        <f>IF(AND(ISNUMBER(D91),D91&gt;=$O$4,OR($O$11=0,B91&gt;=$O$12)),1,0)</f>
        <v/>
      </c>
      <c r="K91">
        <f>B91-$O$14</f>
        <v/>
      </c>
    </row>
    <row r="92">
      <c r="A92" t="n">
        <v>270</v>
      </c>
      <c r="B92" t="n">
        <v>9</v>
      </c>
      <c r="C92" t="inlineStr">
        <is>
          <t>368</t>
        </is>
      </c>
      <c r="D92" t="n">
        <v>3.68</v>
      </c>
      <c r="E92">
        <f>MEDIAN(D72:D112)</f>
        <v/>
      </c>
      <c r="F92">
        <f>E72</f>
        <v/>
      </c>
      <c r="G92">
        <f>F92-E92</f>
        <v/>
      </c>
      <c r="H92">
        <f>IF(OR(NOT(ISNUMBER(D92)),ABS(D92-E92)&gt;$O$3,AND($O$11=1,B92&lt;$O$12)),1,0)</f>
        <v/>
      </c>
      <c r="I92">
        <f>IF(H92=1,NA(),D92)</f>
        <v/>
      </c>
      <c r="J92">
        <f>IF(AND(ISNUMBER(D92),D92&gt;=$O$4,OR($O$11=0,B92&gt;=$O$12)),1,0)</f>
        <v/>
      </c>
      <c r="K92">
        <f>B92-$O$14</f>
        <v/>
      </c>
    </row>
    <row r="93">
      <c r="A93" t="n">
        <v>273</v>
      </c>
      <c r="B93" t="n">
        <v>9.1</v>
      </c>
      <c r="C93" t="inlineStr">
        <is>
          <t>369</t>
        </is>
      </c>
      <c r="D93" t="n">
        <v>3.69</v>
      </c>
      <c r="E93">
        <f>MEDIAN(D73:D113)</f>
        <v/>
      </c>
      <c r="F93">
        <f>E73</f>
        <v/>
      </c>
      <c r="G93">
        <f>F93-E93</f>
        <v/>
      </c>
      <c r="H93">
        <f>IF(OR(NOT(ISNUMBER(D93)),ABS(D93-E93)&gt;$O$3,AND($O$11=1,B93&lt;$O$12)),1,0)</f>
        <v/>
      </c>
      <c r="I93">
        <f>IF(H93=1,NA(),D93)</f>
        <v/>
      </c>
      <c r="J93">
        <f>IF(AND(ISNUMBER(D93),D93&gt;=$O$4,OR($O$11=0,B93&gt;=$O$12)),1,0)</f>
        <v/>
      </c>
      <c r="K93">
        <f>B93-$O$14</f>
        <v/>
      </c>
    </row>
    <row r="94">
      <c r="A94" t="n">
        <v>276</v>
      </c>
      <c r="B94" t="n">
        <v>9.199999999999999</v>
      </c>
      <c r="C94" t="inlineStr">
        <is>
          <t>344</t>
        </is>
      </c>
      <c r="D94" t="n">
        <v>3.44</v>
      </c>
      <c r="E94">
        <f>MEDIAN(D74:D114)</f>
        <v/>
      </c>
      <c r="F94">
        <f>E74</f>
        <v/>
      </c>
      <c r="G94">
        <f>F94-E94</f>
        <v/>
      </c>
      <c r="H94">
        <f>IF(OR(NOT(ISNUMBER(D94)),ABS(D94-E94)&gt;$O$3,AND($O$11=1,B94&lt;$O$12)),1,0)</f>
        <v/>
      </c>
      <c r="I94">
        <f>IF(H94=1,NA(),D94)</f>
        <v/>
      </c>
      <c r="J94">
        <f>IF(AND(ISNUMBER(D94),D94&gt;=$O$4,OR($O$11=0,B94&gt;=$O$12)),1,0)</f>
        <v/>
      </c>
      <c r="K94">
        <f>B94-$O$14</f>
        <v/>
      </c>
    </row>
    <row r="95">
      <c r="A95" t="n">
        <v>279</v>
      </c>
      <c r="B95" t="n">
        <v>9.300000000000001</v>
      </c>
      <c r="C95" t="inlineStr">
        <is>
          <t>372</t>
        </is>
      </c>
      <c r="D95" t="n">
        <v>3.72</v>
      </c>
      <c r="E95">
        <f>MEDIAN(D75:D115)</f>
        <v/>
      </c>
      <c r="F95">
        <f>E75</f>
        <v/>
      </c>
      <c r="G95">
        <f>F95-E95</f>
        <v/>
      </c>
      <c r="H95">
        <f>IF(OR(NOT(ISNUMBER(D95)),ABS(D95-E95)&gt;$O$3,AND($O$11=1,B95&lt;$O$12)),1,0)</f>
        <v/>
      </c>
      <c r="I95">
        <f>IF(H95=1,NA(),D95)</f>
        <v/>
      </c>
      <c r="J95">
        <f>IF(AND(ISNUMBER(D95),D95&gt;=$O$4,OR($O$11=0,B95&gt;=$O$12)),1,0)</f>
        <v/>
      </c>
      <c r="K95">
        <f>B95-$O$14</f>
        <v/>
      </c>
    </row>
    <row r="96">
      <c r="A96" t="n">
        <v>282</v>
      </c>
      <c r="B96" t="n">
        <v>9.4</v>
      </c>
      <c r="C96" t="inlineStr">
        <is>
          <t>383</t>
        </is>
      </c>
      <c r="D96" t="n">
        <v>3.83</v>
      </c>
      <c r="E96">
        <f>MEDIAN(D76:D116)</f>
        <v/>
      </c>
      <c r="F96">
        <f>E76</f>
        <v/>
      </c>
      <c r="G96">
        <f>F96-E96</f>
        <v/>
      </c>
      <c r="H96">
        <f>IF(OR(NOT(ISNUMBER(D96)),ABS(D96-E96)&gt;$O$3,AND($O$11=1,B96&lt;$O$12)),1,0)</f>
        <v/>
      </c>
      <c r="I96">
        <f>IF(H96=1,NA(),D96)</f>
        <v/>
      </c>
      <c r="J96">
        <f>IF(AND(ISNUMBER(D96),D96&gt;=$O$4,OR($O$11=0,B96&gt;=$O$12)),1,0)</f>
        <v/>
      </c>
      <c r="K96">
        <f>B96-$O$14</f>
        <v/>
      </c>
    </row>
    <row r="97">
      <c r="A97" t="n">
        <v>285</v>
      </c>
      <c r="B97" t="n">
        <v>9.5</v>
      </c>
      <c r="C97" t="inlineStr">
        <is>
          <t>387</t>
        </is>
      </c>
      <c r="D97" t="n">
        <v>3.87</v>
      </c>
      <c r="E97">
        <f>MEDIAN(D77:D117)</f>
        <v/>
      </c>
      <c r="F97">
        <f>E77</f>
        <v/>
      </c>
      <c r="G97">
        <f>F97-E97</f>
        <v/>
      </c>
      <c r="H97">
        <f>IF(OR(NOT(ISNUMBER(D97)),ABS(D97-E97)&gt;$O$3,AND($O$11=1,B97&lt;$O$12)),1,0)</f>
        <v/>
      </c>
      <c r="I97">
        <f>IF(H97=1,NA(),D97)</f>
        <v/>
      </c>
      <c r="J97">
        <f>IF(AND(ISNUMBER(D97),D97&gt;=$O$4,OR($O$11=0,B97&gt;=$O$12)),1,0)</f>
        <v/>
      </c>
      <c r="K97">
        <f>B97-$O$14</f>
        <v/>
      </c>
    </row>
    <row r="98">
      <c r="A98" t="n">
        <v>288</v>
      </c>
      <c r="B98" t="n">
        <v>9.6</v>
      </c>
      <c r="C98" t="inlineStr">
        <is>
          <t>387</t>
        </is>
      </c>
      <c r="D98" t="n">
        <v>3.87</v>
      </c>
      <c r="E98">
        <f>MEDIAN(D78:D118)</f>
        <v/>
      </c>
      <c r="F98">
        <f>E78</f>
        <v/>
      </c>
      <c r="G98">
        <f>F98-E98</f>
        <v/>
      </c>
      <c r="H98">
        <f>IF(OR(NOT(ISNUMBER(D98)),ABS(D98-E98)&gt;$O$3,AND($O$11=1,B98&lt;$O$12)),1,0)</f>
        <v/>
      </c>
      <c r="I98">
        <f>IF(H98=1,NA(),D98)</f>
        <v/>
      </c>
      <c r="J98">
        <f>IF(AND(ISNUMBER(D98),D98&gt;=$O$4,OR($O$11=0,B98&gt;=$O$12)),1,0)</f>
        <v/>
      </c>
      <c r="K98">
        <f>B98-$O$14</f>
        <v/>
      </c>
    </row>
    <row r="99">
      <c r="A99" t="n">
        <v>291</v>
      </c>
      <c r="B99" t="n">
        <v>9.699999999999999</v>
      </c>
      <c r="C99" t="inlineStr">
        <is>
          <t>388</t>
        </is>
      </c>
      <c r="D99" t="n">
        <v>3.88</v>
      </c>
      <c r="E99">
        <f>MEDIAN(D79:D119)</f>
        <v/>
      </c>
      <c r="F99">
        <f>E79</f>
        <v/>
      </c>
      <c r="G99">
        <f>F99-E99</f>
        <v/>
      </c>
      <c r="H99">
        <f>IF(OR(NOT(ISNUMBER(D99)),ABS(D99-E99)&gt;$O$3,AND($O$11=1,B99&lt;$O$12)),1,0)</f>
        <v/>
      </c>
      <c r="I99">
        <f>IF(H99=1,NA(),D99)</f>
        <v/>
      </c>
      <c r="J99">
        <f>IF(AND(ISNUMBER(D99),D99&gt;=$O$4,OR($O$11=0,B99&gt;=$O$12)),1,0)</f>
        <v/>
      </c>
      <c r="K99">
        <f>B99-$O$14</f>
        <v/>
      </c>
    </row>
    <row r="100">
      <c r="A100" t="n">
        <v>294</v>
      </c>
      <c r="B100" t="n">
        <v>9.800000000000001</v>
      </c>
      <c r="C100" t="inlineStr">
        <is>
          <t>389</t>
        </is>
      </c>
      <c r="D100" t="n">
        <v>3.89</v>
      </c>
      <c r="E100">
        <f>MEDIAN(D80:D120)</f>
        <v/>
      </c>
      <c r="F100">
        <f>E80</f>
        <v/>
      </c>
      <c r="G100">
        <f>F100-E100</f>
        <v/>
      </c>
      <c r="H100">
        <f>IF(OR(NOT(ISNUMBER(D100)),ABS(D100-E100)&gt;$O$3,AND($O$11=1,B100&lt;$O$12)),1,0)</f>
        <v/>
      </c>
      <c r="I100">
        <f>IF(H100=1,NA(),D100)</f>
        <v/>
      </c>
      <c r="J100">
        <f>IF(AND(ISNUMBER(D100),D100&gt;=$O$4,OR($O$11=0,B100&gt;=$O$12)),1,0)</f>
        <v/>
      </c>
      <c r="K100">
        <f>B100-$O$14</f>
        <v/>
      </c>
    </row>
    <row r="101">
      <c r="A101" t="n">
        <v>297</v>
      </c>
      <c r="B101" t="n">
        <v>9.9</v>
      </c>
      <c r="C101" t="inlineStr">
        <is>
          <t>390</t>
        </is>
      </c>
      <c r="D101" t="n">
        <v>3.9</v>
      </c>
      <c r="E101">
        <f>MEDIAN(D81:D121)</f>
        <v/>
      </c>
      <c r="F101">
        <f>E81</f>
        <v/>
      </c>
      <c r="G101">
        <f>F101-E101</f>
        <v/>
      </c>
      <c r="H101">
        <f>IF(OR(NOT(ISNUMBER(D101)),ABS(D101-E101)&gt;$O$3,AND($O$11=1,B101&lt;$O$12)),1,0)</f>
        <v/>
      </c>
      <c r="I101">
        <f>IF(H101=1,NA(),D101)</f>
        <v/>
      </c>
      <c r="J101">
        <f>IF(AND(ISNUMBER(D101),D101&gt;=$O$4,OR($O$11=0,B101&gt;=$O$12)),1,0)</f>
        <v/>
      </c>
      <c r="K101">
        <f>B101-$O$14</f>
        <v/>
      </c>
    </row>
    <row r="102">
      <c r="A102" t="n">
        <v>300</v>
      </c>
      <c r="B102" t="n">
        <v>10</v>
      </c>
      <c r="C102" t="inlineStr">
        <is>
          <t>392</t>
        </is>
      </c>
      <c r="D102" t="n">
        <v>3.92</v>
      </c>
      <c r="E102">
        <f>MEDIAN(D82:D122)</f>
        <v/>
      </c>
      <c r="F102">
        <f>E82</f>
        <v/>
      </c>
      <c r="G102">
        <f>F102-E102</f>
        <v/>
      </c>
      <c r="H102">
        <f>IF(OR(NOT(ISNUMBER(D102)),ABS(D102-E102)&gt;$O$3,AND($O$11=1,B102&lt;$O$12)),1,0)</f>
        <v/>
      </c>
      <c r="I102">
        <f>IF(H102=1,NA(),D102)</f>
        <v/>
      </c>
      <c r="J102">
        <f>IF(AND(ISNUMBER(D102),D102&gt;=$O$4,OR($O$11=0,B102&gt;=$O$12)),1,0)</f>
        <v/>
      </c>
      <c r="K102">
        <f>B102-$O$14</f>
        <v/>
      </c>
    </row>
    <row r="103">
      <c r="A103" t="n">
        <v>303</v>
      </c>
      <c r="B103" t="n">
        <v>10.1</v>
      </c>
      <c r="C103" t="inlineStr">
        <is>
          <t>394</t>
        </is>
      </c>
      <c r="D103" t="n">
        <v>3.94</v>
      </c>
      <c r="E103">
        <f>MEDIAN(D83:D123)</f>
        <v/>
      </c>
      <c r="F103">
        <f>E83</f>
        <v/>
      </c>
      <c r="G103">
        <f>F103-E103</f>
        <v/>
      </c>
      <c r="H103">
        <f>IF(OR(NOT(ISNUMBER(D103)),ABS(D103-E103)&gt;$O$3,AND($O$11=1,B103&lt;$O$12)),1,0)</f>
        <v/>
      </c>
      <c r="I103">
        <f>IF(H103=1,NA(),D103)</f>
        <v/>
      </c>
      <c r="J103">
        <f>IF(AND(ISNUMBER(D103),D103&gt;=$O$4,OR($O$11=0,B103&gt;=$O$12)),1,0)</f>
        <v/>
      </c>
      <c r="K103">
        <f>B103-$O$14</f>
        <v/>
      </c>
    </row>
    <row r="104">
      <c r="A104" t="n">
        <v>306</v>
      </c>
      <c r="B104" t="n">
        <v>10.2</v>
      </c>
      <c r="C104" t="inlineStr">
        <is>
          <t>396</t>
        </is>
      </c>
      <c r="D104" t="n">
        <v>3.96</v>
      </c>
      <c r="E104">
        <f>MEDIAN(D84:D124)</f>
        <v/>
      </c>
      <c r="F104">
        <f>E84</f>
        <v/>
      </c>
      <c r="G104">
        <f>F104-E104</f>
        <v/>
      </c>
      <c r="H104">
        <f>IF(OR(NOT(ISNUMBER(D104)),ABS(D104-E104)&gt;$O$3,AND($O$11=1,B104&lt;$O$12)),1,0)</f>
        <v/>
      </c>
      <c r="I104">
        <f>IF(H104=1,NA(),D104)</f>
        <v/>
      </c>
      <c r="J104">
        <f>IF(AND(ISNUMBER(D104),D104&gt;=$O$4,OR($O$11=0,B104&gt;=$O$12)),1,0)</f>
        <v/>
      </c>
      <c r="K104">
        <f>B104-$O$14</f>
        <v/>
      </c>
    </row>
    <row r="105">
      <c r="A105" t="n">
        <v>309</v>
      </c>
      <c r="B105" t="n">
        <v>10.3</v>
      </c>
      <c r="C105" t="inlineStr">
        <is>
          <t>398</t>
        </is>
      </c>
      <c r="D105" t="n">
        <v>3.98</v>
      </c>
      <c r="E105">
        <f>MEDIAN(D85:D125)</f>
        <v/>
      </c>
      <c r="F105">
        <f>E85</f>
        <v/>
      </c>
      <c r="G105">
        <f>F105-E105</f>
        <v/>
      </c>
      <c r="H105">
        <f>IF(OR(NOT(ISNUMBER(D105)),ABS(D105-E105)&gt;$O$3,AND($O$11=1,B105&lt;$O$12)),1,0)</f>
        <v/>
      </c>
      <c r="I105">
        <f>IF(H105=1,NA(),D105)</f>
        <v/>
      </c>
      <c r="J105">
        <f>IF(AND(ISNUMBER(D105),D105&gt;=$O$4,OR($O$11=0,B105&gt;=$O$12)),1,0)</f>
        <v/>
      </c>
      <c r="K105">
        <f>B105-$O$14</f>
        <v/>
      </c>
    </row>
    <row r="106">
      <c r="A106" t="n">
        <v>312</v>
      </c>
      <c r="B106" t="n">
        <v>10.4</v>
      </c>
      <c r="C106" t="inlineStr">
        <is>
          <t>401</t>
        </is>
      </c>
      <c r="D106" t="n">
        <v>4.01</v>
      </c>
      <c r="E106">
        <f>MEDIAN(D86:D126)</f>
        <v/>
      </c>
      <c r="F106">
        <f>E86</f>
        <v/>
      </c>
      <c r="G106">
        <f>F106-E106</f>
        <v/>
      </c>
      <c r="H106">
        <f>IF(OR(NOT(ISNUMBER(D106)),ABS(D106-E106)&gt;$O$3,AND($O$11=1,B106&lt;$O$12)),1,0)</f>
        <v/>
      </c>
      <c r="I106">
        <f>IF(H106=1,NA(),D106)</f>
        <v/>
      </c>
      <c r="J106">
        <f>IF(AND(ISNUMBER(D106),D106&gt;=$O$4,OR($O$11=0,B106&gt;=$O$12)),1,0)</f>
        <v/>
      </c>
      <c r="K106">
        <f>B106-$O$14</f>
        <v/>
      </c>
    </row>
    <row r="107">
      <c r="A107" t="n">
        <v>315</v>
      </c>
      <c r="B107" t="n">
        <v>10.5</v>
      </c>
      <c r="C107" t="inlineStr">
        <is>
          <t>402</t>
        </is>
      </c>
      <c r="D107" t="n">
        <v>4.02</v>
      </c>
      <c r="E107">
        <f>MEDIAN(D87:D127)</f>
        <v/>
      </c>
      <c r="F107">
        <f>E87</f>
        <v/>
      </c>
      <c r="G107">
        <f>F107-E107</f>
        <v/>
      </c>
      <c r="H107">
        <f>IF(OR(NOT(ISNUMBER(D107)),ABS(D107-E107)&gt;$O$3,AND($O$11=1,B107&lt;$O$12)),1,0)</f>
        <v/>
      </c>
      <c r="I107">
        <f>IF(H107=1,NA(),D107)</f>
        <v/>
      </c>
      <c r="J107">
        <f>IF(AND(ISNUMBER(D107),D107&gt;=$O$4,OR($O$11=0,B107&gt;=$O$12)),1,0)</f>
        <v/>
      </c>
      <c r="K107">
        <f>B107-$O$14</f>
        <v/>
      </c>
    </row>
    <row r="108">
      <c r="A108" t="n">
        <v>318</v>
      </c>
      <c r="B108" t="n">
        <v>10.6</v>
      </c>
      <c r="C108" t="inlineStr">
        <is>
          <t>403</t>
        </is>
      </c>
      <c r="D108" t="n">
        <v>4.03</v>
      </c>
      <c r="E108">
        <f>MEDIAN(D88:D128)</f>
        <v/>
      </c>
      <c r="F108">
        <f>E88</f>
        <v/>
      </c>
      <c r="G108">
        <f>F108-E108</f>
        <v/>
      </c>
      <c r="H108">
        <f>IF(OR(NOT(ISNUMBER(D108)),ABS(D108-E108)&gt;$O$3,AND($O$11=1,B108&lt;$O$12)),1,0)</f>
        <v/>
      </c>
      <c r="I108">
        <f>IF(H108=1,NA(),D108)</f>
        <v/>
      </c>
      <c r="J108">
        <f>IF(AND(ISNUMBER(D108),D108&gt;=$O$4,OR($O$11=0,B108&gt;=$O$12)),1,0)</f>
        <v/>
      </c>
      <c r="K108">
        <f>B108-$O$14</f>
        <v/>
      </c>
    </row>
    <row r="109">
      <c r="A109" t="n">
        <v>321</v>
      </c>
      <c r="B109" t="n">
        <v>10.7</v>
      </c>
      <c r="C109" t="inlineStr">
        <is>
          <t>405</t>
        </is>
      </c>
      <c r="D109" t="n">
        <v>4.05</v>
      </c>
      <c r="E109">
        <f>MEDIAN(D89:D129)</f>
        <v/>
      </c>
      <c r="F109">
        <f>E89</f>
        <v/>
      </c>
      <c r="G109">
        <f>F109-E109</f>
        <v/>
      </c>
      <c r="H109">
        <f>IF(OR(NOT(ISNUMBER(D109)),ABS(D109-E109)&gt;$O$3,AND($O$11=1,B109&lt;$O$12)),1,0)</f>
        <v/>
      </c>
      <c r="I109">
        <f>IF(H109=1,NA(),D109)</f>
        <v/>
      </c>
      <c r="J109">
        <f>IF(AND(ISNUMBER(D109),D109&gt;=$O$4,OR($O$11=0,B109&gt;=$O$12)),1,0)</f>
        <v/>
      </c>
      <c r="K109">
        <f>B109-$O$14</f>
        <v/>
      </c>
    </row>
    <row r="110">
      <c r="A110" t="n">
        <v>324</v>
      </c>
      <c r="B110" t="n">
        <v>10.8</v>
      </c>
      <c r="C110" t="inlineStr">
        <is>
          <t>406</t>
        </is>
      </c>
      <c r="D110" t="n">
        <v>4.06</v>
      </c>
      <c r="E110">
        <f>MEDIAN(D90:D130)</f>
        <v/>
      </c>
      <c r="F110">
        <f>E90</f>
        <v/>
      </c>
      <c r="G110">
        <f>F110-E110</f>
        <v/>
      </c>
      <c r="H110">
        <f>IF(OR(NOT(ISNUMBER(D110)),ABS(D110-E110)&gt;$O$3,AND($O$11=1,B110&lt;$O$12)),1,0)</f>
        <v/>
      </c>
      <c r="I110">
        <f>IF(H110=1,NA(),D110)</f>
        <v/>
      </c>
      <c r="J110">
        <f>IF(AND(ISNUMBER(D110),D110&gt;=$O$4,OR($O$11=0,B110&gt;=$O$12)),1,0)</f>
        <v/>
      </c>
      <c r="K110">
        <f>B110-$O$14</f>
        <v/>
      </c>
    </row>
    <row r="111">
      <c r="A111" t="n">
        <v>327</v>
      </c>
      <c r="B111" t="n">
        <v>10.9</v>
      </c>
      <c r="C111" t="inlineStr">
        <is>
          <t>407</t>
        </is>
      </c>
      <c r="D111" t="n">
        <v>4.07</v>
      </c>
      <c r="E111">
        <f>MEDIAN(D91:D131)</f>
        <v/>
      </c>
      <c r="F111">
        <f>E91</f>
        <v/>
      </c>
      <c r="G111">
        <f>F111-E111</f>
        <v/>
      </c>
      <c r="H111">
        <f>IF(OR(NOT(ISNUMBER(D111)),ABS(D111-E111)&gt;$O$3,AND($O$11=1,B111&lt;$O$12)),1,0)</f>
        <v/>
      </c>
      <c r="I111">
        <f>IF(H111=1,NA(),D111)</f>
        <v/>
      </c>
      <c r="J111">
        <f>IF(AND(ISNUMBER(D111),D111&gt;=$O$4,OR($O$11=0,B111&gt;=$O$12)),1,0)</f>
        <v/>
      </c>
      <c r="K111">
        <f>B111-$O$14</f>
        <v/>
      </c>
    </row>
    <row r="112">
      <c r="A112" t="n">
        <v>330</v>
      </c>
      <c r="B112" t="n">
        <v>11</v>
      </c>
      <c r="C112" t="inlineStr">
        <is>
          <t>414</t>
        </is>
      </c>
      <c r="D112" t="n">
        <v>4.14</v>
      </c>
      <c r="E112">
        <f>MEDIAN(D92:D132)</f>
        <v/>
      </c>
      <c r="F112">
        <f>E92</f>
        <v/>
      </c>
      <c r="G112">
        <f>F112-E112</f>
        <v/>
      </c>
      <c r="H112">
        <f>IF(OR(NOT(ISNUMBER(D112)),ABS(D112-E112)&gt;$O$3,AND($O$11=1,B112&lt;$O$12)),1,0)</f>
        <v/>
      </c>
      <c r="I112">
        <f>IF(H112=1,NA(),D112)</f>
        <v/>
      </c>
      <c r="J112">
        <f>IF(AND(ISNUMBER(D112),D112&gt;=$O$4,OR($O$11=0,B112&gt;=$O$12)),1,0)</f>
        <v/>
      </c>
      <c r="K112">
        <f>B112-$O$14</f>
        <v/>
      </c>
    </row>
    <row r="113">
      <c r="A113" t="n">
        <v>333</v>
      </c>
      <c r="B113" t="n">
        <v>11.1</v>
      </c>
      <c r="C113" t="inlineStr">
        <is>
          <t>414</t>
        </is>
      </c>
      <c r="D113" t="n">
        <v>4.14</v>
      </c>
      <c r="E113">
        <f>MEDIAN(D93:D133)</f>
        <v/>
      </c>
      <c r="F113">
        <f>E93</f>
        <v/>
      </c>
      <c r="G113">
        <f>F113-E113</f>
        <v/>
      </c>
      <c r="H113">
        <f>IF(OR(NOT(ISNUMBER(D113)),ABS(D113-E113)&gt;$O$3,AND($O$11=1,B113&lt;$O$12)),1,0)</f>
        <v/>
      </c>
      <c r="I113">
        <f>IF(H113=1,NA(),D113)</f>
        <v/>
      </c>
      <c r="J113">
        <f>IF(AND(ISNUMBER(D113),D113&gt;=$O$4,OR($O$11=0,B113&gt;=$O$12)),1,0)</f>
        <v/>
      </c>
      <c r="K113">
        <f>B113-$O$14</f>
        <v/>
      </c>
    </row>
    <row r="114">
      <c r="A114" t="n">
        <v>336</v>
      </c>
      <c r="B114" t="n">
        <v>11.2</v>
      </c>
      <c r="C114" t="inlineStr">
        <is>
          <t>414</t>
        </is>
      </c>
      <c r="D114" t="n">
        <v>4.14</v>
      </c>
      <c r="E114">
        <f>MEDIAN(D94:D134)</f>
        <v/>
      </c>
      <c r="F114">
        <f>E94</f>
        <v/>
      </c>
      <c r="G114">
        <f>F114-E114</f>
        <v/>
      </c>
      <c r="H114">
        <f>IF(OR(NOT(ISNUMBER(D114)),ABS(D114-E114)&gt;$O$3,AND($O$11=1,B114&lt;$O$12)),1,0)</f>
        <v/>
      </c>
      <c r="I114">
        <f>IF(H114=1,NA(),D114)</f>
        <v/>
      </c>
      <c r="J114">
        <f>IF(AND(ISNUMBER(D114),D114&gt;=$O$4,OR($O$11=0,B114&gt;=$O$12)),1,0)</f>
        <v/>
      </c>
      <c r="K114">
        <f>B114-$O$14</f>
        <v/>
      </c>
    </row>
    <row r="115">
      <c r="A115" t="n">
        <v>339</v>
      </c>
      <c r="B115" t="n">
        <v>11.3</v>
      </c>
      <c r="C115" t="inlineStr">
        <is>
          <t>414</t>
        </is>
      </c>
      <c r="D115" t="n">
        <v>4.14</v>
      </c>
      <c r="E115">
        <f>MEDIAN(D95:D135)</f>
        <v/>
      </c>
      <c r="F115">
        <f>E95</f>
        <v/>
      </c>
      <c r="G115">
        <f>F115-E115</f>
        <v/>
      </c>
      <c r="H115">
        <f>IF(OR(NOT(ISNUMBER(D115)),ABS(D115-E115)&gt;$O$3,AND($O$11=1,B115&lt;$O$12)),1,0)</f>
        <v/>
      </c>
      <c r="I115">
        <f>IF(H115=1,NA(),D115)</f>
        <v/>
      </c>
      <c r="J115">
        <f>IF(AND(ISNUMBER(D115),D115&gt;=$O$4,OR($O$11=0,B115&gt;=$O$12)),1,0)</f>
        <v/>
      </c>
      <c r="K115">
        <f>B115-$O$14</f>
        <v/>
      </c>
    </row>
    <row r="116">
      <c r="A116" t="n">
        <v>342</v>
      </c>
      <c r="B116" t="n">
        <v>11.4</v>
      </c>
      <c r="C116" t="inlineStr">
        <is>
          <t>414</t>
        </is>
      </c>
      <c r="D116" t="n">
        <v>4.14</v>
      </c>
      <c r="E116">
        <f>MEDIAN(D96:D136)</f>
        <v/>
      </c>
      <c r="F116">
        <f>E96</f>
        <v/>
      </c>
      <c r="G116">
        <f>F116-E116</f>
        <v/>
      </c>
      <c r="H116">
        <f>IF(OR(NOT(ISNUMBER(D116)),ABS(D116-E116)&gt;$O$3,AND($O$11=1,B116&lt;$O$12)),1,0)</f>
        <v/>
      </c>
      <c r="I116">
        <f>IF(H116=1,NA(),D116)</f>
        <v/>
      </c>
      <c r="J116">
        <f>IF(AND(ISNUMBER(D116),D116&gt;=$O$4,OR($O$11=0,B116&gt;=$O$12)),1,0)</f>
        <v/>
      </c>
      <c r="K116">
        <f>B116-$O$14</f>
        <v/>
      </c>
    </row>
    <row r="117">
      <c r="A117" t="n">
        <v>345</v>
      </c>
      <c r="B117" t="n">
        <v>11.5</v>
      </c>
      <c r="C117" t="inlineStr">
        <is>
          <t>419</t>
        </is>
      </c>
      <c r="D117" t="n">
        <v>4.19</v>
      </c>
      <c r="E117">
        <f>MEDIAN(D97:D137)</f>
        <v/>
      </c>
      <c r="F117">
        <f>E97</f>
        <v/>
      </c>
      <c r="G117">
        <f>F117-E117</f>
        <v/>
      </c>
      <c r="H117">
        <f>IF(OR(NOT(ISNUMBER(D117)),ABS(D117-E117)&gt;$O$3,AND($O$11=1,B117&lt;$O$12)),1,0)</f>
        <v/>
      </c>
      <c r="I117">
        <f>IF(H117=1,NA(),D117)</f>
        <v/>
      </c>
      <c r="J117">
        <f>IF(AND(ISNUMBER(D117),D117&gt;=$O$4,OR($O$11=0,B117&gt;=$O$12)),1,0)</f>
        <v/>
      </c>
      <c r="K117">
        <f>B117-$O$14</f>
        <v/>
      </c>
    </row>
    <row r="118">
      <c r="A118" t="n">
        <v>348</v>
      </c>
      <c r="B118" t="n">
        <v>11.6</v>
      </c>
      <c r="C118" t="inlineStr">
        <is>
          <t>416</t>
        </is>
      </c>
      <c r="D118" t="n">
        <v>4.16</v>
      </c>
      <c r="E118">
        <f>MEDIAN(D98:D138)</f>
        <v/>
      </c>
      <c r="F118">
        <f>E98</f>
        <v/>
      </c>
      <c r="G118">
        <f>F118-E118</f>
        <v/>
      </c>
      <c r="H118">
        <f>IF(OR(NOT(ISNUMBER(D118)),ABS(D118-E118)&gt;$O$3,AND($O$11=1,B118&lt;$O$12)),1,0)</f>
        <v/>
      </c>
      <c r="I118">
        <f>IF(H118=1,NA(),D118)</f>
        <v/>
      </c>
      <c r="J118">
        <f>IF(AND(ISNUMBER(D118),D118&gt;=$O$4,OR($O$11=0,B118&gt;=$O$12)),1,0)</f>
        <v/>
      </c>
      <c r="K118">
        <f>B118-$O$14</f>
        <v/>
      </c>
    </row>
    <row r="119">
      <c r="A119" t="n">
        <v>351</v>
      </c>
      <c r="B119" t="n">
        <v>11.7</v>
      </c>
      <c r="C119" t="inlineStr">
        <is>
          <t>416</t>
        </is>
      </c>
      <c r="D119" t="n">
        <v>4.16</v>
      </c>
      <c r="E119">
        <f>MEDIAN(D99:D139)</f>
        <v/>
      </c>
      <c r="F119">
        <f>E99</f>
        <v/>
      </c>
      <c r="G119">
        <f>F119-E119</f>
        <v/>
      </c>
      <c r="H119">
        <f>IF(OR(NOT(ISNUMBER(D119)),ABS(D119-E119)&gt;$O$3,AND($O$11=1,B119&lt;$O$12)),1,0)</f>
        <v/>
      </c>
      <c r="I119">
        <f>IF(H119=1,NA(),D119)</f>
        <v/>
      </c>
      <c r="J119">
        <f>IF(AND(ISNUMBER(D119),D119&gt;=$O$4,OR($O$11=0,B119&gt;=$O$12)),1,0)</f>
        <v/>
      </c>
      <c r="K119">
        <f>B119-$O$14</f>
        <v/>
      </c>
    </row>
    <row r="120">
      <c r="A120" t="n">
        <v>354</v>
      </c>
      <c r="B120" t="n">
        <v>11.8</v>
      </c>
      <c r="C120" t="inlineStr">
        <is>
          <t>418</t>
        </is>
      </c>
      <c r="D120" t="n">
        <v>4.18</v>
      </c>
      <c r="E120">
        <f>MEDIAN(D100:D140)</f>
        <v/>
      </c>
      <c r="F120">
        <f>E100</f>
        <v/>
      </c>
      <c r="G120">
        <f>F120-E120</f>
        <v/>
      </c>
      <c r="H120">
        <f>IF(OR(NOT(ISNUMBER(D120)),ABS(D120-E120)&gt;$O$3,AND($O$11=1,B120&lt;$O$12)),1,0)</f>
        <v/>
      </c>
      <c r="I120">
        <f>IF(H120=1,NA(),D120)</f>
        <v/>
      </c>
      <c r="J120">
        <f>IF(AND(ISNUMBER(D120),D120&gt;=$O$4,OR($O$11=0,B120&gt;=$O$12)),1,0)</f>
        <v/>
      </c>
      <c r="K120">
        <f>B120-$O$14</f>
        <v/>
      </c>
    </row>
    <row r="121">
      <c r="A121" t="n">
        <v>357</v>
      </c>
      <c r="B121" t="n">
        <v>11.9</v>
      </c>
      <c r="C121" t="inlineStr">
        <is>
          <t>419</t>
        </is>
      </c>
      <c r="D121" t="n">
        <v>4.19</v>
      </c>
      <c r="E121">
        <f>MEDIAN(D101:D141)</f>
        <v/>
      </c>
      <c r="F121">
        <f>E101</f>
        <v/>
      </c>
      <c r="G121">
        <f>F121-E121</f>
        <v/>
      </c>
      <c r="H121">
        <f>IF(OR(NOT(ISNUMBER(D121)),ABS(D121-E121)&gt;$O$3,AND($O$11=1,B121&lt;$O$12)),1,0)</f>
        <v/>
      </c>
      <c r="I121">
        <f>IF(H121=1,NA(),D121)</f>
        <v/>
      </c>
      <c r="J121">
        <f>IF(AND(ISNUMBER(D121),D121&gt;=$O$4,OR($O$11=0,B121&gt;=$O$12)),1,0)</f>
        <v/>
      </c>
      <c r="K121">
        <f>B121-$O$14</f>
        <v/>
      </c>
    </row>
    <row r="122">
      <c r="A122" t="n">
        <v>360</v>
      </c>
      <c r="B122" t="n">
        <v>12</v>
      </c>
      <c r="C122" t="inlineStr">
        <is>
          <t>421</t>
        </is>
      </c>
      <c r="D122" t="n">
        <v>4.21</v>
      </c>
      <c r="E122">
        <f>MEDIAN(D102:D142)</f>
        <v/>
      </c>
      <c r="F122">
        <f>E102</f>
        <v/>
      </c>
      <c r="G122">
        <f>F122-E122</f>
        <v/>
      </c>
      <c r="H122">
        <f>IF(OR(NOT(ISNUMBER(D122)),ABS(D122-E122)&gt;$O$3,AND($O$11=1,B122&lt;$O$12)),1,0)</f>
        <v/>
      </c>
      <c r="I122">
        <f>IF(H122=1,NA(),D122)</f>
        <v/>
      </c>
      <c r="J122">
        <f>IF(AND(ISNUMBER(D122),D122&gt;=$O$4,OR($O$11=0,B122&gt;=$O$12)),1,0)</f>
        <v/>
      </c>
      <c r="K122">
        <f>B122-$O$14</f>
        <v/>
      </c>
    </row>
    <row r="123">
      <c r="A123" t="n">
        <v>363</v>
      </c>
      <c r="B123" t="n">
        <v>12.1</v>
      </c>
      <c r="C123" t="inlineStr">
        <is>
          <t>423</t>
        </is>
      </c>
      <c r="D123" t="n">
        <v>4.23</v>
      </c>
      <c r="E123">
        <f>MEDIAN(D103:D143)</f>
        <v/>
      </c>
      <c r="F123">
        <f>E103</f>
        <v/>
      </c>
      <c r="G123">
        <f>F123-E123</f>
        <v/>
      </c>
      <c r="H123">
        <f>IF(OR(NOT(ISNUMBER(D123)),ABS(D123-E123)&gt;$O$3,AND($O$11=1,B123&lt;$O$12)),1,0)</f>
        <v/>
      </c>
      <c r="I123">
        <f>IF(H123=1,NA(),D123)</f>
        <v/>
      </c>
      <c r="J123">
        <f>IF(AND(ISNUMBER(D123),D123&gt;=$O$4,OR($O$11=0,B123&gt;=$O$12)),1,0)</f>
        <v/>
      </c>
      <c r="K123">
        <f>B123-$O$14</f>
        <v/>
      </c>
    </row>
    <row r="124">
      <c r="A124" t="n">
        <v>366</v>
      </c>
      <c r="B124" t="n">
        <v>12.2</v>
      </c>
      <c r="C124" t="inlineStr">
        <is>
          <t>425</t>
        </is>
      </c>
      <c r="D124" t="n">
        <v>4.25</v>
      </c>
      <c r="E124">
        <f>MEDIAN(D104:D144)</f>
        <v/>
      </c>
      <c r="F124">
        <f>E104</f>
        <v/>
      </c>
      <c r="G124">
        <f>F124-E124</f>
        <v/>
      </c>
      <c r="H124">
        <f>IF(OR(NOT(ISNUMBER(D124)),ABS(D124-E124)&gt;$O$3,AND($O$11=1,B124&lt;$O$12)),1,0)</f>
        <v/>
      </c>
      <c r="I124">
        <f>IF(H124=1,NA(),D124)</f>
        <v/>
      </c>
      <c r="J124">
        <f>IF(AND(ISNUMBER(D124),D124&gt;=$O$4,OR($O$11=0,B124&gt;=$O$12)),1,0)</f>
        <v/>
      </c>
      <c r="K124">
        <f>B124-$O$14</f>
        <v/>
      </c>
    </row>
    <row r="125">
      <c r="A125" t="n">
        <v>369</v>
      </c>
      <c r="B125" t="n">
        <v>12.3</v>
      </c>
      <c r="C125" t="inlineStr">
        <is>
          <t>427</t>
        </is>
      </c>
      <c r="D125" t="n">
        <v>4.27</v>
      </c>
      <c r="E125">
        <f>MEDIAN(D105:D145)</f>
        <v/>
      </c>
      <c r="F125">
        <f>E105</f>
        <v/>
      </c>
      <c r="G125">
        <f>F125-E125</f>
        <v/>
      </c>
      <c r="H125">
        <f>IF(OR(NOT(ISNUMBER(D125)),ABS(D125-E125)&gt;$O$3,AND($O$11=1,B125&lt;$O$12)),1,0)</f>
        <v/>
      </c>
      <c r="I125">
        <f>IF(H125=1,NA(),D125)</f>
        <v/>
      </c>
      <c r="J125">
        <f>IF(AND(ISNUMBER(D125),D125&gt;=$O$4,OR($O$11=0,B125&gt;=$O$12)),1,0)</f>
        <v/>
      </c>
      <c r="K125">
        <f>B125-$O$14</f>
        <v/>
      </c>
    </row>
    <row r="126">
      <c r="A126" t="n">
        <v>372</v>
      </c>
      <c r="B126" t="n">
        <v>12.4</v>
      </c>
      <c r="C126" t="inlineStr">
        <is>
          <t>429</t>
        </is>
      </c>
      <c r="D126" t="n">
        <v>4.29</v>
      </c>
      <c r="E126">
        <f>MEDIAN(D106:D146)</f>
        <v/>
      </c>
      <c r="F126">
        <f>E106</f>
        <v/>
      </c>
      <c r="G126">
        <f>F126-E126</f>
        <v/>
      </c>
      <c r="H126">
        <f>IF(OR(NOT(ISNUMBER(D126)),ABS(D126-E126)&gt;$O$3,AND($O$11=1,B126&lt;$O$12)),1,0)</f>
        <v/>
      </c>
      <c r="I126">
        <f>IF(H126=1,NA(),D126)</f>
        <v/>
      </c>
      <c r="J126">
        <f>IF(AND(ISNUMBER(D126),D126&gt;=$O$4,OR($O$11=0,B126&gt;=$O$12)),1,0)</f>
        <v/>
      </c>
      <c r="K126">
        <f>B126-$O$14</f>
        <v/>
      </c>
    </row>
    <row r="127">
      <c r="A127" t="n">
        <v>375</v>
      </c>
      <c r="B127" t="n">
        <v>12.5</v>
      </c>
      <c r="C127" t="inlineStr">
        <is>
          <t>432</t>
        </is>
      </c>
      <c r="D127" t="n">
        <v>4.32</v>
      </c>
      <c r="E127">
        <f>MEDIAN(D107:D147)</f>
        <v/>
      </c>
      <c r="F127">
        <f>E107</f>
        <v/>
      </c>
      <c r="G127">
        <f>F127-E127</f>
        <v/>
      </c>
      <c r="H127">
        <f>IF(OR(NOT(ISNUMBER(D127)),ABS(D127-E127)&gt;$O$3,AND($O$11=1,B127&lt;$O$12)),1,0)</f>
        <v/>
      </c>
      <c r="I127">
        <f>IF(H127=1,NA(),D127)</f>
        <v/>
      </c>
      <c r="J127">
        <f>IF(AND(ISNUMBER(D127),D127&gt;=$O$4,OR($O$11=0,B127&gt;=$O$12)),1,0)</f>
        <v/>
      </c>
      <c r="K127">
        <f>B127-$O$14</f>
        <v/>
      </c>
    </row>
    <row r="128">
      <c r="A128" t="n">
        <v>378</v>
      </c>
      <c r="B128" t="n">
        <v>12.6</v>
      </c>
      <c r="C128" t="inlineStr">
        <is>
          <t>433</t>
        </is>
      </c>
      <c r="D128" t="n">
        <v>4.33</v>
      </c>
      <c r="E128">
        <f>MEDIAN(D108:D148)</f>
        <v/>
      </c>
      <c r="F128">
        <f>E108</f>
        <v/>
      </c>
      <c r="G128">
        <f>F128-E128</f>
        <v/>
      </c>
      <c r="H128">
        <f>IF(OR(NOT(ISNUMBER(D128)),ABS(D128-E128)&gt;$O$3,AND($O$11=1,B128&lt;$O$12)),1,0)</f>
        <v/>
      </c>
      <c r="I128">
        <f>IF(H128=1,NA(),D128)</f>
        <v/>
      </c>
      <c r="J128">
        <f>IF(AND(ISNUMBER(D128),D128&gt;=$O$4,OR($O$11=0,B128&gt;=$O$12)),1,0)</f>
        <v/>
      </c>
      <c r="K128">
        <f>B128-$O$14</f>
        <v/>
      </c>
    </row>
    <row r="129">
      <c r="A129" t="n">
        <v>381</v>
      </c>
      <c r="B129" t="n">
        <v>12.7</v>
      </c>
      <c r="C129" t="inlineStr">
        <is>
          <t>436</t>
        </is>
      </c>
      <c r="D129" t="n">
        <v>4.36</v>
      </c>
      <c r="E129">
        <f>MEDIAN(D109:D149)</f>
        <v/>
      </c>
      <c r="F129">
        <f>E109</f>
        <v/>
      </c>
      <c r="G129">
        <f>F129-E129</f>
        <v/>
      </c>
      <c r="H129">
        <f>IF(OR(NOT(ISNUMBER(D129)),ABS(D129-E129)&gt;$O$3,AND($O$11=1,B129&lt;$O$12)),1,0)</f>
        <v/>
      </c>
      <c r="I129">
        <f>IF(H129=1,NA(),D129)</f>
        <v/>
      </c>
      <c r="J129">
        <f>IF(AND(ISNUMBER(D129),D129&gt;=$O$4,OR($O$11=0,B129&gt;=$O$12)),1,0)</f>
        <v/>
      </c>
      <c r="K129">
        <f>B129-$O$14</f>
        <v/>
      </c>
    </row>
    <row r="130">
      <c r="A130" t="n">
        <v>384</v>
      </c>
      <c r="B130" t="n">
        <v>12.8</v>
      </c>
      <c r="C130" t="inlineStr">
        <is>
          <t>439</t>
        </is>
      </c>
      <c r="D130" t="n">
        <v>4.39</v>
      </c>
      <c r="E130">
        <f>MEDIAN(D110:D150)</f>
        <v/>
      </c>
      <c r="F130">
        <f>E110</f>
        <v/>
      </c>
      <c r="G130">
        <f>F130-E130</f>
        <v/>
      </c>
      <c r="H130">
        <f>IF(OR(NOT(ISNUMBER(D130)),ABS(D130-E130)&gt;$O$3,AND($O$11=1,B130&lt;$O$12)),1,0)</f>
        <v/>
      </c>
      <c r="I130">
        <f>IF(H130=1,NA(),D130)</f>
        <v/>
      </c>
      <c r="J130">
        <f>IF(AND(ISNUMBER(D130),D130&gt;=$O$4,OR($O$11=0,B130&gt;=$O$12)),1,0)</f>
        <v/>
      </c>
      <c r="K130">
        <f>B130-$O$14</f>
        <v/>
      </c>
    </row>
    <row r="131">
      <c r="A131" t="n">
        <v>387</v>
      </c>
      <c r="B131" t="n">
        <v>12.9</v>
      </c>
      <c r="C131" t="inlineStr">
        <is>
          <t>441</t>
        </is>
      </c>
      <c r="D131" t="n">
        <v>4.41</v>
      </c>
      <c r="E131">
        <f>MEDIAN(D111:D151)</f>
        <v/>
      </c>
      <c r="F131">
        <f>E111</f>
        <v/>
      </c>
      <c r="G131">
        <f>F131-E131</f>
        <v/>
      </c>
      <c r="H131">
        <f>IF(OR(NOT(ISNUMBER(D131)),ABS(D131-E131)&gt;$O$3,AND($O$11=1,B131&lt;$O$12)),1,0)</f>
        <v/>
      </c>
      <c r="I131">
        <f>IF(H131=1,NA(),D131)</f>
        <v/>
      </c>
      <c r="J131">
        <f>IF(AND(ISNUMBER(D131),D131&gt;=$O$4,OR($O$11=0,B131&gt;=$O$12)),1,0)</f>
        <v/>
      </c>
      <c r="K131">
        <f>B131-$O$14</f>
        <v/>
      </c>
    </row>
    <row r="132">
      <c r="A132" t="n">
        <v>390</v>
      </c>
      <c r="B132" t="n">
        <v>13</v>
      </c>
      <c r="C132" t="inlineStr">
        <is>
          <t>443</t>
        </is>
      </c>
      <c r="D132" t="n">
        <v>4.43</v>
      </c>
      <c r="E132">
        <f>MEDIAN(D112:D152)</f>
        <v/>
      </c>
      <c r="F132">
        <f>E112</f>
        <v/>
      </c>
      <c r="G132">
        <f>F132-E132</f>
        <v/>
      </c>
      <c r="H132">
        <f>IF(OR(NOT(ISNUMBER(D132)),ABS(D132-E132)&gt;$O$3,AND($O$11=1,B132&lt;$O$12)),1,0)</f>
        <v/>
      </c>
      <c r="I132">
        <f>IF(H132=1,NA(),D132)</f>
        <v/>
      </c>
      <c r="J132">
        <f>IF(AND(ISNUMBER(D132),D132&gt;=$O$4,OR($O$11=0,B132&gt;=$O$12)),1,0)</f>
        <v/>
      </c>
      <c r="K132">
        <f>B132-$O$14</f>
        <v/>
      </c>
    </row>
    <row r="133">
      <c r="A133" t="n">
        <v>393</v>
      </c>
      <c r="B133" t="n">
        <v>13.1</v>
      </c>
      <c r="C133" t="inlineStr">
        <is>
          <t>445</t>
        </is>
      </c>
      <c r="D133" t="n">
        <v>4.45</v>
      </c>
      <c r="E133">
        <f>MEDIAN(D113:D153)</f>
        <v/>
      </c>
      <c r="F133">
        <f>E113</f>
        <v/>
      </c>
      <c r="G133">
        <f>F133-E133</f>
        <v/>
      </c>
      <c r="H133">
        <f>IF(OR(NOT(ISNUMBER(D133)),ABS(D133-E133)&gt;$O$3,AND($O$11=1,B133&lt;$O$12)),1,0)</f>
        <v/>
      </c>
      <c r="I133">
        <f>IF(H133=1,NA(),D133)</f>
        <v/>
      </c>
      <c r="J133">
        <f>IF(AND(ISNUMBER(D133),D133&gt;=$O$4,OR($O$11=0,B133&gt;=$O$12)),1,0)</f>
        <v/>
      </c>
      <c r="K133">
        <f>B133-$O$14</f>
        <v/>
      </c>
    </row>
    <row r="134">
      <c r="A134" t="n">
        <v>396</v>
      </c>
      <c r="B134" t="n">
        <v>13.2</v>
      </c>
      <c r="C134" t="inlineStr">
        <is>
          <t>447</t>
        </is>
      </c>
      <c r="D134" t="n">
        <v>4.47</v>
      </c>
      <c r="E134">
        <f>MEDIAN(D114:D154)</f>
        <v/>
      </c>
      <c r="F134">
        <f>E114</f>
        <v/>
      </c>
      <c r="G134">
        <f>F134-E134</f>
        <v/>
      </c>
      <c r="H134">
        <f>IF(OR(NOT(ISNUMBER(D134)),ABS(D134-E134)&gt;$O$3,AND($O$11=1,B134&lt;$O$12)),1,0)</f>
        <v/>
      </c>
      <c r="I134">
        <f>IF(H134=1,NA(),D134)</f>
        <v/>
      </c>
      <c r="J134">
        <f>IF(AND(ISNUMBER(D134),D134&gt;=$O$4,OR($O$11=0,B134&gt;=$O$12)),1,0)</f>
        <v/>
      </c>
      <c r="K134">
        <f>B134-$O$14</f>
        <v/>
      </c>
    </row>
    <row r="135">
      <c r="A135" t="n">
        <v>399</v>
      </c>
      <c r="B135" t="n">
        <v>13.3</v>
      </c>
      <c r="C135" t="inlineStr">
        <is>
          <t>449</t>
        </is>
      </c>
      <c r="D135" t="n">
        <v>4.49</v>
      </c>
      <c r="E135">
        <f>MEDIAN(D115:D155)</f>
        <v/>
      </c>
      <c r="F135">
        <f>E115</f>
        <v/>
      </c>
      <c r="G135">
        <f>F135-E135</f>
        <v/>
      </c>
      <c r="H135">
        <f>IF(OR(NOT(ISNUMBER(D135)),ABS(D135-E135)&gt;$O$3,AND($O$11=1,B135&lt;$O$12)),1,0)</f>
        <v/>
      </c>
      <c r="I135">
        <f>IF(H135=1,NA(),D135)</f>
        <v/>
      </c>
      <c r="J135">
        <f>IF(AND(ISNUMBER(D135),D135&gt;=$O$4,OR($O$11=0,B135&gt;=$O$12)),1,0)</f>
        <v/>
      </c>
      <c r="K135">
        <f>B135-$O$14</f>
        <v/>
      </c>
    </row>
    <row r="136">
      <c r="A136" t="n">
        <v>402</v>
      </c>
      <c r="B136" t="n">
        <v>13.4</v>
      </c>
      <c r="C136" t="inlineStr">
        <is>
          <t>451</t>
        </is>
      </c>
      <c r="D136" t="n">
        <v>4.51</v>
      </c>
      <c r="E136">
        <f>MEDIAN(D116:D156)</f>
        <v/>
      </c>
      <c r="F136">
        <f>E116</f>
        <v/>
      </c>
      <c r="G136">
        <f>F136-E136</f>
        <v/>
      </c>
      <c r="H136">
        <f>IF(OR(NOT(ISNUMBER(D136)),ABS(D136-E136)&gt;$O$3,AND($O$11=1,B136&lt;$O$12)),1,0)</f>
        <v/>
      </c>
      <c r="I136">
        <f>IF(H136=1,NA(),D136)</f>
        <v/>
      </c>
      <c r="J136">
        <f>IF(AND(ISNUMBER(D136),D136&gt;=$O$4,OR($O$11=0,B136&gt;=$O$12)),1,0)</f>
        <v/>
      </c>
      <c r="K136">
        <f>B136-$O$14</f>
        <v/>
      </c>
    </row>
    <row r="137">
      <c r="A137" t="n">
        <v>405</v>
      </c>
      <c r="B137" t="n">
        <v>13.5</v>
      </c>
      <c r="C137" t="inlineStr">
        <is>
          <t>453</t>
        </is>
      </c>
      <c r="D137" t="n">
        <v>4.53</v>
      </c>
      <c r="E137">
        <f>MEDIAN(D117:D157)</f>
        <v/>
      </c>
      <c r="F137">
        <f>E117</f>
        <v/>
      </c>
      <c r="G137">
        <f>F137-E137</f>
        <v/>
      </c>
      <c r="H137">
        <f>IF(OR(NOT(ISNUMBER(D137)),ABS(D137-E137)&gt;$O$3,AND($O$11=1,B137&lt;$O$12)),1,0)</f>
        <v/>
      </c>
      <c r="I137">
        <f>IF(H137=1,NA(),D137)</f>
        <v/>
      </c>
      <c r="J137">
        <f>IF(AND(ISNUMBER(D137),D137&gt;=$O$4,OR($O$11=0,B137&gt;=$O$12)),1,0)</f>
        <v/>
      </c>
      <c r="K137">
        <f>B137-$O$14</f>
        <v/>
      </c>
    </row>
    <row r="138">
      <c r="A138" t="n">
        <v>408</v>
      </c>
      <c r="B138" t="n">
        <v>13.6</v>
      </c>
      <c r="C138" t="inlineStr">
        <is>
          <t>455</t>
        </is>
      </c>
      <c r="D138" t="n">
        <v>4.55</v>
      </c>
      <c r="E138">
        <f>MEDIAN(D118:D158)</f>
        <v/>
      </c>
      <c r="F138">
        <f>E118</f>
        <v/>
      </c>
      <c r="G138">
        <f>F138-E138</f>
        <v/>
      </c>
      <c r="H138">
        <f>IF(OR(NOT(ISNUMBER(D138)),ABS(D138-E138)&gt;$O$3,AND($O$11=1,B138&lt;$O$12)),1,0)</f>
        <v/>
      </c>
      <c r="I138">
        <f>IF(H138=1,NA(),D138)</f>
        <v/>
      </c>
      <c r="J138">
        <f>IF(AND(ISNUMBER(D138),D138&gt;=$O$4,OR($O$11=0,B138&gt;=$O$12)),1,0)</f>
        <v/>
      </c>
      <c r="K138">
        <f>B138-$O$14</f>
        <v/>
      </c>
    </row>
    <row r="139">
      <c r="A139" t="n">
        <v>411</v>
      </c>
      <c r="B139" t="n">
        <v>13.7</v>
      </c>
      <c r="C139" t="inlineStr">
        <is>
          <t>457</t>
        </is>
      </c>
      <c r="D139" t="n">
        <v>4.57</v>
      </c>
      <c r="E139">
        <f>MEDIAN(D119:D159)</f>
        <v/>
      </c>
      <c r="F139">
        <f>E119</f>
        <v/>
      </c>
      <c r="G139">
        <f>F139-E139</f>
        <v/>
      </c>
      <c r="H139">
        <f>IF(OR(NOT(ISNUMBER(D139)),ABS(D139-E139)&gt;$O$3,AND($O$11=1,B139&lt;$O$12)),1,0)</f>
        <v/>
      </c>
      <c r="I139">
        <f>IF(H139=1,NA(),D139)</f>
        <v/>
      </c>
      <c r="J139">
        <f>IF(AND(ISNUMBER(D139),D139&gt;=$O$4,OR($O$11=0,B139&gt;=$O$12)),1,0)</f>
        <v/>
      </c>
      <c r="K139">
        <f>B139-$O$14</f>
        <v/>
      </c>
    </row>
    <row r="140">
      <c r="A140" t="n">
        <v>414</v>
      </c>
      <c r="B140" t="n">
        <v>13.8</v>
      </c>
      <c r="C140" t="inlineStr">
        <is>
          <t>459</t>
        </is>
      </c>
      <c r="D140" t="n">
        <v>4.59</v>
      </c>
      <c r="E140">
        <f>MEDIAN(D120:D160)</f>
        <v/>
      </c>
      <c r="F140">
        <f>E120</f>
        <v/>
      </c>
      <c r="G140">
        <f>F140-E140</f>
        <v/>
      </c>
      <c r="H140">
        <f>IF(OR(NOT(ISNUMBER(D140)),ABS(D140-E140)&gt;$O$3,AND($O$11=1,B140&lt;$O$12)),1,0)</f>
        <v/>
      </c>
      <c r="I140">
        <f>IF(H140=1,NA(),D140)</f>
        <v/>
      </c>
      <c r="J140">
        <f>IF(AND(ISNUMBER(D140),D140&gt;=$O$4,OR($O$11=0,B140&gt;=$O$12)),1,0)</f>
        <v/>
      </c>
      <c r="K140">
        <f>B140-$O$14</f>
        <v/>
      </c>
    </row>
    <row r="141">
      <c r="A141" t="n">
        <v>417</v>
      </c>
      <c r="B141" t="n">
        <v>13.9</v>
      </c>
      <c r="C141" t="inlineStr">
        <is>
          <t>461</t>
        </is>
      </c>
      <c r="D141" t="n">
        <v>4.61</v>
      </c>
      <c r="E141">
        <f>MEDIAN(D121:D161)</f>
        <v/>
      </c>
      <c r="F141">
        <f>E121</f>
        <v/>
      </c>
      <c r="G141">
        <f>F141-E141</f>
        <v/>
      </c>
      <c r="H141">
        <f>IF(OR(NOT(ISNUMBER(D141)),ABS(D141-E141)&gt;$O$3,AND($O$11=1,B141&lt;$O$12)),1,0)</f>
        <v/>
      </c>
      <c r="I141">
        <f>IF(H141=1,NA(),D141)</f>
        <v/>
      </c>
      <c r="J141">
        <f>IF(AND(ISNUMBER(D141),D141&gt;=$O$4,OR($O$11=0,B141&gt;=$O$12)),1,0)</f>
        <v/>
      </c>
      <c r="K141">
        <f>B141-$O$14</f>
        <v/>
      </c>
    </row>
    <row r="142">
      <c r="A142" t="n">
        <v>420</v>
      </c>
      <c r="B142" t="n">
        <v>14</v>
      </c>
      <c r="C142" t="inlineStr">
        <is>
          <t>463</t>
        </is>
      </c>
      <c r="D142" t="n">
        <v>4.63</v>
      </c>
      <c r="E142">
        <f>MEDIAN(D122:D162)</f>
        <v/>
      </c>
      <c r="F142">
        <f>E122</f>
        <v/>
      </c>
      <c r="G142">
        <f>F142-E142</f>
        <v/>
      </c>
      <c r="H142">
        <f>IF(OR(NOT(ISNUMBER(D142)),ABS(D142-E142)&gt;$O$3,AND($O$11=1,B142&lt;$O$12)),1,0)</f>
        <v/>
      </c>
      <c r="I142">
        <f>IF(H142=1,NA(),D142)</f>
        <v/>
      </c>
      <c r="J142">
        <f>IF(AND(ISNUMBER(D142),D142&gt;=$O$4,OR($O$11=0,B142&gt;=$O$12)),1,0)</f>
        <v/>
      </c>
      <c r="K142">
        <f>B142-$O$14</f>
        <v/>
      </c>
    </row>
    <row r="143">
      <c r="A143" t="n">
        <v>423</v>
      </c>
      <c r="B143" t="n">
        <v>14.1</v>
      </c>
      <c r="C143" t="inlineStr">
        <is>
          <t>466</t>
        </is>
      </c>
      <c r="D143" t="n">
        <v>4.66</v>
      </c>
      <c r="E143">
        <f>MEDIAN(D123:D163)</f>
        <v/>
      </c>
      <c r="F143">
        <f>E123</f>
        <v/>
      </c>
      <c r="G143">
        <f>F143-E143</f>
        <v/>
      </c>
      <c r="H143">
        <f>IF(OR(NOT(ISNUMBER(D143)),ABS(D143-E143)&gt;$O$3,AND($O$11=1,B143&lt;$O$12)),1,0)</f>
        <v/>
      </c>
      <c r="I143">
        <f>IF(H143=1,NA(),D143)</f>
        <v/>
      </c>
      <c r="J143">
        <f>IF(AND(ISNUMBER(D143),D143&gt;=$O$4,OR($O$11=0,B143&gt;=$O$12)),1,0)</f>
        <v/>
      </c>
      <c r="K143">
        <f>B143-$O$14</f>
        <v/>
      </c>
    </row>
    <row r="144">
      <c r="A144" t="n">
        <v>426</v>
      </c>
      <c r="B144" t="n">
        <v>14.2</v>
      </c>
      <c r="C144" t="inlineStr">
        <is>
          <t>468</t>
        </is>
      </c>
      <c r="D144" t="n">
        <v>4.68</v>
      </c>
      <c r="E144">
        <f>MEDIAN(D124:D164)</f>
        <v/>
      </c>
      <c r="F144">
        <f>E124</f>
        <v/>
      </c>
      <c r="G144">
        <f>F144-E144</f>
        <v/>
      </c>
      <c r="H144">
        <f>IF(OR(NOT(ISNUMBER(D144)),ABS(D144-E144)&gt;$O$3,AND($O$11=1,B144&lt;$O$12)),1,0)</f>
        <v/>
      </c>
      <c r="I144">
        <f>IF(H144=1,NA(),D144)</f>
        <v/>
      </c>
      <c r="J144">
        <f>IF(AND(ISNUMBER(D144),D144&gt;=$O$4,OR($O$11=0,B144&gt;=$O$12)),1,0)</f>
        <v/>
      </c>
      <c r="K144">
        <f>B144-$O$14</f>
        <v/>
      </c>
    </row>
    <row r="145">
      <c r="A145" t="n">
        <v>429</v>
      </c>
      <c r="B145" t="n">
        <v>14.3</v>
      </c>
      <c r="C145" t="inlineStr">
        <is>
          <t>470</t>
        </is>
      </c>
      <c r="D145" t="n">
        <v>4.7</v>
      </c>
      <c r="E145">
        <f>MEDIAN(D125:D165)</f>
        <v/>
      </c>
      <c r="F145">
        <f>E125</f>
        <v/>
      </c>
      <c r="G145">
        <f>F145-E145</f>
        <v/>
      </c>
      <c r="H145">
        <f>IF(OR(NOT(ISNUMBER(D145)),ABS(D145-E145)&gt;$O$3,AND($O$11=1,B145&lt;$O$12)),1,0)</f>
        <v/>
      </c>
      <c r="I145">
        <f>IF(H145=1,NA(),D145)</f>
        <v/>
      </c>
      <c r="J145">
        <f>IF(AND(ISNUMBER(D145),D145&gt;=$O$4,OR($O$11=0,B145&gt;=$O$12)),1,0)</f>
        <v/>
      </c>
      <c r="K145">
        <f>B145-$O$14</f>
        <v/>
      </c>
    </row>
    <row r="146">
      <c r="A146" t="n">
        <v>432</v>
      </c>
      <c r="B146" t="n">
        <v>14.4</v>
      </c>
      <c r="C146" t="inlineStr">
        <is>
          <t>472</t>
        </is>
      </c>
      <c r="D146" t="n">
        <v>4.72</v>
      </c>
      <c r="E146">
        <f>MEDIAN(D126:D166)</f>
        <v/>
      </c>
      <c r="F146">
        <f>E126</f>
        <v/>
      </c>
      <c r="G146">
        <f>F146-E146</f>
        <v/>
      </c>
      <c r="H146">
        <f>IF(OR(NOT(ISNUMBER(D146)),ABS(D146-E146)&gt;$O$3,AND($O$11=1,B146&lt;$O$12)),1,0)</f>
        <v/>
      </c>
      <c r="I146">
        <f>IF(H146=1,NA(),D146)</f>
        <v/>
      </c>
      <c r="J146">
        <f>IF(AND(ISNUMBER(D146),D146&gt;=$O$4,OR($O$11=0,B146&gt;=$O$12)),1,0)</f>
        <v/>
      </c>
      <c r="K146">
        <f>B146-$O$14</f>
        <v/>
      </c>
    </row>
    <row r="147">
      <c r="A147" t="n">
        <v>435</v>
      </c>
      <c r="B147" t="n">
        <v>14.5</v>
      </c>
      <c r="C147" t="inlineStr">
        <is>
          <t>474</t>
        </is>
      </c>
      <c r="D147" t="n">
        <v>4.74</v>
      </c>
      <c r="E147">
        <f>MEDIAN(D127:D167)</f>
        <v/>
      </c>
      <c r="F147">
        <f>E127</f>
        <v/>
      </c>
      <c r="G147">
        <f>F147-E147</f>
        <v/>
      </c>
      <c r="H147">
        <f>IF(OR(NOT(ISNUMBER(D147)),ABS(D147-E147)&gt;$O$3,AND($O$11=1,B147&lt;$O$12)),1,0)</f>
        <v/>
      </c>
      <c r="I147">
        <f>IF(H147=1,NA(),D147)</f>
        <v/>
      </c>
      <c r="J147">
        <f>IF(AND(ISNUMBER(D147),D147&gt;=$O$4,OR($O$11=0,B147&gt;=$O$12)),1,0)</f>
        <v/>
      </c>
      <c r="K147">
        <f>B147-$O$14</f>
        <v/>
      </c>
    </row>
    <row r="148">
      <c r="A148" t="n">
        <v>438</v>
      </c>
      <c r="B148" t="n">
        <v>14.6</v>
      </c>
      <c r="C148" t="inlineStr">
        <is>
          <t>476</t>
        </is>
      </c>
      <c r="D148" t="n">
        <v>4.76</v>
      </c>
      <c r="E148">
        <f>MEDIAN(D128:D168)</f>
        <v/>
      </c>
      <c r="F148">
        <f>E128</f>
        <v/>
      </c>
      <c r="G148">
        <f>F148-E148</f>
        <v/>
      </c>
      <c r="H148">
        <f>IF(OR(NOT(ISNUMBER(D148)),ABS(D148-E148)&gt;$O$3,AND($O$11=1,B148&lt;$O$12)),1,0)</f>
        <v/>
      </c>
      <c r="I148">
        <f>IF(H148=1,NA(),D148)</f>
        <v/>
      </c>
      <c r="J148">
        <f>IF(AND(ISNUMBER(D148),D148&gt;=$O$4,OR($O$11=0,B148&gt;=$O$12)),1,0)</f>
        <v/>
      </c>
      <c r="K148">
        <f>B148-$O$14</f>
        <v/>
      </c>
    </row>
    <row r="149">
      <c r="A149" t="n">
        <v>441</v>
      </c>
      <c r="B149" t="n">
        <v>14.7</v>
      </c>
      <c r="C149" t="inlineStr">
        <is>
          <t>478</t>
        </is>
      </c>
      <c r="D149" t="n">
        <v>4.78</v>
      </c>
      <c r="E149">
        <f>MEDIAN(D129:D169)</f>
        <v/>
      </c>
      <c r="F149">
        <f>E129</f>
        <v/>
      </c>
      <c r="G149">
        <f>F149-E149</f>
        <v/>
      </c>
      <c r="H149">
        <f>IF(OR(NOT(ISNUMBER(D149)),ABS(D149-E149)&gt;$O$3,AND($O$11=1,B149&lt;$O$12)),1,0)</f>
        <v/>
      </c>
      <c r="I149">
        <f>IF(H149=1,NA(),D149)</f>
        <v/>
      </c>
      <c r="J149">
        <f>IF(AND(ISNUMBER(D149),D149&gt;=$O$4,OR($O$11=0,B149&gt;=$O$12)),1,0)</f>
        <v/>
      </c>
      <c r="K149">
        <f>B149-$O$14</f>
        <v/>
      </c>
    </row>
    <row r="150">
      <c r="A150" t="n">
        <v>444</v>
      </c>
      <c r="B150" t="n">
        <v>14.8</v>
      </c>
      <c r="C150" t="inlineStr">
        <is>
          <t>481</t>
        </is>
      </c>
      <c r="D150" t="n">
        <v>4.81</v>
      </c>
      <c r="E150">
        <f>MEDIAN(D130:D170)</f>
        <v/>
      </c>
      <c r="F150">
        <f>E130</f>
        <v/>
      </c>
      <c r="G150">
        <f>F150-E150</f>
        <v/>
      </c>
      <c r="H150">
        <f>IF(OR(NOT(ISNUMBER(D150)),ABS(D150-E150)&gt;$O$3,AND($O$11=1,B150&lt;$O$12)),1,0)</f>
        <v/>
      </c>
      <c r="I150">
        <f>IF(H150=1,NA(),D150)</f>
        <v/>
      </c>
      <c r="J150">
        <f>IF(AND(ISNUMBER(D150),D150&gt;=$O$4,OR($O$11=0,B150&gt;=$O$12)),1,0)</f>
        <v/>
      </c>
      <c r="K150">
        <f>B150-$O$14</f>
        <v/>
      </c>
    </row>
    <row r="151">
      <c r="A151" t="n">
        <v>447</v>
      </c>
      <c r="B151" t="n">
        <v>14.9</v>
      </c>
      <c r="C151" t="inlineStr">
        <is>
          <t>483</t>
        </is>
      </c>
      <c r="D151" t="n">
        <v>4.83</v>
      </c>
      <c r="E151">
        <f>MEDIAN(D131:D171)</f>
        <v/>
      </c>
      <c r="F151">
        <f>E131</f>
        <v/>
      </c>
      <c r="G151">
        <f>F151-E151</f>
        <v/>
      </c>
      <c r="H151">
        <f>IF(OR(NOT(ISNUMBER(D151)),ABS(D151-E151)&gt;$O$3,AND($O$11=1,B151&lt;$O$12)),1,0)</f>
        <v/>
      </c>
      <c r="I151">
        <f>IF(H151=1,NA(),D151)</f>
        <v/>
      </c>
      <c r="J151">
        <f>IF(AND(ISNUMBER(D151),D151&gt;=$O$4,OR($O$11=0,B151&gt;=$O$12)),1,0)</f>
        <v/>
      </c>
      <c r="K151">
        <f>B151-$O$14</f>
        <v/>
      </c>
    </row>
    <row r="152">
      <c r="A152" t="n">
        <v>450</v>
      </c>
      <c r="B152" t="n">
        <v>15</v>
      </c>
      <c r="C152" t="inlineStr">
        <is>
          <t>485</t>
        </is>
      </c>
      <c r="D152" t="n">
        <v>4.85</v>
      </c>
      <c r="E152">
        <f>MEDIAN(D132:D172)</f>
        <v/>
      </c>
      <c r="F152">
        <f>E132</f>
        <v/>
      </c>
      <c r="G152">
        <f>F152-E152</f>
        <v/>
      </c>
      <c r="H152">
        <f>IF(OR(NOT(ISNUMBER(D152)),ABS(D152-E152)&gt;$O$3,AND($O$11=1,B152&lt;$O$12)),1,0)</f>
        <v/>
      </c>
      <c r="I152">
        <f>IF(H152=1,NA(),D152)</f>
        <v/>
      </c>
      <c r="J152">
        <f>IF(AND(ISNUMBER(D152),D152&gt;=$O$4,OR($O$11=0,B152&gt;=$O$12)),1,0)</f>
        <v/>
      </c>
      <c r="K152">
        <f>B152-$O$14</f>
        <v/>
      </c>
    </row>
    <row r="153">
      <c r="A153" t="n">
        <v>453</v>
      </c>
      <c r="B153" t="n">
        <v>15.1</v>
      </c>
      <c r="C153" t="inlineStr">
        <is>
          <t>487</t>
        </is>
      </c>
      <c r="D153" t="n">
        <v>4.87</v>
      </c>
      <c r="E153">
        <f>MEDIAN(D133:D173)</f>
        <v/>
      </c>
      <c r="F153">
        <f>E133</f>
        <v/>
      </c>
      <c r="G153">
        <f>F153-E153</f>
        <v/>
      </c>
      <c r="H153">
        <f>IF(OR(NOT(ISNUMBER(D153)),ABS(D153-E153)&gt;$O$3,AND($O$11=1,B153&lt;$O$12)),1,0)</f>
        <v/>
      </c>
      <c r="I153">
        <f>IF(H153=1,NA(),D153)</f>
        <v/>
      </c>
      <c r="J153">
        <f>IF(AND(ISNUMBER(D153),D153&gt;=$O$4,OR($O$11=0,B153&gt;=$O$12)),1,0)</f>
        <v/>
      </c>
      <c r="K153">
        <f>B153-$O$14</f>
        <v/>
      </c>
    </row>
    <row r="154">
      <c r="A154" t="n">
        <v>456</v>
      </c>
      <c r="B154" t="n">
        <v>15.2</v>
      </c>
      <c r="C154" t="inlineStr">
        <is>
          <t>489</t>
        </is>
      </c>
      <c r="D154" t="n">
        <v>4.89</v>
      </c>
      <c r="E154">
        <f>MEDIAN(D134:D174)</f>
        <v/>
      </c>
      <c r="F154">
        <f>E134</f>
        <v/>
      </c>
      <c r="G154">
        <f>F154-E154</f>
        <v/>
      </c>
      <c r="H154">
        <f>IF(OR(NOT(ISNUMBER(D154)),ABS(D154-E154)&gt;$O$3,AND($O$11=1,B154&lt;$O$12)),1,0)</f>
        <v/>
      </c>
      <c r="I154">
        <f>IF(H154=1,NA(),D154)</f>
        <v/>
      </c>
      <c r="J154">
        <f>IF(AND(ISNUMBER(D154),D154&gt;=$O$4,OR($O$11=0,B154&gt;=$O$12)),1,0)</f>
        <v/>
      </c>
      <c r="K154">
        <f>B154-$O$14</f>
        <v/>
      </c>
    </row>
    <row r="155">
      <c r="A155" t="n">
        <v>459</v>
      </c>
      <c r="B155" t="n">
        <v>15.3</v>
      </c>
      <c r="C155" t="inlineStr">
        <is>
          <t>492</t>
        </is>
      </c>
      <c r="D155" t="n">
        <v>4.92</v>
      </c>
      <c r="E155">
        <f>MEDIAN(D135:D175)</f>
        <v/>
      </c>
      <c r="F155">
        <f>E135</f>
        <v/>
      </c>
      <c r="G155">
        <f>F155-E155</f>
        <v/>
      </c>
      <c r="H155">
        <f>IF(OR(NOT(ISNUMBER(D155)),ABS(D155-E155)&gt;$O$3,AND($O$11=1,B155&lt;$O$12)),1,0)</f>
        <v/>
      </c>
      <c r="I155">
        <f>IF(H155=1,NA(),D155)</f>
        <v/>
      </c>
      <c r="J155">
        <f>IF(AND(ISNUMBER(D155),D155&gt;=$O$4,OR($O$11=0,B155&gt;=$O$12)),1,0)</f>
        <v/>
      </c>
      <c r="K155">
        <f>B155-$O$14</f>
        <v/>
      </c>
    </row>
    <row r="156">
      <c r="A156" t="n">
        <v>462</v>
      </c>
      <c r="B156" t="n">
        <v>15.4</v>
      </c>
      <c r="C156" t="inlineStr">
        <is>
          <t>494</t>
        </is>
      </c>
      <c r="D156" t="n">
        <v>4.94</v>
      </c>
      <c r="E156">
        <f>MEDIAN(D136:D176)</f>
        <v/>
      </c>
      <c r="F156">
        <f>E136</f>
        <v/>
      </c>
      <c r="G156">
        <f>F156-E156</f>
        <v/>
      </c>
      <c r="H156">
        <f>IF(OR(NOT(ISNUMBER(D156)),ABS(D156-E156)&gt;$O$3,AND($O$11=1,B156&lt;$O$12)),1,0)</f>
        <v/>
      </c>
      <c r="I156">
        <f>IF(H156=1,NA(),D156)</f>
        <v/>
      </c>
      <c r="J156">
        <f>IF(AND(ISNUMBER(D156),D156&gt;=$O$4,OR($O$11=0,B156&gt;=$O$12)),1,0)</f>
        <v/>
      </c>
      <c r="K156">
        <f>B156-$O$14</f>
        <v/>
      </c>
    </row>
    <row r="157">
      <c r="A157" t="n">
        <v>465</v>
      </c>
      <c r="B157" t="n">
        <v>15.5</v>
      </c>
      <c r="C157" t="inlineStr">
        <is>
          <t>496</t>
        </is>
      </c>
      <c r="D157" t="n">
        <v>4.96</v>
      </c>
      <c r="E157">
        <f>MEDIAN(D137:D177)</f>
        <v/>
      </c>
      <c r="F157">
        <f>E137</f>
        <v/>
      </c>
      <c r="G157">
        <f>F157-E157</f>
        <v/>
      </c>
      <c r="H157">
        <f>IF(OR(NOT(ISNUMBER(D157)),ABS(D157-E157)&gt;$O$3,AND($O$11=1,B157&lt;$O$12)),1,0)</f>
        <v/>
      </c>
      <c r="I157">
        <f>IF(H157=1,NA(),D157)</f>
        <v/>
      </c>
      <c r="J157">
        <f>IF(AND(ISNUMBER(D157),D157&gt;=$O$4,OR($O$11=0,B157&gt;=$O$12)),1,0)</f>
        <v/>
      </c>
      <c r="K157">
        <f>B157-$O$14</f>
        <v/>
      </c>
    </row>
    <row r="158">
      <c r="A158" t="n">
        <v>468</v>
      </c>
      <c r="B158" t="n">
        <v>15.6</v>
      </c>
      <c r="C158" t="inlineStr">
        <is>
          <t>498</t>
        </is>
      </c>
      <c r="D158" t="n">
        <v>4.98</v>
      </c>
      <c r="E158">
        <f>MEDIAN(D138:D178)</f>
        <v/>
      </c>
      <c r="F158">
        <f>E138</f>
        <v/>
      </c>
      <c r="G158">
        <f>F158-E158</f>
        <v/>
      </c>
      <c r="H158">
        <f>IF(OR(NOT(ISNUMBER(D158)),ABS(D158-E158)&gt;$O$3,AND($O$11=1,B158&lt;$O$12)),1,0)</f>
        <v/>
      </c>
      <c r="I158">
        <f>IF(H158=1,NA(),D158)</f>
        <v/>
      </c>
      <c r="J158">
        <f>IF(AND(ISNUMBER(D158),D158&gt;=$O$4,OR($O$11=0,B158&gt;=$O$12)),1,0)</f>
        <v/>
      </c>
      <c r="K158">
        <f>B158-$O$14</f>
        <v/>
      </c>
    </row>
    <row r="159">
      <c r="A159" t="n">
        <v>471</v>
      </c>
      <c r="B159" t="n">
        <v>15.7</v>
      </c>
      <c r="C159" t="inlineStr">
        <is>
          <t>500</t>
        </is>
      </c>
      <c r="D159" t="n">
        <v>5</v>
      </c>
      <c r="E159">
        <f>MEDIAN(D139:D179)</f>
        <v/>
      </c>
      <c r="F159">
        <f>E139</f>
        <v/>
      </c>
      <c r="G159">
        <f>F159-E159</f>
        <v/>
      </c>
      <c r="H159">
        <f>IF(OR(NOT(ISNUMBER(D159)),ABS(D159-E159)&gt;$O$3,AND($O$11=1,B159&lt;$O$12)),1,0)</f>
        <v/>
      </c>
      <c r="I159">
        <f>IF(H159=1,NA(),D159)</f>
        <v/>
      </c>
      <c r="J159">
        <f>IF(AND(ISNUMBER(D159),D159&gt;=$O$4,OR($O$11=0,B159&gt;=$O$12)),1,0)</f>
        <v/>
      </c>
      <c r="K159">
        <f>B159-$O$14</f>
        <v/>
      </c>
    </row>
    <row r="160">
      <c r="A160" t="n">
        <v>474</v>
      </c>
      <c r="B160" t="n">
        <v>15.8</v>
      </c>
      <c r="C160" t="inlineStr">
        <is>
          <t>501</t>
        </is>
      </c>
      <c r="D160" t="n">
        <v>5.01</v>
      </c>
      <c r="E160">
        <f>MEDIAN(D140:D180)</f>
        <v/>
      </c>
      <c r="F160">
        <f>E140</f>
        <v/>
      </c>
      <c r="G160">
        <f>F160-E160</f>
        <v/>
      </c>
      <c r="H160">
        <f>IF(OR(NOT(ISNUMBER(D160)),ABS(D160-E160)&gt;$O$3,AND($O$11=1,B160&lt;$O$12)),1,0)</f>
        <v/>
      </c>
      <c r="I160">
        <f>IF(H160=1,NA(),D160)</f>
        <v/>
      </c>
      <c r="J160">
        <f>IF(AND(ISNUMBER(D160),D160&gt;=$O$4,OR($O$11=0,B160&gt;=$O$12)),1,0)</f>
        <v/>
      </c>
      <c r="K160">
        <f>B160-$O$14</f>
        <v/>
      </c>
    </row>
    <row r="161">
      <c r="A161" t="n">
        <v>477</v>
      </c>
      <c r="B161" t="n">
        <v>15.9</v>
      </c>
      <c r="C161" t="inlineStr">
        <is>
          <t>502</t>
        </is>
      </c>
      <c r="D161" t="n">
        <v>5.02</v>
      </c>
      <c r="E161">
        <f>MEDIAN(D141:D181)</f>
        <v/>
      </c>
      <c r="F161">
        <f>E141</f>
        <v/>
      </c>
      <c r="G161">
        <f>F161-E161</f>
        <v/>
      </c>
      <c r="H161">
        <f>IF(OR(NOT(ISNUMBER(D161)),ABS(D161-E161)&gt;$O$3,AND($O$11=1,B161&lt;$O$12)),1,0)</f>
        <v/>
      </c>
      <c r="I161">
        <f>IF(H161=1,NA(),D161)</f>
        <v/>
      </c>
      <c r="J161">
        <f>IF(AND(ISNUMBER(D161),D161&gt;=$O$4,OR($O$11=0,B161&gt;=$O$12)),1,0)</f>
        <v/>
      </c>
      <c r="K161">
        <f>B161-$O$14</f>
        <v/>
      </c>
    </row>
    <row r="162">
      <c r="A162" t="n">
        <v>480</v>
      </c>
      <c r="B162" t="n">
        <v>16</v>
      </c>
      <c r="C162" t="inlineStr">
        <is>
          <t>504</t>
        </is>
      </c>
      <c r="D162" t="n">
        <v>5.04</v>
      </c>
      <c r="E162">
        <f>MEDIAN(D142:D182)</f>
        <v/>
      </c>
      <c r="F162">
        <f>E142</f>
        <v/>
      </c>
      <c r="G162">
        <f>F162-E162</f>
        <v/>
      </c>
      <c r="H162">
        <f>IF(OR(NOT(ISNUMBER(D162)),ABS(D162-E162)&gt;$O$3,AND($O$11=1,B162&lt;$O$12)),1,0)</f>
        <v/>
      </c>
      <c r="I162">
        <f>IF(H162=1,NA(),D162)</f>
        <v/>
      </c>
      <c r="J162">
        <f>IF(AND(ISNUMBER(D162),D162&gt;=$O$4,OR($O$11=0,B162&gt;=$O$12)),1,0)</f>
        <v/>
      </c>
      <c r="K162">
        <f>B162-$O$14</f>
        <v/>
      </c>
    </row>
    <row r="163">
      <c r="A163" t="n">
        <v>483</v>
      </c>
      <c r="B163" t="n">
        <v>16.1</v>
      </c>
      <c r="C163" t="inlineStr">
        <is>
          <t>505</t>
        </is>
      </c>
      <c r="D163" t="n">
        <v>5.05</v>
      </c>
      <c r="E163">
        <f>MEDIAN(D143:D183)</f>
        <v/>
      </c>
      <c r="F163">
        <f>E143</f>
        <v/>
      </c>
      <c r="G163">
        <f>F163-E163</f>
        <v/>
      </c>
      <c r="H163">
        <f>IF(OR(NOT(ISNUMBER(D163)),ABS(D163-E163)&gt;$O$3,AND($O$11=1,B163&lt;$O$12)),1,0)</f>
        <v/>
      </c>
      <c r="I163">
        <f>IF(H163=1,NA(),D163)</f>
        <v/>
      </c>
      <c r="J163">
        <f>IF(AND(ISNUMBER(D163),D163&gt;=$O$4,OR($O$11=0,B163&gt;=$O$12)),1,0)</f>
        <v/>
      </c>
      <c r="K163">
        <f>B163-$O$14</f>
        <v/>
      </c>
    </row>
    <row r="164">
      <c r="A164" t="n">
        <v>486</v>
      </c>
      <c r="B164" t="n">
        <v>16.2</v>
      </c>
      <c r="C164" t="inlineStr">
        <is>
          <t>506</t>
        </is>
      </c>
      <c r="D164" t="n">
        <v>5.06</v>
      </c>
      <c r="E164">
        <f>MEDIAN(D144:D184)</f>
        <v/>
      </c>
      <c r="F164">
        <f>E144</f>
        <v/>
      </c>
      <c r="G164">
        <f>F164-E164</f>
        <v/>
      </c>
      <c r="H164">
        <f>IF(OR(NOT(ISNUMBER(D164)),ABS(D164-E164)&gt;$O$3,AND($O$11=1,B164&lt;$O$12)),1,0)</f>
        <v/>
      </c>
      <c r="I164">
        <f>IF(H164=1,NA(),D164)</f>
        <v/>
      </c>
      <c r="J164">
        <f>IF(AND(ISNUMBER(D164),D164&gt;=$O$4,OR($O$11=0,B164&gt;=$O$12)),1,0)</f>
        <v/>
      </c>
      <c r="K164">
        <f>B164-$O$14</f>
        <v/>
      </c>
    </row>
    <row r="165">
      <c r="A165" t="n">
        <v>489</v>
      </c>
      <c r="B165" t="n">
        <v>16.3</v>
      </c>
      <c r="C165" t="inlineStr">
        <is>
          <t>507</t>
        </is>
      </c>
      <c r="D165" t="n">
        <v>5.07</v>
      </c>
      <c r="E165">
        <f>MEDIAN(D145:D185)</f>
        <v/>
      </c>
      <c r="F165">
        <f>E145</f>
        <v/>
      </c>
      <c r="G165">
        <f>F165-E165</f>
        <v/>
      </c>
      <c r="H165">
        <f>IF(OR(NOT(ISNUMBER(D165)),ABS(D165-E165)&gt;$O$3,AND($O$11=1,B165&lt;$O$12)),1,0)</f>
        <v/>
      </c>
      <c r="I165">
        <f>IF(H165=1,NA(),D165)</f>
        <v/>
      </c>
      <c r="J165">
        <f>IF(AND(ISNUMBER(D165),D165&gt;=$O$4,OR($O$11=0,B165&gt;=$O$12)),1,0)</f>
        <v/>
      </c>
      <c r="K165">
        <f>B165-$O$14</f>
        <v/>
      </c>
    </row>
    <row r="166">
      <c r="A166" t="n">
        <v>492</v>
      </c>
      <c r="B166" t="n">
        <v>16.4</v>
      </c>
      <c r="C166" t="inlineStr">
        <is>
          <t>509</t>
        </is>
      </c>
      <c r="D166" t="n">
        <v>5.09</v>
      </c>
      <c r="E166">
        <f>MEDIAN(D146:D186)</f>
        <v/>
      </c>
      <c r="F166">
        <f>E146</f>
        <v/>
      </c>
      <c r="G166">
        <f>F166-E166</f>
        <v/>
      </c>
      <c r="H166">
        <f>IF(OR(NOT(ISNUMBER(D166)),ABS(D166-E166)&gt;$O$3,AND($O$11=1,B166&lt;$O$12)),1,0)</f>
        <v/>
      </c>
      <c r="I166">
        <f>IF(H166=1,NA(),D166)</f>
        <v/>
      </c>
      <c r="J166">
        <f>IF(AND(ISNUMBER(D166),D166&gt;=$O$4,OR($O$11=0,B166&gt;=$O$12)),1,0)</f>
        <v/>
      </c>
      <c r="K166">
        <f>B166-$O$14</f>
        <v/>
      </c>
    </row>
    <row r="167">
      <c r="A167" t="n">
        <v>495</v>
      </c>
      <c r="B167" t="n">
        <v>16.5</v>
      </c>
      <c r="C167" t="inlineStr">
        <is>
          <t>509</t>
        </is>
      </c>
      <c r="D167" t="n">
        <v>5.09</v>
      </c>
      <c r="E167">
        <f>MEDIAN(D147:D187)</f>
        <v/>
      </c>
      <c r="F167">
        <f>E147</f>
        <v/>
      </c>
      <c r="G167">
        <f>F167-E167</f>
        <v/>
      </c>
      <c r="H167">
        <f>IF(OR(NOT(ISNUMBER(D167)),ABS(D167-E167)&gt;$O$3,AND($O$11=1,B167&lt;$O$12)),1,0)</f>
        <v/>
      </c>
      <c r="I167">
        <f>IF(H167=1,NA(),D167)</f>
        <v/>
      </c>
      <c r="J167">
        <f>IF(AND(ISNUMBER(D167),D167&gt;=$O$4,OR($O$11=0,B167&gt;=$O$12)),1,0)</f>
        <v/>
      </c>
      <c r="K167">
        <f>B167-$O$14</f>
        <v/>
      </c>
    </row>
    <row r="168">
      <c r="A168" t="n">
        <v>498</v>
      </c>
      <c r="B168" t="n">
        <v>16.6</v>
      </c>
      <c r="C168" t="inlineStr">
        <is>
          <t>510</t>
        </is>
      </c>
      <c r="D168" t="n">
        <v>5.1</v>
      </c>
      <c r="E168">
        <f>MEDIAN(D148:D188)</f>
        <v/>
      </c>
      <c r="F168">
        <f>E148</f>
        <v/>
      </c>
      <c r="G168">
        <f>F168-E168</f>
        <v/>
      </c>
      <c r="H168">
        <f>IF(OR(NOT(ISNUMBER(D168)),ABS(D168-E168)&gt;$O$3,AND($O$11=1,B168&lt;$O$12)),1,0)</f>
        <v/>
      </c>
      <c r="I168">
        <f>IF(H168=1,NA(),D168)</f>
        <v/>
      </c>
      <c r="J168">
        <f>IF(AND(ISNUMBER(D168),D168&gt;=$O$4,OR($O$11=0,B168&gt;=$O$12)),1,0)</f>
        <v/>
      </c>
      <c r="K168">
        <f>B168-$O$14</f>
        <v/>
      </c>
    </row>
    <row r="169">
      <c r="A169" t="n">
        <v>501</v>
      </c>
      <c r="B169" t="n">
        <v>16.7</v>
      </c>
      <c r="C169" t="inlineStr">
        <is>
          <t>511</t>
        </is>
      </c>
      <c r="D169" t="n">
        <v>5.11</v>
      </c>
      <c r="E169">
        <f>MEDIAN(D149:D189)</f>
        <v/>
      </c>
      <c r="F169">
        <f>E149</f>
        <v/>
      </c>
      <c r="G169">
        <f>F169-E169</f>
        <v/>
      </c>
      <c r="H169">
        <f>IF(OR(NOT(ISNUMBER(D169)),ABS(D169-E169)&gt;$O$3,AND($O$11=1,B169&lt;$O$12)),1,0)</f>
        <v/>
      </c>
      <c r="I169">
        <f>IF(H169=1,NA(),D169)</f>
        <v/>
      </c>
      <c r="J169">
        <f>IF(AND(ISNUMBER(D169),D169&gt;=$O$4,OR($O$11=0,B169&gt;=$O$12)),1,0)</f>
        <v/>
      </c>
      <c r="K169">
        <f>B169-$O$14</f>
        <v/>
      </c>
    </row>
    <row r="170">
      <c r="A170" t="n">
        <v>504</v>
      </c>
      <c r="B170" t="n">
        <v>16.8</v>
      </c>
      <c r="C170" t="inlineStr">
        <is>
          <t>513</t>
        </is>
      </c>
      <c r="D170" t="n">
        <v>5.13</v>
      </c>
      <c r="E170">
        <f>MEDIAN(D150:D190)</f>
        <v/>
      </c>
      <c r="F170">
        <f>E150</f>
        <v/>
      </c>
      <c r="G170">
        <f>F170-E170</f>
        <v/>
      </c>
      <c r="H170">
        <f>IF(OR(NOT(ISNUMBER(D170)),ABS(D170-E170)&gt;$O$3,AND($O$11=1,B170&lt;$O$12)),1,0)</f>
        <v/>
      </c>
      <c r="I170">
        <f>IF(H170=1,NA(),D170)</f>
        <v/>
      </c>
      <c r="J170">
        <f>IF(AND(ISNUMBER(D170),D170&gt;=$O$4,OR($O$11=0,B170&gt;=$O$12)),1,0)</f>
        <v/>
      </c>
      <c r="K170">
        <f>B170-$O$14</f>
        <v/>
      </c>
    </row>
    <row r="171">
      <c r="A171" t="n">
        <v>507</v>
      </c>
      <c r="B171" t="n">
        <v>16.9</v>
      </c>
      <c r="C171" t="inlineStr">
        <is>
          <t>515</t>
        </is>
      </c>
      <c r="D171" t="n">
        <v>5.15</v>
      </c>
      <c r="E171">
        <f>MEDIAN(D151:D191)</f>
        <v/>
      </c>
      <c r="F171">
        <f>E151</f>
        <v/>
      </c>
      <c r="G171">
        <f>F171-E171</f>
        <v/>
      </c>
      <c r="H171">
        <f>IF(OR(NOT(ISNUMBER(D171)),ABS(D171-E171)&gt;$O$3,AND($O$11=1,B171&lt;$O$12)),1,0)</f>
        <v/>
      </c>
      <c r="I171">
        <f>IF(H171=1,NA(),D171)</f>
        <v/>
      </c>
      <c r="J171">
        <f>IF(AND(ISNUMBER(D171),D171&gt;=$O$4,OR($O$11=0,B171&gt;=$O$12)),1,0)</f>
        <v/>
      </c>
      <c r="K171">
        <f>B171-$O$14</f>
        <v/>
      </c>
    </row>
    <row r="172">
      <c r="A172" t="n">
        <v>510</v>
      </c>
      <c r="B172" t="n">
        <v>17</v>
      </c>
      <c r="C172" t="inlineStr">
        <is>
          <t>516</t>
        </is>
      </c>
      <c r="D172" t="n">
        <v>5.16</v>
      </c>
      <c r="E172">
        <f>MEDIAN(D152:D192)</f>
        <v/>
      </c>
      <c r="F172">
        <f>E152</f>
        <v/>
      </c>
      <c r="G172">
        <f>F172-E172</f>
        <v/>
      </c>
      <c r="H172">
        <f>IF(OR(NOT(ISNUMBER(D172)),ABS(D172-E172)&gt;$O$3,AND($O$11=1,B172&lt;$O$12)),1,0)</f>
        <v/>
      </c>
      <c r="I172">
        <f>IF(H172=1,NA(),D172)</f>
        <v/>
      </c>
      <c r="J172">
        <f>IF(AND(ISNUMBER(D172),D172&gt;=$O$4,OR($O$11=0,B172&gt;=$O$12)),1,0)</f>
        <v/>
      </c>
      <c r="K172">
        <f>B172-$O$14</f>
        <v/>
      </c>
    </row>
    <row r="173">
      <c r="A173" t="n">
        <v>513</v>
      </c>
      <c r="B173" t="n">
        <v>17.1</v>
      </c>
      <c r="C173" t="inlineStr">
        <is>
          <t>517</t>
        </is>
      </c>
      <c r="D173" t="n">
        <v>5.17</v>
      </c>
      <c r="E173">
        <f>MEDIAN(D153:D193)</f>
        <v/>
      </c>
      <c r="F173">
        <f>E153</f>
        <v/>
      </c>
      <c r="G173">
        <f>F173-E173</f>
        <v/>
      </c>
      <c r="H173">
        <f>IF(OR(NOT(ISNUMBER(D173)),ABS(D173-E173)&gt;$O$3,AND($O$11=1,B173&lt;$O$12)),1,0)</f>
        <v/>
      </c>
      <c r="I173">
        <f>IF(H173=1,NA(),D173)</f>
        <v/>
      </c>
      <c r="J173">
        <f>IF(AND(ISNUMBER(D173),D173&gt;=$O$4,OR($O$11=0,B173&gt;=$O$12)),1,0)</f>
        <v/>
      </c>
      <c r="K173">
        <f>B173-$O$14</f>
        <v/>
      </c>
    </row>
    <row r="174">
      <c r="A174" t="n">
        <v>516</v>
      </c>
      <c r="B174" t="n">
        <v>17.2</v>
      </c>
      <c r="C174" t="inlineStr">
        <is>
          <t>519</t>
        </is>
      </c>
      <c r="D174" t="n">
        <v>5.19</v>
      </c>
      <c r="E174">
        <f>MEDIAN(D154:D194)</f>
        <v/>
      </c>
      <c r="F174">
        <f>E154</f>
        <v/>
      </c>
      <c r="G174">
        <f>F174-E174</f>
        <v/>
      </c>
      <c r="H174">
        <f>IF(OR(NOT(ISNUMBER(D174)),ABS(D174-E174)&gt;$O$3,AND($O$11=1,B174&lt;$O$12)),1,0)</f>
        <v/>
      </c>
      <c r="I174">
        <f>IF(H174=1,NA(),D174)</f>
        <v/>
      </c>
      <c r="J174">
        <f>IF(AND(ISNUMBER(D174),D174&gt;=$O$4,OR($O$11=0,B174&gt;=$O$12)),1,0)</f>
        <v/>
      </c>
      <c r="K174">
        <f>B174-$O$14</f>
        <v/>
      </c>
    </row>
    <row r="175">
      <c r="A175" t="n">
        <v>519</v>
      </c>
      <c r="B175" t="n">
        <v>17.3</v>
      </c>
      <c r="C175" t="inlineStr">
        <is>
          <t>520</t>
        </is>
      </c>
      <c r="D175" t="n">
        <v>5.2</v>
      </c>
      <c r="E175">
        <f>MEDIAN(D155:D195)</f>
        <v/>
      </c>
      <c r="F175">
        <f>E155</f>
        <v/>
      </c>
      <c r="G175">
        <f>F175-E175</f>
        <v/>
      </c>
      <c r="H175">
        <f>IF(OR(NOT(ISNUMBER(D175)),ABS(D175-E175)&gt;$O$3,AND($O$11=1,B175&lt;$O$12)),1,0)</f>
        <v/>
      </c>
      <c r="I175">
        <f>IF(H175=1,NA(),D175)</f>
        <v/>
      </c>
      <c r="J175">
        <f>IF(AND(ISNUMBER(D175),D175&gt;=$O$4,OR($O$11=0,B175&gt;=$O$12)),1,0)</f>
        <v/>
      </c>
      <c r="K175">
        <f>B175-$O$14</f>
        <v/>
      </c>
    </row>
    <row r="176">
      <c r="A176" t="n">
        <v>522</v>
      </c>
      <c r="B176" t="n">
        <v>17.4</v>
      </c>
      <c r="C176" t="inlineStr">
        <is>
          <t>521</t>
        </is>
      </c>
      <c r="D176" t="n">
        <v>5.21</v>
      </c>
      <c r="E176">
        <f>MEDIAN(D156:D196)</f>
        <v/>
      </c>
      <c r="F176">
        <f>E156</f>
        <v/>
      </c>
      <c r="G176">
        <f>F176-E176</f>
        <v/>
      </c>
      <c r="H176">
        <f>IF(OR(NOT(ISNUMBER(D176)),ABS(D176-E176)&gt;$O$3,AND($O$11=1,B176&lt;$O$12)),1,0)</f>
        <v/>
      </c>
      <c r="I176">
        <f>IF(H176=1,NA(),D176)</f>
        <v/>
      </c>
      <c r="J176">
        <f>IF(AND(ISNUMBER(D176),D176&gt;=$O$4,OR($O$11=0,B176&gt;=$O$12)),1,0)</f>
        <v/>
      </c>
      <c r="K176">
        <f>B176-$O$14</f>
        <v/>
      </c>
    </row>
    <row r="177">
      <c r="A177" t="n">
        <v>525</v>
      </c>
      <c r="B177" t="n">
        <v>17.5</v>
      </c>
      <c r="C177" t="inlineStr">
        <is>
          <t>523</t>
        </is>
      </c>
      <c r="D177" t="n">
        <v>5.23</v>
      </c>
      <c r="E177">
        <f>MEDIAN(D157:D197)</f>
        <v/>
      </c>
      <c r="F177">
        <f>E157</f>
        <v/>
      </c>
      <c r="G177">
        <f>F177-E177</f>
        <v/>
      </c>
      <c r="H177">
        <f>IF(OR(NOT(ISNUMBER(D177)),ABS(D177-E177)&gt;$O$3,AND($O$11=1,B177&lt;$O$12)),1,0)</f>
        <v/>
      </c>
      <c r="I177">
        <f>IF(H177=1,NA(),D177)</f>
        <v/>
      </c>
      <c r="J177">
        <f>IF(AND(ISNUMBER(D177),D177&gt;=$O$4,OR($O$11=0,B177&gt;=$O$12)),1,0)</f>
        <v/>
      </c>
      <c r="K177">
        <f>B177-$O$14</f>
        <v/>
      </c>
    </row>
    <row r="178">
      <c r="A178" t="n">
        <v>528</v>
      </c>
      <c r="B178" t="n">
        <v>17.6</v>
      </c>
      <c r="C178" t="inlineStr">
        <is>
          <t>529</t>
        </is>
      </c>
      <c r="D178" t="n">
        <v>5.29</v>
      </c>
      <c r="E178">
        <f>MEDIAN(D158:D198)</f>
        <v/>
      </c>
      <c r="F178">
        <f>E158</f>
        <v/>
      </c>
      <c r="G178">
        <f>F178-E178</f>
        <v/>
      </c>
      <c r="H178">
        <f>IF(OR(NOT(ISNUMBER(D178)),ABS(D178-E178)&gt;$O$3,AND($O$11=1,B178&lt;$O$12)),1,0)</f>
        <v/>
      </c>
      <c r="I178">
        <f>IF(H178=1,NA(),D178)</f>
        <v/>
      </c>
      <c r="J178">
        <f>IF(AND(ISNUMBER(D178),D178&gt;=$O$4,OR($O$11=0,B178&gt;=$O$12)),1,0)</f>
        <v/>
      </c>
      <c r="K178">
        <f>B178-$O$14</f>
        <v/>
      </c>
    </row>
    <row r="179">
      <c r="A179" t="n">
        <v>531</v>
      </c>
      <c r="B179" t="n">
        <v>17.7</v>
      </c>
      <c r="C179" t="inlineStr">
        <is>
          <t>523</t>
        </is>
      </c>
      <c r="D179" t="n">
        <v>5.23</v>
      </c>
      <c r="E179">
        <f>MEDIAN(D159:D199)</f>
        <v/>
      </c>
      <c r="F179">
        <f>E159</f>
        <v/>
      </c>
      <c r="G179">
        <f>F179-E179</f>
        <v/>
      </c>
      <c r="H179">
        <f>IF(OR(NOT(ISNUMBER(D179)),ABS(D179-E179)&gt;$O$3,AND($O$11=1,B179&lt;$O$12)),1,0)</f>
        <v/>
      </c>
      <c r="I179">
        <f>IF(H179=1,NA(),D179)</f>
        <v/>
      </c>
      <c r="J179">
        <f>IF(AND(ISNUMBER(D179),D179&gt;=$O$4,OR($O$11=0,B179&gt;=$O$12)),1,0)</f>
        <v/>
      </c>
      <c r="K179">
        <f>B179-$O$14</f>
        <v/>
      </c>
    </row>
    <row r="180">
      <c r="A180" t="n">
        <v>534</v>
      </c>
      <c r="B180" t="n">
        <v>17.8</v>
      </c>
      <c r="C180" t="inlineStr">
        <is>
          <t>529</t>
        </is>
      </c>
      <c r="D180" t="n">
        <v>5.29</v>
      </c>
      <c r="E180">
        <f>MEDIAN(D160:D200)</f>
        <v/>
      </c>
      <c r="F180">
        <f>E160</f>
        <v/>
      </c>
      <c r="G180">
        <f>F180-E180</f>
        <v/>
      </c>
      <c r="H180">
        <f>IF(OR(NOT(ISNUMBER(D180)),ABS(D180-E180)&gt;$O$3,AND($O$11=1,B180&lt;$O$12)),1,0)</f>
        <v/>
      </c>
      <c r="I180">
        <f>IF(H180=1,NA(),D180)</f>
        <v/>
      </c>
      <c r="J180">
        <f>IF(AND(ISNUMBER(D180),D180&gt;=$O$4,OR($O$11=0,B180&gt;=$O$12)),1,0)</f>
        <v/>
      </c>
      <c r="K180">
        <f>B180-$O$14</f>
        <v/>
      </c>
    </row>
    <row r="181">
      <c r="A181" t="n">
        <v>537</v>
      </c>
      <c r="B181" t="n">
        <v>17.9</v>
      </c>
      <c r="C181" t="inlineStr">
        <is>
          <t>538</t>
        </is>
      </c>
      <c r="D181" t="n">
        <v>5.38</v>
      </c>
      <c r="E181">
        <f>MEDIAN(D161:D201)</f>
        <v/>
      </c>
      <c r="F181">
        <f>E161</f>
        <v/>
      </c>
      <c r="G181">
        <f>F181-E181</f>
        <v/>
      </c>
      <c r="H181">
        <f>IF(OR(NOT(ISNUMBER(D181)),ABS(D181-E181)&gt;$O$3,AND($O$11=1,B181&lt;$O$12)),1,0)</f>
        <v/>
      </c>
      <c r="I181">
        <f>IF(H181=1,NA(),D181)</f>
        <v/>
      </c>
      <c r="J181">
        <f>IF(AND(ISNUMBER(D181),D181&gt;=$O$4,OR($O$11=0,B181&gt;=$O$12)),1,0)</f>
        <v/>
      </c>
      <c r="K181">
        <f>B181-$O$14</f>
        <v/>
      </c>
    </row>
    <row r="182">
      <c r="A182" t="n">
        <v>540</v>
      </c>
      <c r="B182" t="n">
        <v>18</v>
      </c>
      <c r="C182" t="inlineStr">
        <is>
          <t>532</t>
        </is>
      </c>
      <c r="D182" t="n">
        <v>5.32</v>
      </c>
      <c r="E182">
        <f>MEDIAN(D162:D202)</f>
        <v/>
      </c>
      <c r="F182">
        <f>E162</f>
        <v/>
      </c>
      <c r="G182">
        <f>F182-E182</f>
        <v/>
      </c>
      <c r="H182">
        <f>IF(OR(NOT(ISNUMBER(D182)),ABS(D182-E182)&gt;$O$3,AND($O$11=1,B182&lt;$O$12)),1,0)</f>
        <v/>
      </c>
      <c r="I182">
        <f>IF(H182=1,NA(),D182)</f>
        <v/>
      </c>
      <c r="J182">
        <f>IF(AND(ISNUMBER(D182),D182&gt;=$O$4,OR($O$11=0,B182&gt;=$O$12)),1,0)</f>
        <v/>
      </c>
      <c r="K182">
        <f>B182-$O$14</f>
        <v/>
      </c>
    </row>
    <row r="183">
      <c r="A183" t="n">
        <v>543</v>
      </c>
      <c r="B183" t="n">
        <v>18.1</v>
      </c>
      <c r="C183" t="inlineStr">
        <is>
          <t>534</t>
        </is>
      </c>
      <c r="D183" t="n">
        <v>5.34</v>
      </c>
      <c r="E183">
        <f>MEDIAN(D163:D203)</f>
        <v/>
      </c>
      <c r="F183">
        <f>E163</f>
        <v/>
      </c>
      <c r="G183">
        <f>F183-E183</f>
        <v/>
      </c>
      <c r="H183">
        <f>IF(OR(NOT(ISNUMBER(D183)),ABS(D183-E183)&gt;$O$3,AND($O$11=1,B183&lt;$O$12)),1,0)</f>
        <v/>
      </c>
      <c r="I183">
        <f>IF(H183=1,NA(),D183)</f>
        <v/>
      </c>
      <c r="J183">
        <f>IF(AND(ISNUMBER(D183),D183&gt;=$O$4,OR($O$11=0,B183&gt;=$O$12)),1,0)</f>
        <v/>
      </c>
      <c r="K183">
        <f>B183-$O$14</f>
        <v/>
      </c>
    </row>
    <row r="184">
      <c r="A184" t="n">
        <v>546</v>
      </c>
      <c r="B184" t="n">
        <v>18.2</v>
      </c>
      <c r="C184" t="inlineStr">
        <is>
          <t>536</t>
        </is>
      </c>
      <c r="D184" t="n">
        <v>5.36</v>
      </c>
      <c r="E184">
        <f>MEDIAN(D164:D204)</f>
        <v/>
      </c>
      <c r="F184">
        <f>E164</f>
        <v/>
      </c>
      <c r="G184">
        <f>F184-E184</f>
        <v/>
      </c>
      <c r="H184">
        <f>IF(OR(NOT(ISNUMBER(D184)),ABS(D184-E184)&gt;$O$3,AND($O$11=1,B184&lt;$O$12)),1,0)</f>
        <v/>
      </c>
      <c r="I184">
        <f>IF(H184=1,NA(),D184)</f>
        <v/>
      </c>
      <c r="J184">
        <f>IF(AND(ISNUMBER(D184),D184&gt;=$O$4,OR($O$11=0,B184&gt;=$O$12)),1,0)</f>
        <v/>
      </c>
      <c r="K184">
        <f>B184-$O$14</f>
        <v/>
      </c>
    </row>
    <row r="185">
      <c r="A185" t="n">
        <v>549</v>
      </c>
      <c r="B185" t="n">
        <v>18.3</v>
      </c>
      <c r="C185" t="inlineStr">
        <is>
          <t>538</t>
        </is>
      </c>
      <c r="D185" t="n">
        <v>5.38</v>
      </c>
      <c r="E185">
        <f>MEDIAN(D165:D205)</f>
        <v/>
      </c>
      <c r="F185">
        <f>E165</f>
        <v/>
      </c>
      <c r="G185">
        <f>F185-E185</f>
        <v/>
      </c>
      <c r="H185">
        <f>IF(OR(NOT(ISNUMBER(D185)),ABS(D185-E185)&gt;$O$3,AND($O$11=1,B185&lt;$O$12)),1,0)</f>
        <v/>
      </c>
      <c r="I185">
        <f>IF(H185=1,NA(),D185)</f>
        <v/>
      </c>
      <c r="J185">
        <f>IF(AND(ISNUMBER(D185),D185&gt;=$O$4,OR($O$11=0,B185&gt;=$O$12)),1,0)</f>
        <v/>
      </c>
      <c r="K185">
        <f>B185-$O$14</f>
        <v/>
      </c>
    </row>
    <row r="186">
      <c r="A186" t="n">
        <v>552</v>
      </c>
      <c r="B186" t="n">
        <v>18.4</v>
      </c>
      <c r="C186" t="inlineStr">
        <is>
          <t>540</t>
        </is>
      </c>
      <c r="D186" t="n">
        <v>5.4</v>
      </c>
      <c r="E186">
        <f>MEDIAN(D166:D206)</f>
        <v/>
      </c>
      <c r="F186">
        <f>E166</f>
        <v/>
      </c>
      <c r="G186">
        <f>F186-E186</f>
        <v/>
      </c>
      <c r="H186">
        <f>IF(OR(NOT(ISNUMBER(D186)),ABS(D186-E186)&gt;$O$3,AND($O$11=1,B186&lt;$O$12)),1,0)</f>
        <v/>
      </c>
      <c r="I186">
        <f>IF(H186=1,NA(),D186)</f>
        <v/>
      </c>
      <c r="J186">
        <f>IF(AND(ISNUMBER(D186),D186&gt;=$O$4,OR($O$11=0,B186&gt;=$O$12)),1,0)</f>
        <v/>
      </c>
      <c r="K186">
        <f>B186-$O$14</f>
        <v/>
      </c>
    </row>
    <row r="187">
      <c r="A187" t="n">
        <v>555</v>
      </c>
      <c r="B187" t="n">
        <v>18.5</v>
      </c>
      <c r="C187" t="inlineStr">
        <is>
          <t>547</t>
        </is>
      </c>
      <c r="D187" t="n">
        <v>5.47</v>
      </c>
      <c r="E187">
        <f>MEDIAN(D167:D207)</f>
        <v/>
      </c>
      <c r="F187">
        <f>E167</f>
        <v/>
      </c>
      <c r="G187">
        <f>F187-E187</f>
        <v/>
      </c>
      <c r="H187">
        <f>IF(OR(NOT(ISNUMBER(D187)),ABS(D187-E187)&gt;$O$3,AND($O$11=1,B187&lt;$O$12)),1,0)</f>
        <v/>
      </c>
      <c r="I187">
        <f>IF(H187=1,NA(),D187)</f>
        <v/>
      </c>
      <c r="J187">
        <f>IF(AND(ISNUMBER(D187),D187&gt;=$O$4,OR($O$11=0,B187&gt;=$O$12)),1,0)</f>
        <v/>
      </c>
      <c r="K187">
        <f>B187-$O$14</f>
        <v/>
      </c>
    </row>
    <row r="188">
      <c r="A188" t="n">
        <v>558</v>
      </c>
      <c r="B188" t="n">
        <v>18.6</v>
      </c>
      <c r="C188" t="inlineStr">
        <is>
          <t>542</t>
        </is>
      </c>
      <c r="D188" t="n">
        <v>5.42</v>
      </c>
      <c r="E188">
        <f>MEDIAN(D168:D208)</f>
        <v/>
      </c>
      <c r="F188">
        <f>E168</f>
        <v/>
      </c>
      <c r="G188">
        <f>F188-E188</f>
        <v/>
      </c>
      <c r="H188">
        <f>IF(OR(NOT(ISNUMBER(D188)),ABS(D188-E188)&gt;$O$3,AND($O$11=1,B188&lt;$O$12)),1,0)</f>
        <v/>
      </c>
      <c r="I188">
        <f>IF(H188=1,NA(),D188)</f>
        <v/>
      </c>
      <c r="J188">
        <f>IF(AND(ISNUMBER(D188),D188&gt;=$O$4,OR($O$11=0,B188&gt;=$O$12)),1,0)</f>
        <v/>
      </c>
      <c r="K188">
        <f>B188-$O$14</f>
        <v/>
      </c>
    </row>
    <row r="189">
      <c r="A189" t="n">
        <v>561</v>
      </c>
      <c r="B189" t="n">
        <v>18.7</v>
      </c>
      <c r="C189" t="inlineStr">
        <is>
          <t>543</t>
        </is>
      </c>
      <c r="D189" t="n">
        <v>5.43</v>
      </c>
      <c r="E189">
        <f>MEDIAN(D169:D209)</f>
        <v/>
      </c>
      <c r="F189">
        <f>E169</f>
        <v/>
      </c>
      <c r="G189">
        <f>F189-E189</f>
        <v/>
      </c>
      <c r="H189">
        <f>IF(OR(NOT(ISNUMBER(D189)),ABS(D189-E189)&gt;$O$3,AND($O$11=1,B189&lt;$O$12)),1,0)</f>
        <v/>
      </c>
      <c r="I189">
        <f>IF(H189=1,NA(),D189)</f>
        <v/>
      </c>
      <c r="J189">
        <f>IF(AND(ISNUMBER(D189),D189&gt;=$O$4,OR($O$11=0,B189&gt;=$O$12)),1,0)</f>
        <v/>
      </c>
      <c r="K189">
        <f>B189-$O$14</f>
        <v/>
      </c>
    </row>
    <row r="190">
      <c r="A190" t="n">
        <v>564</v>
      </c>
      <c r="B190" t="n">
        <v>18.8</v>
      </c>
      <c r="C190" t="inlineStr">
        <is>
          <t>545</t>
        </is>
      </c>
      <c r="D190" t="n">
        <v>5.45</v>
      </c>
      <c r="E190">
        <f>MEDIAN(D170:D210)</f>
        <v/>
      </c>
      <c r="F190">
        <f>E170</f>
        <v/>
      </c>
      <c r="G190">
        <f>F190-E190</f>
        <v/>
      </c>
      <c r="H190">
        <f>IF(OR(NOT(ISNUMBER(D190)),ABS(D190-E190)&gt;$O$3,AND($O$11=1,B190&lt;$O$12)),1,0)</f>
        <v/>
      </c>
      <c r="I190">
        <f>IF(H190=1,NA(),D190)</f>
        <v/>
      </c>
      <c r="J190">
        <f>IF(AND(ISNUMBER(D190),D190&gt;=$O$4,OR($O$11=0,B190&gt;=$O$12)),1,0)</f>
        <v/>
      </c>
      <c r="K190">
        <f>B190-$O$14</f>
        <v/>
      </c>
    </row>
    <row r="191">
      <c r="A191" t="n">
        <v>567</v>
      </c>
      <c r="B191" t="n">
        <v>18.9</v>
      </c>
      <c r="C191" t="inlineStr">
        <is>
          <t>540</t>
        </is>
      </c>
      <c r="D191" t="n">
        <v>5.4</v>
      </c>
      <c r="E191">
        <f>MEDIAN(D171:D211)</f>
        <v/>
      </c>
      <c r="F191">
        <f>E171</f>
        <v/>
      </c>
      <c r="G191">
        <f>F191-E191</f>
        <v/>
      </c>
      <c r="H191">
        <f>IF(OR(NOT(ISNUMBER(D191)),ABS(D191-E191)&gt;$O$3,AND($O$11=1,B191&lt;$O$12)),1,0)</f>
        <v/>
      </c>
      <c r="I191">
        <f>IF(H191=1,NA(),D191)</f>
        <v/>
      </c>
      <c r="J191">
        <f>IF(AND(ISNUMBER(D191),D191&gt;=$O$4,OR($O$11=0,B191&gt;=$O$12)),1,0)</f>
        <v/>
      </c>
      <c r="K191">
        <f>B191-$O$14</f>
        <v/>
      </c>
    </row>
    <row r="192">
      <c r="A192" t="n">
        <v>570</v>
      </c>
      <c r="B192" t="n">
        <v>19</v>
      </c>
      <c r="C192" t="inlineStr">
        <is>
          <t>548</t>
        </is>
      </c>
      <c r="D192" t="n">
        <v>5.48</v>
      </c>
      <c r="E192">
        <f>MEDIAN(D172:D212)</f>
        <v/>
      </c>
      <c r="F192">
        <f>E172</f>
        <v/>
      </c>
      <c r="G192">
        <f>F192-E192</f>
        <v/>
      </c>
      <c r="H192">
        <f>IF(OR(NOT(ISNUMBER(D192)),ABS(D192-E192)&gt;$O$3,AND($O$11=1,B192&lt;$O$12)),1,0)</f>
        <v/>
      </c>
      <c r="I192">
        <f>IF(H192=1,NA(),D192)</f>
        <v/>
      </c>
      <c r="J192">
        <f>IF(AND(ISNUMBER(D192),D192&gt;=$O$4,OR($O$11=0,B192&gt;=$O$12)),1,0)</f>
        <v/>
      </c>
      <c r="K192">
        <f>B192-$O$14</f>
        <v/>
      </c>
    </row>
    <row r="193">
      <c r="A193" t="n">
        <v>573</v>
      </c>
      <c r="B193" t="n">
        <v>19.1</v>
      </c>
      <c r="C193" t="inlineStr">
        <is>
          <t>558</t>
        </is>
      </c>
      <c r="D193" t="n">
        <v>5.58</v>
      </c>
      <c r="E193">
        <f>MEDIAN(D173:D213)</f>
        <v/>
      </c>
      <c r="F193">
        <f>E173</f>
        <v/>
      </c>
      <c r="G193">
        <f>F193-E193</f>
        <v/>
      </c>
      <c r="H193">
        <f>IF(OR(NOT(ISNUMBER(D193)),ABS(D193-E193)&gt;$O$3,AND($O$11=1,B193&lt;$O$12)),1,0)</f>
        <v/>
      </c>
      <c r="I193">
        <f>IF(H193=1,NA(),D193)</f>
        <v/>
      </c>
      <c r="J193">
        <f>IF(AND(ISNUMBER(D193),D193&gt;=$O$4,OR($O$11=0,B193&gt;=$O$12)),1,0)</f>
        <v/>
      </c>
      <c r="K193">
        <f>B193-$O$14</f>
        <v/>
      </c>
    </row>
    <row r="194">
      <c r="A194" t="n">
        <v>576</v>
      </c>
      <c r="B194" t="n">
        <v>19.2</v>
      </c>
      <c r="C194" t="inlineStr">
        <is>
          <t>552</t>
        </is>
      </c>
      <c r="D194" t="n">
        <v>5.52</v>
      </c>
      <c r="E194">
        <f>MEDIAN(D174:D214)</f>
        <v/>
      </c>
      <c r="F194">
        <f>E174</f>
        <v/>
      </c>
      <c r="G194">
        <f>F194-E194</f>
        <v/>
      </c>
      <c r="H194">
        <f>IF(OR(NOT(ISNUMBER(D194)),ABS(D194-E194)&gt;$O$3,AND($O$11=1,B194&lt;$O$12)),1,0)</f>
        <v/>
      </c>
      <c r="I194">
        <f>IF(H194=1,NA(),D194)</f>
        <v/>
      </c>
      <c r="J194">
        <f>IF(AND(ISNUMBER(D194),D194&gt;=$O$4,OR($O$11=0,B194&gt;=$O$12)),1,0)</f>
        <v/>
      </c>
      <c r="K194">
        <f>B194-$O$14</f>
        <v/>
      </c>
    </row>
    <row r="195">
      <c r="A195" t="n">
        <v>579</v>
      </c>
      <c r="B195" t="n">
        <v>19.3</v>
      </c>
      <c r="C195" t="inlineStr">
        <is>
          <t>554</t>
        </is>
      </c>
      <c r="D195" t="n">
        <v>5.54</v>
      </c>
      <c r="E195">
        <f>MEDIAN(D175:D215)</f>
        <v/>
      </c>
      <c r="F195">
        <f>E175</f>
        <v/>
      </c>
      <c r="G195">
        <f>F195-E195</f>
        <v/>
      </c>
      <c r="H195">
        <f>IF(OR(NOT(ISNUMBER(D195)),ABS(D195-E195)&gt;$O$3,AND($O$11=1,B195&lt;$O$12)),1,0)</f>
        <v/>
      </c>
      <c r="I195">
        <f>IF(H195=1,NA(),D195)</f>
        <v/>
      </c>
      <c r="J195">
        <f>IF(AND(ISNUMBER(D195),D195&gt;=$O$4,OR($O$11=0,B195&gt;=$O$12)),1,0)</f>
        <v/>
      </c>
      <c r="K195">
        <f>B195-$O$14</f>
        <v/>
      </c>
    </row>
    <row r="196">
      <c r="A196" t="n">
        <v>582</v>
      </c>
      <c r="B196" t="n">
        <v>19.4</v>
      </c>
      <c r="C196" t="inlineStr">
        <is>
          <t>558</t>
        </is>
      </c>
      <c r="D196" t="n">
        <v>5.58</v>
      </c>
      <c r="E196">
        <f>MEDIAN(D176:D216)</f>
        <v/>
      </c>
      <c r="F196">
        <f>E176</f>
        <v/>
      </c>
      <c r="G196">
        <f>F196-E196</f>
        <v/>
      </c>
      <c r="H196">
        <f>IF(OR(NOT(ISNUMBER(D196)),ABS(D196-E196)&gt;$O$3,AND($O$11=1,B196&lt;$O$12)),1,0)</f>
        <v/>
      </c>
      <c r="I196">
        <f>IF(H196=1,NA(),D196)</f>
        <v/>
      </c>
      <c r="J196">
        <f>IF(AND(ISNUMBER(D196),D196&gt;=$O$4,OR($O$11=0,B196&gt;=$O$12)),1,0)</f>
        <v/>
      </c>
      <c r="K196">
        <f>B196-$O$14</f>
        <v/>
      </c>
    </row>
    <row r="197">
      <c r="A197" t="n">
        <v>585</v>
      </c>
      <c r="B197" t="n">
        <v>19.5</v>
      </c>
      <c r="C197" t="inlineStr">
        <is>
          <t>568</t>
        </is>
      </c>
      <c r="D197" t="n">
        <v>5.68</v>
      </c>
      <c r="E197">
        <f>MEDIAN(D177:D217)</f>
        <v/>
      </c>
      <c r="F197">
        <f>E177</f>
        <v/>
      </c>
      <c r="G197">
        <f>F197-E197</f>
        <v/>
      </c>
      <c r="H197">
        <f>IF(OR(NOT(ISNUMBER(D197)),ABS(D197-E197)&gt;$O$3,AND($O$11=1,B197&lt;$O$12)),1,0)</f>
        <v/>
      </c>
      <c r="I197">
        <f>IF(H197=1,NA(),D197)</f>
        <v/>
      </c>
      <c r="J197">
        <f>IF(AND(ISNUMBER(D197),D197&gt;=$O$4,OR($O$11=0,B197&gt;=$O$12)),1,0)</f>
        <v/>
      </c>
      <c r="K197">
        <f>B197-$O$14</f>
        <v/>
      </c>
    </row>
    <row r="198">
      <c r="A198" t="n">
        <v>588</v>
      </c>
      <c r="B198" t="n">
        <v>19.6</v>
      </c>
      <c r="C198" t="inlineStr">
        <is>
          <t>560</t>
        </is>
      </c>
      <c r="D198" t="n">
        <v>5.6</v>
      </c>
      <c r="E198">
        <f>MEDIAN(D178:D218)</f>
        <v/>
      </c>
      <c r="F198">
        <f>E178</f>
        <v/>
      </c>
      <c r="G198">
        <f>F198-E198</f>
        <v/>
      </c>
      <c r="H198">
        <f>IF(OR(NOT(ISNUMBER(D198)),ABS(D198-E198)&gt;$O$3,AND($O$11=1,B198&lt;$O$12)),1,0)</f>
        <v/>
      </c>
      <c r="I198">
        <f>IF(H198=1,NA(),D198)</f>
        <v/>
      </c>
      <c r="J198">
        <f>IF(AND(ISNUMBER(D198),D198&gt;=$O$4,OR($O$11=0,B198&gt;=$O$12)),1,0)</f>
        <v/>
      </c>
      <c r="K198">
        <f>B198-$O$14</f>
        <v/>
      </c>
    </row>
    <row r="199">
      <c r="A199" t="n">
        <v>591</v>
      </c>
      <c r="B199" t="n">
        <v>19.7</v>
      </c>
      <c r="C199" t="inlineStr">
        <is>
          <t>56?</t>
        </is>
      </c>
      <c r="E199">
        <f>MEDIAN(D179:D219)</f>
        <v/>
      </c>
      <c r="F199">
        <f>E179</f>
        <v/>
      </c>
      <c r="G199">
        <f>F199-E199</f>
        <v/>
      </c>
      <c r="H199">
        <f>IF(OR(NOT(ISNUMBER(D199)),ABS(D199-E199)&gt;$O$3,AND($O$11=1,B199&lt;$O$12)),1,0)</f>
        <v/>
      </c>
      <c r="I199">
        <f>IF(H199=1,NA(),D199)</f>
        <v/>
      </c>
      <c r="J199">
        <f>IF(AND(ISNUMBER(D199),D199&gt;=$O$4,OR($O$11=0,B199&gt;=$O$12)),1,0)</f>
        <v/>
      </c>
      <c r="K199">
        <f>B199-$O$14</f>
        <v/>
      </c>
    </row>
    <row r="200">
      <c r="A200" t="n">
        <v>594</v>
      </c>
      <c r="B200" t="n">
        <v>19.8</v>
      </c>
      <c r="C200" t="inlineStr">
        <is>
          <t>569</t>
        </is>
      </c>
      <c r="D200" t="n">
        <v>5.69</v>
      </c>
      <c r="E200">
        <f>MEDIAN(D180:D220)</f>
        <v/>
      </c>
      <c r="F200">
        <f>E180</f>
        <v/>
      </c>
      <c r="G200">
        <f>F200-E200</f>
        <v/>
      </c>
      <c r="H200">
        <f>IF(OR(NOT(ISNUMBER(D200)),ABS(D200-E200)&gt;$O$3,AND($O$11=1,B200&lt;$O$12)),1,0)</f>
        <v/>
      </c>
      <c r="I200">
        <f>IF(H200=1,NA(),D200)</f>
        <v/>
      </c>
      <c r="J200">
        <f>IF(AND(ISNUMBER(D200),D200&gt;=$O$4,OR($O$11=0,B200&gt;=$O$12)),1,0)</f>
        <v/>
      </c>
      <c r="K200">
        <f>B200-$O$14</f>
        <v/>
      </c>
    </row>
    <row r="201">
      <c r="A201" t="n">
        <v>597</v>
      </c>
      <c r="B201" t="n">
        <v>19.9</v>
      </c>
      <c r="C201" t="inlineStr">
        <is>
          <t>569</t>
        </is>
      </c>
      <c r="D201" t="n">
        <v>5.69</v>
      </c>
      <c r="E201">
        <f>MEDIAN(D181:D221)</f>
        <v/>
      </c>
      <c r="F201">
        <f>E181</f>
        <v/>
      </c>
      <c r="G201">
        <f>F201-E201</f>
        <v/>
      </c>
      <c r="H201">
        <f>IF(OR(NOT(ISNUMBER(D201)),ABS(D201-E201)&gt;$O$3,AND($O$11=1,B201&lt;$O$12)),1,0)</f>
        <v/>
      </c>
      <c r="I201">
        <f>IF(H201=1,NA(),D201)</f>
        <v/>
      </c>
      <c r="J201">
        <f>IF(AND(ISNUMBER(D201),D201&gt;=$O$4,OR($O$11=0,B201&gt;=$O$12)),1,0)</f>
        <v/>
      </c>
      <c r="K201">
        <f>B201-$O$14</f>
        <v/>
      </c>
    </row>
    <row r="202">
      <c r="A202" t="n">
        <v>600</v>
      </c>
      <c r="B202" t="n">
        <v>20</v>
      </c>
      <c r="C202" t="inlineStr">
        <is>
          <t>569</t>
        </is>
      </c>
      <c r="D202" t="n">
        <v>5.69</v>
      </c>
      <c r="E202">
        <f>MEDIAN(D182:D222)</f>
        <v/>
      </c>
      <c r="F202">
        <f>E182</f>
        <v/>
      </c>
      <c r="G202">
        <f>F202-E202</f>
        <v/>
      </c>
      <c r="H202">
        <f>IF(OR(NOT(ISNUMBER(D202)),ABS(D202-E202)&gt;$O$3,AND($O$11=1,B202&lt;$O$12)),1,0)</f>
        <v/>
      </c>
      <c r="I202">
        <f>IF(H202=1,NA(),D202)</f>
        <v/>
      </c>
      <c r="J202">
        <f>IF(AND(ISNUMBER(D202),D202&gt;=$O$4,OR($O$11=0,B202&gt;=$O$12)),1,0)</f>
        <v/>
      </c>
      <c r="K202">
        <f>B202-$O$14</f>
        <v/>
      </c>
    </row>
    <row r="203">
      <c r="A203" t="n">
        <v>603</v>
      </c>
      <c r="B203" t="n">
        <v>20.1</v>
      </c>
      <c r="C203" t="inlineStr">
        <is>
          <t>588</t>
        </is>
      </c>
      <c r="D203" t="n">
        <v>5.88</v>
      </c>
      <c r="E203">
        <f>MEDIAN(D183:D223)</f>
        <v/>
      </c>
      <c r="F203">
        <f>E183</f>
        <v/>
      </c>
      <c r="G203">
        <f>F203-E203</f>
        <v/>
      </c>
      <c r="H203">
        <f>IF(OR(NOT(ISNUMBER(D203)),ABS(D203-E203)&gt;$O$3,AND($O$11=1,B203&lt;$O$12)),1,0)</f>
        <v/>
      </c>
      <c r="I203">
        <f>IF(H203=1,NA(),D203)</f>
        <v/>
      </c>
      <c r="J203">
        <f>IF(AND(ISNUMBER(D203),D203&gt;=$O$4,OR($O$11=0,B203&gt;=$O$12)),1,0)</f>
        <v/>
      </c>
      <c r="K203">
        <f>B203-$O$14</f>
        <v/>
      </c>
    </row>
    <row r="204">
      <c r="A204" t="n">
        <v>606</v>
      </c>
      <c r="B204" t="n">
        <v>20.2</v>
      </c>
      <c r="C204" t="inlineStr">
        <is>
          <t>570</t>
        </is>
      </c>
      <c r="D204" t="n">
        <v>5.7</v>
      </c>
      <c r="E204">
        <f>MEDIAN(D184:D224)</f>
        <v/>
      </c>
      <c r="F204">
        <f>E184</f>
        <v/>
      </c>
      <c r="G204">
        <f>F204-E204</f>
        <v/>
      </c>
      <c r="H204">
        <f>IF(OR(NOT(ISNUMBER(D204)),ABS(D204-E204)&gt;$O$3,AND($O$11=1,B204&lt;$O$12)),1,0)</f>
        <v/>
      </c>
      <c r="I204">
        <f>IF(H204=1,NA(),D204)</f>
        <v/>
      </c>
      <c r="J204">
        <f>IF(AND(ISNUMBER(D204),D204&gt;=$O$4,OR($O$11=0,B204&gt;=$O$12)),1,0)</f>
        <v/>
      </c>
      <c r="K204">
        <f>B204-$O$14</f>
        <v/>
      </c>
    </row>
    <row r="205">
      <c r="A205" t="n">
        <v>609</v>
      </c>
      <c r="B205" t="n">
        <v>20.3</v>
      </c>
      <c r="C205" t="inlineStr">
        <is>
          <t>572</t>
        </is>
      </c>
      <c r="D205" t="n">
        <v>5.72</v>
      </c>
      <c r="E205">
        <f>MEDIAN(D185:D225)</f>
        <v/>
      </c>
      <c r="F205">
        <f>E185</f>
        <v/>
      </c>
      <c r="G205">
        <f>F205-E205</f>
        <v/>
      </c>
      <c r="H205">
        <f>IF(OR(NOT(ISNUMBER(D205)),ABS(D205-E205)&gt;$O$3,AND($O$11=1,B205&lt;$O$12)),1,0)</f>
        <v/>
      </c>
      <c r="I205">
        <f>IF(H205=1,NA(),D205)</f>
        <v/>
      </c>
      <c r="J205">
        <f>IF(AND(ISNUMBER(D205),D205&gt;=$O$4,OR($O$11=0,B205&gt;=$O$12)),1,0)</f>
        <v/>
      </c>
      <c r="K205">
        <f>B205-$O$14</f>
        <v/>
      </c>
    </row>
    <row r="206">
      <c r="A206" t="n">
        <v>612</v>
      </c>
      <c r="B206" t="n">
        <v>20.4</v>
      </c>
      <c r="C206" t="inlineStr">
        <is>
          <t>572</t>
        </is>
      </c>
      <c r="D206" t="n">
        <v>5.72</v>
      </c>
      <c r="E206">
        <f>MEDIAN(D186:D226)</f>
        <v/>
      </c>
      <c r="F206">
        <f>E186</f>
        <v/>
      </c>
      <c r="G206">
        <f>F206-E206</f>
        <v/>
      </c>
      <c r="H206">
        <f>IF(OR(NOT(ISNUMBER(D206)),ABS(D206-E206)&gt;$O$3,AND($O$11=1,B206&lt;$O$12)),1,0)</f>
        <v/>
      </c>
      <c r="I206">
        <f>IF(H206=1,NA(),D206)</f>
        <v/>
      </c>
      <c r="J206">
        <f>IF(AND(ISNUMBER(D206),D206&gt;=$O$4,OR($O$11=0,B206&gt;=$O$12)),1,0)</f>
        <v/>
      </c>
      <c r="K206">
        <f>B206-$O$14</f>
        <v/>
      </c>
    </row>
    <row r="207">
      <c r="A207" t="n">
        <v>615</v>
      </c>
      <c r="B207" t="n">
        <v>20.5</v>
      </c>
      <c r="C207" t="inlineStr">
        <is>
          <t>579</t>
        </is>
      </c>
      <c r="D207" t="n">
        <v>5.79</v>
      </c>
      <c r="E207">
        <f>MEDIAN(D187:D227)</f>
        <v/>
      </c>
      <c r="F207">
        <f>E187</f>
        <v/>
      </c>
      <c r="G207">
        <f>F207-E207</f>
        <v/>
      </c>
      <c r="H207">
        <f>IF(OR(NOT(ISNUMBER(D207)),ABS(D207-E207)&gt;$O$3,AND($O$11=1,B207&lt;$O$12)),1,0)</f>
        <v/>
      </c>
      <c r="I207">
        <f>IF(H207=1,NA(),D207)</f>
        <v/>
      </c>
      <c r="J207">
        <f>IF(AND(ISNUMBER(D207),D207&gt;=$O$4,OR($O$11=0,B207&gt;=$O$12)),1,0)</f>
        <v/>
      </c>
      <c r="K207">
        <f>B207-$O$14</f>
        <v/>
      </c>
    </row>
    <row r="208">
      <c r="A208" t="n">
        <v>618</v>
      </c>
      <c r="B208" t="n">
        <v>20.6</v>
      </c>
      <c r="C208" t="inlineStr">
        <is>
          <t>579</t>
        </is>
      </c>
      <c r="D208" t="n">
        <v>5.79</v>
      </c>
      <c r="E208">
        <f>MEDIAN(D188:D228)</f>
        <v/>
      </c>
      <c r="F208">
        <f>E188</f>
        <v/>
      </c>
      <c r="G208">
        <f>F208-E208</f>
        <v/>
      </c>
      <c r="H208">
        <f>IF(OR(NOT(ISNUMBER(D208)),ABS(D208-E208)&gt;$O$3,AND($O$11=1,B208&lt;$O$12)),1,0)</f>
        <v/>
      </c>
      <c r="I208">
        <f>IF(H208=1,NA(),D208)</f>
        <v/>
      </c>
      <c r="J208">
        <f>IF(AND(ISNUMBER(D208),D208&gt;=$O$4,OR($O$11=0,B208&gt;=$O$12)),1,0)</f>
        <v/>
      </c>
      <c r="K208">
        <f>B208-$O$14</f>
        <v/>
      </c>
    </row>
    <row r="209">
      <c r="A209" t="n">
        <v>621</v>
      </c>
      <c r="B209" t="n">
        <v>20.7</v>
      </c>
      <c r="C209" t="inlineStr">
        <is>
          <t>578</t>
        </is>
      </c>
      <c r="D209" t="n">
        <v>5.78</v>
      </c>
      <c r="E209">
        <f>MEDIAN(D189:D229)</f>
        <v/>
      </c>
      <c r="F209">
        <f>E189</f>
        <v/>
      </c>
      <c r="G209">
        <f>F209-E209</f>
        <v/>
      </c>
      <c r="H209">
        <f>IF(OR(NOT(ISNUMBER(D209)),ABS(D209-E209)&gt;$O$3,AND($O$11=1,B209&lt;$O$12)),1,0)</f>
        <v/>
      </c>
      <c r="I209">
        <f>IF(H209=1,NA(),D209)</f>
        <v/>
      </c>
      <c r="J209">
        <f>IF(AND(ISNUMBER(D209),D209&gt;=$O$4,OR($O$11=0,B209&gt;=$O$12)),1,0)</f>
        <v/>
      </c>
      <c r="K209">
        <f>B209-$O$14</f>
        <v/>
      </c>
    </row>
    <row r="210">
      <c r="A210" t="n">
        <v>624</v>
      </c>
      <c r="B210" t="n">
        <v>20.8</v>
      </c>
      <c r="C210" t="inlineStr">
        <is>
          <t>578</t>
        </is>
      </c>
      <c r="D210" t="n">
        <v>5.78</v>
      </c>
      <c r="E210">
        <f>MEDIAN(D190:D230)</f>
        <v/>
      </c>
      <c r="F210">
        <f>E190</f>
        <v/>
      </c>
      <c r="G210">
        <f>F210-E210</f>
        <v/>
      </c>
      <c r="H210">
        <f>IF(OR(NOT(ISNUMBER(D210)),ABS(D210-E210)&gt;$O$3,AND($O$11=1,B210&lt;$O$12)),1,0)</f>
        <v/>
      </c>
      <c r="I210">
        <f>IF(H210=1,NA(),D210)</f>
        <v/>
      </c>
      <c r="J210">
        <f>IF(AND(ISNUMBER(D210),D210&gt;=$O$4,OR($O$11=0,B210&gt;=$O$12)),1,0)</f>
        <v/>
      </c>
      <c r="K210">
        <f>B210-$O$14</f>
        <v/>
      </c>
    </row>
    <row r="211">
      <c r="A211" t="n">
        <v>627</v>
      </c>
      <c r="B211" t="n">
        <v>20.9</v>
      </c>
      <c r="C211" t="inlineStr">
        <is>
          <t>588</t>
        </is>
      </c>
      <c r="D211" t="n">
        <v>5.88</v>
      </c>
      <c r="E211">
        <f>MEDIAN(D191:D231)</f>
        <v/>
      </c>
      <c r="F211">
        <f>E191</f>
        <v/>
      </c>
      <c r="G211">
        <f>F211-E211</f>
        <v/>
      </c>
      <c r="H211">
        <f>IF(OR(NOT(ISNUMBER(D211)),ABS(D211-E211)&gt;$O$3,AND($O$11=1,B211&lt;$O$12)),1,0)</f>
        <v/>
      </c>
      <c r="I211">
        <f>IF(H211=1,NA(),D211)</f>
        <v/>
      </c>
      <c r="J211">
        <f>IF(AND(ISNUMBER(D211),D211&gt;=$O$4,OR($O$11=0,B211&gt;=$O$12)),1,0)</f>
        <v/>
      </c>
      <c r="K211">
        <f>B211-$O$14</f>
        <v/>
      </c>
    </row>
    <row r="212">
      <c r="A212" t="n">
        <v>630</v>
      </c>
      <c r="B212" t="n">
        <v>21</v>
      </c>
      <c r="C212" t="inlineStr">
        <is>
          <t>588</t>
        </is>
      </c>
      <c r="D212" t="n">
        <v>5.88</v>
      </c>
      <c r="E212">
        <f>MEDIAN(D192:D232)</f>
        <v/>
      </c>
      <c r="F212">
        <f>E192</f>
        <v/>
      </c>
      <c r="G212">
        <f>F212-E212</f>
        <v/>
      </c>
      <c r="H212">
        <f>IF(OR(NOT(ISNUMBER(D212)),ABS(D212-E212)&gt;$O$3,AND($O$11=1,B212&lt;$O$12)),1,0)</f>
        <v/>
      </c>
      <c r="I212">
        <f>IF(H212=1,NA(),D212)</f>
        <v/>
      </c>
      <c r="J212">
        <f>IF(AND(ISNUMBER(D212),D212&gt;=$O$4,OR($O$11=0,B212&gt;=$O$12)),1,0)</f>
        <v/>
      </c>
      <c r="K212">
        <f>B212-$O$14</f>
        <v/>
      </c>
    </row>
    <row r="213">
      <c r="A213" t="n">
        <v>633</v>
      </c>
      <c r="B213" t="n">
        <v>21.1</v>
      </c>
      <c r="C213" t="inlineStr">
        <is>
          <t>582</t>
        </is>
      </c>
      <c r="D213" t="n">
        <v>5.82</v>
      </c>
      <c r="E213">
        <f>MEDIAN(D193:D233)</f>
        <v/>
      </c>
      <c r="F213">
        <f>E193</f>
        <v/>
      </c>
      <c r="G213">
        <f>F213-E213</f>
        <v/>
      </c>
      <c r="H213">
        <f>IF(OR(NOT(ISNUMBER(D213)),ABS(D213-E213)&gt;$O$3,AND($O$11=1,B213&lt;$O$12)),1,0)</f>
        <v/>
      </c>
      <c r="I213">
        <f>IF(H213=1,NA(),D213)</f>
        <v/>
      </c>
      <c r="J213">
        <f>IF(AND(ISNUMBER(D213),D213&gt;=$O$4,OR($O$11=0,B213&gt;=$O$12)),1,0)</f>
        <v/>
      </c>
      <c r="K213">
        <f>B213-$O$14</f>
        <v/>
      </c>
    </row>
    <row r="214">
      <c r="A214" t="n">
        <v>636</v>
      </c>
      <c r="B214" t="n">
        <v>21.2</v>
      </c>
      <c r="C214" t="inlineStr">
        <is>
          <t>589</t>
        </is>
      </c>
      <c r="D214" t="n">
        <v>5.89</v>
      </c>
      <c r="E214">
        <f>MEDIAN(D194:D234)</f>
        <v/>
      </c>
      <c r="F214">
        <f>E194</f>
        <v/>
      </c>
      <c r="G214">
        <f>F214-E214</f>
        <v/>
      </c>
      <c r="H214">
        <f>IF(OR(NOT(ISNUMBER(D214)),ABS(D214-E214)&gt;$O$3,AND($O$11=1,B214&lt;$O$12)),1,0)</f>
        <v/>
      </c>
      <c r="I214">
        <f>IF(H214=1,NA(),D214)</f>
        <v/>
      </c>
      <c r="J214">
        <f>IF(AND(ISNUMBER(D214),D214&gt;=$O$4,OR($O$11=0,B214&gt;=$O$12)),1,0)</f>
        <v/>
      </c>
      <c r="K214">
        <f>B214-$O$14</f>
        <v/>
      </c>
    </row>
    <row r="215">
      <c r="A215" t="n">
        <v>639</v>
      </c>
      <c r="B215" t="n">
        <v>21.3</v>
      </c>
      <c r="C215" t="inlineStr">
        <is>
          <t>588</t>
        </is>
      </c>
      <c r="D215" t="n">
        <v>5.88</v>
      </c>
      <c r="E215">
        <f>MEDIAN(D195:D235)</f>
        <v/>
      </c>
      <c r="F215">
        <f>E195</f>
        <v/>
      </c>
      <c r="G215">
        <f>F215-E215</f>
        <v/>
      </c>
      <c r="H215">
        <f>IF(OR(NOT(ISNUMBER(D215)),ABS(D215-E215)&gt;$O$3,AND($O$11=1,B215&lt;$O$12)),1,0)</f>
        <v/>
      </c>
      <c r="I215">
        <f>IF(H215=1,NA(),D215)</f>
        <v/>
      </c>
      <c r="J215">
        <f>IF(AND(ISNUMBER(D215),D215&gt;=$O$4,OR($O$11=0,B215&gt;=$O$12)),1,0)</f>
        <v/>
      </c>
      <c r="K215">
        <f>B215-$O$14</f>
        <v/>
      </c>
    </row>
    <row r="216">
      <c r="A216" t="n">
        <v>642</v>
      </c>
      <c r="B216" t="n">
        <v>21.4</v>
      </c>
      <c r="C216" t="inlineStr">
        <is>
          <t>588</t>
        </is>
      </c>
      <c r="D216" t="n">
        <v>5.88</v>
      </c>
      <c r="E216">
        <f>MEDIAN(D196:D236)</f>
        <v/>
      </c>
      <c r="F216">
        <f>E196</f>
        <v/>
      </c>
      <c r="G216">
        <f>F216-E216</f>
        <v/>
      </c>
      <c r="H216">
        <f>IF(OR(NOT(ISNUMBER(D216)),ABS(D216-E216)&gt;$O$3,AND($O$11=1,B216&lt;$O$12)),1,0)</f>
        <v/>
      </c>
      <c r="I216">
        <f>IF(H216=1,NA(),D216)</f>
        <v/>
      </c>
      <c r="J216">
        <f>IF(AND(ISNUMBER(D216),D216&gt;=$O$4,OR($O$11=0,B216&gt;=$O$12)),1,0)</f>
        <v/>
      </c>
      <c r="K216">
        <f>B216-$O$14</f>
        <v/>
      </c>
    </row>
    <row r="217">
      <c r="A217" t="n">
        <v>645</v>
      </c>
      <c r="B217" t="n">
        <v>21.5</v>
      </c>
      <c r="C217" t="inlineStr">
        <is>
          <t>588</t>
        </is>
      </c>
      <c r="D217" t="n">
        <v>5.88</v>
      </c>
      <c r="E217">
        <f>MEDIAN(D197:D237)</f>
        <v/>
      </c>
      <c r="F217">
        <f>E197</f>
        <v/>
      </c>
      <c r="G217">
        <f>F217-E217</f>
        <v/>
      </c>
      <c r="H217">
        <f>IF(OR(NOT(ISNUMBER(D217)),ABS(D217-E217)&gt;$O$3,AND($O$11=1,B217&lt;$O$12)),1,0)</f>
        <v/>
      </c>
      <c r="I217">
        <f>IF(H217=1,NA(),D217)</f>
        <v/>
      </c>
      <c r="J217">
        <f>IF(AND(ISNUMBER(D217),D217&gt;=$O$4,OR($O$11=0,B217&gt;=$O$12)),1,0)</f>
        <v/>
      </c>
      <c r="K217">
        <f>B217-$O$14</f>
        <v/>
      </c>
    </row>
    <row r="218">
      <c r="A218" t="n">
        <v>648</v>
      </c>
      <c r="B218" t="n">
        <v>21.6</v>
      </c>
      <c r="C218" t="inlineStr">
        <is>
          <t>588</t>
        </is>
      </c>
      <c r="D218" t="n">
        <v>5.88</v>
      </c>
      <c r="E218">
        <f>MEDIAN(D198:D238)</f>
        <v/>
      </c>
      <c r="F218">
        <f>E198</f>
        <v/>
      </c>
      <c r="G218">
        <f>F218-E218</f>
        <v/>
      </c>
      <c r="H218">
        <f>IF(OR(NOT(ISNUMBER(D218)),ABS(D218-E218)&gt;$O$3,AND($O$11=1,B218&lt;$O$12)),1,0)</f>
        <v/>
      </c>
      <c r="I218">
        <f>IF(H218=1,NA(),D218)</f>
        <v/>
      </c>
      <c r="J218">
        <f>IF(AND(ISNUMBER(D218),D218&gt;=$O$4,OR($O$11=0,B218&gt;=$O$12)),1,0)</f>
        <v/>
      </c>
      <c r="K218">
        <f>B218-$O$14</f>
        <v/>
      </c>
    </row>
    <row r="219">
      <c r="A219" t="n">
        <v>651</v>
      </c>
      <c r="B219" t="n">
        <v>21.7</v>
      </c>
      <c r="C219" t="inlineStr">
        <is>
          <t>590</t>
        </is>
      </c>
      <c r="D219" t="n">
        <v>5.9</v>
      </c>
      <c r="E219">
        <f>MEDIAN(D199:D239)</f>
        <v/>
      </c>
      <c r="F219">
        <f>E199</f>
        <v/>
      </c>
      <c r="G219">
        <f>F219-E219</f>
        <v/>
      </c>
      <c r="H219">
        <f>IF(OR(NOT(ISNUMBER(D219)),ABS(D219-E219)&gt;$O$3,AND($O$11=1,B219&lt;$O$12)),1,0)</f>
        <v/>
      </c>
      <c r="I219">
        <f>IF(H219=1,NA(),D219)</f>
        <v/>
      </c>
      <c r="J219">
        <f>IF(AND(ISNUMBER(D219),D219&gt;=$O$4,OR($O$11=0,B219&gt;=$O$12)),1,0)</f>
        <v/>
      </c>
      <c r="K219">
        <f>B219-$O$14</f>
        <v/>
      </c>
    </row>
    <row r="220">
      <c r="A220" t="n">
        <v>654</v>
      </c>
      <c r="B220" t="n">
        <v>21.8</v>
      </c>
      <c r="C220" t="inlineStr">
        <is>
          <t>593</t>
        </is>
      </c>
      <c r="D220" t="n">
        <v>5.93</v>
      </c>
      <c r="E220">
        <f>MEDIAN(D200:D240)</f>
        <v/>
      </c>
      <c r="F220">
        <f>E200</f>
        <v/>
      </c>
      <c r="G220">
        <f>F220-E220</f>
        <v/>
      </c>
      <c r="H220">
        <f>IF(OR(NOT(ISNUMBER(D220)),ABS(D220-E220)&gt;$O$3,AND($O$11=1,B220&lt;$O$12)),1,0)</f>
        <v/>
      </c>
      <c r="I220">
        <f>IF(H220=1,NA(),D220)</f>
        <v/>
      </c>
      <c r="J220">
        <f>IF(AND(ISNUMBER(D220),D220&gt;=$O$4,OR($O$11=0,B220&gt;=$O$12)),1,0)</f>
        <v/>
      </c>
      <c r="K220">
        <f>B220-$O$14</f>
        <v/>
      </c>
    </row>
    <row r="221">
      <c r="A221" t="n">
        <v>657</v>
      </c>
      <c r="B221" t="n">
        <v>21.9</v>
      </c>
      <c r="C221" t="inlineStr">
        <is>
          <t>599</t>
        </is>
      </c>
      <c r="D221" t="n">
        <v>5.99</v>
      </c>
      <c r="E221">
        <f>MEDIAN(D201:D241)</f>
        <v/>
      </c>
      <c r="F221">
        <f>E201</f>
        <v/>
      </c>
      <c r="G221">
        <f>F221-E221</f>
        <v/>
      </c>
      <c r="H221">
        <f>IF(OR(NOT(ISNUMBER(D221)),ABS(D221-E221)&gt;$O$3,AND($O$11=1,B221&lt;$O$12)),1,0)</f>
        <v/>
      </c>
      <c r="I221">
        <f>IF(H221=1,NA(),D221)</f>
        <v/>
      </c>
      <c r="J221">
        <f>IF(AND(ISNUMBER(D221),D221&gt;=$O$4,OR($O$11=0,B221&gt;=$O$12)),1,0)</f>
        <v/>
      </c>
      <c r="K221">
        <f>B221-$O$14</f>
        <v/>
      </c>
    </row>
    <row r="222">
      <c r="A222" t="n">
        <v>660</v>
      </c>
      <c r="B222" t="n">
        <v>22</v>
      </c>
      <c r="C222" t="inlineStr">
        <is>
          <t>599</t>
        </is>
      </c>
      <c r="D222" t="n">
        <v>5.99</v>
      </c>
      <c r="E222">
        <f>MEDIAN(D202:D242)</f>
        <v/>
      </c>
      <c r="F222">
        <f>E202</f>
        <v/>
      </c>
      <c r="G222">
        <f>F222-E222</f>
        <v/>
      </c>
      <c r="H222">
        <f>IF(OR(NOT(ISNUMBER(D222)),ABS(D222-E222)&gt;$O$3,AND($O$11=1,B222&lt;$O$12)),1,0)</f>
        <v/>
      </c>
      <c r="I222">
        <f>IF(H222=1,NA(),D222)</f>
        <v/>
      </c>
      <c r="J222">
        <f>IF(AND(ISNUMBER(D222),D222&gt;=$O$4,OR($O$11=0,B222&gt;=$O$12)),1,0)</f>
        <v/>
      </c>
      <c r="K222">
        <f>B222-$O$14</f>
        <v/>
      </c>
    </row>
    <row r="223">
      <c r="A223" t="n">
        <v>663</v>
      </c>
      <c r="B223" t="n">
        <v>22.1</v>
      </c>
      <c r="C223" t="inlineStr">
        <is>
          <t>596</t>
        </is>
      </c>
      <c r="D223" t="n">
        <v>5.96</v>
      </c>
      <c r="E223">
        <f>MEDIAN(D203:D243)</f>
        <v/>
      </c>
      <c r="F223">
        <f>E203</f>
        <v/>
      </c>
      <c r="G223">
        <f>F223-E223</f>
        <v/>
      </c>
      <c r="H223">
        <f>IF(OR(NOT(ISNUMBER(D223)),ABS(D223-E223)&gt;$O$3,AND($O$11=1,B223&lt;$O$12)),1,0)</f>
        <v/>
      </c>
      <c r="I223">
        <f>IF(H223=1,NA(),D223)</f>
        <v/>
      </c>
      <c r="J223">
        <f>IF(AND(ISNUMBER(D223),D223&gt;=$O$4,OR($O$11=0,B223&gt;=$O$12)),1,0)</f>
        <v/>
      </c>
      <c r="K223">
        <f>B223-$O$14</f>
        <v/>
      </c>
    </row>
    <row r="224">
      <c r="A224" t="n">
        <v>666</v>
      </c>
      <c r="B224" t="n">
        <v>22.2</v>
      </c>
      <c r="C224" t="inlineStr">
        <is>
          <t>598</t>
        </is>
      </c>
      <c r="D224" t="n">
        <v>5.98</v>
      </c>
      <c r="E224">
        <f>MEDIAN(D204:D244)</f>
        <v/>
      </c>
      <c r="F224">
        <f>E204</f>
        <v/>
      </c>
      <c r="G224">
        <f>F224-E224</f>
        <v/>
      </c>
      <c r="H224">
        <f>IF(OR(NOT(ISNUMBER(D224)),ABS(D224-E224)&gt;$O$3,AND($O$11=1,B224&lt;$O$12)),1,0)</f>
        <v/>
      </c>
      <c r="I224">
        <f>IF(H224=1,NA(),D224)</f>
        <v/>
      </c>
      <c r="J224">
        <f>IF(AND(ISNUMBER(D224),D224&gt;=$O$4,OR($O$11=0,B224&gt;=$O$12)),1,0)</f>
        <v/>
      </c>
      <c r="K224">
        <f>B224-$O$14</f>
        <v/>
      </c>
    </row>
    <row r="225">
      <c r="A225" t="n">
        <v>669</v>
      </c>
      <c r="B225" t="n">
        <v>22.3</v>
      </c>
      <c r="C225" t="inlineStr">
        <is>
          <t>598</t>
        </is>
      </c>
      <c r="D225" t="n">
        <v>5.98</v>
      </c>
      <c r="E225">
        <f>MEDIAN(D205:D245)</f>
        <v/>
      </c>
      <c r="F225">
        <f>E205</f>
        <v/>
      </c>
      <c r="G225">
        <f>F225-E225</f>
        <v/>
      </c>
      <c r="H225">
        <f>IF(OR(NOT(ISNUMBER(D225)),ABS(D225-E225)&gt;$O$3,AND($O$11=1,B225&lt;$O$12)),1,0)</f>
        <v/>
      </c>
      <c r="I225">
        <f>IF(H225=1,NA(),D225)</f>
        <v/>
      </c>
      <c r="J225">
        <f>IF(AND(ISNUMBER(D225),D225&gt;=$O$4,OR($O$11=0,B225&gt;=$O$12)),1,0)</f>
        <v/>
      </c>
      <c r="K225">
        <f>B225-$O$14</f>
        <v/>
      </c>
    </row>
    <row r="226">
      <c r="A226" t="n">
        <v>672</v>
      </c>
      <c r="B226" t="n">
        <v>22.4</v>
      </c>
      <c r="C226" t="inlineStr">
        <is>
          <t>689</t>
        </is>
      </c>
      <c r="D226" t="n">
        <v>6.89</v>
      </c>
      <c r="E226">
        <f>MEDIAN(D206:D246)</f>
        <v/>
      </c>
      <c r="F226">
        <f>E206</f>
        <v/>
      </c>
      <c r="G226">
        <f>F226-E226</f>
        <v/>
      </c>
      <c r="H226">
        <f>IF(OR(NOT(ISNUMBER(D226)),ABS(D226-E226)&gt;$O$3,AND($O$11=1,B226&lt;$O$12)),1,0)</f>
        <v/>
      </c>
      <c r="I226">
        <f>IF(H226=1,NA(),D226)</f>
        <v/>
      </c>
      <c r="J226">
        <f>IF(AND(ISNUMBER(D226),D226&gt;=$O$4,OR($O$11=0,B226&gt;=$O$12)),1,0)</f>
        <v/>
      </c>
      <c r="K226">
        <f>B226-$O$14</f>
        <v/>
      </c>
    </row>
    <row r="227">
      <c r="A227" t="n">
        <v>675</v>
      </c>
      <c r="B227" t="n">
        <v>22.5</v>
      </c>
      <c r="C227" t="inlineStr">
        <is>
          <t>602</t>
        </is>
      </c>
      <c r="D227" t="n">
        <v>6.02</v>
      </c>
      <c r="E227">
        <f>MEDIAN(D207:D247)</f>
        <v/>
      </c>
      <c r="F227">
        <f>E207</f>
        <v/>
      </c>
      <c r="G227">
        <f>F227-E227</f>
        <v/>
      </c>
      <c r="H227">
        <f>IF(OR(NOT(ISNUMBER(D227)),ABS(D227-E227)&gt;$O$3,AND($O$11=1,B227&lt;$O$12)),1,0)</f>
        <v/>
      </c>
      <c r="I227">
        <f>IF(H227=1,NA(),D227)</f>
        <v/>
      </c>
      <c r="J227">
        <f>IF(AND(ISNUMBER(D227),D227&gt;=$O$4,OR($O$11=0,B227&gt;=$O$12)),1,0)</f>
        <v/>
      </c>
      <c r="K227">
        <f>B227-$O$14</f>
        <v/>
      </c>
    </row>
    <row r="228">
      <c r="A228" t="n">
        <v>678</v>
      </c>
      <c r="B228" t="n">
        <v>22.6</v>
      </c>
      <c r="C228" t="inlineStr">
        <is>
          <t>606</t>
        </is>
      </c>
      <c r="D228" t="n">
        <v>6.06</v>
      </c>
      <c r="E228">
        <f>MEDIAN(D208:D248)</f>
        <v/>
      </c>
      <c r="F228">
        <f>E208</f>
        <v/>
      </c>
      <c r="G228">
        <f>F228-E228</f>
        <v/>
      </c>
      <c r="H228">
        <f>IF(OR(NOT(ISNUMBER(D228)),ABS(D228-E228)&gt;$O$3,AND($O$11=1,B228&lt;$O$12)),1,0)</f>
        <v/>
      </c>
      <c r="I228">
        <f>IF(H228=1,NA(),D228)</f>
        <v/>
      </c>
      <c r="J228">
        <f>IF(AND(ISNUMBER(D228),D228&gt;=$O$4,OR($O$11=0,B228&gt;=$O$12)),1,0)</f>
        <v/>
      </c>
      <c r="K228">
        <f>B228-$O$14</f>
        <v/>
      </c>
    </row>
    <row r="229">
      <c r="A229" t="n">
        <v>681</v>
      </c>
      <c r="B229" t="n">
        <v>22.7</v>
      </c>
      <c r="C229" t="inlineStr">
        <is>
          <t>609</t>
        </is>
      </c>
      <c r="D229" t="n">
        <v>6.09</v>
      </c>
      <c r="E229">
        <f>MEDIAN(D209:D249)</f>
        <v/>
      </c>
      <c r="F229">
        <f>E209</f>
        <v/>
      </c>
      <c r="G229">
        <f>F229-E229</f>
        <v/>
      </c>
      <c r="H229">
        <f>IF(OR(NOT(ISNUMBER(D229)),ABS(D229-E229)&gt;$O$3,AND($O$11=1,B229&lt;$O$12)),1,0)</f>
        <v/>
      </c>
      <c r="I229">
        <f>IF(H229=1,NA(),D229)</f>
        <v/>
      </c>
      <c r="J229">
        <f>IF(AND(ISNUMBER(D229),D229&gt;=$O$4,OR($O$11=0,B229&gt;=$O$12)),1,0)</f>
        <v/>
      </c>
      <c r="K229">
        <f>B229-$O$14</f>
        <v/>
      </c>
    </row>
    <row r="230">
      <c r="A230" t="n">
        <v>684</v>
      </c>
      <c r="B230" t="n">
        <v>22.8</v>
      </c>
      <c r="C230" t="inlineStr">
        <is>
          <t>609</t>
        </is>
      </c>
      <c r="D230" t="n">
        <v>6.09</v>
      </c>
      <c r="E230">
        <f>MEDIAN(D210:D250)</f>
        <v/>
      </c>
      <c r="F230">
        <f>E210</f>
        <v/>
      </c>
      <c r="G230">
        <f>F230-E230</f>
        <v/>
      </c>
      <c r="H230">
        <f>IF(OR(NOT(ISNUMBER(D230)),ABS(D230-E230)&gt;$O$3,AND($O$11=1,B230&lt;$O$12)),1,0)</f>
        <v/>
      </c>
      <c r="I230">
        <f>IF(H230=1,NA(),D230)</f>
        <v/>
      </c>
      <c r="J230">
        <f>IF(AND(ISNUMBER(D230),D230&gt;=$O$4,OR($O$11=0,B230&gt;=$O$12)),1,0)</f>
        <v/>
      </c>
      <c r="K230">
        <f>B230-$O$14</f>
        <v/>
      </c>
    </row>
    <row r="231">
      <c r="A231" t="n">
        <v>687</v>
      </c>
      <c r="B231" t="n">
        <v>22.9</v>
      </c>
      <c r="C231" t="inlineStr">
        <is>
          <t>609</t>
        </is>
      </c>
      <c r="D231" t="n">
        <v>6.09</v>
      </c>
      <c r="E231">
        <f>MEDIAN(D211:D251)</f>
        <v/>
      </c>
      <c r="F231">
        <f>E211</f>
        <v/>
      </c>
      <c r="G231">
        <f>F231-E231</f>
        <v/>
      </c>
      <c r="H231">
        <f>IF(OR(NOT(ISNUMBER(D231)),ABS(D231-E231)&gt;$O$3,AND($O$11=1,B231&lt;$O$12)),1,0)</f>
        <v/>
      </c>
      <c r="I231">
        <f>IF(H231=1,NA(),D231)</f>
        <v/>
      </c>
      <c r="J231">
        <f>IF(AND(ISNUMBER(D231),D231&gt;=$O$4,OR($O$11=0,B231&gt;=$O$12)),1,0)</f>
        <v/>
      </c>
      <c r="K231">
        <f>B231-$O$14</f>
        <v/>
      </c>
    </row>
    <row r="232">
      <c r="A232" t="n">
        <v>690</v>
      </c>
      <c r="B232" t="n">
        <v>23</v>
      </c>
      <c r="C232" t="inlineStr">
        <is>
          <t>608</t>
        </is>
      </c>
      <c r="D232" t="n">
        <v>6.08</v>
      </c>
      <c r="E232">
        <f>MEDIAN(D212:D252)</f>
        <v/>
      </c>
      <c r="F232">
        <f>E212</f>
        <v/>
      </c>
      <c r="G232">
        <f>F232-E232</f>
        <v/>
      </c>
      <c r="H232">
        <f>IF(OR(NOT(ISNUMBER(D232)),ABS(D232-E232)&gt;$O$3,AND($O$11=1,B232&lt;$O$12)),1,0)</f>
        <v/>
      </c>
      <c r="I232">
        <f>IF(H232=1,NA(),D232)</f>
        <v/>
      </c>
      <c r="J232">
        <f>IF(AND(ISNUMBER(D232),D232&gt;=$O$4,OR($O$11=0,B232&gt;=$O$12)),1,0)</f>
        <v/>
      </c>
      <c r="K232">
        <f>B232-$O$14</f>
        <v/>
      </c>
    </row>
    <row r="233">
      <c r="A233" t="n">
        <v>693</v>
      </c>
      <c r="B233" t="n">
        <v>23.1</v>
      </c>
      <c r="C233" t="inlineStr">
        <is>
          <t>608</t>
        </is>
      </c>
      <c r="D233" t="n">
        <v>6.08</v>
      </c>
      <c r="E233">
        <f>MEDIAN(D213:D253)</f>
        <v/>
      </c>
      <c r="F233">
        <f>E213</f>
        <v/>
      </c>
      <c r="G233">
        <f>F233-E233</f>
        <v/>
      </c>
      <c r="H233">
        <f>IF(OR(NOT(ISNUMBER(D233)),ABS(D233-E233)&gt;$O$3,AND($O$11=1,B233&lt;$O$12)),1,0)</f>
        <v/>
      </c>
      <c r="I233">
        <f>IF(H233=1,NA(),D233)</f>
        <v/>
      </c>
      <c r="J233">
        <f>IF(AND(ISNUMBER(D233),D233&gt;=$O$4,OR($O$11=0,B233&gt;=$O$12)),1,0)</f>
        <v/>
      </c>
      <c r="K233">
        <f>B233-$O$14</f>
        <v/>
      </c>
    </row>
    <row r="234">
      <c r="A234" t="n">
        <v>696</v>
      </c>
      <c r="B234" t="n">
        <v>23.2</v>
      </c>
      <c r="C234" t="inlineStr">
        <is>
          <t>610</t>
        </is>
      </c>
      <c r="D234" t="n">
        <v>6.1</v>
      </c>
      <c r="E234">
        <f>MEDIAN(D214:D254)</f>
        <v/>
      </c>
      <c r="F234">
        <f>E214</f>
        <v/>
      </c>
      <c r="G234">
        <f>F234-E234</f>
        <v/>
      </c>
      <c r="H234">
        <f>IF(OR(NOT(ISNUMBER(D234)),ABS(D234-E234)&gt;$O$3,AND($O$11=1,B234&lt;$O$12)),1,0)</f>
        <v/>
      </c>
      <c r="I234">
        <f>IF(H234=1,NA(),D234)</f>
        <v/>
      </c>
      <c r="J234">
        <f>IF(AND(ISNUMBER(D234),D234&gt;=$O$4,OR($O$11=0,B234&gt;=$O$12)),1,0)</f>
        <v/>
      </c>
      <c r="K234">
        <f>B234-$O$14</f>
        <v/>
      </c>
    </row>
    <row r="235">
      <c r="A235" t="n">
        <v>699</v>
      </c>
      <c r="B235" t="n">
        <v>23.3</v>
      </c>
      <c r="C235" t="inlineStr">
        <is>
          <t>610</t>
        </is>
      </c>
      <c r="D235" t="n">
        <v>6.1</v>
      </c>
      <c r="E235">
        <f>MEDIAN(D215:D255)</f>
        <v/>
      </c>
      <c r="F235">
        <f>E215</f>
        <v/>
      </c>
      <c r="G235">
        <f>F235-E235</f>
        <v/>
      </c>
      <c r="H235">
        <f>IF(OR(NOT(ISNUMBER(D235)),ABS(D235-E235)&gt;$O$3,AND($O$11=1,B235&lt;$O$12)),1,0)</f>
        <v/>
      </c>
      <c r="I235">
        <f>IF(H235=1,NA(),D235)</f>
        <v/>
      </c>
      <c r="J235">
        <f>IF(AND(ISNUMBER(D235),D235&gt;=$O$4,OR($O$11=0,B235&gt;=$O$12)),1,0)</f>
        <v/>
      </c>
      <c r="K235">
        <f>B235-$O$14</f>
        <v/>
      </c>
    </row>
    <row r="236">
      <c r="A236" t="n">
        <v>702</v>
      </c>
      <c r="B236" t="n">
        <v>23.4</v>
      </c>
      <c r="C236" t="inlineStr">
        <is>
          <t>617</t>
        </is>
      </c>
      <c r="D236" t="n">
        <v>6.17</v>
      </c>
      <c r="E236">
        <f>MEDIAN(D216:D256)</f>
        <v/>
      </c>
      <c r="F236">
        <f>E216</f>
        <v/>
      </c>
      <c r="G236">
        <f>F236-E236</f>
        <v/>
      </c>
      <c r="H236">
        <f>IF(OR(NOT(ISNUMBER(D236)),ABS(D236-E236)&gt;$O$3,AND($O$11=1,B236&lt;$O$12)),1,0)</f>
        <v/>
      </c>
      <c r="I236">
        <f>IF(H236=1,NA(),D236)</f>
        <v/>
      </c>
      <c r="J236">
        <f>IF(AND(ISNUMBER(D236),D236&gt;=$O$4,OR($O$11=0,B236&gt;=$O$12)),1,0)</f>
        <v/>
      </c>
      <c r="K236">
        <f>B236-$O$14</f>
        <v/>
      </c>
    </row>
    <row r="237">
      <c r="A237" t="n">
        <v>705</v>
      </c>
      <c r="B237" t="n">
        <v>23.5</v>
      </c>
      <c r="C237" t="inlineStr">
        <is>
          <t>617</t>
        </is>
      </c>
      <c r="D237" t="n">
        <v>6.17</v>
      </c>
      <c r="E237">
        <f>MEDIAN(D217:D257)</f>
        <v/>
      </c>
      <c r="F237">
        <f>E217</f>
        <v/>
      </c>
      <c r="G237">
        <f>F237-E237</f>
        <v/>
      </c>
      <c r="H237">
        <f>IF(OR(NOT(ISNUMBER(D237)),ABS(D237-E237)&gt;$O$3,AND($O$11=1,B237&lt;$O$12)),1,0)</f>
        <v/>
      </c>
      <c r="I237">
        <f>IF(H237=1,NA(),D237)</f>
        <v/>
      </c>
      <c r="J237">
        <f>IF(AND(ISNUMBER(D237),D237&gt;=$O$4,OR($O$11=0,B237&gt;=$O$12)),1,0)</f>
        <v/>
      </c>
      <c r="K237">
        <f>B237-$O$14</f>
        <v/>
      </c>
    </row>
    <row r="238">
      <c r="A238" t="n">
        <v>708</v>
      </c>
      <c r="B238" t="n">
        <v>23.6</v>
      </c>
      <c r="C238" t="inlineStr">
        <is>
          <t>617</t>
        </is>
      </c>
      <c r="D238" t="n">
        <v>6.17</v>
      </c>
      <c r="E238">
        <f>MEDIAN(D218:D258)</f>
        <v/>
      </c>
      <c r="F238">
        <f>E218</f>
        <v/>
      </c>
      <c r="G238">
        <f>F238-E238</f>
        <v/>
      </c>
      <c r="H238">
        <f>IF(OR(NOT(ISNUMBER(D238)),ABS(D238-E238)&gt;$O$3,AND($O$11=1,B238&lt;$O$12)),1,0)</f>
        <v/>
      </c>
      <c r="I238">
        <f>IF(H238=1,NA(),D238)</f>
        <v/>
      </c>
      <c r="J238">
        <f>IF(AND(ISNUMBER(D238),D238&gt;=$O$4,OR($O$11=0,B238&gt;=$O$12)),1,0)</f>
        <v/>
      </c>
      <c r="K238">
        <f>B238-$O$14</f>
        <v/>
      </c>
    </row>
    <row r="239">
      <c r="A239" t="n">
        <v>711</v>
      </c>
      <c r="B239" t="n">
        <v>23.7</v>
      </c>
      <c r="C239" t="inlineStr">
        <is>
          <t>617</t>
        </is>
      </c>
      <c r="D239" t="n">
        <v>6.17</v>
      </c>
      <c r="E239">
        <f>MEDIAN(D219:D259)</f>
        <v/>
      </c>
      <c r="F239">
        <f>E219</f>
        <v/>
      </c>
      <c r="G239">
        <f>F239-E239</f>
        <v/>
      </c>
      <c r="H239">
        <f>IF(OR(NOT(ISNUMBER(D239)),ABS(D239-E239)&gt;$O$3,AND($O$11=1,B239&lt;$O$12)),1,0)</f>
        <v/>
      </c>
      <c r="I239">
        <f>IF(H239=1,NA(),D239)</f>
        <v/>
      </c>
      <c r="J239">
        <f>IF(AND(ISNUMBER(D239),D239&gt;=$O$4,OR($O$11=0,B239&gt;=$O$12)),1,0)</f>
        <v/>
      </c>
      <c r="K239">
        <f>B239-$O$14</f>
        <v/>
      </c>
    </row>
    <row r="240">
      <c r="A240" t="n">
        <v>714</v>
      </c>
      <c r="B240" t="n">
        <v>23.8</v>
      </c>
      <c r="C240" t="inlineStr">
        <is>
          <t>618</t>
        </is>
      </c>
      <c r="D240" t="n">
        <v>6.18</v>
      </c>
      <c r="E240">
        <f>MEDIAN(D220:D260)</f>
        <v/>
      </c>
      <c r="F240">
        <f>E220</f>
        <v/>
      </c>
      <c r="G240">
        <f>F240-E240</f>
        <v/>
      </c>
      <c r="H240">
        <f>IF(OR(NOT(ISNUMBER(D240)),ABS(D240-E240)&gt;$O$3,AND($O$11=1,B240&lt;$O$12)),1,0)</f>
        <v/>
      </c>
      <c r="I240">
        <f>IF(H240=1,NA(),D240)</f>
        <v/>
      </c>
      <c r="J240">
        <f>IF(AND(ISNUMBER(D240),D240&gt;=$O$4,OR($O$11=0,B240&gt;=$O$12)),1,0)</f>
        <v/>
      </c>
      <c r="K240">
        <f>B240-$O$14</f>
        <v/>
      </c>
    </row>
    <row r="241">
      <c r="A241" t="n">
        <v>717</v>
      </c>
      <c r="B241" t="n">
        <v>23.9</v>
      </c>
      <c r="C241" t="inlineStr">
        <is>
          <t>618</t>
        </is>
      </c>
      <c r="D241" t="n">
        <v>6.18</v>
      </c>
      <c r="E241">
        <f>MEDIAN(D221:D261)</f>
        <v/>
      </c>
      <c r="F241">
        <f>E221</f>
        <v/>
      </c>
      <c r="G241">
        <f>F241-E241</f>
        <v/>
      </c>
      <c r="H241">
        <f>IF(OR(NOT(ISNUMBER(D241)),ABS(D241-E241)&gt;$O$3,AND($O$11=1,B241&lt;$O$12)),1,0)</f>
        <v/>
      </c>
      <c r="I241">
        <f>IF(H241=1,NA(),D241)</f>
        <v/>
      </c>
      <c r="J241">
        <f>IF(AND(ISNUMBER(D241),D241&gt;=$O$4,OR($O$11=0,B241&gt;=$O$12)),1,0)</f>
        <v/>
      </c>
      <c r="K241">
        <f>B241-$O$14</f>
        <v/>
      </c>
    </row>
    <row r="242">
      <c r="A242" t="n">
        <v>720</v>
      </c>
      <c r="B242" t="n">
        <v>24</v>
      </c>
      <c r="C242" t="inlineStr">
        <is>
          <t>619</t>
        </is>
      </c>
      <c r="D242" t="n">
        <v>6.19</v>
      </c>
      <c r="E242">
        <f>MEDIAN(D222:D262)</f>
        <v/>
      </c>
      <c r="F242">
        <f>E222</f>
        <v/>
      </c>
      <c r="G242">
        <f>F242-E242</f>
        <v/>
      </c>
      <c r="H242">
        <f>IF(OR(NOT(ISNUMBER(D242)),ABS(D242-E242)&gt;$O$3,AND($O$11=1,B242&lt;$O$12)),1,0)</f>
        <v/>
      </c>
      <c r="I242">
        <f>IF(H242=1,NA(),D242)</f>
        <v/>
      </c>
      <c r="J242">
        <f>IF(AND(ISNUMBER(D242),D242&gt;=$O$4,OR($O$11=0,B242&gt;=$O$12)),1,0)</f>
        <v/>
      </c>
      <c r="K242">
        <f>B242-$O$14</f>
        <v/>
      </c>
    </row>
    <row r="243">
      <c r="A243" t="n">
        <v>723</v>
      </c>
      <c r="B243" t="n">
        <v>24.1</v>
      </c>
      <c r="C243" t="inlineStr">
        <is>
          <t>628</t>
        </is>
      </c>
      <c r="D243" t="n">
        <v>6.28</v>
      </c>
      <c r="E243">
        <f>MEDIAN(D223:D263)</f>
        <v/>
      </c>
      <c r="F243">
        <f>E223</f>
        <v/>
      </c>
      <c r="G243">
        <f>F243-E243</f>
        <v/>
      </c>
      <c r="H243">
        <f>IF(OR(NOT(ISNUMBER(D243)),ABS(D243-E243)&gt;$O$3,AND($O$11=1,B243&lt;$O$12)),1,0)</f>
        <v/>
      </c>
      <c r="I243">
        <f>IF(H243=1,NA(),D243)</f>
        <v/>
      </c>
      <c r="J243">
        <f>IF(AND(ISNUMBER(D243),D243&gt;=$O$4,OR($O$11=0,B243&gt;=$O$12)),1,0)</f>
        <v/>
      </c>
      <c r="K243">
        <f>B243-$O$14</f>
        <v/>
      </c>
    </row>
    <row r="244">
      <c r="A244" t="n">
        <v>726</v>
      </c>
      <c r="B244" t="n">
        <v>24.2</v>
      </c>
      <c r="C244" t="inlineStr">
        <is>
          <t>620</t>
        </is>
      </c>
      <c r="D244" t="n">
        <v>6.2</v>
      </c>
      <c r="E244">
        <f>MEDIAN(D224:D264)</f>
        <v/>
      </c>
      <c r="F244">
        <f>E224</f>
        <v/>
      </c>
      <c r="G244">
        <f>F244-E244</f>
        <v/>
      </c>
      <c r="H244">
        <f>IF(OR(NOT(ISNUMBER(D244)),ABS(D244-E244)&gt;$O$3,AND($O$11=1,B244&lt;$O$12)),1,0)</f>
        <v/>
      </c>
      <c r="I244">
        <f>IF(H244=1,NA(),D244)</f>
        <v/>
      </c>
      <c r="J244">
        <f>IF(AND(ISNUMBER(D244),D244&gt;=$O$4,OR($O$11=0,B244&gt;=$O$12)),1,0)</f>
        <v/>
      </c>
      <c r="K244">
        <f>B244-$O$14</f>
        <v/>
      </c>
    </row>
    <row r="245">
      <c r="A245" t="n">
        <v>729</v>
      </c>
      <c r="B245" t="n">
        <v>24.3</v>
      </c>
      <c r="C245" t="inlineStr">
        <is>
          <t>623</t>
        </is>
      </c>
      <c r="D245" t="n">
        <v>6.23</v>
      </c>
      <c r="E245">
        <f>MEDIAN(D225:D265)</f>
        <v/>
      </c>
      <c r="F245">
        <f>E225</f>
        <v/>
      </c>
      <c r="G245">
        <f>F245-E245</f>
        <v/>
      </c>
      <c r="H245">
        <f>IF(OR(NOT(ISNUMBER(D245)),ABS(D245-E245)&gt;$O$3,AND($O$11=1,B245&lt;$O$12)),1,0)</f>
        <v/>
      </c>
      <c r="I245">
        <f>IF(H245=1,NA(),D245)</f>
        <v/>
      </c>
      <c r="J245">
        <f>IF(AND(ISNUMBER(D245),D245&gt;=$O$4,OR($O$11=0,B245&gt;=$O$12)),1,0)</f>
        <v/>
      </c>
      <c r="K245">
        <f>B245-$O$14</f>
        <v/>
      </c>
    </row>
    <row r="246">
      <c r="A246" t="n">
        <v>732</v>
      </c>
      <c r="B246" t="n">
        <v>24.4</v>
      </c>
      <c r="C246" t="inlineStr">
        <is>
          <t>624</t>
        </is>
      </c>
      <c r="D246" t="n">
        <v>6.24</v>
      </c>
      <c r="E246">
        <f>MEDIAN(D226:D266)</f>
        <v/>
      </c>
      <c r="F246">
        <f>E226</f>
        <v/>
      </c>
      <c r="G246">
        <f>F246-E246</f>
        <v/>
      </c>
      <c r="H246">
        <f>IF(OR(NOT(ISNUMBER(D246)),ABS(D246-E246)&gt;$O$3,AND($O$11=1,B246&lt;$O$12)),1,0)</f>
        <v/>
      </c>
      <c r="I246">
        <f>IF(H246=1,NA(),D246)</f>
        <v/>
      </c>
      <c r="J246">
        <f>IF(AND(ISNUMBER(D246),D246&gt;=$O$4,OR($O$11=0,B246&gt;=$O$12)),1,0)</f>
        <v/>
      </c>
      <c r="K246">
        <f>B246-$O$14</f>
        <v/>
      </c>
    </row>
    <row r="247">
      <c r="A247" t="n">
        <v>735</v>
      </c>
      <c r="B247" t="n">
        <v>24.5</v>
      </c>
      <c r="C247" t="inlineStr">
        <is>
          <t>629</t>
        </is>
      </c>
      <c r="D247" t="n">
        <v>6.29</v>
      </c>
      <c r="E247">
        <f>MEDIAN(D227:D267)</f>
        <v/>
      </c>
      <c r="F247">
        <f>E227</f>
        <v/>
      </c>
      <c r="G247">
        <f>F247-E247</f>
        <v/>
      </c>
      <c r="H247">
        <f>IF(OR(NOT(ISNUMBER(D247)),ABS(D247-E247)&gt;$O$3,AND($O$11=1,B247&lt;$O$12)),1,0)</f>
        <v/>
      </c>
      <c r="I247">
        <f>IF(H247=1,NA(),D247)</f>
        <v/>
      </c>
      <c r="J247">
        <f>IF(AND(ISNUMBER(D247),D247&gt;=$O$4,OR($O$11=0,B247&gt;=$O$12)),1,0)</f>
        <v/>
      </c>
      <c r="K247">
        <f>B247-$O$14</f>
        <v/>
      </c>
    </row>
    <row r="248">
      <c r="A248" t="n">
        <v>738</v>
      </c>
      <c r="B248" t="n">
        <v>24.6</v>
      </c>
      <c r="C248" t="inlineStr">
        <is>
          <t>626</t>
        </is>
      </c>
      <c r="D248" t="n">
        <v>6.26</v>
      </c>
      <c r="E248">
        <f>MEDIAN(D228:D268)</f>
        <v/>
      </c>
      <c r="F248">
        <f>E228</f>
        <v/>
      </c>
      <c r="G248">
        <f>F248-E248</f>
        <v/>
      </c>
      <c r="H248">
        <f>IF(OR(NOT(ISNUMBER(D248)),ABS(D248-E248)&gt;$O$3,AND($O$11=1,B248&lt;$O$12)),1,0)</f>
        <v/>
      </c>
      <c r="I248">
        <f>IF(H248=1,NA(),D248)</f>
        <v/>
      </c>
      <c r="J248">
        <f>IF(AND(ISNUMBER(D248),D248&gt;=$O$4,OR($O$11=0,B248&gt;=$O$12)),1,0)</f>
        <v/>
      </c>
      <c r="K248">
        <f>B248-$O$14</f>
        <v/>
      </c>
    </row>
    <row r="249">
      <c r="A249" t="n">
        <v>741</v>
      </c>
      <c r="B249" t="n">
        <v>24.7</v>
      </c>
      <c r="C249" t="inlineStr">
        <is>
          <t>628</t>
        </is>
      </c>
      <c r="D249" t="n">
        <v>6.28</v>
      </c>
      <c r="E249">
        <f>MEDIAN(D229:D269)</f>
        <v/>
      </c>
      <c r="F249">
        <f>E229</f>
        <v/>
      </c>
      <c r="G249">
        <f>F249-E249</f>
        <v/>
      </c>
      <c r="H249">
        <f>IF(OR(NOT(ISNUMBER(D249)),ABS(D249-E249)&gt;$O$3,AND($O$11=1,B249&lt;$O$12)),1,0)</f>
        <v/>
      </c>
      <c r="I249">
        <f>IF(H249=1,NA(),D249)</f>
        <v/>
      </c>
      <c r="J249">
        <f>IF(AND(ISNUMBER(D249),D249&gt;=$O$4,OR($O$11=0,B249&gt;=$O$12)),1,0)</f>
        <v/>
      </c>
      <c r="K249">
        <f>B249-$O$14</f>
        <v/>
      </c>
    </row>
    <row r="250">
      <c r="A250" t="n">
        <v>744</v>
      </c>
      <c r="B250" t="n">
        <v>24.8</v>
      </c>
      <c r="C250" t="inlineStr">
        <is>
          <t>628</t>
        </is>
      </c>
      <c r="D250" t="n">
        <v>6.28</v>
      </c>
      <c r="E250">
        <f>MEDIAN(D230:D270)</f>
        <v/>
      </c>
      <c r="F250">
        <f>E230</f>
        <v/>
      </c>
      <c r="G250">
        <f>F250-E250</f>
        <v/>
      </c>
      <c r="H250">
        <f>IF(OR(NOT(ISNUMBER(D250)),ABS(D250-E250)&gt;$O$3,AND($O$11=1,B250&lt;$O$12)),1,0)</f>
        <v/>
      </c>
      <c r="I250">
        <f>IF(H250=1,NA(),D250)</f>
        <v/>
      </c>
      <c r="J250">
        <f>IF(AND(ISNUMBER(D250),D250&gt;=$O$4,OR($O$11=0,B250&gt;=$O$12)),1,0)</f>
        <v/>
      </c>
      <c r="K250">
        <f>B250-$O$14</f>
        <v/>
      </c>
    </row>
    <row r="251">
      <c r="A251" t="n">
        <v>747</v>
      </c>
      <c r="B251" t="n">
        <v>24.9</v>
      </c>
      <c r="C251" t="inlineStr">
        <is>
          <t>639</t>
        </is>
      </c>
      <c r="D251" t="n">
        <v>6.39</v>
      </c>
      <c r="E251">
        <f>MEDIAN(D231:D271)</f>
        <v/>
      </c>
      <c r="F251">
        <f>E231</f>
        <v/>
      </c>
      <c r="G251">
        <f>F251-E251</f>
        <v/>
      </c>
      <c r="H251">
        <f>IF(OR(NOT(ISNUMBER(D251)),ABS(D251-E251)&gt;$O$3,AND($O$11=1,B251&lt;$O$12)),1,0)</f>
        <v/>
      </c>
      <c r="I251">
        <f>IF(H251=1,NA(),D251)</f>
        <v/>
      </c>
      <c r="J251">
        <f>IF(AND(ISNUMBER(D251),D251&gt;=$O$4,OR($O$11=0,B251&gt;=$O$12)),1,0)</f>
        <v/>
      </c>
      <c r="K251">
        <f>B251-$O$14</f>
        <v/>
      </c>
    </row>
    <row r="252">
      <c r="A252" t="n">
        <v>750</v>
      </c>
      <c r="B252" t="n">
        <v>25</v>
      </c>
      <c r="C252" t="inlineStr">
        <is>
          <t>634</t>
        </is>
      </c>
      <c r="D252" t="n">
        <v>6.34</v>
      </c>
      <c r="E252">
        <f>MEDIAN(D232:D272)</f>
        <v/>
      </c>
      <c r="F252">
        <f>E232</f>
        <v/>
      </c>
      <c r="G252">
        <f>F252-E252</f>
        <v/>
      </c>
      <c r="H252">
        <f>IF(OR(NOT(ISNUMBER(D252)),ABS(D252-E252)&gt;$O$3,AND($O$11=1,B252&lt;$O$12)),1,0)</f>
        <v/>
      </c>
      <c r="I252">
        <f>IF(H252=1,NA(),D252)</f>
        <v/>
      </c>
      <c r="J252">
        <f>IF(AND(ISNUMBER(D252),D252&gt;=$O$4,OR($O$11=0,B252&gt;=$O$12)),1,0)</f>
        <v/>
      </c>
      <c r="K252">
        <f>B252-$O$14</f>
        <v/>
      </c>
    </row>
    <row r="253">
      <c r="A253" t="n">
        <v>753</v>
      </c>
      <c r="B253" t="n">
        <v>25.1</v>
      </c>
      <c r="C253" t="inlineStr">
        <is>
          <t>634</t>
        </is>
      </c>
      <c r="D253" t="n">
        <v>6.34</v>
      </c>
      <c r="E253">
        <f>MEDIAN(D233:D273)</f>
        <v/>
      </c>
      <c r="F253">
        <f>E233</f>
        <v/>
      </c>
      <c r="G253">
        <f>F253-E253</f>
        <v/>
      </c>
      <c r="H253">
        <f>IF(OR(NOT(ISNUMBER(D253)),ABS(D253-E253)&gt;$O$3,AND($O$11=1,B253&lt;$O$12)),1,0)</f>
        <v/>
      </c>
      <c r="I253">
        <f>IF(H253=1,NA(),D253)</f>
        <v/>
      </c>
      <c r="J253">
        <f>IF(AND(ISNUMBER(D253),D253&gt;=$O$4,OR($O$11=0,B253&gt;=$O$12)),1,0)</f>
        <v/>
      </c>
      <c r="K253">
        <f>B253-$O$14</f>
        <v/>
      </c>
    </row>
    <row r="254">
      <c r="A254" t="n">
        <v>756</v>
      </c>
      <c r="B254" t="n">
        <v>25.2</v>
      </c>
      <c r="C254" t="inlineStr">
        <is>
          <t>634</t>
        </is>
      </c>
      <c r="D254" t="n">
        <v>6.34</v>
      </c>
      <c r="E254">
        <f>MEDIAN(D234:D274)</f>
        <v/>
      </c>
      <c r="F254">
        <f>E234</f>
        <v/>
      </c>
      <c r="G254">
        <f>F254-E254</f>
        <v/>
      </c>
      <c r="H254">
        <f>IF(OR(NOT(ISNUMBER(D254)),ABS(D254-E254)&gt;$O$3,AND($O$11=1,B254&lt;$O$12)),1,0)</f>
        <v/>
      </c>
      <c r="I254">
        <f>IF(H254=1,NA(),D254)</f>
        <v/>
      </c>
      <c r="J254">
        <f>IF(AND(ISNUMBER(D254),D254&gt;=$O$4,OR($O$11=0,B254&gt;=$O$12)),1,0)</f>
        <v/>
      </c>
      <c r="K254">
        <f>B254-$O$14</f>
        <v/>
      </c>
    </row>
    <row r="255">
      <c r="A255" t="n">
        <v>759</v>
      </c>
      <c r="B255" t="n">
        <v>25.3</v>
      </c>
      <c r="C255" t="inlineStr">
        <is>
          <t>635</t>
        </is>
      </c>
      <c r="D255" t="n">
        <v>6.35</v>
      </c>
      <c r="E255">
        <f>MEDIAN(D235:D275)</f>
        <v/>
      </c>
      <c r="F255">
        <f>E235</f>
        <v/>
      </c>
      <c r="G255">
        <f>F255-E255</f>
        <v/>
      </c>
      <c r="H255">
        <f>IF(OR(NOT(ISNUMBER(D255)),ABS(D255-E255)&gt;$O$3,AND($O$11=1,B255&lt;$O$12)),1,0)</f>
        <v/>
      </c>
      <c r="I255">
        <f>IF(H255=1,NA(),D255)</f>
        <v/>
      </c>
      <c r="J255">
        <f>IF(AND(ISNUMBER(D255),D255&gt;=$O$4,OR($O$11=0,B255&gt;=$O$12)),1,0)</f>
        <v/>
      </c>
      <c r="K255">
        <f>B255-$O$14</f>
        <v/>
      </c>
    </row>
    <row r="256">
      <c r="A256" t="n">
        <v>762</v>
      </c>
      <c r="B256" t="n">
        <v>25.4</v>
      </c>
      <c r="C256" t="inlineStr">
        <is>
          <t>635</t>
        </is>
      </c>
      <c r="D256" t="n">
        <v>6.35</v>
      </c>
      <c r="E256">
        <f>MEDIAN(D236:D276)</f>
        <v/>
      </c>
      <c r="F256">
        <f>E236</f>
        <v/>
      </c>
      <c r="G256">
        <f>F256-E256</f>
        <v/>
      </c>
      <c r="H256">
        <f>IF(OR(NOT(ISNUMBER(D256)),ABS(D256-E256)&gt;$O$3,AND($O$11=1,B256&lt;$O$12)),1,0)</f>
        <v/>
      </c>
      <c r="I256">
        <f>IF(H256=1,NA(),D256)</f>
        <v/>
      </c>
      <c r="J256">
        <f>IF(AND(ISNUMBER(D256),D256&gt;=$O$4,OR($O$11=0,B256&gt;=$O$12)),1,0)</f>
        <v/>
      </c>
      <c r="K256">
        <f>B256-$O$14</f>
        <v/>
      </c>
    </row>
    <row r="257">
      <c r="A257" t="n">
        <v>765</v>
      </c>
      <c r="B257" t="n">
        <v>25.5</v>
      </c>
      <c r="C257" t="inlineStr">
        <is>
          <t>636</t>
        </is>
      </c>
      <c r="D257" t="n">
        <v>6.36</v>
      </c>
      <c r="E257">
        <f>MEDIAN(D237:D277)</f>
        <v/>
      </c>
      <c r="F257">
        <f>E237</f>
        <v/>
      </c>
      <c r="G257">
        <f>F257-E257</f>
        <v/>
      </c>
      <c r="H257">
        <f>IF(OR(NOT(ISNUMBER(D257)),ABS(D257-E257)&gt;$O$3,AND($O$11=1,B257&lt;$O$12)),1,0)</f>
        <v/>
      </c>
      <c r="I257">
        <f>IF(H257=1,NA(),D257)</f>
        <v/>
      </c>
      <c r="J257">
        <f>IF(AND(ISNUMBER(D257),D257&gt;=$O$4,OR($O$11=0,B257&gt;=$O$12)),1,0)</f>
        <v/>
      </c>
      <c r="K257">
        <f>B257-$O$14</f>
        <v/>
      </c>
    </row>
    <row r="258">
      <c r="A258" t="n">
        <v>768</v>
      </c>
      <c r="B258" t="n">
        <v>25.6</v>
      </c>
      <c r="C258" t="inlineStr">
        <is>
          <t>638</t>
        </is>
      </c>
      <c r="D258" t="n">
        <v>6.38</v>
      </c>
      <c r="E258">
        <f>MEDIAN(D238:D278)</f>
        <v/>
      </c>
      <c r="F258">
        <f>E238</f>
        <v/>
      </c>
      <c r="G258">
        <f>F258-E258</f>
        <v/>
      </c>
      <c r="H258">
        <f>IF(OR(NOT(ISNUMBER(D258)),ABS(D258-E258)&gt;$O$3,AND($O$11=1,B258&lt;$O$12)),1,0)</f>
        <v/>
      </c>
      <c r="I258">
        <f>IF(H258=1,NA(),D258)</f>
        <v/>
      </c>
      <c r="J258">
        <f>IF(AND(ISNUMBER(D258),D258&gt;=$O$4,OR($O$11=0,B258&gt;=$O$12)),1,0)</f>
        <v/>
      </c>
      <c r="K258">
        <f>B258-$O$14</f>
        <v/>
      </c>
    </row>
    <row r="259">
      <c r="A259" t="n">
        <v>771</v>
      </c>
      <c r="B259" t="n">
        <v>25.7</v>
      </c>
      <c r="C259" t="inlineStr">
        <is>
          <t>638</t>
        </is>
      </c>
      <c r="D259" t="n">
        <v>6.38</v>
      </c>
      <c r="E259">
        <f>MEDIAN(D239:D279)</f>
        <v/>
      </c>
      <c r="F259">
        <f>E239</f>
        <v/>
      </c>
      <c r="G259">
        <f>F259-E259</f>
        <v/>
      </c>
      <c r="H259">
        <f>IF(OR(NOT(ISNUMBER(D259)),ABS(D259-E259)&gt;$O$3,AND($O$11=1,B259&lt;$O$12)),1,0)</f>
        <v/>
      </c>
      <c r="I259">
        <f>IF(H259=1,NA(),D259)</f>
        <v/>
      </c>
      <c r="J259">
        <f>IF(AND(ISNUMBER(D259),D259&gt;=$O$4,OR($O$11=0,B259&gt;=$O$12)),1,0)</f>
        <v/>
      </c>
      <c r="K259">
        <f>B259-$O$14</f>
        <v/>
      </c>
    </row>
    <row r="260">
      <c r="A260" t="n">
        <v>774</v>
      </c>
      <c r="B260" t="n">
        <v>25.8</v>
      </c>
      <c r="C260" t="inlineStr">
        <is>
          <t>638</t>
        </is>
      </c>
      <c r="D260" t="n">
        <v>6.38</v>
      </c>
      <c r="E260">
        <f>MEDIAN(D240:D280)</f>
        <v/>
      </c>
      <c r="F260">
        <f>E240</f>
        <v/>
      </c>
      <c r="G260">
        <f>F260-E260</f>
        <v/>
      </c>
      <c r="H260">
        <f>IF(OR(NOT(ISNUMBER(D260)),ABS(D260-E260)&gt;$O$3,AND($O$11=1,B260&lt;$O$12)),1,0)</f>
        <v/>
      </c>
      <c r="I260">
        <f>IF(H260=1,NA(),D260)</f>
        <v/>
      </c>
      <c r="J260">
        <f>IF(AND(ISNUMBER(D260),D260&gt;=$O$4,OR($O$11=0,B260&gt;=$O$12)),1,0)</f>
        <v/>
      </c>
      <c r="K260">
        <f>B260-$O$14</f>
        <v/>
      </c>
    </row>
    <row r="261">
      <c r="A261" t="n">
        <v>777</v>
      </c>
      <c r="B261" t="n">
        <v>25.9</v>
      </c>
      <c r="C261" t="inlineStr">
        <is>
          <t>639</t>
        </is>
      </c>
      <c r="D261" t="n">
        <v>6.39</v>
      </c>
      <c r="E261">
        <f>MEDIAN(D241:D281)</f>
        <v/>
      </c>
      <c r="F261">
        <f>E241</f>
        <v/>
      </c>
      <c r="G261">
        <f>F261-E261</f>
        <v/>
      </c>
      <c r="H261">
        <f>IF(OR(NOT(ISNUMBER(D261)),ABS(D261-E261)&gt;$O$3,AND($O$11=1,B261&lt;$O$12)),1,0)</f>
        <v/>
      </c>
      <c r="I261">
        <f>IF(H261=1,NA(),D261)</f>
        <v/>
      </c>
      <c r="J261">
        <f>IF(AND(ISNUMBER(D261),D261&gt;=$O$4,OR($O$11=0,B261&gt;=$O$12)),1,0)</f>
        <v/>
      </c>
      <c r="K261">
        <f>B261-$O$14</f>
        <v/>
      </c>
    </row>
    <row r="262">
      <c r="A262" t="n">
        <v>780</v>
      </c>
      <c r="B262" t="n">
        <v>26</v>
      </c>
      <c r="C262" t="inlineStr">
        <is>
          <t>640</t>
        </is>
      </c>
      <c r="D262" t="n">
        <v>6.4</v>
      </c>
      <c r="E262">
        <f>MEDIAN(D242:D282)</f>
        <v/>
      </c>
      <c r="F262">
        <f>E242</f>
        <v/>
      </c>
      <c r="G262">
        <f>F262-E262</f>
        <v/>
      </c>
      <c r="H262">
        <f>IF(OR(NOT(ISNUMBER(D262)),ABS(D262-E262)&gt;$O$3,AND($O$11=1,B262&lt;$O$12)),1,0)</f>
        <v/>
      </c>
      <c r="I262">
        <f>IF(H262=1,NA(),D262)</f>
        <v/>
      </c>
      <c r="J262">
        <f>IF(AND(ISNUMBER(D262),D262&gt;=$O$4,OR($O$11=0,B262&gt;=$O$12)),1,0)</f>
        <v/>
      </c>
      <c r="K262">
        <f>B262-$O$14</f>
        <v/>
      </c>
    </row>
    <row r="263">
      <c r="A263" t="n">
        <v>783</v>
      </c>
      <c r="B263" t="n">
        <v>26.1</v>
      </c>
      <c r="C263" t="inlineStr">
        <is>
          <t>640</t>
        </is>
      </c>
      <c r="D263" t="n">
        <v>6.4</v>
      </c>
      <c r="E263">
        <f>MEDIAN(D243:D283)</f>
        <v/>
      </c>
      <c r="F263">
        <f>E243</f>
        <v/>
      </c>
      <c r="G263">
        <f>F263-E263</f>
        <v/>
      </c>
      <c r="H263">
        <f>IF(OR(NOT(ISNUMBER(D263)),ABS(D263-E263)&gt;$O$3,AND($O$11=1,B263&lt;$O$12)),1,0)</f>
        <v/>
      </c>
      <c r="I263">
        <f>IF(H263=1,NA(),D263)</f>
        <v/>
      </c>
      <c r="J263">
        <f>IF(AND(ISNUMBER(D263),D263&gt;=$O$4,OR($O$11=0,B263&gt;=$O$12)),1,0)</f>
        <v/>
      </c>
      <c r="K263">
        <f>B263-$O$14</f>
        <v/>
      </c>
    </row>
    <row r="264">
      <c r="A264" t="n">
        <v>786</v>
      </c>
      <c r="B264" t="n">
        <v>26.2</v>
      </c>
      <c r="C264" t="inlineStr">
        <is>
          <t>642</t>
        </is>
      </c>
      <c r="D264" t="n">
        <v>6.42</v>
      </c>
      <c r="E264">
        <f>MEDIAN(D244:D284)</f>
        <v/>
      </c>
      <c r="F264">
        <f>E244</f>
        <v/>
      </c>
      <c r="G264">
        <f>F264-E264</f>
        <v/>
      </c>
      <c r="H264">
        <f>IF(OR(NOT(ISNUMBER(D264)),ABS(D264-E264)&gt;$O$3,AND($O$11=1,B264&lt;$O$12)),1,0)</f>
        <v/>
      </c>
      <c r="I264">
        <f>IF(H264=1,NA(),D264)</f>
        <v/>
      </c>
      <c r="J264">
        <f>IF(AND(ISNUMBER(D264),D264&gt;=$O$4,OR($O$11=0,B264&gt;=$O$12)),1,0)</f>
        <v/>
      </c>
      <c r="K264">
        <f>B264-$O$14</f>
        <v/>
      </c>
    </row>
    <row r="265">
      <c r="A265" t="n">
        <v>789</v>
      </c>
      <c r="B265" t="n">
        <v>26.3</v>
      </c>
      <c r="C265" t="inlineStr">
        <is>
          <t>643</t>
        </is>
      </c>
      <c r="D265" t="n">
        <v>6.43</v>
      </c>
      <c r="E265">
        <f>MEDIAN(D245:D285)</f>
        <v/>
      </c>
      <c r="F265">
        <f>E245</f>
        <v/>
      </c>
      <c r="G265">
        <f>F265-E265</f>
        <v/>
      </c>
      <c r="H265">
        <f>IF(OR(NOT(ISNUMBER(D265)),ABS(D265-E265)&gt;$O$3,AND($O$11=1,B265&lt;$O$12)),1,0)</f>
        <v/>
      </c>
      <c r="I265">
        <f>IF(H265=1,NA(),D265)</f>
        <v/>
      </c>
      <c r="J265">
        <f>IF(AND(ISNUMBER(D265),D265&gt;=$O$4,OR($O$11=0,B265&gt;=$O$12)),1,0)</f>
        <v/>
      </c>
      <c r="K265">
        <f>B265-$O$14</f>
        <v/>
      </c>
    </row>
    <row r="266">
      <c r="A266" t="n">
        <v>792</v>
      </c>
      <c r="B266" t="n">
        <v>26.4</v>
      </c>
      <c r="C266" t="inlineStr">
        <is>
          <t>644</t>
        </is>
      </c>
      <c r="D266" t="n">
        <v>6.44</v>
      </c>
      <c r="E266">
        <f>MEDIAN(D246:D286)</f>
        <v/>
      </c>
      <c r="F266">
        <f>E246</f>
        <v/>
      </c>
      <c r="G266">
        <f>F266-E266</f>
        <v/>
      </c>
      <c r="H266">
        <f>IF(OR(NOT(ISNUMBER(D266)),ABS(D266-E266)&gt;$O$3,AND($O$11=1,B266&lt;$O$12)),1,0)</f>
        <v/>
      </c>
      <c r="I266">
        <f>IF(H266=1,NA(),D266)</f>
        <v/>
      </c>
      <c r="J266">
        <f>IF(AND(ISNUMBER(D266),D266&gt;=$O$4,OR($O$11=0,B266&gt;=$O$12)),1,0)</f>
        <v/>
      </c>
      <c r="K266">
        <f>B266-$O$14</f>
        <v/>
      </c>
    </row>
    <row r="267">
      <c r="A267" t="n">
        <v>795</v>
      </c>
      <c r="B267" t="n">
        <v>26.5</v>
      </c>
      <c r="C267" t="inlineStr">
        <is>
          <t>645</t>
        </is>
      </c>
      <c r="D267" t="n">
        <v>6.45</v>
      </c>
      <c r="E267">
        <f>MEDIAN(D247:D287)</f>
        <v/>
      </c>
      <c r="F267">
        <f>E247</f>
        <v/>
      </c>
      <c r="G267">
        <f>F267-E267</f>
        <v/>
      </c>
      <c r="H267">
        <f>IF(OR(NOT(ISNUMBER(D267)),ABS(D267-E267)&gt;$O$3,AND($O$11=1,B267&lt;$O$12)),1,0)</f>
        <v/>
      </c>
      <c r="I267">
        <f>IF(H267=1,NA(),D267)</f>
        <v/>
      </c>
      <c r="J267">
        <f>IF(AND(ISNUMBER(D267),D267&gt;=$O$4,OR($O$11=0,B267&gt;=$O$12)),1,0)</f>
        <v/>
      </c>
      <c r="K267">
        <f>B267-$O$14</f>
        <v/>
      </c>
    </row>
    <row r="268">
      <c r="A268" t="n">
        <v>798</v>
      </c>
      <c r="B268" t="n">
        <v>26.6</v>
      </c>
      <c r="C268" t="inlineStr">
        <is>
          <t>645</t>
        </is>
      </c>
      <c r="D268" t="n">
        <v>6.45</v>
      </c>
      <c r="E268">
        <f>MEDIAN(D248:D288)</f>
        <v/>
      </c>
      <c r="F268">
        <f>E248</f>
        <v/>
      </c>
      <c r="G268">
        <f>F268-E268</f>
        <v/>
      </c>
      <c r="H268">
        <f>IF(OR(NOT(ISNUMBER(D268)),ABS(D268-E268)&gt;$O$3,AND($O$11=1,B268&lt;$O$12)),1,0)</f>
        <v/>
      </c>
      <c r="I268">
        <f>IF(H268=1,NA(),D268)</f>
        <v/>
      </c>
      <c r="J268">
        <f>IF(AND(ISNUMBER(D268),D268&gt;=$O$4,OR($O$11=0,B268&gt;=$O$12)),1,0)</f>
        <v/>
      </c>
      <c r="K268">
        <f>B268-$O$14</f>
        <v/>
      </c>
    </row>
    <row r="269">
      <c r="A269" t="n">
        <v>801</v>
      </c>
      <c r="B269" t="n">
        <v>26.7</v>
      </c>
      <c r="C269" t="inlineStr">
        <is>
          <t>646</t>
        </is>
      </c>
      <c r="D269" t="n">
        <v>6.46</v>
      </c>
      <c r="E269">
        <f>MEDIAN(D249:D289)</f>
        <v/>
      </c>
      <c r="F269">
        <f>E249</f>
        <v/>
      </c>
      <c r="G269">
        <f>F269-E269</f>
        <v/>
      </c>
      <c r="H269">
        <f>IF(OR(NOT(ISNUMBER(D269)),ABS(D269-E269)&gt;$O$3,AND($O$11=1,B269&lt;$O$12)),1,0)</f>
        <v/>
      </c>
      <c r="I269">
        <f>IF(H269=1,NA(),D269)</f>
        <v/>
      </c>
      <c r="J269">
        <f>IF(AND(ISNUMBER(D269),D269&gt;=$O$4,OR($O$11=0,B269&gt;=$O$12)),1,0)</f>
        <v/>
      </c>
      <c r="K269">
        <f>B269-$O$14</f>
        <v/>
      </c>
    </row>
    <row r="270">
      <c r="A270" t="n">
        <v>804</v>
      </c>
      <c r="B270" t="n">
        <v>26.8</v>
      </c>
      <c r="C270" t="inlineStr">
        <is>
          <t>651</t>
        </is>
      </c>
      <c r="D270" t="n">
        <v>6.51</v>
      </c>
      <c r="E270">
        <f>MEDIAN(D250:D290)</f>
        <v/>
      </c>
      <c r="F270">
        <f>E250</f>
        <v/>
      </c>
      <c r="G270">
        <f>F270-E270</f>
        <v/>
      </c>
      <c r="H270">
        <f>IF(OR(NOT(ISNUMBER(D270)),ABS(D270-E270)&gt;$O$3,AND($O$11=1,B270&lt;$O$12)),1,0)</f>
        <v/>
      </c>
      <c r="I270">
        <f>IF(H270=1,NA(),D270)</f>
        <v/>
      </c>
      <c r="J270">
        <f>IF(AND(ISNUMBER(D270),D270&gt;=$O$4,OR($O$11=0,B270&gt;=$O$12)),1,0)</f>
        <v/>
      </c>
      <c r="K270">
        <f>B270-$O$14</f>
        <v/>
      </c>
    </row>
    <row r="271">
      <c r="A271" t="n">
        <v>807</v>
      </c>
      <c r="B271" t="n">
        <v>26.9</v>
      </c>
      <c r="C271" t="inlineStr">
        <is>
          <t>651</t>
        </is>
      </c>
      <c r="D271" t="n">
        <v>6.51</v>
      </c>
      <c r="E271">
        <f>MEDIAN(D251:D291)</f>
        <v/>
      </c>
      <c r="F271">
        <f>E251</f>
        <v/>
      </c>
      <c r="G271">
        <f>F271-E271</f>
        <v/>
      </c>
      <c r="H271">
        <f>IF(OR(NOT(ISNUMBER(D271)),ABS(D271-E271)&gt;$O$3,AND($O$11=1,B271&lt;$O$12)),1,0)</f>
        <v/>
      </c>
      <c r="I271">
        <f>IF(H271=1,NA(),D271)</f>
        <v/>
      </c>
      <c r="J271">
        <f>IF(AND(ISNUMBER(D271),D271&gt;=$O$4,OR($O$11=0,B271&gt;=$O$12)),1,0)</f>
        <v/>
      </c>
      <c r="K271">
        <f>B271-$O$14</f>
        <v/>
      </c>
    </row>
    <row r="272">
      <c r="A272" t="n">
        <v>810</v>
      </c>
      <c r="B272" t="n">
        <v>27</v>
      </c>
      <c r="C272" t="inlineStr">
        <is>
          <t>651</t>
        </is>
      </c>
      <c r="D272" t="n">
        <v>6.51</v>
      </c>
      <c r="E272">
        <f>MEDIAN(D252:D292)</f>
        <v/>
      </c>
      <c r="F272">
        <f>E252</f>
        <v/>
      </c>
      <c r="G272">
        <f>F272-E272</f>
        <v/>
      </c>
      <c r="H272">
        <f>IF(OR(NOT(ISNUMBER(D272)),ABS(D272-E272)&gt;$O$3,AND($O$11=1,B272&lt;$O$12)),1,0)</f>
        <v/>
      </c>
      <c r="I272">
        <f>IF(H272=1,NA(),D272)</f>
        <v/>
      </c>
      <c r="J272">
        <f>IF(AND(ISNUMBER(D272),D272&gt;=$O$4,OR($O$11=0,B272&gt;=$O$12)),1,0)</f>
        <v/>
      </c>
      <c r="K272">
        <f>B272-$O$14</f>
        <v/>
      </c>
    </row>
    <row r="273">
      <c r="A273" t="n">
        <v>813</v>
      </c>
      <c r="B273" t="n">
        <v>27.1</v>
      </c>
      <c r="C273" t="inlineStr">
        <is>
          <t>651</t>
        </is>
      </c>
      <c r="D273" t="n">
        <v>6.51</v>
      </c>
      <c r="E273">
        <f>MEDIAN(D253:D293)</f>
        <v/>
      </c>
      <c r="F273">
        <f>E253</f>
        <v/>
      </c>
      <c r="G273">
        <f>F273-E273</f>
        <v/>
      </c>
      <c r="H273">
        <f>IF(OR(NOT(ISNUMBER(D273)),ABS(D273-E273)&gt;$O$3,AND($O$11=1,B273&lt;$O$12)),1,0)</f>
        <v/>
      </c>
      <c r="I273">
        <f>IF(H273=1,NA(),D273)</f>
        <v/>
      </c>
      <c r="J273">
        <f>IF(AND(ISNUMBER(D273),D273&gt;=$O$4,OR($O$11=0,B273&gt;=$O$12)),1,0)</f>
        <v/>
      </c>
      <c r="K273">
        <f>B273-$O$14</f>
        <v/>
      </c>
    </row>
    <row r="274">
      <c r="A274" t="n">
        <v>816</v>
      </c>
      <c r="B274" t="n">
        <v>27.2</v>
      </c>
      <c r="C274" t="inlineStr">
        <is>
          <t>652</t>
        </is>
      </c>
      <c r="D274" t="n">
        <v>6.52</v>
      </c>
      <c r="E274">
        <f>MEDIAN(D254:D294)</f>
        <v/>
      </c>
      <c r="F274">
        <f>E254</f>
        <v/>
      </c>
      <c r="G274">
        <f>F274-E274</f>
        <v/>
      </c>
      <c r="H274">
        <f>IF(OR(NOT(ISNUMBER(D274)),ABS(D274-E274)&gt;$O$3,AND($O$11=1,B274&lt;$O$12)),1,0)</f>
        <v/>
      </c>
      <c r="I274">
        <f>IF(H274=1,NA(),D274)</f>
        <v/>
      </c>
      <c r="J274">
        <f>IF(AND(ISNUMBER(D274),D274&gt;=$O$4,OR($O$11=0,B274&gt;=$O$12)),1,0)</f>
        <v/>
      </c>
      <c r="K274">
        <f>B274-$O$14</f>
        <v/>
      </c>
    </row>
    <row r="275">
      <c r="A275" t="n">
        <v>819</v>
      </c>
      <c r="B275" t="n">
        <v>27.3</v>
      </c>
      <c r="C275" t="inlineStr">
        <is>
          <t>652</t>
        </is>
      </c>
      <c r="D275" t="n">
        <v>6.52</v>
      </c>
      <c r="E275">
        <f>MEDIAN(D255:D295)</f>
        <v/>
      </c>
      <c r="F275">
        <f>E255</f>
        <v/>
      </c>
      <c r="G275">
        <f>F275-E275</f>
        <v/>
      </c>
      <c r="H275">
        <f>IF(OR(NOT(ISNUMBER(D275)),ABS(D275-E275)&gt;$O$3,AND($O$11=1,B275&lt;$O$12)),1,0)</f>
        <v/>
      </c>
      <c r="I275">
        <f>IF(H275=1,NA(),D275)</f>
        <v/>
      </c>
      <c r="J275">
        <f>IF(AND(ISNUMBER(D275),D275&gt;=$O$4,OR($O$11=0,B275&gt;=$O$12)),1,0)</f>
        <v/>
      </c>
      <c r="K275">
        <f>B275-$O$14</f>
        <v/>
      </c>
    </row>
    <row r="276">
      <c r="A276" t="n">
        <v>822</v>
      </c>
      <c r="B276" t="n">
        <v>27.4</v>
      </c>
      <c r="C276" t="inlineStr">
        <is>
          <t>653</t>
        </is>
      </c>
      <c r="D276" t="n">
        <v>6.53</v>
      </c>
      <c r="E276">
        <f>MEDIAN(D256:D296)</f>
        <v/>
      </c>
      <c r="F276">
        <f>E256</f>
        <v/>
      </c>
      <c r="G276">
        <f>F276-E276</f>
        <v/>
      </c>
      <c r="H276">
        <f>IF(OR(NOT(ISNUMBER(D276)),ABS(D276-E276)&gt;$O$3,AND($O$11=1,B276&lt;$O$12)),1,0)</f>
        <v/>
      </c>
      <c r="I276">
        <f>IF(H276=1,NA(),D276)</f>
        <v/>
      </c>
      <c r="J276">
        <f>IF(AND(ISNUMBER(D276),D276&gt;=$O$4,OR($O$11=0,B276&gt;=$O$12)),1,0)</f>
        <v/>
      </c>
      <c r="K276">
        <f>B276-$O$14</f>
        <v/>
      </c>
    </row>
    <row r="277">
      <c r="A277" t="n">
        <v>825</v>
      </c>
      <c r="B277" t="n">
        <v>27.5</v>
      </c>
      <c r="C277" t="inlineStr">
        <is>
          <t>653</t>
        </is>
      </c>
      <c r="D277" t="n">
        <v>6.53</v>
      </c>
      <c r="E277">
        <f>MEDIAN(D257:D297)</f>
        <v/>
      </c>
      <c r="F277">
        <f>E257</f>
        <v/>
      </c>
      <c r="G277">
        <f>F277-E277</f>
        <v/>
      </c>
      <c r="H277">
        <f>IF(OR(NOT(ISNUMBER(D277)),ABS(D277-E277)&gt;$O$3,AND($O$11=1,B277&lt;$O$12)),1,0)</f>
        <v/>
      </c>
      <c r="I277">
        <f>IF(H277=1,NA(),D277)</f>
        <v/>
      </c>
      <c r="J277">
        <f>IF(AND(ISNUMBER(D277),D277&gt;=$O$4,OR($O$11=0,B277&gt;=$O$12)),1,0)</f>
        <v/>
      </c>
      <c r="K277">
        <f>B277-$O$14</f>
        <v/>
      </c>
    </row>
    <row r="278">
      <c r="A278" t="n">
        <v>828</v>
      </c>
      <c r="B278" t="n">
        <v>27.6</v>
      </c>
      <c r="C278" t="inlineStr">
        <is>
          <t>654</t>
        </is>
      </c>
      <c r="D278" t="n">
        <v>6.54</v>
      </c>
      <c r="E278">
        <f>MEDIAN(D258:D298)</f>
        <v/>
      </c>
      <c r="F278">
        <f>E258</f>
        <v/>
      </c>
      <c r="G278">
        <f>F278-E278</f>
        <v/>
      </c>
      <c r="H278">
        <f>IF(OR(NOT(ISNUMBER(D278)),ABS(D278-E278)&gt;$O$3,AND($O$11=1,B278&lt;$O$12)),1,0)</f>
        <v/>
      </c>
      <c r="I278">
        <f>IF(H278=1,NA(),D278)</f>
        <v/>
      </c>
      <c r="J278">
        <f>IF(AND(ISNUMBER(D278),D278&gt;=$O$4,OR($O$11=0,B278&gt;=$O$12)),1,0)</f>
        <v/>
      </c>
      <c r="K278">
        <f>B278-$O$14</f>
        <v/>
      </c>
    </row>
    <row r="279">
      <c r="A279" t="n">
        <v>831</v>
      </c>
      <c r="B279" t="n">
        <v>27.7</v>
      </c>
      <c r="C279" t="inlineStr">
        <is>
          <t>655</t>
        </is>
      </c>
      <c r="D279" t="n">
        <v>6.55</v>
      </c>
      <c r="E279">
        <f>MEDIAN(D259:D299)</f>
        <v/>
      </c>
      <c r="F279">
        <f>E259</f>
        <v/>
      </c>
      <c r="G279">
        <f>F279-E279</f>
        <v/>
      </c>
      <c r="H279">
        <f>IF(OR(NOT(ISNUMBER(D279)),ABS(D279-E279)&gt;$O$3,AND($O$11=1,B279&lt;$O$12)),1,0)</f>
        <v/>
      </c>
      <c r="I279">
        <f>IF(H279=1,NA(),D279)</f>
        <v/>
      </c>
      <c r="J279">
        <f>IF(AND(ISNUMBER(D279),D279&gt;=$O$4,OR($O$11=0,B279&gt;=$O$12)),1,0)</f>
        <v/>
      </c>
      <c r="K279">
        <f>B279-$O$14</f>
        <v/>
      </c>
    </row>
    <row r="280">
      <c r="A280" t="n">
        <v>834</v>
      </c>
      <c r="B280" t="n">
        <v>27.8</v>
      </c>
      <c r="C280" t="inlineStr">
        <is>
          <t>656</t>
        </is>
      </c>
      <c r="D280" t="n">
        <v>6.56</v>
      </c>
      <c r="E280">
        <f>MEDIAN(D260:D300)</f>
        <v/>
      </c>
      <c r="F280">
        <f>E260</f>
        <v/>
      </c>
      <c r="G280">
        <f>F280-E280</f>
        <v/>
      </c>
      <c r="H280">
        <f>IF(OR(NOT(ISNUMBER(D280)),ABS(D280-E280)&gt;$O$3,AND($O$11=1,B280&lt;$O$12)),1,0)</f>
        <v/>
      </c>
      <c r="I280">
        <f>IF(H280=1,NA(),D280)</f>
        <v/>
      </c>
      <c r="J280">
        <f>IF(AND(ISNUMBER(D280),D280&gt;=$O$4,OR($O$11=0,B280&gt;=$O$12)),1,0)</f>
        <v/>
      </c>
      <c r="K280">
        <f>B280-$O$14</f>
        <v/>
      </c>
    </row>
    <row r="281">
      <c r="A281" t="n">
        <v>837</v>
      </c>
      <c r="B281" t="n">
        <v>27.9</v>
      </c>
      <c r="C281" t="inlineStr">
        <is>
          <t>661</t>
        </is>
      </c>
      <c r="D281" t="n">
        <v>6.61</v>
      </c>
      <c r="E281">
        <f>MEDIAN(D261:D301)</f>
        <v/>
      </c>
      <c r="F281">
        <f>E261</f>
        <v/>
      </c>
      <c r="G281">
        <f>F281-E281</f>
        <v/>
      </c>
      <c r="H281">
        <f>IF(OR(NOT(ISNUMBER(D281)),ABS(D281-E281)&gt;$O$3,AND($O$11=1,B281&lt;$O$12)),1,0)</f>
        <v/>
      </c>
      <c r="I281">
        <f>IF(H281=1,NA(),D281)</f>
        <v/>
      </c>
      <c r="J281">
        <f>IF(AND(ISNUMBER(D281),D281&gt;=$O$4,OR($O$11=0,B281&gt;=$O$12)),1,0)</f>
        <v/>
      </c>
      <c r="K281">
        <f>B281-$O$14</f>
        <v/>
      </c>
    </row>
    <row r="282">
      <c r="A282" t="n">
        <v>840</v>
      </c>
      <c r="B282" t="n">
        <v>28</v>
      </c>
      <c r="C282" t="inlineStr">
        <is>
          <t>661</t>
        </is>
      </c>
      <c r="D282" t="n">
        <v>6.61</v>
      </c>
      <c r="E282">
        <f>MEDIAN(D262:D302)</f>
        <v/>
      </c>
      <c r="F282">
        <f>E262</f>
        <v/>
      </c>
      <c r="G282">
        <f>F282-E282</f>
        <v/>
      </c>
      <c r="H282">
        <f>IF(OR(NOT(ISNUMBER(D282)),ABS(D282-E282)&gt;$O$3,AND($O$11=1,B282&lt;$O$12)),1,0)</f>
        <v/>
      </c>
      <c r="I282">
        <f>IF(H282=1,NA(),D282)</f>
        <v/>
      </c>
      <c r="J282">
        <f>IF(AND(ISNUMBER(D282),D282&gt;=$O$4,OR($O$11=0,B282&gt;=$O$12)),1,0)</f>
        <v/>
      </c>
      <c r="K282">
        <f>B282-$O$14</f>
        <v/>
      </c>
    </row>
    <row r="283">
      <c r="A283" t="n">
        <v>843</v>
      </c>
      <c r="B283" t="n">
        <v>28.1</v>
      </c>
      <c r="C283" t="inlineStr">
        <is>
          <t>661</t>
        </is>
      </c>
      <c r="D283" t="n">
        <v>6.61</v>
      </c>
      <c r="E283">
        <f>MEDIAN(D263:D303)</f>
        <v/>
      </c>
      <c r="F283">
        <f>E263</f>
        <v/>
      </c>
      <c r="G283">
        <f>F283-E283</f>
        <v/>
      </c>
      <c r="H283">
        <f>IF(OR(NOT(ISNUMBER(D283)),ABS(D283-E283)&gt;$O$3,AND($O$11=1,B283&lt;$O$12)),1,0)</f>
        <v/>
      </c>
      <c r="I283">
        <f>IF(H283=1,NA(),D283)</f>
        <v/>
      </c>
      <c r="J283">
        <f>IF(AND(ISNUMBER(D283),D283&gt;=$O$4,OR($O$11=0,B283&gt;=$O$12)),1,0)</f>
        <v/>
      </c>
      <c r="K283">
        <f>B283-$O$14</f>
        <v/>
      </c>
    </row>
    <row r="284">
      <c r="A284" t="n">
        <v>846</v>
      </c>
      <c r="B284" t="n">
        <v>28.2</v>
      </c>
      <c r="C284" t="inlineStr">
        <is>
          <t>661</t>
        </is>
      </c>
      <c r="D284" t="n">
        <v>6.61</v>
      </c>
      <c r="E284">
        <f>MEDIAN(D264:D304)</f>
        <v/>
      </c>
      <c r="F284">
        <f>E264</f>
        <v/>
      </c>
      <c r="G284">
        <f>F284-E284</f>
        <v/>
      </c>
      <c r="H284">
        <f>IF(OR(NOT(ISNUMBER(D284)),ABS(D284-E284)&gt;$O$3,AND($O$11=1,B284&lt;$O$12)),1,0)</f>
        <v/>
      </c>
      <c r="I284">
        <f>IF(H284=1,NA(),D284)</f>
        <v/>
      </c>
      <c r="J284">
        <f>IF(AND(ISNUMBER(D284),D284&gt;=$O$4,OR($O$11=0,B284&gt;=$O$12)),1,0)</f>
        <v/>
      </c>
      <c r="K284">
        <f>B284-$O$14</f>
        <v/>
      </c>
    </row>
    <row r="285">
      <c r="A285" t="n">
        <v>849</v>
      </c>
      <c r="B285" t="n">
        <v>28.3</v>
      </c>
      <c r="C285" t="inlineStr">
        <is>
          <t>662</t>
        </is>
      </c>
      <c r="D285" t="n">
        <v>6.62</v>
      </c>
      <c r="E285">
        <f>MEDIAN(D265:D305)</f>
        <v/>
      </c>
      <c r="F285">
        <f>E265</f>
        <v/>
      </c>
      <c r="G285">
        <f>F285-E285</f>
        <v/>
      </c>
      <c r="H285">
        <f>IF(OR(NOT(ISNUMBER(D285)),ABS(D285-E285)&gt;$O$3,AND($O$11=1,B285&lt;$O$12)),1,0)</f>
        <v/>
      </c>
      <c r="I285">
        <f>IF(H285=1,NA(),D285)</f>
        <v/>
      </c>
      <c r="J285">
        <f>IF(AND(ISNUMBER(D285),D285&gt;=$O$4,OR($O$11=0,B285&gt;=$O$12)),1,0)</f>
        <v/>
      </c>
      <c r="K285">
        <f>B285-$O$14</f>
        <v/>
      </c>
    </row>
    <row r="286">
      <c r="A286" t="n">
        <v>852</v>
      </c>
      <c r="B286" t="n">
        <v>28.4</v>
      </c>
      <c r="C286" t="inlineStr">
        <is>
          <t>662</t>
        </is>
      </c>
      <c r="D286" t="n">
        <v>6.62</v>
      </c>
      <c r="E286">
        <f>MEDIAN(D266:D306)</f>
        <v/>
      </c>
      <c r="F286">
        <f>E266</f>
        <v/>
      </c>
      <c r="G286">
        <f>F286-E286</f>
        <v/>
      </c>
      <c r="H286">
        <f>IF(OR(NOT(ISNUMBER(D286)),ABS(D286-E286)&gt;$O$3,AND($O$11=1,B286&lt;$O$12)),1,0)</f>
        <v/>
      </c>
      <c r="I286">
        <f>IF(H286=1,NA(),D286)</f>
        <v/>
      </c>
      <c r="J286">
        <f>IF(AND(ISNUMBER(D286),D286&gt;=$O$4,OR($O$11=0,B286&gt;=$O$12)),1,0)</f>
        <v/>
      </c>
      <c r="K286">
        <f>B286-$O$14</f>
        <v/>
      </c>
    </row>
    <row r="287">
      <c r="A287" t="n">
        <v>855</v>
      </c>
      <c r="B287" t="n">
        <v>28.5</v>
      </c>
      <c r="C287" t="inlineStr">
        <is>
          <t>663</t>
        </is>
      </c>
      <c r="D287" t="n">
        <v>6.63</v>
      </c>
      <c r="E287">
        <f>MEDIAN(D267:D307)</f>
        <v/>
      </c>
      <c r="F287">
        <f>E267</f>
        <v/>
      </c>
      <c r="G287">
        <f>F287-E287</f>
        <v/>
      </c>
      <c r="H287">
        <f>IF(OR(NOT(ISNUMBER(D287)),ABS(D287-E287)&gt;$O$3,AND($O$11=1,B287&lt;$O$12)),1,0)</f>
        <v/>
      </c>
      <c r="I287">
        <f>IF(H287=1,NA(),D287)</f>
        <v/>
      </c>
      <c r="J287">
        <f>IF(AND(ISNUMBER(D287),D287&gt;=$O$4,OR($O$11=0,B287&gt;=$O$12)),1,0)</f>
        <v/>
      </c>
      <c r="K287">
        <f>B287-$O$14</f>
        <v/>
      </c>
    </row>
    <row r="288">
      <c r="A288" t="n">
        <v>858</v>
      </c>
      <c r="B288" t="n">
        <v>28.6</v>
      </c>
      <c r="C288" t="inlineStr">
        <is>
          <t>664</t>
        </is>
      </c>
      <c r="D288" t="n">
        <v>6.64</v>
      </c>
      <c r="E288">
        <f>MEDIAN(D268:D308)</f>
        <v/>
      </c>
      <c r="F288">
        <f>E268</f>
        <v/>
      </c>
      <c r="G288">
        <f>F288-E288</f>
        <v/>
      </c>
      <c r="H288">
        <f>IF(OR(NOT(ISNUMBER(D288)),ABS(D288-E288)&gt;$O$3,AND($O$11=1,B288&lt;$O$12)),1,0)</f>
        <v/>
      </c>
      <c r="I288">
        <f>IF(H288=1,NA(),D288)</f>
        <v/>
      </c>
      <c r="J288">
        <f>IF(AND(ISNUMBER(D288),D288&gt;=$O$4,OR($O$11=0,B288&gt;=$O$12)),1,0)</f>
        <v/>
      </c>
      <c r="K288">
        <f>B288-$O$14</f>
        <v/>
      </c>
    </row>
    <row r="289">
      <c r="A289" t="n">
        <v>861</v>
      </c>
      <c r="B289" t="n">
        <v>28.7</v>
      </c>
      <c r="C289" t="inlineStr">
        <is>
          <t>664</t>
        </is>
      </c>
      <c r="D289" t="n">
        <v>6.64</v>
      </c>
      <c r="E289">
        <f>MEDIAN(D269:D309)</f>
        <v/>
      </c>
      <c r="F289">
        <f>E269</f>
        <v/>
      </c>
      <c r="G289">
        <f>F289-E289</f>
        <v/>
      </c>
      <c r="H289">
        <f>IF(OR(NOT(ISNUMBER(D289)),ABS(D289-E289)&gt;$O$3,AND($O$11=1,B289&lt;$O$12)),1,0)</f>
        <v/>
      </c>
      <c r="I289">
        <f>IF(H289=1,NA(),D289)</f>
        <v/>
      </c>
      <c r="J289">
        <f>IF(AND(ISNUMBER(D289),D289&gt;=$O$4,OR($O$11=0,B289&gt;=$O$12)),1,0)</f>
        <v/>
      </c>
      <c r="K289">
        <f>B289-$O$14</f>
        <v/>
      </c>
    </row>
    <row r="290">
      <c r="A290" t="n">
        <v>864</v>
      </c>
      <c r="B290" t="n">
        <v>28.8</v>
      </c>
      <c r="C290" t="inlineStr">
        <is>
          <t>665</t>
        </is>
      </c>
      <c r="D290" t="n">
        <v>6.65</v>
      </c>
      <c r="E290">
        <f>MEDIAN(D270:D310)</f>
        <v/>
      </c>
      <c r="F290">
        <f>E270</f>
        <v/>
      </c>
      <c r="G290">
        <f>F290-E290</f>
        <v/>
      </c>
      <c r="H290">
        <f>IF(OR(NOT(ISNUMBER(D290)),ABS(D290-E290)&gt;$O$3,AND($O$11=1,B290&lt;$O$12)),1,0)</f>
        <v/>
      </c>
      <c r="I290">
        <f>IF(H290=1,NA(),D290)</f>
        <v/>
      </c>
      <c r="J290">
        <f>IF(AND(ISNUMBER(D290),D290&gt;=$O$4,OR($O$11=0,B290&gt;=$O$12)),1,0)</f>
        <v/>
      </c>
      <c r="K290">
        <f>B290-$O$14</f>
        <v/>
      </c>
    </row>
    <row r="291">
      <c r="A291" t="n">
        <v>867</v>
      </c>
      <c r="B291" t="n">
        <v>28.9</v>
      </c>
      <c r="C291" t="inlineStr">
        <is>
          <t>666</t>
        </is>
      </c>
      <c r="D291" t="n">
        <v>6.66</v>
      </c>
      <c r="E291">
        <f>MEDIAN(D271:D311)</f>
        <v/>
      </c>
      <c r="F291">
        <f>E271</f>
        <v/>
      </c>
      <c r="G291">
        <f>F291-E291</f>
        <v/>
      </c>
      <c r="H291">
        <f>IF(OR(NOT(ISNUMBER(D291)),ABS(D291-E291)&gt;$O$3,AND($O$11=1,B291&lt;$O$12)),1,0)</f>
        <v/>
      </c>
      <c r="I291">
        <f>IF(H291=1,NA(),D291)</f>
        <v/>
      </c>
      <c r="J291">
        <f>IF(AND(ISNUMBER(D291),D291&gt;=$O$4,OR($O$11=0,B291&gt;=$O$12)),1,0)</f>
        <v/>
      </c>
      <c r="K291">
        <f>B291-$O$14</f>
        <v/>
      </c>
    </row>
    <row r="292">
      <c r="A292" t="n">
        <v>870</v>
      </c>
      <c r="B292" t="n">
        <v>29</v>
      </c>
      <c r="C292" t="inlineStr">
        <is>
          <t>667</t>
        </is>
      </c>
      <c r="D292" t="n">
        <v>6.67</v>
      </c>
      <c r="E292">
        <f>MEDIAN(D272:D312)</f>
        <v/>
      </c>
      <c r="F292">
        <f>E272</f>
        <v/>
      </c>
      <c r="G292">
        <f>F292-E292</f>
        <v/>
      </c>
      <c r="H292">
        <f>IF(OR(NOT(ISNUMBER(D292)),ABS(D292-E292)&gt;$O$3,AND($O$11=1,B292&lt;$O$12)),1,0)</f>
        <v/>
      </c>
      <c r="I292">
        <f>IF(H292=1,NA(),D292)</f>
        <v/>
      </c>
      <c r="J292">
        <f>IF(AND(ISNUMBER(D292),D292&gt;=$O$4,OR($O$11=0,B292&gt;=$O$12)),1,0)</f>
        <v/>
      </c>
      <c r="K292">
        <f>B292-$O$14</f>
        <v/>
      </c>
    </row>
    <row r="293">
      <c r="A293" t="n">
        <v>873</v>
      </c>
      <c r="B293" t="n">
        <v>29.1</v>
      </c>
      <c r="C293" t="inlineStr">
        <is>
          <t>668</t>
        </is>
      </c>
      <c r="D293" t="n">
        <v>6.68</v>
      </c>
      <c r="E293">
        <f>MEDIAN(D273:D313)</f>
        <v/>
      </c>
      <c r="F293">
        <f>E273</f>
        <v/>
      </c>
      <c r="G293">
        <f>F293-E293</f>
        <v/>
      </c>
      <c r="H293">
        <f>IF(OR(NOT(ISNUMBER(D293)),ABS(D293-E293)&gt;$O$3,AND($O$11=1,B293&lt;$O$12)),1,0)</f>
        <v/>
      </c>
      <c r="I293">
        <f>IF(H293=1,NA(),D293)</f>
        <v/>
      </c>
      <c r="J293">
        <f>IF(AND(ISNUMBER(D293),D293&gt;=$O$4,OR($O$11=0,B293&gt;=$O$12)),1,0)</f>
        <v/>
      </c>
      <c r="K293">
        <f>B293-$O$14</f>
        <v/>
      </c>
    </row>
    <row r="294">
      <c r="A294" t="n">
        <v>876</v>
      </c>
      <c r="B294" t="n">
        <v>29.2</v>
      </c>
      <c r="C294" t="inlineStr">
        <is>
          <t>669</t>
        </is>
      </c>
      <c r="D294" t="n">
        <v>6.69</v>
      </c>
      <c r="E294">
        <f>MEDIAN(D274:D314)</f>
        <v/>
      </c>
      <c r="F294">
        <f>E274</f>
        <v/>
      </c>
      <c r="G294">
        <f>F294-E294</f>
        <v/>
      </c>
      <c r="H294">
        <f>IF(OR(NOT(ISNUMBER(D294)),ABS(D294-E294)&gt;$O$3,AND($O$11=1,B294&lt;$O$12)),1,0)</f>
        <v/>
      </c>
      <c r="I294">
        <f>IF(H294=1,NA(),D294)</f>
        <v/>
      </c>
      <c r="J294">
        <f>IF(AND(ISNUMBER(D294),D294&gt;=$O$4,OR($O$11=0,B294&gt;=$O$12)),1,0)</f>
        <v/>
      </c>
      <c r="K294">
        <f>B294-$O$14</f>
        <v/>
      </c>
    </row>
    <row r="295">
      <c r="A295" t="n">
        <v>879</v>
      </c>
      <c r="B295" t="n">
        <v>29.3</v>
      </c>
      <c r="C295" t="inlineStr">
        <is>
          <t>670</t>
        </is>
      </c>
      <c r="D295" t="n">
        <v>6.7</v>
      </c>
      <c r="E295">
        <f>MEDIAN(D275:D315)</f>
        <v/>
      </c>
      <c r="F295">
        <f>E275</f>
        <v/>
      </c>
      <c r="G295">
        <f>F295-E295</f>
        <v/>
      </c>
      <c r="H295">
        <f>IF(OR(NOT(ISNUMBER(D295)),ABS(D295-E295)&gt;$O$3,AND($O$11=1,B295&lt;$O$12)),1,0)</f>
        <v/>
      </c>
      <c r="I295">
        <f>IF(H295=1,NA(),D295)</f>
        <v/>
      </c>
      <c r="J295">
        <f>IF(AND(ISNUMBER(D295),D295&gt;=$O$4,OR($O$11=0,B295&gt;=$O$12)),1,0)</f>
        <v/>
      </c>
      <c r="K295">
        <f>B295-$O$14</f>
        <v/>
      </c>
    </row>
    <row r="296">
      <c r="A296" t="n">
        <v>882</v>
      </c>
      <c r="B296" t="n">
        <v>29.4</v>
      </c>
      <c r="C296" t="inlineStr">
        <is>
          <t>670</t>
        </is>
      </c>
      <c r="D296" t="n">
        <v>6.7</v>
      </c>
      <c r="E296">
        <f>MEDIAN(D276:D316)</f>
        <v/>
      </c>
      <c r="F296">
        <f>E276</f>
        <v/>
      </c>
      <c r="G296">
        <f>F296-E296</f>
        <v/>
      </c>
      <c r="H296">
        <f>IF(OR(NOT(ISNUMBER(D296)),ABS(D296-E296)&gt;$O$3,AND($O$11=1,B296&lt;$O$12)),1,0)</f>
        <v/>
      </c>
      <c r="I296">
        <f>IF(H296=1,NA(),D296)</f>
        <v/>
      </c>
      <c r="J296">
        <f>IF(AND(ISNUMBER(D296),D296&gt;=$O$4,OR($O$11=0,B296&gt;=$O$12)),1,0)</f>
        <v/>
      </c>
      <c r="K296">
        <f>B296-$O$14</f>
        <v/>
      </c>
    </row>
    <row r="297">
      <c r="A297" t="n">
        <v>885</v>
      </c>
      <c r="B297" t="n">
        <v>29.5</v>
      </c>
      <c r="C297" t="inlineStr">
        <is>
          <t>671</t>
        </is>
      </c>
      <c r="D297" t="n">
        <v>6.71</v>
      </c>
      <c r="E297">
        <f>MEDIAN(D277:D317)</f>
        <v/>
      </c>
      <c r="F297">
        <f>E277</f>
        <v/>
      </c>
      <c r="G297">
        <f>F297-E297</f>
        <v/>
      </c>
      <c r="H297">
        <f>IF(OR(NOT(ISNUMBER(D297)),ABS(D297-E297)&gt;$O$3,AND($O$11=1,B297&lt;$O$12)),1,0)</f>
        <v/>
      </c>
      <c r="I297">
        <f>IF(H297=1,NA(),D297)</f>
        <v/>
      </c>
      <c r="J297">
        <f>IF(AND(ISNUMBER(D297),D297&gt;=$O$4,OR($O$11=0,B297&gt;=$O$12)),1,0)</f>
        <v/>
      </c>
      <c r="K297">
        <f>B297-$O$14</f>
        <v/>
      </c>
    </row>
    <row r="298">
      <c r="A298" t="n">
        <v>888</v>
      </c>
      <c r="B298" t="n">
        <v>29.6</v>
      </c>
      <c r="C298" t="inlineStr">
        <is>
          <t>672</t>
        </is>
      </c>
      <c r="D298" t="n">
        <v>6.72</v>
      </c>
      <c r="E298">
        <f>MEDIAN(D278:D318)</f>
        <v/>
      </c>
      <c r="F298">
        <f>E278</f>
        <v/>
      </c>
      <c r="G298">
        <f>F298-E298</f>
        <v/>
      </c>
      <c r="H298">
        <f>IF(OR(NOT(ISNUMBER(D298)),ABS(D298-E298)&gt;$O$3,AND($O$11=1,B298&lt;$O$12)),1,0)</f>
        <v/>
      </c>
      <c r="I298">
        <f>IF(H298=1,NA(),D298)</f>
        <v/>
      </c>
      <c r="J298">
        <f>IF(AND(ISNUMBER(D298),D298&gt;=$O$4,OR($O$11=0,B298&gt;=$O$12)),1,0)</f>
        <v/>
      </c>
      <c r="K298">
        <f>B298-$O$14</f>
        <v/>
      </c>
    </row>
    <row r="299">
      <c r="A299" t="n">
        <v>891</v>
      </c>
      <c r="B299" t="n">
        <v>29.7</v>
      </c>
      <c r="C299" t="inlineStr">
        <is>
          <t>673</t>
        </is>
      </c>
      <c r="D299" t="n">
        <v>6.73</v>
      </c>
      <c r="E299">
        <f>MEDIAN(D279:D319)</f>
        <v/>
      </c>
      <c r="F299">
        <f>E279</f>
        <v/>
      </c>
      <c r="G299">
        <f>F299-E299</f>
        <v/>
      </c>
      <c r="H299">
        <f>IF(OR(NOT(ISNUMBER(D299)),ABS(D299-E299)&gt;$O$3,AND($O$11=1,B299&lt;$O$12)),1,0)</f>
        <v/>
      </c>
      <c r="I299">
        <f>IF(H299=1,NA(),D299)</f>
        <v/>
      </c>
      <c r="J299">
        <f>IF(AND(ISNUMBER(D299),D299&gt;=$O$4,OR($O$11=0,B299&gt;=$O$12)),1,0)</f>
        <v/>
      </c>
      <c r="K299">
        <f>B299-$O$14</f>
        <v/>
      </c>
    </row>
    <row r="300">
      <c r="A300" t="n">
        <v>894</v>
      </c>
      <c r="B300" t="n">
        <v>29.8</v>
      </c>
      <c r="C300" t="inlineStr">
        <is>
          <t>672</t>
        </is>
      </c>
      <c r="D300" t="n">
        <v>6.72</v>
      </c>
      <c r="E300">
        <f>MEDIAN(D280:D320)</f>
        <v/>
      </c>
      <c r="F300">
        <f>E280</f>
        <v/>
      </c>
      <c r="G300">
        <f>F300-E300</f>
        <v/>
      </c>
      <c r="H300">
        <f>IF(OR(NOT(ISNUMBER(D300)),ABS(D300-E300)&gt;$O$3,AND($O$11=1,B300&lt;$O$12)),1,0)</f>
        <v/>
      </c>
      <c r="I300">
        <f>IF(H300=1,NA(),D300)</f>
        <v/>
      </c>
      <c r="J300">
        <f>IF(AND(ISNUMBER(D300),D300&gt;=$O$4,OR($O$11=0,B300&gt;=$O$12)),1,0)</f>
        <v/>
      </c>
      <c r="K300">
        <f>B300-$O$14</f>
        <v/>
      </c>
    </row>
    <row r="301">
      <c r="A301" t="n">
        <v>897</v>
      </c>
      <c r="B301" t="n">
        <v>29.9</v>
      </c>
      <c r="C301" t="inlineStr">
        <is>
          <t>672</t>
        </is>
      </c>
      <c r="D301" t="n">
        <v>6.72</v>
      </c>
      <c r="E301">
        <f>MEDIAN(D281:D321)</f>
        <v/>
      </c>
      <c r="F301">
        <f>E281</f>
        <v/>
      </c>
      <c r="G301">
        <f>F301-E301</f>
        <v/>
      </c>
      <c r="H301">
        <f>IF(OR(NOT(ISNUMBER(D301)),ABS(D301-E301)&gt;$O$3,AND($O$11=1,B301&lt;$O$12)),1,0)</f>
        <v/>
      </c>
      <c r="I301">
        <f>IF(H301=1,NA(),D301)</f>
        <v/>
      </c>
      <c r="J301">
        <f>IF(AND(ISNUMBER(D301),D301&gt;=$O$4,OR($O$11=0,B301&gt;=$O$12)),1,0)</f>
        <v/>
      </c>
      <c r="K301">
        <f>B301-$O$14</f>
        <v/>
      </c>
    </row>
    <row r="302">
      <c r="A302" t="n">
        <v>900</v>
      </c>
      <c r="B302" t="n">
        <v>30</v>
      </c>
      <c r="C302" t="inlineStr">
        <is>
          <t>673</t>
        </is>
      </c>
      <c r="D302" t="n">
        <v>6.73</v>
      </c>
      <c r="E302">
        <f>MEDIAN(D282:D322)</f>
        <v/>
      </c>
      <c r="F302">
        <f>E282</f>
        <v/>
      </c>
      <c r="G302">
        <f>F302-E302</f>
        <v/>
      </c>
      <c r="H302">
        <f>IF(OR(NOT(ISNUMBER(D302)),ABS(D302-E302)&gt;$O$3,AND($O$11=1,B302&lt;$O$12)),1,0)</f>
        <v/>
      </c>
      <c r="I302">
        <f>IF(H302=1,NA(),D302)</f>
        <v/>
      </c>
      <c r="J302">
        <f>IF(AND(ISNUMBER(D302),D302&gt;=$O$4,OR($O$11=0,B302&gt;=$O$12)),1,0)</f>
        <v/>
      </c>
      <c r="K302">
        <f>B302-$O$14</f>
        <v/>
      </c>
    </row>
    <row r="303">
      <c r="A303" t="n">
        <v>903</v>
      </c>
      <c r="B303" t="n">
        <v>30.1</v>
      </c>
      <c r="C303" t="inlineStr">
        <is>
          <t>674</t>
        </is>
      </c>
      <c r="D303" t="n">
        <v>6.74</v>
      </c>
      <c r="E303">
        <f>MEDIAN(D283:D323)</f>
        <v/>
      </c>
      <c r="F303">
        <f>E283</f>
        <v/>
      </c>
      <c r="G303">
        <f>F303-E303</f>
        <v/>
      </c>
      <c r="H303">
        <f>IF(OR(NOT(ISNUMBER(D303)),ABS(D303-E303)&gt;$O$3,AND($O$11=1,B303&lt;$O$12)),1,0)</f>
        <v/>
      </c>
      <c r="I303">
        <f>IF(H303=1,NA(),D303)</f>
        <v/>
      </c>
      <c r="J303">
        <f>IF(AND(ISNUMBER(D303),D303&gt;=$O$4,OR($O$11=0,B303&gt;=$O$12)),1,0)</f>
        <v/>
      </c>
      <c r="K303">
        <f>B303-$O$14</f>
        <v/>
      </c>
    </row>
    <row r="304">
      <c r="A304" t="n">
        <v>906</v>
      </c>
      <c r="B304" t="n">
        <v>30.2</v>
      </c>
      <c r="C304" t="inlineStr">
        <is>
          <t>674</t>
        </is>
      </c>
      <c r="D304" t="n">
        <v>6.74</v>
      </c>
      <c r="E304">
        <f>MEDIAN(D284:D324)</f>
        <v/>
      </c>
      <c r="F304">
        <f>E284</f>
        <v/>
      </c>
      <c r="G304">
        <f>F304-E304</f>
        <v/>
      </c>
      <c r="H304">
        <f>IF(OR(NOT(ISNUMBER(D304)),ABS(D304-E304)&gt;$O$3,AND($O$11=1,B304&lt;$O$12)),1,0)</f>
        <v/>
      </c>
      <c r="I304">
        <f>IF(H304=1,NA(),D304)</f>
        <v/>
      </c>
      <c r="J304">
        <f>IF(AND(ISNUMBER(D304),D304&gt;=$O$4,OR($O$11=0,B304&gt;=$O$12)),1,0)</f>
        <v/>
      </c>
      <c r="K304">
        <f>B304-$O$14</f>
        <v/>
      </c>
    </row>
    <row r="305">
      <c r="A305" t="n">
        <v>909</v>
      </c>
      <c r="B305" t="n">
        <v>30.3</v>
      </c>
      <c r="C305" t="inlineStr">
        <is>
          <t>675</t>
        </is>
      </c>
      <c r="D305" t="n">
        <v>6.75</v>
      </c>
      <c r="E305">
        <f>MEDIAN(D285:D325)</f>
        <v/>
      </c>
      <c r="F305">
        <f>E285</f>
        <v/>
      </c>
      <c r="G305">
        <f>F305-E305</f>
        <v/>
      </c>
      <c r="H305">
        <f>IF(OR(NOT(ISNUMBER(D305)),ABS(D305-E305)&gt;$O$3,AND($O$11=1,B305&lt;$O$12)),1,0)</f>
        <v/>
      </c>
      <c r="I305">
        <f>IF(H305=1,NA(),D305)</f>
        <v/>
      </c>
      <c r="J305">
        <f>IF(AND(ISNUMBER(D305),D305&gt;=$O$4,OR($O$11=0,B305&gt;=$O$12)),1,0)</f>
        <v/>
      </c>
      <c r="K305">
        <f>B305-$O$14</f>
        <v/>
      </c>
    </row>
    <row r="306">
      <c r="A306" t="n">
        <v>912</v>
      </c>
      <c r="B306" t="n">
        <v>30.4</v>
      </c>
      <c r="C306" t="inlineStr">
        <is>
          <t>676</t>
        </is>
      </c>
      <c r="D306" t="n">
        <v>6.76</v>
      </c>
      <c r="E306">
        <f>MEDIAN(D286:D326)</f>
        <v/>
      </c>
      <c r="F306">
        <f>E286</f>
        <v/>
      </c>
      <c r="G306">
        <f>F306-E306</f>
        <v/>
      </c>
      <c r="H306">
        <f>IF(OR(NOT(ISNUMBER(D306)),ABS(D306-E306)&gt;$O$3,AND($O$11=1,B306&lt;$O$12)),1,0)</f>
        <v/>
      </c>
      <c r="I306">
        <f>IF(H306=1,NA(),D306)</f>
        <v/>
      </c>
      <c r="J306">
        <f>IF(AND(ISNUMBER(D306),D306&gt;=$O$4,OR($O$11=0,B306&gt;=$O$12)),1,0)</f>
        <v/>
      </c>
      <c r="K306">
        <f>B306-$O$14</f>
        <v/>
      </c>
    </row>
    <row r="307">
      <c r="A307" t="n">
        <v>915</v>
      </c>
      <c r="B307" t="n">
        <v>30.5</v>
      </c>
      <c r="C307" t="inlineStr">
        <is>
          <t>676</t>
        </is>
      </c>
      <c r="D307" t="n">
        <v>6.76</v>
      </c>
      <c r="E307">
        <f>MEDIAN(D287:D327)</f>
        <v/>
      </c>
      <c r="F307">
        <f>E287</f>
        <v/>
      </c>
      <c r="G307">
        <f>F307-E307</f>
        <v/>
      </c>
      <c r="H307">
        <f>IF(OR(NOT(ISNUMBER(D307)),ABS(D307-E307)&gt;$O$3,AND($O$11=1,B307&lt;$O$12)),1,0)</f>
        <v/>
      </c>
      <c r="I307">
        <f>IF(H307=1,NA(),D307)</f>
        <v/>
      </c>
      <c r="J307">
        <f>IF(AND(ISNUMBER(D307),D307&gt;=$O$4,OR($O$11=0,B307&gt;=$O$12)),1,0)</f>
        <v/>
      </c>
      <c r="K307">
        <f>B307-$O$14</f>
        <v/>
      </c>
    </row>
    <row r="308">
      <c r="A308" t="n">
        <v>918</v>
      </c>
      <c r="B308" t="n">
        <v>30.6</v>
      </c>
      <c r="C308" t="inlineStr">
        <is>
          <t>677</t>
        </is>
      </c>
      <c r="D308" t="n">
        <v>6.77</v>
      </c>
      <c r="E308">
        <f>MEDIAN(D288:D328)</f>
        <v/>
      </c>
      <c r="F308">
        <f>E288</f>
        <v/>
      </c>
      <c r="G308">
        <f>F308-E308</f>
        <v/>
      </c>
      <c r="H308">
        <f>IF(OR(NOT(ISNUMBER(D308)),ABS(D308-E308)&gt;$O$3,AND($O$11=1,B308&lt;$O$12)),1,0)</f>
        <v/>
      </c>
      <c r="I308">
        <f>IF(H308=1,NA(),D308)</f>
        <v/>
      </c>
      <c r="J308">
        <f>IF(AND(ISNUMBER(D308),D308&gt;=$O$4,OR($O$11=0,B308&gt;=$O$12)),1,0)</f>
        <v/>
      </c>
      <c r="K308">
        <f>B308-$O$14</f>
        <v/>
      </c>
    </row>
    <row r="309">
      <c r="A309" t="n">
        <v>921</v>
      </c>
      <c r="B309" t="n">
        <v>30.7</v>
      </c>
      <c r="C309" t="inlineStr">
        <is>
          <t>677</t>
        </is>
      </c>
      <c r="D309" t="n">
        <v>6.77</v>
      </c>
      <c r="E309">
        <f>MEDIAN(D289:D329)</f>
        <v/>
      </c>
      <c r="F309">
        <f>E289</f>
        <v/>
      </c>
      <c r="G309">
        <f>F309-E309</f>
        <v/>
      </c>
      <c r="H309">
        <f>IF(OR(NOT(ISNUMBER(D309)),ABS(D309-E309)&gt;$O$3,AND($O$11=1,B309&lt;$O$12)),1,0)</f>
        <v/>
      </c>
      <c r="I309">
        <f>IF(H309=1,NA(),D309)</f>
        <v/>
      </c>
      <c r="J309">
        <f>IF(AND(ISNUMBER(D309),D309&gt;=$O$4,OR($O$11=0,B309&gt;=$O$12)),1,0)</f>
        <v/>
      </c>
      <c r="K309">
        <f>B309-$O$14</f>
        <v/>
      </c>
    </row>
    <row r="310">
      <c r="A310" t="n">
        <v>924</v>
      </c>
      <c r="B310" t="n">
        <v>30.8</v>
      </c>
      <c r="C310" t="inlineStr">
        <is>
          <t>678</t>
        </is>
      </c>
      <c r="D310" t="n">
        <v>6.78</v>
      </c>
      <c r="E310">
        <f>MEDIAN(D290:D330)</f>
        <v/>
      </c>
      <c r="F310">
        <f>E290</f>
        <v/>
      </c>
      <c r="G310">
        <f>F310-E310</f>
        <v/>
      </c>
      <c r="H310">
        <f>IF(OR(NOT(ISNUMBER(D310)),ABS(D310-E310)&gt;$O$3,AND($O$11=1,B310&lt;$O$12)),1,0)</f>
        <v/>
      </c>
      <c r="I310">
        <f>IF(H310=1,NA(),D310)</f>
        <v/>
      </c>
      <c r="J310">
        <f>IF(AND(ISNUMBER(D310),D310&gt;=$O$4,OR($O$11=0,B310&gt;=$O$12)),1,0)</f>
        <v/>
      </c>
      <c r="K310">
        <f>B310-$O$14</f>
        <v/>
      </c>
    </row>
    <row r="311">
      <c r="A311" t="n">
        <v>927</v>
      </c>
      <c r="B311" t="n">
        <v>30.9</v>
      </c>
      <c r="C311" t="inlineStr">
        <is>
          <t>678</t>
        </is>
      </c>
      <c r="D311" t="n">
        <v>6.78</v>
      </c>
      <c r="E311">
        <f>MEDIAN(D291:D331)</f>
        <v/>
      </c>
      <c r="F311">
        <f>E291</f>
        <v/>
      </c>
      <c r="G311">
        <f>F311-E311</f>
        <v/>
      </c>
      <c r="H311">
        <f>IF(OR(NOT(ISNUMBER(D311)),ABS(D311-E311)&gt;$O$3,AND($O$11=1,B311&lt;$O$12)),1,0)</f>
        <v/>
      </c>
      <c r="I311">
        <f>IF(H311=1,NA(),D311)</f>
        <v/>
      </c>
      <c r="J311">
        <f>IF(AND(ISNUMBER(D311),D311&gt;=$O$4,OR($O$11=0,B311&gt;=$O$12)),1,0)</f>
        <v/>
      </c>
      <c r="K311">
        <f>B311-$O$14</f>
        <v/>
      </c>
    </row>
    <row r="312">
      <c r="A312" t="n">
        <v>930</v>
      </c>
      <c r="B312" t="n">
        <v>31</v>
      </c>
      <c r="C312" t="inlineStr">
        <is>
          <t>679</t>
        </is>
      </c>
      <c r="D312" t="n">
        <v>6.79</v>
      </c>
      <c r="E312">
        <f>MEDIAN(D292:D332)</f>
        <v/>
      </c>
      <c r="F312">
        <f>E292</f>
        <v/>
      </c>
      <c r="G312">
        <f>F312-E312</f>
        <v/>
      </c>
      <c r="H312">
        <f>IF(OR(NOT(ISNUMBER(D312)),ABS(D312-E312)&gt;$O$3,AND($O$11=1,B312&lt;$O$12)),1,0)</f>
        <v/>
      </c>
      <c r="I312">
        <f>IF(H312=1,NA(),D312)</f>
        <v/>
      </c>
      <c r="J312">
        <f>IF(AND(ISNUMBER(D312),D312&gt;=$O$4,OR($O$11=0,B312&gt;=$O$12)),1,0)</f>
        <v/>
      </c>
      <c r="K312">
        <f>B312-$O$14</f>
        <v/>
      </c>
    </row>
    <row r="313">
      <c r="A313" t="n">
        <v>933</v>
      </c>
      <c r="B313" t="n">
        <v>31.1</v>
      </c>
      <c r="C313" t="inlineStr">
        <is>
          <t>679</t>
        </is>
      </c>
      <c r="D313" t="n">
        <v>6.79</v>
      </c>
      <c r="E313">
        <f>MEDIAN(D293:D333)</f>
        <v/>
      </c>
      <c r="F313">
        <f>E293</f>
        <v/>
      </c>
      <c r="G313">
        <f>F313-E313</f>
        <v/>
      </c>
      <c r="H313">
        <f>IF(OR(NOT(ISNUMBER(D313)),ABS(D313-E313)&gt;$O$3,AND($O$11=1,B313&lt;$O$12)),1,0)</f>
        <v/>
      </c>
      <c r="I313">
        <f>IF(H313=1,NA(),D313)</f>
        <v/>
      </c>
      <c r="J313">
        <f>IF(AND(ISNUMBER(D313),D313&gt;=$O$4,OR($O$11=0,B313&gt;=$O$12)),1,0)</f>
        <v/>
      </c>
      <c r="K313">
        <f>B313-$O$14</f>
        <v/>
      </c>
    </row>
    <row r="314">
      <c r="A314" t="n">
        <v>936</v>
      </c>
      <c r="B314" t="n">
        <v>31.2</v>
      </c>
      <c r="C314" t="inlineStr">
        <is>
          <t>680</t>
        </is>
      </c>
      <c r="D314" t="n">
        <v>6.8</v>
      </c>
      <c r="E314">
        <f>MEDIAN(D294:D334)</f>
        <v/>
      </c>
      <c r="F314">
        <f>E294</f>
        <v/>
      </c>
      <c r="G314">
        <f>F314-E314</f>
        <v/>
      </c>
      <c r="H314">
        <f>IF(OR(NOT(ISNUMBER(D314)),ABS(D314-E314)&gt;$O$3,AND($O$11=1,B314&lt;$O$12)),1,0)</f>
        <v/>
      </c>
      <c r="I314">
        <f>IF(H314=1,NA(),D314)</f>
        <v/>
      </c>
      <c r="J314">
        <f>IF(AND(ISNUMBER(D314),D314&gt;=$O$4,OR($O$11=0,B314&gt;=$O$12)),1,0)</f>
        <v/>
      </c>
      <c r="K314">
        <f>B314-$O$14</f>
        <v/>
      </c>
    </row>
    <row r="315">
      <c r="A315" t="n">
        <v>939</v>
      </c>
      <c r="B315" t="n">
        <v>31.3</v>
      </c>
      <c r="C315" t="inlineStr">
        <is>
          <t>680</t>
        </is>
      </c>
      <c r="D315" t="n">
        <v>6.8</v>
      </c>
      <c r="E315">
        <f>MEDIAN(D295:D335)</f>
        <v/>
      </c>
      <c r="F315">
        <f>E295</f>
        <v/>
      </c>
      <c r="G315">
        <f>F315-E315</f>
        <v/>
      </c>
      <c r="H315">
        <f>IF(OR(NOT(ISNUMBER(D315)),ABS(D315-E315)&gt;$O$3,AND($O$11=1,B315&lt;$O$12)),1,0)</f>
        <v/>
      </c>
      <c r="I315">
        <f>IF(H315=1,NA(),D315)</f>
        <v/>
      </c>
      <c r="J315">
        <f>IF(AND(ISNUMBER(D315),D315&gt;=$O$4,OR($O$11=0,B315&gt;=$O$12)),1,0)</f>
        <v/>
      </c>
      <c r="K315">
        <f>B315-$O$14</f>
        <v/>
      </c>
    </row>
    <row r="316">
      <c r="A316" t="n">
        <v>942</v>
      </c>
      <c r="B316" t="n">
        <v>31.4</v>
      </c>
      <c r="C316" t="inlineStr">
        <is>
          <t>681</t>
        </is>
      </c>
      <c r="D316" t="n">
        <v>6.81</v>
      </c>
      <c r="E316">
        <f>MEDIAN(D296:D336)</f>
        <v/>
      </c>
      <c r="F316">
        <f>E296</f>
        <v/>
      </c>
      <c r="G316">
        <f>F316-E316</f>
        <v/>
      </c>
      <c r="H316">
        <f>IF(OR(NOT(ISNUMBER(D316)),ABS(D316-E316)&gt;$O$3,AND($O$11=1,B316&lt;$O$12)),1,0)</f>
        <v/>
      </c>
      <c r="I316">
        <f>IF(H316=1,NA(),D316)</f>
        <v/>
      </c>
      <c r="J316">
        <f>IF(AND(ISNUMBER(D316),D316&gt;=$O$4,OR($O$11=0,B316&gt;=$O$12)),1,0)</f>
        <v/>
      </c>
      <c r="K316">
        <f>B316-$O$14</f>
        <v/>
      </c>
    </row>
    <row r="317">
      <c r="A317" t="n">
        <v>945</v>
      </c>
      <c r="B317" t="n">
        <v>31.5</v>
      </c>
      <c r="C317" t="inlineStr">
        <is>
          <t>681</t>
        </is>
      </c>
      <c r="D317" t="n">
        <v>6.81</v>
      </c>
      <c r="E317">
        <f>MEDIAN(D297:D337)</f>
        <v/>
      </c>
      <c r="F317">
        <f>E297</f>
        <v/>
      </c>
      <c r="G317">
        <f>F317-E317</f>
        <v/>
      </c>
      <c r="H317">
        <f>IF(OR(NOT(ISNUMBER(D317)),ABS(D317-E317)&gt;$O$3,AND($O$11=1,B317&lt;$O$12)),1,0)</f>
        <v/>
      </c>
      <c r="I317">
        <f>IF(H317=1,NA(),D317)</f>
        <v/>
      </c>
      <c r="J317">
        <f>IF(AND(ISNUMBER(D317),D317&gt;=$O$4,OR($O$11=0,B317&gt;=$O$12)),1,0)</f>
        <v/>
      </c>
      <c r="K317">
        <f>B317-$O$14</f>
        <v/>
      </c>
    </row>
    <row r="318">
      <c r="A318" t="n">
        <v>948</v>
      </c>
      <c r="B318" t="n">
        <v>31.6</v>
      </c>
      <c r="C318" t="inlineStr">
        <is>
          <t>681</t>
        </is>
      </c>
      <c r="D318" t="n">
        <v>6.81</v>
      </c>
      <c r="E318">
        <f>MEDIAN(D298:D338)</f>
        <v/>
      </c>
      <c r="F318">
        <f>E298</f>
        <v/>
      </c>
      <c r="G318">
        <f>F318-E318</f>
        <v/>
      </c>
      <c r="H318">
        <f>IF(OR(NOT(ISNUMBER(D318)),ABS(D318-E318)&gt;$O$3,AND($O$11=1,B318&lt;$O$12)),1,0)</f>
        <v/>
      </c>
      <c r="I318">
        <f>IF(H318=1,NA(),D318)</f>
        <v/>
      </c>
      <c r="J318">
        <f>IF(AND(ISNUMBER(D318),D318&gt;=$O$4,OR($O$11=0,B318&gt;=$O$12)),1,0)</f>
        <v/>
      </c>
      <c r="K318">
        <f>B318-$O$14</f>
        <v/>
      </c>
    </row>
    <row r="319">
      <c r="A319" t="n">
        <v>951</v>
      </c>
      <c r="B319" t="n">
        <v>31.7</v>
      </c>
      <c r="C319" t="inlineStr">
        <is>
          <t>682</t>
        </is>
      </c>
      <c r="D319" t="n">
        <v>6.82</v>
      </c>
      <c r="E319">
        <f>MEDIAN(D299:D339)</f>
        <v/>
      </c>
      <c r="F319">
        <f>E299</f>
        <v/>
      </c>
      <c r="G319">
        <f>F319-E319</f>
        <v/>
      </c>
      <c r="H319">
        <f>IF(OR(NOT(ISNUMBER(D319)),ABS(D319-E319)&gt;$O$3,AND($O$11=1,B319&lt;$O$12)),1,0)</f>
        <v/>
      </c>
      <c r="I319">
        <f>IF(H319=1,NA(),D319)</f>
        <v/>
      </c>
      <c r="J319">
        <f>IF(AND(ISNUMBER(D319),D319&gt;=$O$4,OR($O$11=0,B319&gt;=$O$12)),1,0)</f>
        <v/>
      </c>
      <c r="K319">
        <f>B319-$O$14</f>
        <v/>
      </c>
    </row>
    <row r="320">
      <c r="A320" t="n">
        <v>954</v>
      </c>
      <c r="B320" t="n">
        <v>31.8</v>
      </c>
      <c r="C320" t="inlineStr">
        <is>
          <t>681</t>
        </is>
      </c>
      <c r="D320" t="n">
        <v>6.81</v>
      </c>
      <c r="E320">
        <f>MEDIAN(D300:D340)</f>
        <v/>
      </c>
      <c r="F320">
        <f>E300</f>
        <v/>
      </c>
      <c r="G320">
        <f>F320-E320</f>
        <v/>
      </c>
      <c r="H320">
        <f>IF(OR(NOT(ISNUMBER(D320)),ABS(D320-E320)&gt;$O$3,AND($O$11=1,B320&lt;$O$12)),1,0)</f>
        <v/>
      </c>
      <c r="I320">
        <f>IF(H320=1,NA(),D320)</f>
        <v/>
      </c>
      <c r="J320">
        <f>IF(AND(ISNUMBER(D320),D320&gt;=$O$4,OR($O$11=0,B320&gt;=$O$12)),1,0)</f>
        <v/>
      </c>
      <c r="K320">
        <f>B320-$O$14</f>
        <v/>
      </c>
    </row>
    <row r="321">
      <c r="A321" t="n">
        <v>957</v>
      </c>
      <c r="B321" t="n">
        <v>31.9</v>
      </c>
      <c r="C321" t="inlineStr">
        <is>
          <t>681</t>
        </is>
      </c>
      <c r="D321" t="n">
        <v>6.81</v>
      </c>
      <c r="E321">
        <f>MEDIAN(D301:D341)</f>
        <v/>
      </c>
      <c r="F321">
        <f>E301</f>
        <v/>
      </c>
      <c r="G321">
        <f>F321-E321</f>
        <v/>
      </c>
      <c r="H321">
        <f>IF(OR(NOT(ISNUMBER(D321)),ABS(D321-E321)&gt;$O$3,AND($O$11=1,B321&lt;$O$12)),1,0)</f>
        <v/>
      </c>
      <c r="I321">
        <f>IF(H321=1,NA(),D321)</f>
        <v/>
      </c>
      <c r="J321">
        <f>IF(AND(ISNUMBER(D321),D321&gt;=$O$4,OR($O$11=0,B321&gt;=$O$12)),1,0)</f>
        <v/>
      </c>
      <c r="K321">
        <f>B321-$O$14</f>
        <v/>
      </c>
    </row>
    <row r="322">
      <c r="A322" t="n">
        <v>960</v>
      </c>
      <c r="B322" t="n">
        <v>32</v>
      </c>
      <c r="C322" t="inlineStr">
        <is>
          <t>681</t>
        </is>
      </c>
      <c r="D322" t="n">
        <v>6.81</v>
      </c>
      <c r="E322">
        <f>MEDIAN(D302:D342)</f>
        <v/>
      </c>
      <c r="F322">
        <f>E302</f>
        <v/>
      </c>
      <c r="G322">
        <f>F322-E322</f>
        <v/>
      </c>
      <c r="H322">
        <f>IF(OR(NOT(ISNUMBER(D322)),ABS(D322-E322)&gt;$O$3,AND($O$11=1,B322&lt;$O$12)),1,0)</f>
        <v/>
      </c>
      <c r="I322">
        <f>IF(H322=1,NA(),D322)</f>
        <v/>
      </c>
      <c r="J322">
        <f>IF(AND(ISNUMBER(D322),D322&gt;=$O$4,OR($O$11=0,B322&gt;=$O$12)),1,0)</f>
        <v/>
      </c>
      <c r="K322">
        <f>B322-$O$14</f>
        <v/>
      </c>
    </row>
    <row r="323">
      <c r="A323" t="n">
        <v>963</v>
      </c>
      <c r="B323" t="n">
        <v>32.1</v>
      </c>
      <c r="C323" t="inlineStr">
        <is>
          <t>681</t>
        </is>
      </c>
      <c r="D323" t="n">
        <v>6.81</v>
      </c>
      <c r="E323">
        <f>MEDIAN(D303:D343)</f>
        <v/>
      </c>
      <c r="F323">
        <f>E303</f>
        <v/>
      </c>
      <c r="G323">
        <f>F323-E323</f>
        <v/>
      </c>
      <c r="H323">
        <f>IF(OR(NOT(ISNUMBER(D323)),ABS(D323-E323)&gt;$O$3,AND($O$11=1,B323&lt;$O$12)),1,0)</f>
        <v/>
      </c>
      <c r="I323">
        <f>IF(H323=1,NA(),D323)</f>
        <v/>
      </c>
      <c r="J323">
        <f>IF(AND(ISNUMBER(D323),D323&gt;=$O$4,OR($O$11=0,B323&gt;=$O$12)),1,0)</f>
        <v/>
      </c>
      <c r="K323">
        <f>B323-$O$14</f>
        <v/>
      </c>
    </row>
    <row r="324">
      <c r="A324" t="n">
        <v>966</v>
      </c>
      <c r="B324" t="n">
        <v>32.2</v>
      </c>
      <c r="C324" t="inlineStr">
        <is>
          <t>682</t>
        </is>
      </c>
      <c r="D324" t="n">
        <v>6.82</v>
      </c>
      <c r="E324">
        <f>MEDIAN(D304:D344)</f>
        <v/>
      </c>
      <c r="F324">
        <f>E304</f>
        <v/>
      </c>
      <c r="G324">
        <f>F324-E324</f>
        <v/>
      </c>
      <c r="H324">
        <f>IF(OR(NOT(ISNUMBER(D324)),ABS(D324-E324)&gt;$O$3,AND($O$11=1,B324&lt;$O$12)),1,0)</f>
        <v/>
      </c>
      <c r="I324">
        <f>IF(H324=1,NA(),D324)</f>
        <v/>
      </c>
      <c r="J324">
        <f>IF(AND(ISNUMBER(D324),D324&gt;=$O$4,OR($O$11=0,B324&gt;=$O$12)),1,0)</f>
        <v/>
      </c>
      <c r="K324">
        <f>B324-$O$14</f>
        <v/>
      </c>
    </row>
    <row r="325">
      <c r="A325" t="n">
        <v>969</v>
      </c>
      <c r="B325" t="n">
        <v>32.3</v>
      </c>
      <c r="C325" t="inlineStr">
        <is>
          <t>682</t>
        </is>
      </c>
      <c r="D325" t="n">
        <v>6.82</v>
      </c>
      <c r="E325">
        <f>MEDIAN(D305:D345)</f>
        <v/>
      </c>
      <c r="F325">
        <f>E305</f>
        <v/>
      </c>
      <c r="G325">
        <f>F325-E325</f>
        <v/>
      </c>
      <c r="H325">
        <f>IF(OR(NOT(ISNUMBER(D325)),ABS(D325-E325)&gt;$O$3,AND($O$11=1,B325&lt;$O$12)),1,0)</f>
        <v/>
      </c>
      <c r="I325">
        <f>IF(H325=1,NA(),D325)</f>
        <v/>
      </c>
      <c r="J325">
        <f>IF(AND(ISNUMBER(D325),D325&gt;=$O$4,OR($O$11=0,B325&gt;=$O$12)),1,0)</f>
        <v/>
      </c>
      <c r="K325">
        <f>B325-$O$14</f>
        <v/>
      </c>
    </row>
    <row r="326">
      <c r="A326" t="n">
        <v>972</v>
      </c>
      <c r="B326" t="n">
        <v>32.4</v>
      </c>
      <c r="C326" t="inlineStr">
        <is>
          <t>682</t>
        </is>
      </c>
      <c r="D326" t="n">
        <v>6.82</v>
      </c>
      <c r="E326">
        <f>MEDIAN(D306:D346)</f>
        <v/>
      </c>
      <c r="F326">
        <f>E306</f>
        <v/>
      </c>
      <c r="G326">
        <f>F326-E326</f>
        <v/>
      </c>
      <c r="H326">
        <f>IF(OR(NOT(ISNUMBER(D326)),ABS(D326-E326)&gt;$O$3,AND($O$11=1,B326&lt;$O$12)),1,0)</f>
        <v/>
      </c>
      <c r="I326">
        <f>IF(H326=1,NA(),D326)</f>
        <v/>
      </c>
      <c r="J326">
        <f>IF(AND(ISNUMBER(D326),D326&gt;=$O$4,OR($O$11=0,B326&gt;=$O$12)),1,0)</f>
        <v/>
      </c>
      <c r="K326">
        <f>B326-$O$14</f>
        <v/>
      </c>
    </row>
    <row r="327">
      <c r="A327" t="n">
        <v>975</v>
      </c>
      <c r="B327" t="n">
        <v>32.5</v>
      </c>
      <c r="C327" t="inlineStr">
        <is>
          <t>682</t>
        </is>
      </c>
      <c r="D327" t="n">
        <v>6.82</v>
      </c>
      <c r="E327">
        <f>MEDIAN(D307:D347)</f>
        <v/>
      </c>
      <c r="F327">
        <f>E307</f>
        <v/>
      </c>
      <c r="G327">
        <f>F327-E327</f>
        <v/>
      </c>
      <c r="H327">
        <f>IF(OR(NOT(ISNUMBER(D327)),ABS(D327-E327)&gt;$O$3,AND($O$11=1,B327&lt;$O$12)),1,0)</f>
        <v/>
      </c>
      <c r="I327">
        <f>IF(H327=1,NA(),D327)</f>
        <v/>
      </c>
      <c r="J327">
        <f>IF(AND(ISNUMBER(D327),D327&gt;=$O$4,OR($O$11=0,B327&gt;=$O$12)),1,0)</f>
        <v/>
      </c>
      <c r="K327">
        <f>B327-$O$14</f>
        <v/>
      </c>
    </row>
    <row r="328">
      <c r="A328" t="n">
        <v>978</v>
      </c>
      <c r="B328" t="n">
        <v>32.6</v>
      </c>
      <c r="C328" t="inlineStr">
        <is>
          <t>682</t>
        </is>
      </c>
      <c r="D328" t="n">
        <v>6.82</v>
      </c>
      <c r="E328">
        <f>MEDIAN(D308:D348)</f>
        <v/>
      </c>
      <c r="F328">
        <f>E308</f>
        <v/>
      </c>
      <c r="G328">
        <f>F328-E328</f>
        <v/>
      </c>
      <c r="H328">
        <f>IF(OR(NOT(ISNUMBER(D328)),ABS(D328-E328)&gt;$O$3,AND($O$11=1,B328&lt;$O$12)),1,0)</f>
        <v/>
      </c>
      <c r="I328">
        <f>IF(H328=1,NA(),D328)</f>
        <v/>
      </c>
      <c r="J328">
        <f>IF(AND(ISNUMBER(D328),D328&gt;=$O$4,OR($O$11=0,B328&gt;=$O$12)),1,0)</f>
        <v/>
      </c>
      <c r="K328">
        <f>B328-$O$14</f>
        <v/>
      </c>
    </row>
    <row r="329">
      <c r="A329" t="n">
        <v>981</v>
      </c>
      <c r="B329" t="n">
        <v>32.7</v>
      </c>
      <c r="C329" t="inlineStr">
        <is>
          <t>682</t>
        </is>
      </c>
      <c r="D329" t="n">
        <v>6.82</v>
      </c>
      <c r="E329">
        <f>MEDIAN(D309:D349)</f>
        <v/>
      </c>
      <c r="F329">
        <f>E309</f>
        <v/>
      </c>
      <c r="G329">
        <f>F329-E329</f>
        <v/>
      </c>
      <c r="H329">
        <f>IF(OR(NOT(ISNUMBER(D329)),ABS(D329-E329)&gt;$O$3,AND($O$11=1,B329&lt;$O$12)),1,0)</f>
        <v/>
      </c>
      <c r="I329">
        <f>IF(H329=1,NA(),D329)</f>
        <v/>
      </c>
      <c r="J329">
        <f>IF(AND(ISNUMBER(D329),D329&gt;=$O$4,OR($O$11=0,B329&gt;=$O$12)),1,0)</f>
        <v/>
      </c>
      <c r="K329">
        <f>B329-$O$14</f>
        <v/>
      </c>
    </row>
    <row r="330">
      <c r="A330" t="n">
        <v>984</v>
      </c>
      <c r="B330" t="n">
        <v>32.8</v>
      </c>
      <c r="C330" t="inlineStr">
        <is>
          <t>682</t>
        </is>
      </c>
      <c r="D330" t="n">
        <v>6.82</v>
      </c>
      <c r="E330">
        <f>MEDIAN(D310:D350)</f>
        <v/>
      </c>
      <c r="F330">
        <f>E310</f>
        <v/>
      </c>
      <c r="G330">
        <f>F330-E330</f>
        <v/>
      </c>
      <c r="H330">
        <f>IF(OR(NOT(ISNUMBER(D330)),ABS(D330-E330)&gt;$O$3,AND($O$11=1,B330&lt;$O$12)),1,0)</f>
        <v/>
      </c>
      <c r="I330">
        <f>IF(H330=1,NA(),D330)</f>
        <v/>
      </c>
      <c r="J330">
        <f>IF(AND(ISNUMBER(D330),D330&gt;=$O$4,OR($O$11=0,B330&gt;=$O$12)),1,0)</f>
        <v/>
      </c>
      <c r="K330">
        <f>B330-$O$14</f>
        <v/>
      </c>
    </row>
    <row r="331">
      <c r="A331" t="n">
        <v>987</v>
      </c>
      <c r="B331" t="n">
        <v>32.9</v>
      </c>
      <c r="C331" t="inlineStr">
        <is>
          <t>682</t>
        </is>
      </c>
      <c r="D331" t="n">
        <v>6.82</v>
      </c>
      <c r="E331">
        <f>MEDIAN(D311:D351)</f>
        <v/>
      </c>
      <c r="F331">
        <f>E311</f>
        <v/>
      </c>
      <c r="G331">
        <f>F331-E331</f>
        <v/>
      </c>
      <c r="H331">
        <f>IF(OR(NOT(ISNUMBER(D331)),ABS(D331-E331)&gt;$O$3,AND($O$11=1,B331&lt;$O$12)),1,0)</f>
        <v/>
      </c>
      <c r="I331">
        <f>IF(H331=1,NA(),D331)</f>
        <v/>
      </c>
      <c r="J331">
        <f>IF(AND(ISNUMBER(D331),D331&gt;=$O$4,OR($O$11=0,B331&gt;=$O$12)),1,0)</f>
        <v/>
      </c>
      <c r="K331">
        <f>B331-$O$14</f>
        <v/>
      </c>
    </row>
    <row r="332">
      <c r="A332" t="n">
        <v>990</v>
      </c>
      <c r="B332" t="n">
        <v>33</v>
      </c>
      <c r="C332" t="inlineStr">
        <is>
          <t>683</t>
        </is>
      </c>
      <c r="D332" t="n">
        <v>6.83</v>
      </c>
      <c r="E332">
        <f>MEDIAN(D312:D352)</f>
        <v/>
      </c>
      <c r="F332">
        <f>E312</f>
        <v/>
      </c>
      <c r="G332">
        <f>F332-E332</f>
        <v/>
      </c>
      <c r="H332">
        <f>IF(OR(NOT(ISNUMBER(D332)),ABS(D332-E332)&gt;$O$3,AND($O$11=1,B332&lt;$O$12)),1,0)</f>
        <v/>
      </c>
      <c r="I332">
        <f>IF(H332=1,NA(),D332)</f>
        <v/>
      </c>
      <c r="J332">
        <f>IF(AND(ISNUMBER(D332),D332&gt;=$O$4,OR($O$11=0,B332&gt;=$O$12)),1,0)</f>
        <v/>
      </c>
      <c r="K332">
        <f>B332-$O$14</f>
        <v/>
      </c>
    </row>
    <row r="333">
      <c r="A333" t="n">
        <v>993</v>
      </c>
      <c r="B333" t="n">
        <v>33.1</v>
      </c>
      <c r="C333" t="inlineStr">
        <is>
          <t>683</t>
        </is>
      </c>
      <c r="D333" t="n">
        <v>6.83</v>
      </c>
      <c r="E333">
        <f>MEDIAN(D313:D353)</f>
        <v/>
      </c>
      <c r="F333">
        <f>E313</f>
        <v/>
      </c>
      <c r="G333">
        <f>F333-E333</f>
        <v/>
      </c>
      <c r="H333">
        <f>IF(OR(NOT(ISNUMBER(D333)),ABS(D333-E333)&gt;$O$3,AND($O$11=1,B333&lt;$O$12)),1,0)</f>
        <v/>
      </c>
      <c r="I333">
        <f>IF(H333=1,NA(),D333)</f>
        <v/>
      </c>
      <c r="J333">
        <f>IF(AND(ISNUMBER(D333),D333&gt;=$O$4,OR($O$11=0,B333&gt;=$O$12)),1,0)</f>
        <v/>
      </c>
      <c r="K333">
        <f>B333-$O$14</f>
        <v/>
      </c>
    </row>
    <row r="334">
      <c r="A334" t="n">
        <v>996</v>
      </c>
      <c r="B334" t="n">
        <v>33.2</v>
      </c>
      <c r="C334" t="inlineStr">
        <is>
          <t>683</t>
        </is>
      </c>
      <c r="D334" t="n">
        <v>6.83</v>
      </c>
      <c r="E334">
        <f>MEDIAN(D314:D354)</f>
        <v/>
      </c>
      <c r="F334">
        <f>E314</f>
        <v/>
      </c>
      <c r="G334">
        <f>F334-E334</f>
        <v/>
      </c>
      <c r="H334">
        <f>IF(OR(NOT(ISNUMBER(D334)),ABS(D334-E334)&gt;$O$3,AND($O$11=1,B334&lt;$O$12)),1,0)</f>
        <v/>
      </c>
      <c r="I334">
        <f>IF(H334=1,NA(),D334)</f>
        <v/>
      </c>
      <c r="J334">
        <f>IF(AND(ISNUMBER(D334),D334&gt;=$O$4,OR($O$11=0,B334&gt;=$O$12)),1,0)</f>
        <v/>
      </c>
      <c r="K334">
        <f>B334-$O$14</f>
        <v/>
      </c>
    </row>
    <row r="335">
      <c r="A335" t="n">
        <v>999</v>
      </c>
      <c r="B335" t="n">
        <v>33.3</v>
      </c>
      <c r="C335" t="inlineStr">
        <is>
          <t>683</t>
        </is>
      </c>
      <c r="D335" t="n">
        <v>6.83</v>
      </c>
      <c r="E335">
        <f>MEDIAN(D315:D355)</f>
        <v/>
      </c>
      <c r="F335">
        <f>E315</f>
        <v/>
      </c>
      <c r="G335">
        <f>F335-E335</f>
        <v/>
      </c>
      <c r="H335">
        <f>IF(OR(NOT(ISNUMBER(D335)),ABS(D335-E335)&gt;$O$3,AND($O$11=1,B335&lt;$O$12)),1,0)</f>
        <v/>
      </c>
      <c r="I335">
        <f>IF(H335=1,NA(),D335)</f>
        <v/>
      </c>
      <c r="J335">
        <f>IF(AND(ISNUMBER(D335),D335&gt;=$O$4,OR($O$11=0,B335&gt;=$O$12)),1,0)</f>
        <v/>
      </c>
      <c r="K335">
        <f>B335-$O$14</f>
        <v/>
      </c>
    </row>
    <row r="336">
      <c r="A336" t="n">
        <v>1002</v>
      </c>
      <c r="B336" t="n">
        <v>33.4</v>
      </c>
      <c r="C336" t="inlineStr">
        <is>
          <t>683</t>
        </is>
      </c>
      <c r="D336" t="n">
        <v>6.83</v>
      </c>
      <c r="E336">
        <f>MEDIAN(D316:D356)</f>
        <v/>
      </c>
      <c r="F336">
        <f>E316</f>
        <v/>
      </c>
      <c r="G336">
        <f>F336-E336</f>
        <v/>
      </c>
      <c r="H336">
        <f>IF(OR(NOT(ISNUMBER(D336)),ABS(D336-E336)&gt;$O$3,AND($O$11=1,B336&lt;$O$12)),1,0)</f>
        <v/>
      </c>
      <c r="I336">
        <f>IF(H336=1,NA(),D336)</f>
        <v/>
      </c>
      <c r="J336">
        <f>IF(AND(ISNUMBER(D336),D336&gt;=$O$4,OR($O$11=0,B336&gt;=$O$12)),1,0)</f>
        <v/>
      </c>
      <c r="K336">
        <f>B336-$O$14</f>
        <v/>
      </c>
    </row>
    <row r="337">
      <c r="A337" t="n">
        <v>1005</v>
      </c>
      <c r="B337" t="n">
        <v>33.5</v>
      </c>
      <c r="C337" t="inlineStr">
        <is>
          <t>683</t>
        </is>
      </c>
      <c r="D337" t="n">
        <v>6.83</v>
      </c>
      <c r="E337">
        <f>MEDIAN(D317:D357)</f>
        <v/>
      </c>
      <c r="F337">
        <f>E317</f>
        <v/>
      </c>
      <c r="G337">
        <f>F337-E337</f>
        <v/>
      </c>
      <c r="H337">
        <f>IF(OR(NOT(ISNUMBER(D337)),ABS(D337-E337)&gt;$O$3,AND($O$11=1,B337&lt;$O$12)),1,0)</f>
        <v/>
      </c>
      <c r="I337">
        <f>IF(H337=1,NA(),D337)</f>
        <v/>
      </c>
      <c r="J337">
        <f>IF(AND(ISNUMBER(D337),D337&gt;=$O$4,OR($O$11=0,B337&gt;=$O$12)),1,0)</f>
        <v/>
      </c>
      <c r="K337">
        <f>B337-$O$14</f>
        <v/>
      </c>
    </row>
    <row r="338">
      <c r="A338" t="n">
        <v>1008</v>
      </c>
      <c r="B338" t="n">
        <v>33.6</v>
      </c>
      <c r="C338" t="inlineStr">
        <is>
          <t>683</t>
        </is>
      </c>
      <c r="D338" t="n">
        <v>6.83</v>
      </c>
      <c r="E338">
        <f>MEDIAN(D318:D358)</f>
        <v/>
      </c>
      <c r="F338">
        <f>E318</f>
        <v/>
      </c>
      <c r="G338">
        <f>F338-E338</f>
        <v/>
      </c>
      <c r="H338">
        <f>IF(OR(NOT(ISNUMBER(D338)),ABS(D338-E338)&gt;$O$3,AND($O$11=1,B338&lt;$O$12)),1,0)</f>
        <v/>
      </c>
      <c r="I338">
        <f>IF(H338=1,NA(),D338)</f>
        <v/>
      </c>
      <c r="J338">
        <f>IF(AND(ISNUMBER(D338),D338&gt;=$O$4,OR($O$11=0,B338&gt;=$O$12)),1,0)</f>
        <v/>
      </c>
      <c r="K338">
        <f>B338-$O$14</f>
        <v/>
      </c>
    </row>
    <row r="339">
      <c r="A339" t="n">
        <v>1011</v>
      </c>
      <c r="B339" t="n">
        <v>33.7</v>
      </c>
      <c r="C339" t="inlineStr">
        <is>
          <t>683</t>
        </is>
      </c>
      <c r="D339" t="n">
        <v>6.83</v>
      </c>
      <c r="E339">
        <f>MEDIAN(D319:D359)</f>
        <v/>
      </c>
      <c r="F339">
        <f>E319</f>
        <v/>
      </c>
      <c r="G339">
        <f>F339-E339</f>
        <v/>
      </c>
      <c r="H339">
        <f>IF(OR(NOT(ISNUMBER(D339)),ABS(D339-E339)&gt;$O$3,AND($O$11=1,B339&lt;$O$12)),1,0)</f>
        <v/>
      </c>
      <c r="I339">
        <f>IF(H339=1,NA(),D339)</f>
        <v/>
      </c>
      <c r="J339">
        <f>IF(AND(ISNUMBER(D339),D339&gt;=$O$4,OR($O$11=0,B339&gt;=$O$12)),1,0)</f>
        <v/>
      </c>
      <c r="K339">
        <f>B339-$O$14</f>
        <v/>
      </c>
    </row>
    <row r="340">
      <c r="A340" t="n">
        <v>1014</v>
      </c>
      <c r="B340" t="n">
        <v>33.8</v>
      </c>
      <c r="C340" t="inlineStr">
        <is>
          <t>683</t>
        </is>
      </c>
      <c r="D340" t="n">
        <v>6.83</v>
      </c>
      <c r="E340">
        <f>MEDIAN(D320:D360)</f>
        <v/>
      </c>
      <c r="F340">
        <f>E320</f>
        <v/>
      </c>
      <c r="G340">
        <f>F340-E340</f>
        <v/>
      </c>
      <c r="H340">
        <f>IF(OR(NOT(ISNUMBER(D340)),ABS(D340-E340)&gt;$O$3,AND($O$11=1,B340&lt;$O$12)),1,0)</f>
        <v/>
      </c>
      <c r="I340">
        <f>IF(H340=1,NA(),D340)</f>
        <v/>
      </c>
      <c r="J340">
        <f>IF(AND(ISNUMBER(D340),D340&gt;=$O$4,OR($O$11=0,B340&gt;=$O$12)),1,0)</f>
        <v/>
      </c>
      <c r="K340">
        <f>B340-$O$14</f>
        <v/>
      </c>
    </row>
    <row r="341">
      <c r="A341" t="n">
        <v>1017</v>
      </c>
      <c r="B341" t="n">
        <v>33.9</v>
      </c>
      <c r="C341" t="inlineStr">
        <is>
          <t>683</t>
        </is>
      </c>
      <c r="D341" t="n">
        <v>6.83</v>
      </c>
      <c r="E341">
        <f>MEDIAN(D321:D361)</f>
        <v/>
      </c>
      <c r="F341">
        <f>E321</f>
        <v/>
      </c>
      <c r="G341">
        <f>F341-E341</f>
        <v/>
      </c>
      <c r="H341">
        <f>IF(OR(NOT(ISNUMBER(D341)),ABS(D341-E341)&gt;$O$3,AND($O$11=1,B341&lt;$O$12)),1,0)</f>
        <v/>
      </c>
      <c r="I341">
        <f>IF(H341=1,NA(),D341)</f>
        <v/>
      </c>
      <c r="J341">
        <f>IF(AND(ISNUMBER(D341),D341&gt;=$O$4,OR($O$11=0,B341&gt;=$O$12)),1,0)</f>
        <v/>
      </c>
      <c r="K341">
        <f>B341-$O$14</f>
        <v/>
      </c>
    </row>
    <row r="342">
      <c r="A342" t="n">
        <v>1020</v>
      </c>
      <c r="B342" t="n">
        <v>34</v>
      </c>
      <c r="C342" t="inlineStr">
        <is>
          <t>683</t>
        </is>
      </c>
      <c r="D342" t="n">
        <v>6.83</v>
      </c>
      <c r="E342">
        <f>MEDIAN(D322:D362)</f>
        <v/>
      </c>
      <c r="F342">
        <f>E322</f>
        <v/>
      </c>
      <c r="G342">
        <f>F342-E342</f>
        <v/>
      </c>
      <c r="H342">
        <f>IF(OR(NOT(ISNUMBER(D342)),ABS(D342-E342)&gt;$O$3,AND($O$11=1,B342&lt;$O$12)),1,0)</f>
        <v/>
      </c>
      <c r="I342">
        <f>IF(H342=1,NA(),D342)</f>
        <v/>
      </c>
      <c r="J342">
        <f>IF(AND(ISNUMBER(D342),D342&gt;=$O$4,OR($O$11=0,B342&gt;=$O$12)),1,0)</f>
        <v/>
      </c>
      <c r="K342">
        <f>B342-$O$14</f>
        <v/>
      </c>
    </row>
    <row r="343">
      <c r="A343" t="n">
        <v>1023</v>
      </c>
      <c r="B343" t="n">
        <v>34.1</v>
      </c>
      <c r="C343" t="inlineStr">
        <is>
          <t>683</t>
        </is>
      </c>
      <c r="D343" t="n">
        <v>6.83</v>
      </c>
      <c r="E343">
        <f>MEDIAN(D323:D363)</f>
        <v/>
      </c>
      <c r="F343">
        <f>E323</f>
        <v/>
      </c>
      <c r="G343">
        <f>F343-E343</f>
        <v/>
      </c>
      <c r="H343">
        <f>IF(OR(NOT(ISNUMBER(D343)),ABS(D343-E343)&gt;$O$3,AND($O$11=1,B343&lt;$O$12)),1,0)</f>
        <v/>
      </c>
      <c r="I343">
        <f>IF(H343=1,NA(),D343)</f>
        <v/>
      </c>
      <c r="J343">
        <f>IF(AND(ISNUMBER(D343),D343&gt;=$O$4,OR($O$11=0,B343&gt;=$O$12)),1,0)</f>
        <v/>
      </c>
      <c r="K343">
        <f>B343-$O$14</f>
        <v/>
      </c>
    </row>
    <row r="344">
      <c r="A344" t="n">
        <v>1026</v>
      </c>
      <c r="B344" t="n">
        <v>34.2</v>
      </c>
      <c r="C344" t="inlineStr">
        <is>
          <t>684</t>
        </is>
      </c>
      <c r="D344" t="n">
        <v>6.84</v>
      </c>
      <c r="E344">
        <f>MEDIAN(D324:D364)</f>
        <v/>
      </c>
      <c r="F344">
        <f>E324</f>
        <v/>
      </c>
      <c r="G344">
        <f>F344-E344</f>
        <v/>
      </c>
      <c r="H344">
        <f>IF(OR(NOT(ISNUMBER(D344)),ABS(D344-E344)&gt;$O$3,AND($O$11=1,B344&lt;$O$12)),1,0)</f>
        <v/>
      </c>
      <c r="I344">
        <f>IF(H344=1,NA(),D344)</f>
        <v/>
      </c>
      <c r="J344">
        <f>IF(AND(ISNUMBER(D344),D344&gt;=$O$4,OR($O$11=0,B344&gt;=$O$12)),1,0)</f>
        <v/>
      </c>
      <c r="K344">
        <f>B344-$O$14</f>
        <v/>
      </c>
    </row>
    <row r="345">
      <c r="A345" t="n">
        <v>1029</v>
      </c>
      <c r="B345" t="n">
        <v>34.3</v>
      </c>
      <c r="C345" t="inlineStr">
        <is>
          <t>684</t>
        </is>
      </c>
      <c r="D345" t="n">
        <v>6.84</v>
      </c>
      <c r="E345">
        <f>MEDIAN(D325:D365)</f>
        <v/>
      </c>
      <c r="F345">
        <f>E325</f>
        <v/>
      </c>
      <c r="G345">
        <f>F345-E345</f>
        <v/>
      </c>
      <c r="H345">
        <f>IF(OR(NOT(ISNUMBER(D345)),ABS(D345-E345)&gt;$O$3,AND($O$11=1,B345&lt;$O$12)),1,0)</f>
        <v/>
      </c>
      <c r="I345">
        <f>IF(H345=1,NA(),D345)</f>
        <v/>
      </c>
      <c r="J345">
        <f>IF(AND(ISNUMBER(D345),D345&gt;=$O$4,OR($O$11=0,B345&gt;=$O$12)),1,0)</f>
        <v/>
      </c>
      <c r="K345">
        <f>B345-$O$14</f>
        <v/>
      </c>
    </row>
    <row r="346">
      <c r="A346" t="n">
        <v>1032</v>
      </c>
      <c r="B346" t="n">
        <v>34.4</v>
      </c>
      <c r="C346" t="inlineStr">
        <is>
          <t>684</t>
        </is>
      </c>
      <c r="D346" t="n">
        <v>6.84</v>
      </c>
      <c r="E346">
        <f>MEDIAN(D326:D366)</f>
        <v/>
      </c>
      <c r="F346">
        <f>E326</f>
        <v/>
      </c>
      <c r="G346">
        <f>F346-E346</f>
        <v/>
      </c>
      <c r="H346">
        <f>IF(OR(NOT(ISNUMBER(D346)),ABS(D346-E346)&gt;$O$3,AND($O$11=1,B346&lt;$O$12)),1,0)</f>
        <v/>
      </c>
      <c r="I346">
        <f>IF(H346=1,NA(),D346)</f>
        <v/>
      </c>
      <c r="J346">
        <f>IF(AND(ISNUMBER(D346),D346&gt;=$O$4,OR($O$11=0,B346&gt;=$O$12)),1,0)</f>
        <v/>
      </c>
      <c r="K346">
        <f>B346-$O$14</f>
        <v/>
      </c>
    </row>
    <row r="347">
      <c r="A347" t="n">
        <v>1035</v>
      </c>
      <c r="B347" t="n">
        <v>34.5</v>
      </c>
      <c r="C347" t="inlineStr">
        <is>
          <t>684</t>
        </is>
      </c>
      <c r="D347" t="n">
        <v>6.84</v>
      </c>
      <c r="E347">
        <f>MEDIAN(D327:D367)</f>
        <v/>
      </c>
      <c r="F347">
        <f>E327</f>
        <v/>
      </c>
      <c r="G347">
        <f>F347-E347</f>
        <v/>
      </c>
      <c r="H347">
        <f>IF(OR(NOT(ISNUMBER(D347)),ABS(D347-E347)&gt;$O$3,AND($O$11=1,B347&lt;$O$12)),1,0)</f>
        <v/>
      </c>
      <c r="I347">
        <f>IF(H347=1,NA(),D347)</f>
        <v/>
      </c>
      <c r="J347">
        <f>IF(AND(ISNUMBER(D347),D347&gt;=$O$4,OR($O$11=0,B347&gt;=$O$12)),1,0)</f>
        <v/>
      </c>
      <c r="K347">
        <f>B347-$O$14</f>
        <v/>
      </c>
    </row>
    <row r="348">
      <c r="A348" t="n">
        <v>1038</v>
      </c>
      <c r="B348" t="n">
        <v>34.6</v>
      </c>
      <c r="C348" t="inlineStr">
        <is>
          <t>684</t>
        </is>
      </c>
      <c r="D348" t="n">
        <v>6.84</v>
      </c>
      <c r="E348">
        <f>MEDIAN(D328:D368)</f>
        <v/>
      </c>
      <c r="F348">
        <f>E328</f>
        <v/>
      </c>
      <c r="G348">
        <f>F348-E348</f>
        <v/>
      </c>
      <c r="H348">
        <f>IF(OR(NOT(ISNUMBER(D348)),ABS(D348-E348)&gt;$O$3,AND($O$11=1,B348&lt;$O$12)),1,0)</f>
        <v/>
      </c>
      <c r="I348">
        <f>IF(H348=1,NA(),D348)</f>
        <v/>
      </c>
      <c r="J348">
        <f>IF(AND(ISNUMBER(D348),D348&gt;=$O$4,OR($O$11=0,B348&gt;=$O$12)),1,0)</f>
        <v/>
      </c>
      <c r="K348">
        <f>B348-$O$14</f>
        <v/>
      </c>
    </row>
    <row r="349">
      <c r="A349" t="n">
        <v>1041</v>
      </c>
      <c r="B349" t="n">
        <v>34.7</v>
      </c>
      <c r="C349" t="inlineStr">
        <is>
          <t>684</t>
        </is>
      </c>
      <c r="D349" t="n">
        <v>6.84</v>
      </c>
      <c r="E349">
        <f>MEDIAN(D329:D369)</f>
        <v/>
      </c>
      <c r="F349">
        <f>E329</f>
        <v/>
      </c>
      <c r="G349">
        <f>F349-E349</f>
        <v/>
      </c>
      <c r="H349">
        <f>IF(OR(NOT(ISNUMBER(D349)),ABS(D349-E349)&gt;$O$3,AND($O$11=1,B349&lt;$O$12)),1,0)</f>
        <v/>
      </c>
      <c r="I349">
        <f>IF(H349=1,NA(),D349)</f>
        <v/>
      </c>
      <c r="J349">
        <f>IF(AND(ISNUMBER(D349),D349&gt;=$O$4,OR($O$11=0,B349&gt;=$O$12)),1,0)</f>
        <v/>
      </c>
      <c r="K349">
        <f>B349-$O$14</f>
        <v/>
      </c>
    </row>
    <row r="350">
      <c r="A350" t="n">
        <v>1044</v>
      </c>
      <c r="B350" t="n">
        <v>34.8</v>
      </c>
      <c r="C350" t="inlineStr">
        <is>
          <t>689</t>
        </is>
      </c>
      <c r="D350" t="n">
        <v>6.89</v>
      </c>
      <c r="E350">
        <f>MEDIAN(D330:D370)</f>
        <v/>
      </c>
      <c r="F350">
        <f>E330</f>
        <v/>
      </c>
      <c r="G350">
        <f>F350-E350</f>
        <v/>
      </c>
      <c r="H350">
        <f>IF(OR(NOT(ISNUMBER(D350)),ABS(D350-E350)&gt;$O$3,AND($O$11=1,B350&lt;$O$12)),1,0)</f>
        <v/>
      </c>
      <c r="I350">
        <f>IF(H350=1,NA(),D350)</f>
        <v/>
      </c>
      <c r="J350">
        <f>IF(AND(ISNUMBER(D350),D350&gt;=$O$4,OR($O$11=0,B350&gt;=$O$12)),1,0)</f>
        <v/>
      </c>
      <c r="K350">
        <f>B350-$O$14</f>
        <v/>
      </c>
    </row>
    <row r="351">
      <c r="A351" t="n">
        <v>1047</v>
      </c>
      <c r="B351" t="n">
        <v>34.9</v>
      </c>
      <c r="C351" t="inlineStr">
        <is>
          <t>687</t>
        </is>
      </c>
      <c r="D351" t="n">
        <v>6.87</v>
      </c>
      <c r="E351">
        <f>MEDIAN(D331:D371)</f>
        <v/>
      </c>
      <c r="F351">
        <f>E331</f>
        <v/>
      </c>
      <c r="G351">
        <f>F351-E351</f>
        <v/>
      </c>
      <c r="H351">
        <f>IF(OR(NOT(ISNUMBER(D351)),ABS(D351-E351)&gt;$O$3,AND($O$11=1,B351&lt;$O$12)),1,0)</f>
        <v/>
      </c>
      <c r="I351">
        <f>IF(H351=1,NA(),D351)</f>
        <v/>
      </c>
      <c r="J351">
        <f>IF(AND(ISNUMBER(D351),D351&gt;=$O$4,OR($O$11=0,B351&gt;=$O$12)),1,0)</f>
        <v/>
      </c>
      <c r="K351">
        <f>B351-$O$14</f>
        <v/>
      </c>
    </row>
    <row r="352">
      <c r="A352" t="n">
        <v>1050</v>
      </c>
      <c r="B352" t="n">
        <v>35</v>
      </c>
      <c r="C352" t="inlineStr">
        <is>
          <t>687</t>
        </is>
      </c>
      <c r="D352" t="n">
        <v>6.87</v>
      </c>
      <c r="E352">
        <f>MEDIAN(D332:D372)</f>
        <v/>
      </c>
      <c r="F352">
        <f>E332</f>
        <v/>
      </c>
      <c r="G352">
        <f>F352-E352</f>
        <v/>
      </c>
      <c r="H352">
        <f>IF(OR(NOT(ISNUMBER(D352)),ABS(D352-E352)&gt;$O$3,AND($O$11=1,B352&lt;$O$12)),1,0)</f>
        <v/>
      </c>
      <c r="I352">
        <f>IF(H352=1,NA(),D352)</f>
        <v/>
      </c>
      <c r="J352">
        <f>IF(AND(ISNUMBER(D352),D352&gt;=$O$4,OR($O$11=0,B352&gt;=$O$12)),1,0)</f>
        <v/>
      </c>
      <c r="K352">
        <f>B352-$O$14</f>
        <v/>
      </c>
    </row>
    <row r="353">
      <c r="A353" t="n">
        <v>1053</v>
      </c>
      <c r="B353" t="n">
        <v>35.1</v>
      </c>
      <c r="C353" t="inlineStr">
        <is>
          <t>689</t>
        </is>
      </c>
      <c r="D353" t="n">
        <v>6.89</v>
      </c>
      <c r="E353">
        <f>MEDIAN(D333:D373)</f>
        <v/>
      </c>
      <c r="F353">
        <f>E333</f>
        <v/>
      </c>
      <c r="G353">
        <f>F353-E353</f>
        <v/>
      </c>
      <c r="H353">
        <f>IF(OR(NOT(ISNUMBER(D353)),ABS(D353-E353)&gt;$O$3,AND($O$11=1,B353&lt;$O$12)),1,0)</f>
        <v/>
      </c>
      <c r="I353">
        <f>IF(H353=1,NA(),D353)</f>
        <v/>
      </c>
      <c r="J353">
        <f>IF(AND(ISNUMBER(D353),D353&gt;=$O$4,OR($O$11=0,B353&gt;=$O$12)),1,0)</f>
        <v/>
      </c>
      <c r="K353">
        <f>B353-$O$14</f>
        <v/>
      </c>
    </row>
    <row r="354">
      <c r="A354" t="n">
        <v>1056</v>
      </c>
      <c r="B354" t="n">
        <v>35.2</v>
      </c>
      <c r="C354" t="inlineStr">
        <is>
          <t>688</t>
        </is>
      </c>
      <c r="D354" t="n">
        <v>6.88</v>
      </c>
      <c r="E354">
        <f>MEDIAN(D334:D374)</f>
        <v/>
      </c>
      <c r="F354">
        <f>E334</f>
        <v/>
      </c>
      <c r="G354">
        <f>F354-E354</f>
        <v/>
      </c>
      <c r="H354">
        <f>IF(OR(NOT(ISNUMBER(D354)),ABS(D354-E354)&gt;$O$3,AND($O$11=1,B354&lt;$O$12)),1,0)</f>
        <v/>
      </c>
      <c r="I354">
        <f>IF(H354=1,NA(),D354)</f>
        <v/>
      </c>
      <c r="J354">
        <f>IF(AND(ISNUMBER(D354),D354&gt;=$O$4,OR($O$11=0,B354&gt;=$O$12)),1,0)</f>
        <v/>
      </c>
      <c r="K354">
        <f>B354-$O$14</f>
        <v/>
      </c>
    </row>
    <row r="355">
      <c r="A355" t="n">
        <v>1059</v>
      </c>
      <c r="B355" t="n">
        <v>35.3</v>
      </c>
      <c r="C355" t="inlineStr">
        <is>
          <t>688</t>
        </is>
      </c>
      <c r="D355" t="n">
        <v>6.88</v>
      </c>
      <c r="E355">
        <f>MEDIAN(D335:D375)</f>
        <v/>
      </c>
      <c r="F355">
        <f>E335</f>
        <v/>
      </c>
      <c r="G355">
        <f>F355-E355</f>
        <v/>
      </c>
      <c r="H355">
        <f>IF(OR(NOT(ISNUMBER(D355)),ABS(D355-E355)&gt;$O$3,AND($O$11=1,B355&lt;$O$12)),1,0)</f>
        <v/>
      </c>
      <c r="I355">
        <f>IF(H355=1,NA(),D355)</f>
        <v/>
      </c>
      <c r="J355">
        <f>IF(AND(ISNUMBER(D355),D355&gt;=$O$4,OR($O$11=0,B355&gt;=$O$12)),1,0)</f>
        <v/>
      </c>
      <c r="K355">
        <f>B355-$O$14</f>
        <v/>
      </c>
    </row>
    <row r="356">
      <c r="A356" t="n">
        <v>1062</v>
      </c>
      <c r="B356" t="n">
        <v>35.4</v>
      </c>
      <c r="C356" t="inlineStr">
        <is>
          <t>688</t>
        </is>
      </c>
      <c r="D356" t="n">
        <v>6.88</v>
      </c>
      <c r="E356">
        <f>MEDIAN(D336:D376)</f>
        <v/>
      </c>
      <c r="F356">
        <f>E336</f>
        <v/>
      </c>
      <c r="G356">
        <f>F356-E356</f>
        <v/>
      </c>
      <c r="H356">
        <f>IF(OR(NOT(ISNUMBER(D356)),ABS(D356-E356)&gt;$O$3,AND($O$11=1,B356&lt;$O$12)),1,0)</f>
        <v/>
      </c>
      <c r="I356">
        <f>IF(H356=1,NA(),D356)</f>
        <v/>
      </c>
      <c r="J356">
        <f>IF(AND(ISNUMBER(D356),D356&gt;=$O$4,OR($O$11=0,B356&gt;=$O$12)),1,0)</f>
        <v/>
      </c>
      <c r="K356">
        <f>B356-$O$14</f>
        <v/>
      </c>
    </row>
    <row r="357">
      <c r="A357" t="n">
        <v>1065</v>
      </c>
      <c r="B357" t="n">
        <v>35.5</v>
      </c>
      <c r="C357" t="inlineStr">
        <is>
          <t>689</t>
        </is>
      </c>
      <c r="D357" t="n">
        <v>6.89</v>
      </c>
      <c r="E357">
        <f>MEDIAN(D337:D377)</f>
        <v/>
      </c>
      <c r="F357">
        <f>E337</f>
        <v/>
      </c>
      <c r="G357">
        <f>F357-E357</f>
        <v/>
      </c>
      <c r="H357">
        <f>IF(OR(NOT(ISNUMBER(D357)),ABS(D357-E357)&gt;$O$3,AND($O$11=1,B357&lt;$O$12)),1,0)</f>
        <v/>
      </c>
      <c r="I357">
        <f>IF(H357=1,NA(),D357)</f>
        <v/>
      </c>
      <c r="J357">
        <f>IF(AND(ISNUMBER(D357),D357&gt;=$O$4,OR($O$11=0,B357&gt;=$O$12)),1,0)</f>
        <v/>
      </c>
      <c r="K357">
        <f>B357-$O$14</f>
        <v/>
      </c>
    </row>
    <row r="358">
      <c r="A358" t="n">
        <v>1068</v>
      </c>
      <c r="B358" t="n">
        <v>35.6</v>
      </c>
      <c r="C358" t="inlineStr">
        <is>
          <t>689</t>
        </is>
      </c>
      <c r="D358" t="n">
        <v>6.89</v>
      </c>
      <c r="E358">
        <f>MEDIAN(D338:D378)</f>
        <v/>
      </c>
      <c r="F358">
        <f>E338</f>
        <v/>
      </c>
      <c r="G358">
        <f>F358-E358</f>
        <v/>
      </c>
      <c r="H358">
        <f>IF(OR(NOT(ISNUMBER(D358)),ABS(D358-E358)&gt;$O$3,AND($O$11=1,B358&lt;$O$12)),1,0)</f>
        <v/>
      </c>
      <c r="I358">
        <f>IF(H358=1,NA(),D358)</f>
        <v/>
      </c>
      <c r="J358">
        <f>IF(AND(ISNUMBER(D358),D358&gt;=$O$4,OR($O$11=0,B358&gt;=$O$12)),1,0)</f>
        <v/>
      </c>
      <c r="K358">
        <f>B358-$O$14</f>
        <v/>
      </c>
    </row>
    <row r="359">
      <c r="A359" t="n">
        <v>1071</v>
      </c>
      <c r="B359" t="n">
        <v>35.7</v>
      </c>
      <c r="C359" t="inlineStr">
        <is>
          <t>688</t>
        </is>
      </c>
      <c r="D359" t="n">
        <v>6.88</v>
      </c>
      <c r="E359">
        <f>MEDIAN(D339:D379)</f>
        <v/>
      </c>
      <c r="F359">
        <f>E339</f>
        <v/>
      </c>
      <c r="G359">
        <f>F359-E359</f>
        <v/>
      </c>
      <c r="H359">
        <f>IF(OR(NOT(ISNUMBER(D359)),ABS(D359-E359)&gt;$O$3,AND($O$11=1,B359&lt;$O$12)),1,0)</f>
        <v/>
      </c>
      <c r="I359">
        <f>IF(H359=1,NA(),D359)</f>
        <v/>
      </c>
      <c r="J359">
        <f>IF(AND(ISNUMBER(D359),D359&gt;=$O$4,OR($O$11=0,B359&gt;=$O$12)),1,0)</f>
        <v/>
      </c>
      <c r="K359">
        <f>B359-$O$14</f>
        <v/>
      </c>
    </row>
    <row r="360">
      <c r="A360" t="n">
        <v>1074</v>
      </c>
      <c r="B360" t="n">
        <v>35.8</v>
      </c>
      <c r="C360" t="inlineStr">
        <is>
          <t>690</t>
        </is>
      </c>
      <c r="D360" t="n">
        <v>6.9</v>
      </c>
      <c r="E360">
        <f>MEDIAN(D340:D380)</f>
        <v/>
      </c>
      <c r="F360">
        <f>E340</f>
        <v/>
      </c>
      <c r="G360">
        <f>F360-E360</f>
        <v/>
      </c>
      <c r="H360">
        <f>IF(OR(NOT(ISNUMBER(D360)),ABS(D360-E360)&gt;$O$3,AND($O$11=1,B360&lt;$O$12)),1,0)</f>
        <v/>
      </c>
      <c r="I360">
        <f>IF(H360=1,NA(),D360)</f>
        <v/>
      </c>
      <c r="J360">
        <f>IF(AND(ISNUMBER(D360),D360&gt;=$O$4,OR($O$11=0,B360&gt;=$O$12)),1,0)</f>
        <v/>
      </c>
      <c r="K360">
        <f>B360-$O$14</f>
        <v/>
      </c>
    </row>
    <row r="361">
      <c r="A361" t="n">
        <v>1077</v>
      </c>
      <c r="B361" t="n">
        <v>35.9</v>
      </c>
      <c r="C361" t="inlineStr">
        <is>
          <t>690</t>
        </is>
      </c>
      <c r="D361" t="n">
        <v>6.9</v>
      </c>
      <c r="E361">
        <f>MEDIAN(D341:D381)</f>
        <v/>
      </c>
      <c r="F361">
        <f>E341</f>
        <v/>
      </c>
      <c r="G361">
        <f>F361-E361</f>
        <v/>
      </c>
      <c r="H361">
        <f>IF(OR(NOT(ISNUMBER(D361)),ABS(D361-E361)&gt;$O$3,AND($O$11=1,B361&lt;$O$12)),1,0)</f>
        <v/>
      </c>
      <c r="I361">
        <f>IF(H361=1,NA(),D361)</f>
        <v/>
      </c>
      <c r="J361">
        <f>IF(AND(ISNUMBER(D361),D361&gt;=$O$4,OR($O$11=0,B361&gt;=$O$12)),1,0)</f>
        <v/>
      </c>
      <c r="K361">
        <f>B361-$O$14</f>
        <v/>
      </c>
    </row>
    <row r="362">
      <c r="A362" t="n">
        <v>1080</v>
      </c>
      <c r="B362" t="n">
        <v>36</v>
      </c>
      <c r="C362" t="inlineStr">
        <is>
          <t>692</t>
        </is>
      </c>
      <c r="D362" t="n">
        <v>6.92</v>
      </c>
      <c r="E362">
        <f>MEDIAN(D342:D382)</f>
        <v/>
      </c>
      <c r="F362">
        <f>E342</f>
        <v/>
      </c>
      <c r="G362">
        <f>F362-E362</f>
        <v/>
      </c>
      <c r="H362">
        <f>IF(OR(NOT(ISNUMBER(D362)),ABS(D362-E362)&gt;$O$3,AND($O$11=1,B362&lt;$O$12)),1,0)</f>
        <v/>
      </c>
      <c r="I362">
        <f>IF(H362=1,NA(),D362)</f>
        <v/>
      </c>
      <c r="J362">
        <f>IF(AND(ISNUMBER(D362),D362&gt;=$O$4,OR($O$11=0,B362&gt;=$O$12)),1,0)</f>
        <v/>
      </c>
      <c r="K362">
        <f>B362-$O$14</f>
        <v/>
      </c>
    </row>
    <row r="363">
      <c r="A363" t="n">
        <v>1083</v>
      </c>
      <c r="B363" t="n">
        <v>36.1</v>
      </c>
      <c r="C363" t="inlineStr">
        <is>
          <t>692</t>
        </is>
      </c>
      <c r="D363" t="n">
        <v>6.92</v>
      </c>
      <c r="E363">
        <f>MEDIAN(D343:D383)</f>
        <v/>
      </c>
      <c r="F363">
        <f>E343</f>
        <v/>
      </c>
      <c r="G363">
        <f>F363-E363</f>
        <v/>
      </c>
      <c r="H363">
        <f>IF(OR(NOT(ISNUMBER(D363)),ABS(D363-E363)&gt;$O$3,AND($O$11=1,B363&lt;$O$12)),1,0)</f>
        <v/>
      </c>
      <c r="I363">
        <f>IF(H363=1,NA(),D363)</f>
        <v/>
      </c>
      <c r="J363">
        <f>IF(AND(ISNUMBER(D363),D363&gt;=$O$4,OR($O$11=0,B363&gt;=$O$12)),1,0)</f>
        <v/>
      </c>
      <c r="K363">
        <f>B363-$O$14</f>
        <v/>
      </c>
    </row>
    <row r="364">
      <c r="A364" t="n">
        <v>1086</v>
      </c>
      <c r="B364" t="n">
        <v>36.2</v>
      </c>
      <c r="C364" t="inlineStr">
        <is>
          <t>693</t>
        </is>
      </c>
      <c r="D364" t="n">
        <v>6.93</v>
      </c>
      <c r="E364">
        <f>MEDIAN(D344:D384)</f>
        <v/>
      </c>
      <c r="F364">
        <f>E344</f>
        <v/>
      </c>
      <c r="G364">
        <f>F364-E364</f>
        <v/>
      </c>
      <c r="H364">
        <f>IF(OR(NOT(ISNUMBER(D364)),ABS(D364-E364)&gt;$O$3,AND($O$11=1,B364&lt;$O$12)),1,0)</f>
        <v/>
      </c>
      <c r="I364">
        <f>IF(H364=1,NA(),D364)</f>
        <v/>
      </c>
      <c r="J364">
        <f>IF(AND(ISNUMBER(D364),D364&gt;=$O$4,OR($O$11=0,B364&gt;=$O$12)),1,0)</f>
        <v/>
      </c>
      <c r="K364">
        <f>B364-$O$14</f>
        <v/>
      </c>
    </row>
    <row r="365">
      <c r="A365" t="n">
        <v>1089</v>
      </c>
      <c r="B365" t="n">
        <v>36.3</v>
      </c>
      <c r="C365" t="inlineStr">
        <is>
          <t>699</t>
        </is>
      </c>
      <c r="D365" t="n">
        <v>6.99</v>
      </c>
      <c r="E365">
        <f>MEDIAN(D345:D385)</f>
        <v/>
      </c>
      <c r="F365">
        <f>E345</f>
        <v/>
      </c>
      <c r="G365">
        <f>F365-E365</f>
        <v/>
      </c>
      <c r="H365">
        <f>IF(OR(NOT(ISNUMBER(D365)),ABS(D365-E365)&gt;$O$3,AND($O$11=1,B365&lt;$O$12)),1,0)</f>
        <v/>
      </c>
      <c r="I365">
        <f>IF(H365=1,NA(),D365)</f>
        <v/>
      </c>
      <c r="J365">
        <f>IF(AND(ISNUMBER(D365),D365&gt;=$O$4,OR($O$11=0,B365&gt;=$O$12)),1,0)</f>
        <v/>
      </c>
      <c r="K365">
        <f>B365-$O$14</f>
        <v/>
      </c>
    </row>
    <row r="366">
      <c r="A366" t="n">
        <v>1092</v>
      </c>
      <c r="B366" t="n">
        <v>36.4</v>
      </c>
      <c r="C366" t="inlineStr">
        <is>
          <t>699</t>
        </is>
      </c>
      <c r="D366" t="n">
        <v>6.99</v>
      </c>
      <c r="E366">
        <f>MEDIAN(D346:D386)</f>
        <v/>
      </c>
      <c r="F366">
        <f>E346</f>
        <v/>
      </c>
      <c r="G366">
        <f>F366-E366</f>
        <v/>
      </c>
      <c r="H366">
        <f>IF(OR(NOT(ISNUMBER(D366)),ABS(D366-E366)&gt;$O$3,AND($O$11=1,B366&lt;$O$12)),1,0)</f>
        <v/>
      </c>
      <c r="I366">
        <f>IF(H366=1,NA(),D366)</f>
        <v/>
      </c>
      <c r="J366">
        <f>IF(AND(ISNUMBER(D366),D366&gt;=$O$4,OR($O$11=0,B366&gt;=$O$12)),1,0)</f>
        <v/>
      </c>
      <c r="K366">
        <f>B366-$O$14</f>
        <v/>
      </c>
    </row>
    <row r="367">
      <c r="A367" t="n">
        <v>1095</v>
      </c>
      <c r="B367" t="n">
        <v>36.5</v>
      </c>
      <c r="C367" t="inlineStr">
        <is>
          <t>699</t>
        </is>
      </c>
      <c r="D367" t="n">
        <v>6.99</v>
      </c>
      <c r="E367">
        <f>MEDIAN(D347:D387)</f>
        <v/>
      </c>
      <c r="F367">
        <f>E347</f>
        <v/>
      </c>
      <c r="G367">
        <f>F367-E367</f>
        <v/>
      </c>
      <c r="H367">
        <f>IF(OR(NOT(ISNUMBER(D367)),ABS(D367-E367)&gt;$O$3,AND($O$11=1,B367&lt;$O$12)),1,0)</f>
        <v/>
      </c>
      <c r="I367">
        <f>IF(H367=1,NA(),D367)</f>
        <v/>
      </c>
      <c r="J367">
        <f>IF(AND(ISNUMBER(D367),D367&gt;=$O$4,OR($O$11=0,B367&gt;=$O$12)),1,0)</f>
        <v/>
      </c>
      <c r="K367">
        <f>B367-$O$14</f>
        <v/>
      </c>
    </row>
    <row r="368">
      <c r="A368" t="n">
        <v>1098</v>
      </c>
      <c r="B368" t="n">
        <v>36.6</v>
      </c>
      <c r="C368" t="inlineStr">
        <is>
          <t>696</t>
        </is>
      </c>
      <c r="D368" t="n">
        <v>6.96</v>
      </c>
      <c r="E368">
        <f>MEDIAN(D348:D388)</f>
        <v/>
      </c>
      <c r="F368">
        <f>E348</f>
        <v/>
      </c>
      <c r="G368">
        <f>F368-E368</f>
        <v/>
      </c>
      <c r="H368">
        <f>IF(OR(NOT(ISNUMBER(D368)),ABS(D368-E368)&gt;$O$3,AND($O$11=1,B368&lt;$O$12)),1,0)</f>
        <v/>
      </c>
      <c r="I368">
        <f>IF(H368=1,NA(),D368)</f>
        <v/>
      </c>
      <c r="J368">
        <f>IF(AND(ISNUMBER(D368),D368&gt;=$O$4,OR($O$11=0,B368&gt;=$O$12)),1,0)</f>
        <v/>
      </c>
      <c r="K368">
        <f>B368-$O$14</f>
        <v/>
      </c>
    </row>
    <row r="369">
      <c r="A369" t="n">
        <v>1101</v>
      </c>
      <c r="B369" t="n">
        <v>36.7</v>
      </c>
      <c r="C369" t="inlineStr">
        <is>
          <t>698</t>
        </is>
      </c>
      <c r="D369" t="n">
        <v>6.98</v>
      </c>
      <c r="E369">
        <f>MEDIAN(D349:D389)</f>
        <v/>
      </c>
      <c r="F369">
        <f>E349</f>
        <v/>
      </c>
      <c r="G369">
        <f>F369-E369</f>
        <v/>
      </c>
      <c r="H369">
        <f>IF(OR(NOT(ISNUMBER(D369)),ABS(D369-E369)&gt;$O$3,AND($O$11=1,B369&lt;$O$12)),1,0)</f>
        <v/>
      </c>
      <c r="I369">
        <f>IF(H369=1,NA(),D369)</f>
        <v/>
      </c>
      <c r="J369">
        <f>IF(AND(ISNUMBER(D369),D369&gt;=$O$4,OR($O$11=0,B369&gt;=$O$12)),1,0)</f>
        <v/>
      </c>
      <c r="K369">
        <f>B369-$O$14</f>
        <v/>
      </c>
    </row>
    <row r="370">
      <c r="A370" t="n">
        <v>1104</v>
      </c>
      <c r="B370" t="n">
        <v>36.8</v>
      </c>
      <c r="C370" t="inlineStr">
        <is>
          <t>697</t>
        </is>
      </c>
      <c r="D370" t="n">
        <v>6.97</v>
      </c>
      <c r="E370">
        <f>MEDIAN(D350:D390)</f>
        <v/>
      </c>
      <c r="F370">
        <f>E350</f>
        <v/>
      </c>
      <c r="G370">
        <f>F370-E370</f>
        <v/>
      </c>
      <c r="H370">
        <f>IF(OR(NOT(ISNUMBER(D370)),ABS(D370-E370)&gt;$O$3,AND($O$11=1,B370&lt;$O$12)),1,0)</f>
        <v/>
      </c>
      <c r="I370">
        <f>IF(H370=1,NA(),D370)</f>
        <v/>
      </c>
      <c r="J370">
        <f>IF(AND(ISNUMBER(D370),D370&gt;=$O$4,OR($O$11=0,B370&gt;=$O$12)),1,0)</f>
        <v/>
      </c>
      <c r="K370">
        <f>B370-$O$14</f>
        <v/>
      </c>
    </row>
    <row r="371">
      <c r="A371" t="n">
        <v>1107</v>
      </c>
      <c r="B371" t="n">
        <v>36.9</v>
      </c>
      <c r="C371" t="inlineStr">
        <is>
          <t>698</t>
        </is>
      </c>
      <c r="D371" t="n">
        <v>6.98</v>
      </c>
      <c r="E371">
        <f>MEDIAN(D351:D391)</f>
        <v/>
      </c>
      <c r="F371">
        <f>E351</f>
        <v/>
      </c>
      <c r="G371">
        <f>F371-E371</f>
        <v/>
      </c>
      <c r="H371">
        <f>IF(OR(NOT(ISNUMBER(D371)),ABS(D371-E371)&gt;$O$3,AND($O$11=1,B371&lt;$O$12)),1,0)</f>
        <v/>
      </c>
      <c r="I371">
        <f>IF(H371=1,NA(),D371)</f>
        <v/>
      </c>
      <c r="J371">
        <f>IF(AND(ISNUMBER(D371),D371&gt;=$O$4,OR($O$11=0,B371&gt;=$O$12)),1,0)</f>
        <v/>
      </c>
      <c r="K371">
        <f>B371-$O$14</f>
        <v/>
      </c>
    </row>
    <row r="372">
      <c r="A372" t="n">
        <v>1110</v>
      </c>
      <c r="B372" t="n">
        <v>37</v>
      </c>
      <c r="C372" t="inlineStr">
        <is>
          <t>698</t>
        </is>
      </c>
      <c r="D372" t="n">
        <v>6.98</v>
      </c>
      <c r="E372">
        <f>MEDIAN(D352:D392)</f>
        <v/>
      </c>
      <c r="F372">
        <f>E352</f>
        <v/>
      </c>
      <c r="G372">
        <f>F372-E372</f>
        <v/>
      </c>
      <c r="H372">
        <f>IF(OR(NOT(ISNUMBER(D372)),ABS(D372-E372)&gt;$O$3,AND($O$11=1,B372&lt;$O$12)),1,0)</f>
        <v/>
      </c>
      <c r="I372">
        <f>IF(H372=1,NA(),D372)</f>
        <v/>
      </c>
      <c r="J372">
        <f>IF(AND(ISNUMBER(D372),D372&gt;=$O$4,OR($O$11=0,B372&gt;=$O$12)),1,0)</f>
        <v/>
      </c>
      <c r="K372">
        <f>B372-$O$14</f>
        <v/>
      </c>
    </row>
    <row r="373">
      <c r="A373" t="n">
        <v>1113</v>
      </c>
      <c r="B373" t="n">
        <v>37.1</v>
      </c>
      <c r="C373" t="inlineStr">
        <is>
          <t>888</t>
        </is>
      </c>
      <c r="D373" t="n">
        <v>8.880000000000001</v>
      </c>
      <c r="E373">
        <f>MEDIAN(D353:D393)</f>
        <v/>
      </c>
      <c r="F373">
        <f>E353</f>
        <v/>
      </c>
      <c r="G373">
        <f>F373-E373</f>
        <v/>
      </c>
      <c r="H373">
        <f>IF(OR(NOT(ISNUMBER(D373)),ABS(D373-E373)&gt;$O$3,AND($O$11=1,B373&lt;$O$12)),1,0)</f>
        <v/>
      </c>
      <c r="I373">
        <f>IF(H373=1,NA(),D373)</f>
        <v/>
      </c>
      <c r="J373">
        <f>IF(AND(ISNUMBER(D373),D373&gt;=$O$4,OR($O$11=0,B373&gt;=$O$12)),1,0)</f>
        <v/>
      </c>
      <c r="K373">
        <f>B373-$O$14</f>
        <v/>
      </c>
    </row>
    <row r="374">
      <c r="A374" t="n">
        <v>1116</v>
      </c>
      <c r="B374" t="n">
        <v>37.2</v>
      </c>
      <c r="C374" t="inlineStr">
        <is>
          <t>700</t>
        </is>
      </c>
      <c r="D374" t="n">
        <v>7</v>
      </c>
      <c r="E374">
        <f>MEDIAN(D354:D394)</f>
        <v/>
      </c>
      <c r="F374">
        <f>E354</f>
        <v/>
      </c>
      <c r="G374">
        <f>F374-E374</f>
        <v/>
      </c>
      <c r="H374">
        <f>IF(OR(NOT(ISNUMBER(D374)),ABS(D374-E374)&gt;$O$3,AND($O$11=1,B374&lt;$O$12)),1,0)</f>
        <v/>
      </c>
      <c r="I374">
        <f>IF(H374=1,NA(),D374)</f>
        <v/>
      </c>
      <c r="J374">
        <f>IF(AND(ISNUMBER(D374),D374&gt;=$O$4,OR($O$11=0,B374&gt;=$O$12)),1,0)</f>
        <v/>
      </c>
      <c r="K374">
        <f>B374-$O$14</f>
        <v/>
      </c>
    </row>
    <row r="375">
      <c r="A375" t="n">
        <v>1119</v>
      </c>
      <c r="B375" t="n">
        <v>37.3</v>
      </c>
      <c r="C375" t="inlineStr">
        <is>
          <t>701</t>
        </is>
      </c>
      <c r="D375" t="n">
        <v>7.01</v>
      </c>
      <c r="E375">
        <f>MEDIAN(D355:D395)</f>
        <v/>
      </c>
      <c r="F375">
        <f>E355</f>
        <v/>
      </c>
      <c r="G375">
        <f>F375-E375</f>
        <v/>
      </c>
      <c r="H375">
        <f>IF(OR(NOT(ISNUMBER(D375)),ABS(D375-E375)&gt;$O$3,AND($O$11=1,B375&lt;$O$12)),1,0)</f>
        <v/>
      </c>
      <c r="I375">
        <f>IF(H375=1,NA(),D375)</f>
        <v/>
      </c>
      <c r="J375">
        <f>IF(AND(ISNUMBER(D375),D375&gt;=$O$4,OR($O$11=0,B375&gt;=$O$12)),1,0)</f>
        <v/>
      </c>
      <c r="K375">
        <f>B375-$O$14</f>
        <v/>
      </c>
    </row>
    <row r="376">
      <c r="A376" t="n">
        <v>1122</v>
      </c>
      <c r="B376" t="n">
        <v>37.4</v>
      </c>
      <c r="C376" t="inlineStr">
        <is>
          <t>701</t>
        </is>
      </c>
      <c r="D376" t="n">
        <v>7.01</v>
      </c>
      <c r="E376">
        <f>MEDIAN(D356:D396)</f>
        <v/>
      </c>
      <c r="F376">
        <f>E356</f>
        <v/>
      </c>
      <c r="G376">
        <f>F376-E376</f>
        <v/>
      </c>
      <c r="H376">
        <f>IF(OR(NOT(ISNUMBER(D376)),ABS(D376-E376)&gt;$O$3,AND($O$11=1,B376&lt;$O$12)),1,0)</f>
        <v/>
      </c>
      <c r="I376">
        <f>IF(H376=1,NA(),D376)</f>
        <v/>
      </c>
      <c r="J376">
        <f>IF(AND(ISNUMBER(D376),D376&gt;=$O$4,OR($O$11=0,B376&gt;=$O$12)),1,0)</f>
        <v/>
      </c>
      <c r="K376">
        <f>B376-$O$14</f>
        <v/>
      </c>
    </row>
    <row r="377">
      <c r="A377" t="n">
        <v>1125</v>
      </c>
      <c r="B377" t="n">
        <v>37.5</v>
      </c>
      <c r="C377" t="inlineStr">
        <is>
          <t>702</t>
        </is>
      </c>
      <c r="D377" t="n">
        <v>7.02</v>
      </c>
      <c r="E377">
        <f>MEDIAN(D357:D397)</f>
        <v/>
      </c>
      <c r="F377">
        <f>E357</f>
        <v/>
      </c>
      <c r="G377">
        <f>F377-E377</f>
        <v/>
      </c>
      <c r="H377">
        <f>IF(OR(NOT(ISNUMBER(D377)),ABS(D377-E377)&gt;$O$3,AND($O$11=1,B377&lt;$O$12)),1,0)</f>
        <v/>
      </c>
      <c r="I377">
        <f>IF(H377=1,NA(),D377)</f>
        <v/>
      </c>
      <c r="J377">
        <f>IF(AND(ISNUMBER(D377),D377&gt;=$O$4,OR($O$11=0,B377&gt;=$O$12)),1,0)</f>
        <v/>
      </c>
      <c r="K377">
        <f>B377-$O$14</f>
        <v/>
      </c>
    </row>
    <row r="378">
      <c r="A378" t="n">
        <v>1128</v>
      </c>
      <c r="B378" t="n">
        <v>37.6</v>
      </c>
      <c r="C378" t="inlineStr">
        <is>
          <t>702</t>
        </is>
      </c>
      <c r="D378" t="n">
        <v>7.02</v>
      </c>
      <c r="E378">
        <f>MEDIAN(D358:D398)</f>
        <v/>
      </c>
      <c r="F378">
        <f>E358</f>
        <v/>
      </c>
      <c r="G378">
        <f>F378-E378</f>
        <v/>
      </c>
      <c r="H378">
        <f>IF(OR(NOT(ISNUMBER(D378)),ABS(D378-E378)&gt;$O$3,AND($O$11=1,B378&lt;$O$12)),1,0)</f>
        <v/>
      </c>
      <c r="I378">
        <f>IF(H378=1,NA(),D378)</f>
        <v/>
      </c>
      <c r="J378">
        <f>IF(AND(ISNUMBER(D378),D378&gt;=$O$4,OR($O$11=0,B378&gt;=$O$12)),1,0)</f>
        <v/>
      </c>
      <c r="K378">
        <f>B378-$O$14</f>
        <v/>
      </c>
    </row>
    <row r="379">
      <c r="A379" t="n">
        <v>1131</v>
      </c>
      <c r="B379" t="n">
        <v>37.7</v>
      </c>
      <c r="C379" t="inlineStr">
        <is>
          <t>702</t>
        </is>
      </c>
      <c r="D379" t="n">
        <v>7.02</v>
      </c>
      <c r="E379">
        <f>MEDIAN(D359:D399)</f>
        <v/>
      </c>
      <c r="F379">
        <f>E359</f>
        <v/>
      </c>
      <c r="G379">
        <f>F379-E379</f>
        <v/>
      </c>
      <c r="H379">
        <f>IF(OR(NOT(ISNUMBER(D379)),ABS(D379-E379)&gt;$O$3,AND($O$11=1,B379&lt;$O$12)),1,0)</f>
        <v/>
      </c>
      <c r="I379">
        <f>IF(H379=1,NA(),D379)</f>
        <v/>
      </c>
      <c r="J379">
        <f>IF(AND(ISNUMBER(D379),D379&gt;=$O$4,OR($O$11=0,B379&gt;=$O$12)),1,0)</f>
        <v/>
      </c>
      <c r="K379">
        <f>B379-$O$14</f>
        <v/>
      </c>
    </row>
    <row r="380">
      <c r="A380" t="n">
        <v>1134</v>
      </c>
      <c r="B380" t="n">
        <v>37.8</v>
      </c>
      <c r="C380" t="inlineStr">
        <is>
          <t>703</t>
        </is>
      </c>
      <c r="D380" t="n">
        <v>7.03</v>
      </c>
      <c r="E380">
        <f>MEDIAN(D360:D400)</f>
        <v/>
      </c>
      <c r="F380">
        <f>E360</f>
        <v/>
      </c>
      <c r="G380">
        <f>F380-E380</f>
        <v/>
      </c>
      <c r="H380">
        <f>IF(OR(NOT(ISNUMBER(D380)),ABS(D380-E380)&gt;$O$3,AND($O$11=1,B380&lt;$O$12)),1,0)</f>
        <v/>
      </c>
      <c r="I380">
        <f>IF(H380=1,NA(),D380)</f>
        <v/>
      </c>
      <c r="J380">
        <f>IF(AND(ISNUMBER(D380),D380&gt;=$O$4,OR($O$11=0,B380&gt;=$O$12)),1,0)</f>
        <v/>
      </c>
      <c r="K380">
        <f>B380-$O$14</f>
        <v/>
      </c>
    </row>
    <row r="381">
      <c r="A381" t="n">
        <v>1137</v>
      </c>
      <c r="B381" t="n">
        <v>37.9</v>
      </c>
      <c r="C381" t="inlineStr">
        <is>
          <t>703</t>
        </is>
      </c>
      <c r="D381" t="n">
        <v>7.03</v>
      </c>
      <c r="E381">
        <f>MEDIAN(D361:D401)</f>
        <v/>
      </c>
      <c r="F381">
        <f>E361</f>
        <v/>
      </c>
      <c r="G381">
        <f>F381-E381</f>
        <v/>
      </c>
      <c r="H381">
        <f>IF(OR(NOT(ISNUMBER(D381)),ABS(D381-E381)&gt;$O$3,AND($O$11=1,B381&lt;$O$12)),1,0)</f>
        <v/>
      </c>
      <c r="I381">
        <f>IF(H381=1,NA(),D381)</f>
        <v/>
      </c>
      <c r="J381">
        <f>IF(AND(ISNUMBER(D381),D381&gt;=$O$4,OR($O$11=0,B381&gt;=$O$12)),1,0)</f>
        <v/>
      </c>
      <c r="K381">
        <f>B381-$O$14</f>
        <v/>
      </c>
    </row>
    <row r="382">
      <c r="A382" t="n">
        <v>1140</v>
      </c>
      <c r="B382" t="n">
        <v>38</v>
      </c>
      <c r="C382" t="inlineStr">
        <is>
          <t>709</t>
        </is>
      </c>
      <c r="D382" t="n">
        <v>7.09</v>
      </c>
      <c r="E382">
        <f>MEDIAN(D362:D402)</f>
        <v/>
      </c>
      <c r="F382">
        <f>E362</f>
        <v/>
      </c>
      <c r="G382">
        <f>F382-E382</f>
        <v/>
      </c>
      <c r="H382">
        <f>IF(OR(NOT(ISNUMBER(D382)),ABS(D382-E382)&gt;$O$3,AND($O$11=1,B382&lt;$O$12)),1,0)</f>
        <v/>
      </c>
      <c r="I382">
        <f>IF(H382=1,NA(),D382)</f>
        <v/>
      </c>
      <c r="J382">
        <f>IF(AND(ISNUMBER(D382),D382&gt;=$O$4,OR($O$11=0,B382&gt;=$O$12)),1,0)</f>
        <v/>
      </c>
      <c r="K382">
        <f>B382-$O$14</f>
        <v/>
      </c>
    </row>
    <row r="383">
      <c r="A383" t="n">
        <v>1143</v>
      </c>
      <c r="B383" t="n">
        <v>38.1</v>
      </c>
      <c r="C383" t="inlineStr">
        <is>
          <t>704</t>
        </is>
      </c>
      <c r="D383" t="n">
        <v>7.04</v>
      </c>
      <c r="E383">
        <f>MEDIAN(D363:D403)</f>
        <v/>
      </c>
      <c r="F383">
        <f>E363</f>
        <v/>
      </c>
      <c r="G383">
        <f>F383-E383</f>
        <v/>
      </c>
      <c r="H383">
        <f>IF(OR(NOT(ISNUMBER(D383)),ABS(D383-E383)&gt;$O$3,AND($O$11=1,B383&lt;$O$12)),1,0)</f>
        <v/>
      </c>
      <c r="I383">
        <f>IF(H383=1,NA(),D383)</f>
        <v/>
      </c>
      <c r="J383">
        <f>IF(AND(ISNUMBER(D383),D383&gt;=$O$4,OR($O$11=0,B383&gt;=$O$12)),1,0)</f>
        <v/>
      </c>
      <c r="K383">
        <f>B383-$O$14</f>
        <v/>
      </c>
    </row>
    <row r="384">
      <c r="A384" t="n">
        <v>1146</v>
      </c>
      <c r="B384" t="n">
        <v>38.2</v>
      </c>
      <c r="C384" t="inlineStr">
        <is>
          <t>709</t>
        </is>
      </c>
      <c r="D384" t="n">
        <v>7.09</v>
      </c>
      <c r="E384">
        <f>MEDIAN(D364:D404)</f>
        <v/>
      </c>
      <c r="F384">
        <f>E364</f>
        <v/>
      </c>
      <c r="G384">
        <f>F384-E384</f>
        <v/>
      </c>
      <c r="H384">
        <f>IF(OR(NOT(ISNUMBER(D384)),ABS(D384-E384)&gt;$O$3,AND($O$11=1,B384&lt;$O$12)),1,0)</f>
        <v/>
      </c>
      <c r="I384">
        <f>IF(H384=1,NA(),D384)</f>
        <v/>
      </c>
      <c r="J384">
        <f>IF(AND(ISNUMBER(D384),D384&gt;=$O$4,OR($O$11=0,B384&gt;=$O$12)),1,0)</f>
        <v/>
      </c>
      <c r="K384">
        <f>B384-$O$14</f>
        <v/>
      </c>
    </row>
    <row r="385">
      <c r="A385" t="n">
        <v>1149</v>
      </c>
      <c r="B385" t="n">
        <v>38.3</v>
      </c>
      <c r="C385" t="inlineStr">
        <is>
          <t>709</t>
        </is>
      </c>
      <c r="D385" t="n">
        <v>7.09</v>
      </c>
      <c r="E385">
        <f>MEDIAN(D365:D405)</f>
        <v/>
      </c>
      <c r="F385">
        <f>E365</f>
        <v/>
      </c>
      <c r="G385">
        <f>F385-E385</f>
        <v/>
      </c>
      <c r="H385">
        <f>IF(OR(NOT(ISNUMBER(D385)),ABS(D385-E385)&gt;$O$3,AND($O$11=1,B385&lt;$O$12)),1,0)</f>
        <v/>
      </c>
      <c r="I385">
        <f>IF(H385=1,NA(),D385)</f>
        <v/>
      </c>
      <c r="J385">
        <f>IF(AND(ISNUMBER(D385),D385&gt;=$O$4,OR($O$11=0,B385&gt;=$O$12)),1,0)</f>
        <v/>
      </c>
      <c r="K385">
        <f>B385-$O$14</f>
        <v/>
      </c>
    </row>
    <row r="386">
      <c r="A386" t="n">
        <v>1152</v>
      </c>
      <c r="B386" t="n">
        <v>38.4</v>
      </c>
      <c r="C386" t="inlineStr">
        <is>
          <t>704</t>
        </is>
      </c>
      <c r="D386" t="n">
        <v>7.04</v>
      </c>
      <c r="E386">
        <f>MEDIAN(D366:D406)</f>
        <v/>
      </c>
      <c r="F386">
        <f>E366</f>
        <v/>
      </c>
      <c r="G386">
        <f>F386-E386</f>
        <v/>
      </c>
      <c r="H386">
        <f>IF(OR(NOT(ISNUMBER(D386)),ABS(D386-E386)&gt;$O$3,AND($O$11=1,B386&lt;$O$12)),1,0)</f>
        <v/>
      </c>
      <c r="I386">
        <f>IF(H386=1,NA(),D386)</f>
        <v/>
      </c>
      <c r="J386">
        <f>IF(AND(ISNUMBER(D386),D386&gt;=$O$4,OR($O$11=0,B386&gt;=$O$12)),1,0)</f>
        <v/>
      </c>
      <c r="K386">
        <f>B386-$O$14</f>
        <v/>
      </c>
    </row>
    <row r="387">
      <c r="A387" t="n">
        <v>1155</v>
      </c>
      <c r="B387" t="n">
        <v>38.5</v>
      </c>
      <c r="C387" t="inlineStr">
        <is>
          <t>709</t>
        </is>
      </c>
      <c r="D387" t="n">
        <v>7.09</v>
      </c>
      <c r="E387">
        <f>MEDIAN(D367:D407)</f>
        <v/>
      </c>
      <c r="F387">
        <f>E367</f>
        <v/>
      </c>
      <c r="G387">
        <f>F387-E387</f>
        <v/>
      </c>
      <c r="H387">
        <f>IF(OR(NOT(ISNUMBER(D387)),ABS(D387-E387)&gt;$O$3,AND($O$11=1,B387&lt;$O$12)),1,0)</f>
        <v/>
      </c>
      <c r="I387">
        <f>IF(H387=1,NA(),D387)</f>
        <v/>
      </c>
      <c r="J387">
        <f>IF(AND(ISNUMBER(D387),D387&gt;=$O$4,OR($O$11=0,B387&gt;=$O$12)),1,0)</f>
        <v/>
      </c>
      <c r="K387">
        <f>B387-$O$14</f>
        <v/>
      </c>
    </row>
    <row r="388">
      <c r="A388" t="n">
        <v>1158</v>
      </c>
      <c r="B388" t="n">
        <v>38.6</v>
      </c>
      <c r="C388" t="inlineStr">
        <is>
          <t>705</t>
        </is>
      </c>
      <c r="D388" t="n">
        <v>7.05</v>
      </c>
      <c r="E388">
        <f>MEDIAN(D368:D408)</f>
        <v/>
      </c>
      <c r="F388">
        <f>E368</f>
        <v/>
      </c>
      <c r="G388">
        <f>F388-E388</f>
        <v/>
      </c>
      <c r="H388">
        <f>IF(OR(NOT(ISNUMBER(D388)),ABS(D388-E388)&gt;$O$3,AND($O$11=1,B388&lt;$O$12)),1,0)</f>
        <v/>
      </c>
      <c r="I388">
        <f>IF(H388=1,NA(),D388)</f>
        <v/>
      </c>
      <c r="J388">
        <f>IF(AND(ISNUMBER(D388),D388&gt;=$O$4,OR($O$11=0,B388&gt;=$O$12)),1,0)</f>
        <v/>
      </c>
      <c r="K388">
        <f>B388-$O$14</f>
        <v/>
      </c>
    </row>
    <row r="389">
      <c r="A389" t="n">
        <v>1161</v>
      </c>
      <c r="B389" t="n">
        <v>38.7</v>
      </c>
      <c r="C389" t="inlineStr">
        <is>
          <t>706</t>
        </is>
      </c>
      <c r="D389" t="n">
        <v>7.06</v>
      </c>
      <c r="E389">
        <f>MEDIAN(D369:D409)</f>
        <v/>
      </c>
      <c r="F389">
        <f>E369</f>
        <v/>
      </c>
      <c r="G389">
        <f>F389-E389</f>
        <v/>
      </c>
      <c r="H389">
        <f>IF(OR(NOT(ISNUMBER(D389)),ABS(D389-E389)&gt;$O$3,AND($O$11=1,B389&lt;$O$12)),1,0)</f>
        <v/>
      </c>
      <c r="I389">
        <f>IF(H389=1,NA(),D389)</f>
        <v/>
      </c>
      <c r="J389">
        <f>IF(AND(ISNUMBER(D389),D389&gt;=$O$4,OR($O$11=0,B389&gt;=$O$12)),1,0)</f>
        <v/>
      </c>
      <c r="K389">
        <f>B389-$O$14</f>
        <v/>
      </c>
    </row>
    <row r="390">
      <c r="A390" t="n">
        <v>1164</v>
      </c>
      <c r="B390" t="n">
        <v>38.8</v>
      </c>
      <c r="C390" t="inlineStr">
        <is>
          <t>708</t>
        </is>
      </c>
      <c r="D390" t="n">
        <v>7.08</v>
      </c>
      <c r="E390">
        <f>MEDIAN(D370:D410)</f>
        <v/>
      </c>
      <c r="F390">
        <f>E370</f>
        <v/>
      </c>
      <c r="G390">
        <f>F390-E390</f>
        <v/>
      </c>
      <c r="H390">
        <f>IF(OR(NOT(ISNUMBER(D390)),ABS(D390-E390)&gt;$O$3,AND($O$11=1,B390&lt;$O$12)),1,0)</f>
        <v/>
      </c>
      <c r="I390">
        <f>IF(H390=1,NA(),D390)</f>
        <v/>
      </c>
      <c r="J390">
        <f>IF(AND(ISNUMBER(D390),D390&gt;=$O$4,OR($O$11=0,B390&gt;=$O$12)),1,0)</f>
        <v/>
      </c>
      <c r="K390">
        <f>B390-$O$14</f>
        <v/>
      </c>
    </row>
    <row r="391">
      <c r="A391" t="n">
        <v>1167</v>
      </c>
      <c r="B391" t="n">
        <v>38.9</v>
      </c>
      <c r="C391" t="inlineStr">
        <is>
          <t>709</t>
        </is>
      </c>
      <c r="D391" t="n">
        <v>7.09</v>
      </c>
      <c r="E391">
        <f>MEDIAN(D371:D411)</f>
        <v/>
      </c>
      <c r="F391">
        <f>E371</f>
        <v/>
      </c>
      <c r="G391">
        <f>F391-E391</f>
        <v/>
      </c>
      <c r="H391">
        <f>IF(OR(NOT(ISNUMBER(D391)),ABS(D391-E391)&gt;$O$3,AND($O$11=1,B391&lt;$O$12)),1,0)</f>
        <v/>
      </c>
      <c r="I391">
        <f>IF(H391=1,NA(),D391)</f>
        <v/>
      </c>
      <c r="J391">
        <f>IF(AND(ISNUMBER(D391),D391&gt;=$O$4,OR($O$11=0,B391&gt;=$O$12)),1,0)</f>
        <v/>
      </c>
      <c r="K391">
        <f>B391-$O$14</f>
        <v/>
      </c>
    </row>
    <row r="392">
      <c r="A392" t="n">
        <v>1170</v>
      </c>
      <c r="B392" t="n">
        <v>39</v>
      </c>
      <c r="C392" t="inlineStr">
        <is>
          <t>708</t>
        </is>
      </c>
      <c r="D392" t="n">
        <v>7.08</v>
      </c>
      <c r="E392">
        <f>MEDIAN(D372:D412)</f>
        <v/>
      </c>
      <c r="F392">
        <f>E372</f>
        <v/>
      </c>
      <c r="G392">
        <f>F392-E392</f>
        <v/>
      </c>
      <c r="H392">
        <f>IF(OR(NOT(ISNUMBER(D392)),ABS(D392-E392)&gt;$O$3,AND($O$11=1,B392&lt;$O$12)),1,0)</f>
        <v/>
      </c>
      <c r="I392">
        <f>IF(H392=1,NA(),D392)</f>
        <v/>
      </c>
      <c r="J392">
        <f>IF(AND(ISNUMBER(D392),D392&gt;=$O$4,OR($O$11=0,B392&gt;=$O$12)),1,0)</f>
        <v/>
      </c>
      <c r="K392">
        <f>B392-$O$14</f>
        <v/>
      </c>
    </row>
    <row r="393">
      <c r="A393" t="n">
        <v>1173</v>
      </c>
      <c r="B393" t="n">
        <v>39.1</v>
      </c>
      <c r="C393" t="inlineStr">
        <is>
          <t>710</t>
        </is>
      </c>
      <c r="D393" t="n">
        <v>7.1</v>
      </c>
      <c r="E393">
        <f>MEDIAN(D373:D413)</f>
        <v/>
      </c>
      <c r="F393">
        <f>E373</f>
        <v/>
      </c>
      <c r="G393">
        <f>F393-E393</f>
        <v/>
      </c>
      <c r="H393">
        <f>IF(OR(NOT(ISNUMBER(D393)),ABS(D393-E393)&gt;$O$3,AND($O$11=1,B393&lt;$O$12)),1,0)</f>
        <v/>
      </c>
      <c r="I393">
        <f>IF(H393=1,NA(),D393)</f>
        <v/>
      </c>
      <c r="J393">
        <f>IF(AND(ISNUMBER(D393),D393&gt;=$O$4,OR($O$11=0,B393&gt;=$O$12)),1,0)</f>
        <v/>
      </c>
      <c r="K393">
        <f>B393-$O$14</f>
        <v/>
      </c>
    </row>
    <row r="394">
      <c r="A394" t="n">
        <v>1176</v>
      </c>
      <c r="B394" t="n">
        <v>39.2</v>
      </c>
      <c r="C394" t="inlineStr">
        <is>
          <t>712</t>
        </is>
      </c>
      <c r="D394" t="n">
        <v>7.12</v>
      </c>
      <c r="E394">
        <f>MEDIAN(D374:D414)</f>
        <v/>
      </c>
      <c r="F394">
        <f>E374</f>
        <v/>
      </c>
      <c r="G394">
        <f>F394-E394</f>
        <v/>
      </c>
      <c r="H394">
        <f>IF(OR(NOT(ISNUMBER(D394)),ABS(D394-E394)&gt;$O$3,AND($O$11=1,B394&lt;$O$12)),1,0)</f>
        <v/>
      </c>
      <c r="I394">
        <f>IF(H394=1,NA(),D394)</f>
        <v/>
      </c>
      <c r="J394">
        <f>IF(AND(ISNUMBER(D394),D394&gt;=$O$4,OR($O$11=0,B394&gt;=$O$12)),1,0)</f>
        <v/>
      </c>
      <c r="K394">
        <f>B394-$O$14</f>
        <v/>
      </c>
    </row>
    <row r="395">
      <c r="A395" t="n">
        <v>1179</v>
      </c>
      <c r="B395" t="n">
        <v>39.3</v>
      </c>
      <c r="C395" t="inlineStr">
        <is>
          <t>712</t>
        </is>
      </c>
      <c r="D395" t="n">
        <v>7.12</v>
      </c>
      <c r="E395">
        <f>MEDIAN(D375:D415)</f>
        <v/>
      </c>
      <c r="F395">
        <f>E375</f>
        <v/>
      </c>
      <c r="G395">
        <f>F395-E395</f>
        <v/>
      </c>
      <c r="H395">
        <f>IF(OR(NOT(ISNUMBER(D395)),ABS(D395-E395)&gt;$O$3,AND($O$11=1,B395&lt;$O$12)),1,0)</f>
        <v/>
      </c>
      <c r="I395">
        <f>IF(H395=1,NA(),D395)</f>
        <v/>
      </c>
      <c r="J395">
        <f>IF(AND(ISNUMBER(D395),D395&gt;=$O$4,OR($O$11=0,B395&gt;=$O$12)),1,0)</f>
        <v/>
      </c>
      <c r="K395">
        <f>B395-$O$14</f>
        <v/>
      </c>
    </row>
    <row r="396">
      <c r="A396" t="n">
        <v>1182</v>
      </c>
      <c r="B396" t="n">
        <v>39.4</v>
      </c>
      <c r="C396" t="inlineStr">
        <is>
          <t>718</t>
        </is>
      </c>
      <c r="D396" t="n">
        <v>7.18</v>
      </c>
      <c r="E396">
        <f>MEDIAN(D376:D416)</f>
        <v/>
      </c>
      <c r="F396">
        <f>E376</f>
        <v/>
      </c>
      <c r="G396">
        <f>F396-E396</f>
        <v/>
      </c>
      <c r="H396">
        <f>IF(OR(NOT(ISNUMBER(D396)),ABS(D396-E396)&gt;$O$3,AND($O$11=1,B396&lt;$O$12)),1,0)</f>
        <v/>
      </c>
      <c r="I396">
        <f>IF(H396=1,NA(),D396)</f>
        <v/>
      </c>
      <c r="J396">
        <f>IF(AND(ISNUMBER(D396),D396&gt;=$O$4,OR($O$11=0,B396&gt;=$O$12)),1,0)</f>
        <v/>
      </c>
      <c r="K396">
        <f>B396-$O$14</f>
        <v/>
      </c>
    </row>
    <row r="397">
      <c r="A397" t="n">
        <v>1185</v>
      </c>
      <c r="B397" t="n">
        <v>39.5</v>
      </c>
      <c r="C397" t="inlineStr">
        <is>
          <t>715</t>
        </is>
      </c>
      <c r="D397" t="n">
        <v>7.15</v>
      </c>
      <c r="E397">
        <f>MEDIAN(D377:D417)</f>
        <v/>
      </c>
      <c r="F397">
        <f>E377</f>
        <v/>
      </c>
      <c r="G397">
        <f>F397-E397</f>
        <v/>
      </c>
      <c r="H397">
        <f>IF(OR(NOT(ISNUMBER(D397)),ABS(D397-E397)&gt;$O$3,AND($O$11=1,B397&lt;$O$12)),1,0)</f>
        <v/>
      </c>
      <c r="I397">
        <f>IF(H397=1,NA(),D397)</f>
        <v/>
      </c>
      <c r="J397">
        <f>IF(AND(ISNUMBER(D397),D397&gt;=$O$4,OR($O$11=0,B397&gt;=$O$12)),1,0)</f>
        <v/>
      </c>
      <c r="K397">
        <f>B397-$O$14</f>
        <v/>
      </c>
    </row>
    <row r="398">
      <c r="A398" t="n">
        <v>1188</v>
      </c>
      <c r="B398" t="n">
        <v>39.6</v>
      </c>
      <c r="C398" t="inlineStr">
        <is>
          <t>715</t>
        </is>
      </c>
      <c r="D398" t="n">
        <v>7.15</v>
      </c>
      <c r="E398">
        <f>MEDIAN(D378:D418)</f>
        <v/>
      </c>
      <c r="F398">
        <f>E378</f>
        <v/>
      </c>
      <c r="G398">
        <f>F398-E398</f>
        <v/>
      </c>
      <c r="H398">
        <f>IF(OR(NOT(ISNUMBER(D398)),ABS(D398-E398)&gt;$O$3,AND($O$11=1,B398&lt;$O$12)),1,0)</f>
        <v/>
      </c>
      <c r="I398">
        <f>IF(H398=1,NA(),D398)</f>
        <v/>
      </c>
      <c r="J398">
        <f>IF(AND(ISNUMBER(D398),D398&gt;=$O$4,OR($O$11=0,B398&gt;=$O$12)),1,0)</f>
        <v/>
      </c>
      <c r="K398">
        <f>B398-$O$14</f>
        <v/>
      </c>
    </row>
    <row r="399">
      <c r="A399" t="n">
        <v>1191</v>
      </c>
      <c r="B399" t="n">
        <v>39.7</v>
      </c>
      <c r="C399" t="inlineStr">
        <is>
          <t>715</t>
        </is>
      </c>
      <c r="D399" t="n">
        <v>7.15</v>
      </c>
      <c r="E399">
        <f>MEDIAN(D379:D419)</f>
        <v/>
      </c>
      <c r="F399">
        <f>E379</f>
        <v/>
      </c>
      <c r="G399">
        <f>F399-E399</f>
        <v/>
      </c>
      <c r="H399">
        <f>IF(OR(NOT(ISNUMBER(D399)),ABS(D399-E399)&gt;$O$3,AND($O$11=1,B399&lt;$O$12)),1,0)</f>
        <v/>
      </c>
      <c r="I399">
        <f>IF(H399=1,NA(),D399)</f>
        <v/>
      </c>
      <c r="J399">
        <f>IF(AND(ISNUMBER(D399),D399&gt;=$O$4,OR($O$11=0,B399&gt;=$O$12)),1,0)</f>
        <v/>
      </c>
      <c r="K399">
        <f>B399-$O$14</f>
        <v/>
      </c>
    </row>
    <row r="400">
      <c r="A400" t="n">
        <v>1194</v>
      </c>
      <c r="B400" t="n">
        <v>39.8</v>
      </c>
      <c r="C400" t="inlineStr">
        <is>
          <t>716</t>
        </is>
      </c>
      <c r="D400" t="n">
        <v>7.16</v>
      </c>
      <c r="E400">
        <f>MEDIAN(D380:D420)</f>
        <v/>
      </c>
      <c r="F400">
        <f>E380</f>
        <v/>
      </c>
      <c r="G400">
        <f>F400-E400</f>
        <v/>
      </c>
      <c r="H400">
        <f>IF(OR(NOT(ISNUMBER(D400)),ABS(D400-E400)&gt;$O$3,AND($O$11=1,B400&lt;$O$12)),1,0)</f>
        <v/>
      </c>
      <c r="I400">
        <f>IF(H400=1,NA(),D400)</f>
        <v/>
      </c>
      <c r="J400">
        <f>IF(AND(ISNUMBER(D400),D400&gt;=$O$4,OR($O$11=0,B400&gt;=$O$12)),1,0)</f>
        <v/>
      </c>
      <c r="K400">
        <f>B400-$O$14</f>
        <v/>
      </c>
    </row>
    <row r="401">
      <c r="A401" t="n">
        <v>1197</v>
      </c>
      <c r="B401" t="n">
        <v>39.9</v>
      </c>
      <c r="C401" t="inlineStr">
        <is>
          <t>716</t>
        </is>
      </c>
      <c r="D401" t="n">
        <v>7.16</v>
      </c>
      <c r="E401">
        <f>MEDIAN(D381:D421)</f>
        <v/>
      </c>
      <c r="F401">
        <f>E381</f>
        <v/>
      </c>
      <c r="G401">
        <f>F401-E401</f>
        <v/>
      </c>
      <c r="H401">
        <f>IF(OR(NOT(ISNUMBER(D401)),ABS(D401-E401)&gt;$O$3,AND($O$11=1,B401&lt;$O$12)),1,0)</f>
        <v/>
      </c>
      <c r="I401">
        <f>IF(H401=1,NA(),D401)</f>
        <v/>
      </c>
      <c r="J401">
        <f>IF(AND(ISNUMBER(D401),D401&gt;=$O$4,OR($O$11=0,B401&gt;=$O$12)),1,0)</f>
        <v/>
      </c>
      <c r="K401">
        <f>B401-$O$14</f>
        <v/>
      </c>
    </row>
    <row r="402">
      <c r="A402" t="n">
        <v>1200</v>
      </c>
      <c r="B402" t="n">
        <v>40</v>
      </c>
      <c r="C402" t="inlineStr">
        <is>
          <t>718</t>
        </is>
      </c>
      <c r="D402" t="n">
        <v>7.18</v>
      </c>
      <c r="E402">
        <f>MEDIAN(D382:D422)</f>
        <v/>
      </c>
      <c r="F402">
        <f>E382</f>
        <v/>
      </c>
      <c r="G402">
        <f>F402-E402</f>
        <v/>
      </c>
      <c r="H402">
        <f>IF(OR(NOT(ISNUMBER(D402)),ABS(D402-E402)&gt;$O$3,AND($O$11=1,B402&lt;$O$12)),1,0)</f>
        <v/>
      </c>
      <c r="I402">
        <f>IF(H402=1,NA(),D402)</f>
        <v/>
      </c>
      <c r="J402">
        <f>IF(AND(ISNUMBER(D402),D402&gt;=$O$4,OR($O$11=0,B402&gt;=$O$12)),1,0)</f>
        <v/>
      </c>
      <c r="K402">
        <f>B402-$O$14</f>
        <v/>
      </c>
    </row>
    <row r="403">
      <c r="A403" t="n">
        <v>1203</v>
      </c>
      <c r="B403" t="n">
        <v>40.1</v>
      </c>
      <c r="C403" t="inlineStr">
        <is>
          <t>717</t>
        </is>
      </c>
      <c r="D403" t="n">
        <v>7.17</v>
      </c>
      <c r="E403">
        <f>MEDIAN(D383:D423)</f>
        <v/>
      </c>
      <c r="F403">
        <f>E383</f>
        <v/>
      </c>
      <c r="G403">
        <f>F403-E403</f>
        <v/>
      </c>
      <c r="H403">
        <f>IF(OR(NOT(ISNUMBER(D403)),ABS(D403-E403)&gt;$O$3,AND($O$11=1,B403&lt;$O$12)),1,0)</f>
        <v/>
      </c>
      <c r="I403">
        <f>IF(H403=1,NA(),D403)</f>
        <v/>
      </c>
      <c r="J403">
        <f>IF(AND(ISNUMBER(D403),D403&gt;=$O$4,OR($O$11=0,B403&gt;=$O$12)),1,0)</f>
        <v/>
      </c>
      <c r="K403">
        <f>B403-$O$14</f>
        <v/>
      </c>
    </row>
    <row r="404">
      <c r="A404" t="n">
        <v>1206</v>
      </c>
      <c r="B404" t="n">
        <v>40.2</v>
      </c>
      <c r="C404" t="inlineStr">
        <is>
          <t>718</t>
        </is>
      </c>
      <c r="D404" t="n">
        <v>7.18</v>
      </c>
      <c r="E404">
        <f>MEDIAN(D384:D424)</f>
        <v/>
      </c>
      <c r="F404">
        <f>E384</f>
        <v/>
      </c>
      <c r="G404">
        <f>F404-E404</f>
        <v/>
      </c>
      <c r="H404">
        <f>IF(OR(NOT(ISNUMBER(D404)),ABS(D404-E404)&gt;$O$3,AND($O$11=1,B404&lt;$O$12)),1,0)</f>
        <v/>
      </c>
      <c r="I404">
        <f>IF(H404=1,NA(),D404)</f>
        <v/>
      </c>
      <c r="J404">
        <f>IF(AND(ISNUMBER(D404),D404&gt;=$O$4,OR($O$11=0,B404&gt;=$O$12)),1,0)</f>
        <v/>
      </c>
      <c r="K404">
        <f>B404-$O$14</f>
        <v/>
      </c>
    </row>
    <row r="405">
      <c r="A405" t="n">
        <v>1209</v>
      </c>
      <c r="B405" t="n">
        <v>40.3</v>
      </c>
      <c r="C405" t="inlineStr">
        <is>
          <t>718</t>
        </is>
      </c>
      <c r="D405" t="n">
        <v>7.18</v>
      </c>
      <c r="E405">
        <f>MEDIAN(D385:D425)</f>
        <v/>
      </c>
      <c r="F405">
        <f>E385</f>
        <v/>
      </c>
      <c r="G405">
        <f>F405-E405</f>
        <v/>
      </c>
      <c r="H405">
        <f>IF(OR(NOT(ISNUMBER(D405)),ABS(D405-E405)&gt;$O$3,AND($O$11=1,B405&lt;$O$12)),1,0)</f>
        <v/>
      </c>
      <c r="I405">
        <f>IF(H405=1,NA(),D405)</f>
        <v/>
      </c>
      <c r="J405">
        <f>IF(AND(ISNUMBER(D405),D405&gt;=$O$4,OR($O$11=0,B405&gt;=$O$12)),1,0)</f>
        <v/>
      </c>
      <c r="K405">
        <f>B405-$O$14</f>
        <v/>
      </c>
    </row>
    <row r="406">
      <c r="A406" t="n">
        <v>1212</v>
      </c>
      <c r="B406" t="n">
        <v>40.4</v>
      </c>
      <c r="C406" t="inlineStr">
        <is>
          <t>718</t>
        </is>
      </c>
      <c r="D406" t="n">
        <v>7.18</v>
      </c>
      <c r="E406">
        <f>MEDIAN(D386:D426)</f>
        <v/>
      </c>
      <c r="F406">
        <f>E386</f>
        <v/>
      </c>
      <c r="G406">
        <f>F406-E406</f>
        <v/>
      </c>
      <c r="H406">
        <f>IF(OR(NOT(ISNUMBER(D406)),ABS(D406-E406)&gt;$O$3,AND($O$11=1,B406&lt;$O$12)),1,0)</f>
        <v/>
      </c>
      <c r="I406">
        <f>IF(H406=1,NA(),D406)</f>
        <v/>
      </c>
      <c r="J406">
        <f>IF(AND(ISNUMBER(D406),D406&gt;=$O$4,OR($O$11=0,B406&gt;=$O$12)),1,0)</f>
        <v/>
      </c>
      <c r="K406">
        <f>B406-$O$14</f>
        <v/>
      </c>
    </row>
    <row r="407">
      <c r="A407" t="n">
        <v>1215</v>
      </c>
      <c r="B407" t="n">
        <v>40.5</v>
      </c>
      <c r="C407" t="inlineStr">
        <is>
          <t>719</t>
        </is>
      </c>
      <c r="D407" t="n">
        <v>7.19</v>
      </c>
      <c r="E407">
        <f>MEDIAN(D387:D427)</f>
        <v/>
      </c>
      <c r="F407">
        <f>E387</f>
        <v/>
      </c>
      <c r="G407">
        <f>F407-E407</f>
        <v/>
      </c>
      <c r="H407">
        <f>IF(OR(NOT(ISNUMBER(D407)),ABS(D407-E407)&gt;$O$3,AND($O$11=1,B407&lt;$O$12)),1,0)</f>
        <v/>
      </c>
      <c r="I407">
        <f>IF(H407=1,NA(),D407)</f>
        <v/>
      </c>
      <c r="J407">
        <f>IF(AND(ISNUMBER(D407),D407&gt;=$O$4,OR($O$11=0,B407&gt;=$O$12)),1,0)</f>
        <v/>
      </c>
      <c r="K407">
        <f>B407-$O$14</f>
        <v/>
      </c>
    </row>
    <row r="408">
      <c r="A408" t="n">
        <v>1218</v>
      </c>
      <c r="B408" t="n">
        <v>40.6</v>
      </c>
      <c r="C408" t="inlineStr">
        <is>
          <t>719</t>
        </is>
      </c>
      <c r="D408" t="n">
        <v>7.19</v>
      </c>
      <c r="E408">
        <f>MEDIAN(D388:D428)</f>
        <v/>
      </c>
      <c r="F408">
        <f>E388</f>
        <v/>
      </c>
      <c r="G408">
        <f>F408-E408</f>
        <v/>
      </c>
      <c r="H408">
        <f>IF(OR(NOT(ISNUMBER(D408)),ABS(D408-E408)&gt;$O$3,AND($O$11=1,B408&lt;$O$12)),1,0)</f>
        <v/>
      </c>
      <c r="I408">
        <f>IF(H408=1,NA(),D408)</f>
        <v/>
      </c>
      <c r="J408">
        <f>IF(AND(ISNUMBER(D408),D408&gt;=$O$4,OR($O$11=0,B408&gt;=$O$12)),1,0)</f>
        <v/>
      </c>
      <c r="K408">
        <f>B408-$O$14</f>
        <v/>
      </c>
    </row>
    <row r="409">
      <c r="A409" t="n">
        <v>1221</v>
      </c>
      <c r="B409" t="n">
        <v>40.7</v>
      </c>
      <c r="C409" t="inlineStr">
        <is>
          <t>720</t>
        </is>
      </c>
      <c r="D409" t="n">
        <v>7.2</v>
      </c>
      <c r="E409">
        <f>MEDIAN(D389:D429)</f>
        <v/>
      </c>
      <c r="F409">
        <f>E389</f>
        <v/>
      </c>
      <c r="G409">
        <f>F409-E409</f>
        <v/>
      </c>
      <c r="H409">
        <f>IF(OR(NOT(ISNUMBER(D409)),ABS(D409-E409)&gt;$O$3,AND($O$11=1,B409&lt;$O$12)),1,0)</f>
        <v/>
      </c>
      <c r="I409">
        <f>IF(H409=1,NA(),D409)</f>
        <v/>
      </c>
      <c r="J409">
        <f>IF(AND(ISNUMBER(D409),D409&gt;=$O$4,OR($O$11=0,B409&gt;=$O$12)),1,0)</f>
        <v/>
      </c>
      <c r="K409">
        <f>B409-$O$14</f>
        <v/>
      </c>
    </row>
    <row r="410">
      <c r="A410" t="n">
        <v>1224</v>
      </c>
      <c r="B410" t="n">
        <v>40.8</v>
      </c>
      <c r="C410" t="inlineStr">
        <is>
          <t>720</t>
        </is>
      </c>
      <c r="D410" t="n">
        <v>7.2</v>
      </c>
      <c r="E410">
        <f>MEDIAN(D390:D430)</f>
        <v/>
      </c>
      <c r="F410">
        <f>E390</f>
        <v/>
      </c>
      <c r="G410">
        <f>F410-E410</f>
        <v/>
      </c>
      <c r="H410">
        <f>IF(OR(NOT(ISNUMBER(D410)),ABS(D410-E410)&gt;$O$3,AND($O$11=1,B410&lt;$O$12)),1,0)</f>
        <v/>
      </c>
      <c r="I410">
        <f>IF(H410=1,NA(),D410)</f>
        <v/>
      </c>
      <c r="J410">
        <f>IF(AND(ISNUMBER(D410),D410&gt;=$O$4,OR($O$11=0,B410&gt;=$O$12)),1,0)</f>
        <v/>
      </c>
      <c r="K410">
        <f>B410-$O$14</f>
        <v/>
      </c>
    </row>
    <row r="411">
      <c r="A411" t="n">
        <v>1227</v>
      </c>
      <c r="B411" t="n">
        <v>40.9</v>
      </c>
      <c r="C411" t="inlineStr">
        <is>
          <t>721</t>
        </is>
      </c>
      <c r="D411" t="n">
        <v>7.21</v>
      </c>
      <c r="E411">
        <f>MEDIAN(D391:D431)</f>
        <v/>
      </c>
      <c r="F411">
        <f>E391</f>
        <v/>
      </c>
      <c r="G411">
        <f>F411-E411</f>
        <v/>
      </c>
      <c r="H411">
        <f>IF(OR(NOT(ISNUMBER(D411)),ABS(D411-E411)&gt;$O$3,AND($O$11=1,B411&lt;$O$12)),1,0)</f>
        <v/>
      </c>
      <c r="I411">
        <f>IF(H411=1,NA(),D411)</f>
        <v/>
      </c>
      <c r="J411">
        <f>IF(AND(ISNUMBER(D411),D411&gt;=$O$4,OR($O$11=0,B411&gt;=$O$12)),1,0)</f>
        <v/>
      </c>
      <c r="K411">
        <f>B411-$O$14</f>
        <v/>
      </c>
    </row>
    <row r="412">
      <c r="A412" t="n">
        <v>1230</v>
      </c>
      <c r="B412" t="n">
        <v>41</v>
      </c>
      <c r="C412" t="inlineStr">
        <is>
          <t>722</t>
        </is>
      </c>
      <c r="D412" t="n">
        <v>7.22</v>
      </c>
      <c r="E412">
        <f>MEDIAN(D392:D432)</f>
        <v/>
      </c>
      <c r="F412">
        <f>E392</f>
        <v/>
      </c>
      <c r="G412">
        <f>F412-E412</f>
        <v/>
      </c>
      <c r="H412">
        <f>IF(OR(NOT(ISNUMBER(D412)),ABS(D412-E412)&gt;$O$3,AND($O$11=1,B412&lt;$O$12)),1,0)</f>
        <v/>
      </c>
      <c r="I412">
        <f>IF(H412=1,NA(),D412)</f>
        <v/>
      </c>
      <c r="J412">
        <f>IF(AND(ISNUMBER(D412),D412&gt;=$O$4,OR($O$11=0,B412&gt;=$O$12)),1,0)</f>
        <v/>
      </c>
      <c r="K412">
        <f>B412-$O$14</f>
        <v/>
      </c>
    </row>
    <row r="413">
      <c r="A413" t="n">
        <v>1233</v>
      </c>
      <c r="B413" t="n">
        <v>41.1</v>
      </c>
      <c r="C413" t="inlineStr">
        <is>
          <t>722</t>
        </is>
      </c>
      <c r="D413" t="n">
        <v>7.22</v>
      </c>
      <c r="E413">
        <f>MEDIAN(D393:D433)</f>
        <v/>
      </c>
      <c r="F413">
        <f>E393</f>
        <v/>
      </c>
      <c r="G413">
        <f>F413-E413</f>
        <v/>
      </c>
      <c r="H413">
        <f>IF(OR(NOT(ISNUMBER(D413)),ABS(D413-E413)&gt;$O$3,AND($O$11=1,B413&lt;$O$12)),1,0)</f>
        <v/>
      </c>
      <c r="I413">
        <f>IF(H413=1,NA(),D413)</f>
        <v/>
      </c>
      <c r="J413">
        <f>IF(AND(ISNUMBER(D413),D413&gt;=$O$4,OR($O$11=0,B413&gt;=$O$12)),1,0)</f>
        <v/>
      </c>
      <c r="K413">
        <f>B413-$O$14</f>
        <v/>
      </c>
    </row>
    <row r="414">
      <c r="A414" t="n">
        <v>1236</v>
      </c>
      <c r="B414" t="n">
        <v>41.2</v>
      </c>
      <c r="C414" t="inlineStr">
        <is>
          <t>722</t>
        </is>
      </c>
      <c r="D414" t="n">
        <v>7.22</v>
      </c>
      <c r="E414">
        <f>MEDIAN(D394:D434)</f>
        <v/>
      </c>
      <c r="F414">
        <f>E394</f>
        <v/>
      </c>
      <c r="G414">
        <f>F414-E414</f>
        <v/>
      </c>
      <c r="H414">
        <f>IF(OR(NOT(ISNUMBER(D414)),ABS(D414-E414)&gt;$O$3,AND($O$11=1,B414&lt;$O$12)),1,0)</f>
        <v/>
      </c>
      <c r="I414">
        <f>IF(H414=1,NA(),D414)</f>
        <v/>
      </c>
      <c r="J414">
        <f>IF(AND(ISNUMBER(D414),D414&gt;=$O$4,OR($O$11=0,B414&gt;=$O$12)),1,0)</f>
        <v/>
      </c>
      <c r="K414">
        <f>B414-$O$14</f>
        <v/>
      </c>
    </row>
    <row r="415">
      <c r="A415" t="n">
        <v>1239</v>
      </c>
      <c r="B415" t="n">
        <v>41.3</v>
      </c>
      <c r="C415" t="inlineStr">
        <is>
          <t>722</t>
        </is>
      </c>
      <c r="D415" t="n">
        <v>7.22</v>
      </c>
      <c r="E415">
        <f>MEDIAN(D395:D435)</f>
        <v/>
      </c>
      <c r="F415">
        <f>E395</f>
        <v/>
      </c>
      <c r="G415">
        <f>F415-E415</f>
        <v/>
      </c>
      <c r="H415">
        <f>IF(OR(NOT(ISNUMBER(D415)),ABS(D415-E415)&gt;$O$3,AND($O$11=1,B415&lt;$O$12)),1,0)</f>
        <v/>
      </c>
      <c r="I415">
        <f>IF(H415=1,NA(),D415)</f>
        <v/>
      </c>
      <c r="J415">
        <f>IF(AND(ISNUMBER(D415),D415&gt;=$O$4,OR($O$11=0,B415&gt;=$O$12)),1,0)</f>
        <v/>
      </c>
      <c r="K415">
        <f>B415-$O$14</f>
        <v/>
      </c>
    </row>
    <row r="416">
      <c r="A416" t="n">
        <v>1242</v>
      </c>
      <c r="B416" t="n">
        <v>41.4</v>
      </c>
      <c r="C416" t="inlineStr">
        <is>
          <t>723</t>
        </is>
      </c>
      <c r="D416" t="n">
        <v>7.23</v>
      </c>
      <c r="E416">
        <f>MEDIAN(D396:D436)</f>
        <v/>
      </c>
      <c r="F416">
        <f>E396</f>
        <v/>
      </c>
      <c r="G416">
        <f>F416-E416</f>
        <v/>
      </c>
      <c r="H416">
        <f>IF(OR(NOT(ISNUMBER(D416)),ABS(D416-E416)&gt;$O$3,AND($O$11=1,B416&lt;$O$12)),1,0)</f>
        <v/>
      </c>
      <c r="I416">
        <f>IF(H416=1,NA(),D416)</f>
        <v/>
      </c>
      <c r="J416">
        <f>IF(AND(ISNUMBER(D416),D416&gt;=$O$4,OR($O$11=0,B416&gt;=$O$12)),1,0)</f>
        <v/>
      </c>
      <c r="K416">
        <f>B416-$O$14</f>
        <v/>
      </c>
    </row>
    <row r="417">
      <c r="A417" t="n">
        <v>1245</v>
      </c>
      <c r="B417" t="n">
        <v>41.5</v>
      </c>
      <c r="C417" t="inlineStr">
        <is>
          <t>723</t>
        </is>
      </c>
      <c r="D417" t="n">
        <v>7.23</v>
      </c>
      <c r="E417">
        <f>MEDIAN(D397:D437)</f>
        <v/>
      </c>
      <c r="F417">
        <f>E397</f>
        <v/>
      </c>
      <c r="G417">
        <f>F417-E417</f>
        <v/>
      </c>
      <c r="H417">
        <f>IF(OR(NOT(ISNUMBER(D417)),ABS(D417-E417)&gt;$O$3,AND($O$11=1,B417&lt;$O$12)),1,0)</f>
        <v/>
      </c>
      <c r="I417">
        <f>IF(H417=1,NA(),D417)</f>
        <v/>
      </c>
      <c r="J417">
        <f>IF(AND(ISNUMBER(D417),D417&gt;=$O$4,OR($O$11=0,B417&gt;=$O$12)),1,0)</f>
        <v/>
      </c>
      <c r="K417">
        <f>B417-$O$14</f>
        <v/>
      </c>
    </row>
    <row r="418">
      <c r="A418" t="n">
        <v>1248</v>
      </c>
      <c r="B418" t="n">
        <v>41.6</v>
      </c>
      <c r="C418" t="inlineStr">
        <is>
          <t>724</t>
        </is>
      </c>
      <c r="D418" t="n">
        <v>7.24</v>
      </c>
      <c r="E418">
        <f>MEDIAN(D398:D438)</f>
        <v/>
      </c>
      <c r="F418">
        <f>E398</f>
        <v/>
      </c>
      <c r="G418">
        <f>F418-E418</f>
        <v/>
      </c>
      <c r="H418">
        <f>IF(OR(NOT(ISNUMBER(D418)),ABS(D418-E418)&gt;$O$3,AND($O$11=1,B418&lt;$O$12)),1,0)</f>
        <v/>
      </c>
      <c r="I418">
        <f>IF(H418=1,NA(),D418)</f>
        <v/>
      </c>
      <c r="J418">
        <f>IF(AND(ISNUMBER(D418),D418&gt;=$O$4,OR($O$11=0,B418&gt;=$O$12)),1,0)</f>
        <v/>
      </c>
      <c r="K418">
        <f>B418-$O$14</f>
        <v/>
      </c>
    </row>
    <row r="419">
      <c r="A419" t="n">
        <v>1251</v>
      </c>
      <c r="B419" t="n">
        <v>41.7</v>
      </c>
      <c r="C419" t="inlineStr">
        <is>
          <t>724</t>
        </is>
      </c>
      <c r="D419" t="n">
        <v>7.24</v>
      </c>
      <c r="E419">
        <f>MEDIAN(D399:D439)</f>
        <v/>
      </c>
      <c r="F419">
        <f>E399</f>
        <v/>
      </c>
      <c r="G419">
        <f>F419-E419</f>
        <v/>
      </c>
      <c r="H419">
        <f>IF(OR(NOT(ISNUMBER(D419)),ABS(D419-E419)&gt;$O$3,AND($O$11=1,B419&lt;$O$12)),1,0)</f>
        <v/>
      </c>
      <c r="I419">
        <f>IF(H419=1,NA(),D419)</f>
        <v/>
      </c>
      <c r="J419">
        <f>IF(AND(ISNUMBER(D419),D419&gt;=$O$4,OR($O$11=0,B419&gt;=$O$12)),1,0)</f>
        <v/>
      </c>
      <c r="K419">
        <f>B419-$O$14</f>
        <v/>
      </c>
    </row>
    <row r="420">
      <c r="A420" t="n">
        <v>1254</v>
      </c>
      <c r="B420" t="n">
        <v>41.8</v>
      </c>
      <c r="C420" t="inlineStr">
        <is>
          <t>725</t>
        </is>
      </c>
      <c r="D420" t="n">
        <v>7.25</v>
      </c>
      <c r="E420">
        <f>MEDIAN(D400:D440)</f>
        <v/>
      </c>
      <c r="F420">
        <f>E400</f>
        <v/>
      </c>
      <c r="G420">
        <f>F420-E420</f>
        <v/>
      </c>
      <c r="H420">
        <f>IF(OR(NOT(ISNUMBER(D420)),ABS(D420-E420)&gt;$O$3,AND($O$11=1,B420&lt;$O$12)),1,0)</f>
        <v/>
      </c>
      <c r="I420">
        <f>IF(H420=1,NA(),D420)</f>
        <v/>
      </c>
      <c r="J420">
        <f>IF(AND(ISNUMBER(D420),D420&gt;=$O$4,OR($O$11=0,B420&gt;=$O$12)),1,0)</f>
        <v/>
      </c>
      <c r="K420">
        <f>B420-$O$14</f>
        <v/>
      </c>
    </row>
    <row r="421">
      <c r="A421" t="n">
        <v>1257</v>
      </c>
      <c r="B421" t="n">
        <v>41.9</v>
      </c>
      <c r="C421" t="inlineStr">
        <is>
          <t>725</t>
        </is>
      </c>
      <c r="D421" t="n">
        <v>7.25</v>
      </c>
      <c r="E421">
        <f>MEDIAN(D401:D441)</f>
        <v/>
      </c>
      <c r="F421">
        <f>E401</f>
        <v/>
      </c>
      <c r="G421">
        <f>F421-E421</f>
        <v/>
      </c>
      <c r="H421">
        <f>IF(OR(NOT(ISNUMBER(D421)),ABS(D421-E421)&gt;$O$3,AND($O$11=1,B421&lt;$O$12)),1,0)</f>
        <v/>
      </c>
      <c r="I421">
        <f>IF(H421=1,NA(),D421)</f>
        <v/>
      </c>
      <c r="J421">
        <f>IF(AND(ISNUMBER(D421),D421&gt;=$O$4,OR($O$11=0,B421&gt;=$O$12)),1,0)</f>
        <v/>
      </c>
      <c r="K421">
        <f>B421-$O$14</f>
        <v/>
      </c>
    </row>
    <row r="422">
      <c r="A422" t="n">
        <v>1260</v>
      </c>
      <c r="B422" t="n">
        <v>42</v>
      </c>
      <c r="C422" t="inlineStr">
        <is>
          <t>726</t>
        </is>
      </c>
      <c r="D422" t="n">
        <v>7.26</v>
      </c>
      <c r="E422">
        <f>MEDIAN(D402:D442)</f>
        <v/>
      </c>
      <c r="F422">
        <f>E402</f>
        <v/>
      </c>
      <c r="G422">
        <f>F422-E422</f>
        <v/>
      </c>
      <c r="H422">
        <f>IF(OR(NOT(ISNUMBER(D422)),ABS(D422-E422)&gt;$O$3,AND($O$11=1,B422&lt;$O$12)),1,0)</f>
        <v/>
      </c>
      <c r="I422">
        <f>IF(H422=1,NA(),D422)</f>
        <v/>
      </c>
      <c r="J422">
        <f>IF(AND(ISNUMBER(D422),D422&gt;=$O$4,OR($O$11=0,B422&gt;=$O$12)),1,0)</f>
        <v/>
      </c>
      <c r="K422">
        <f>B422-$O$14</f>
        <v/>
      </c>
    </row>
    <row r="423">
      <c r="A423" t="n">
        <v>1263</v>
      </c>
      <c r="B423" t="n">
        <v>42.1</v>
      </c>
      <c r="C423" t="inlineStr">
        <is>
          <t>726</t>
        </is>
      </c>
      <c r="D423" t="n">
        <v>7.26</v>
      </c>
      <c r="E423">
        <f>MEDIAN(D403:D443)</f>
        <v/>
      </c>
      <c r="F423">
        <f>E403</f>
        <v/>
      </c>
      <c r="G423">
        <f>F423-E423</f>
        <v/>
      </c>
      <c r="H423">
        <f>IF(OR(NOT(ISNUMBER(D423)),ABS(D423-E423)&gt;$O$3,AND($O$11=1,B423&lt;$O$12)),1,0)</f>
        <v/>
      </c>
      <c r="I423">
        <f>IF(H423=1,NA(),D423)</f>
        <v/>
      </c>
      <c r="J423">
        <f>IF(AND(ISNUMBER(D423),D423&gt;=$O$4,OR($O$11=0,B423&gt;=$O$12)),1,0)</f>
        <v/>
      </c>
      <c r="K423">
        <f>B423-$O$14</f>
        <v/>
      </c>
    </row>
    <row r="424">
      <c r="A424" t="n">
        <v>1266</v>
      </c>
      <c r="B424" t="n">
        <v>42.2</v>
      </c>
      <c r="C424" t="inlineStr">
        <is>
          <t>727</t>
        </is>
      </c>
      <c r="D424" t="n">
        <v>7.27</v>
      </c>
      <c r="E424">
        <f>MEDIAN(D404:D444)</f>
        <v/>
      </c>
      <c r="F424">
        <f>E404</f>
        <v/>
      </c>
      <c r="G424">
        <f>F424-E424</f>
        <v/>
      </c>
      <c r="H424">
        <f>IF(OR(NOT(ISNUMBER(D424)),ABS(D424-E424)&gt;$O$3,AND($O$11=1,B424&lt;$O$12)),1,0)</f>
        <v/>
      </c>
      <c r="I424">
        <f>IF(H424=1,NA(),D424)</f>
        <v/>
      </c>
      <c r="J424">
        <f>IF(AND(ISNUMBER(D424),D424&gt;=$O$4,OR($O$11=0,B424&gt;=$O$12)),1,0)</f>
        <v/>
      </c>
      <c r="K424">
        <f>B424-$O$14</f>
        <v/>
      </c>
    </row>
    <row r="425">
      <c r="A425" t="n">
        <v>1269</v>
      </c>
      <c r="B425" t="n">
        <v>42.3</v>
      </c>
      <c r="C425" t="inlineStr">
        <is>
          <t>727</t>
        </is>
      </c>
      <c r="D425" t="n">
        <v>7.27</v>
      </c>
      <c r="E425">
        <f>MEDIAN(D405:D445)</f>
        <v/>
      </c>
      <c r="F425">
        <f>E405</f>
        <v/>
      </c>
      <c r="G425">
        <f>F425-E425</f>
        <v/>
      </c>
      <c r="H425">
        <f>IF(OR(NOT(ISNUMBER(D425)),ABS(D425-E425)&gt;$O$3,AND($O$11=1,B425&lt;$O$12)),1,0)</f>
        <v/>
      </c>
      <c r="I425">
        <f>IF(H425=1,NA(),D425)</f>
        <v/>
      </c>
      <c r="J425">
        <f>IF(AND(ISNUMBER(D425),D425&gt;=$O$4,OR($O$11=0,B425&gt;=$O$12)),1,0)</f>
        <v/>
      </c>
      <c r="K425">
        <f>B425-$O$14</f>
        <v/>
      </c>
    </row>
    <row r="426">
      <c r="A426" t="n">
        <v>1272</v>
      </c>
      <c r="B426" t="n">
        <v>42.4</v>
      </c>
      <c r="C426" t="inlineStr">
        <is>
          <t>728</t>
        </is>
      </c>
      <c r="D426" t="n">
        <v>7.28</v>
      </c>
      <c r="E426">
        <f>MEDIAN(D406:D446)</f>
        <v/>
      </c>
      <c r="F426">
        <f>E406</f>
        <v/>
      </c>
      <c r="G426">
        <f>F426-E426</f>
        <v/>
      </c>
      <c r="H426">
        <f>IF(OR(NOT(ISNUMBER(D426)),ABS(D426-E426)&gt;$O$3,AND($O$11=1,B426&lt;$O$12)),1,0)</f>
        <v/>
      </c>
      <c r="I426">
        <f>IF(H426=1,NA(),D426)</f>
        <v/>
      </c>
      <c r="J426">
        <f>IF(AND(ISNUMBER(D426),D426&gt;=$O$4,OR($O$11=0,B426&gt;=$O$12)),1,0)</f>
        <v/>
      </c>
      <c r="K426">
        <f>B426-$O$14</f>
        <v/>
      </c>
    </row>
    <row r="427">
      <c r="A427" t="n">
        <v>1275</v>
      </c>
      <c r="B427" t="n">
        <v>42.5</v>
      </c>
      <c r="C427" t="inlineStr">
        <is>
          <t>728</t>
        </is>
      </c>
      <c r="D427" t="n">
        <v>7.28</v>
      </c>
      <c r="E427">
        <f>MEDIAN(D407:D447)</f>
        <v/>
      </c>
      <c r="F427">
        <f>E407</f>
        <v/>
      </c>
      <c r="G427">
        <f>F427-E427</f>
        <v/>
      </c>
      <c r="H427">
        <f>IF(OR(NOT(ISNUMBER(D427)),ABS(D427-E427)&gt;$O$3,AND($O$11=1,B427&lt;$O$12)),1,0)</f>
        <v/>
      </c>
      <c r="I427">
        <f>IF(H427=1,NA(),D427)</f>
        <v/>
      </c>
      <c r="J427">
        <f>IF(AND(ISNUMBER(D427),D427&gt;=$O$4,OR($O$11=0,B427&gt;=$O$12)),1,0)</f>
        <v/>
      </c>
      <c r="K427">
        <f>B427-$O$14</f>
        <v/>
      </c>
    </row>
    <row r="428">
      <c r="A428" t="n">
        <v>1278</v>
      </c>
      <c r="B428" t="n">
        <v>42.6</v>
      </c>
      <c r="C428" t="inlineStr">
        <is>
          <t>729</t>
        </is>
      </c>
      <c r="D428" t="n">
        <v>7.29</v>
      </c>
      <c r="E428">
        <f>MEDIAN(D408:D448)</f>
        <v/>
      </c>
      <c r="F428">
        <f>E408</f>
        <v/>
      </c>
      <c r="G428">
        <f>F428-E428</f>
        <v/>
      </c>
      <c r="H428">
        <f>IF(OR(NOT(ISNUMBER(D428)),ABS(D428-E428)&gt;$O$3,AND($O$11=1,B428&lt;$O$12)),1,0)</f>
        <v/>
      </c>
      <c r="I428">
        <f>IF(H428=1,NA(),D428)</f>
        <v/>
      </c>
      <c r="J428">
        <f>IF(AND(ISNUMBER(D428),D428&gt;=$O$4,OR($O$11=0,B428&gt;=$O$12)),1,0)</f>
        <v/>
      </c>
      <c r="K428">
        <f>B428-$O$14</f>
        <v/>
      </c>
    </row>
    <row r="429">
      <c r="A429" t="n">
        <v>1281</v>
      </c>
      <c r="B429" t="n">
        <v>42.7</v>
      </c>
      <c r="C429" t="inlineStr">
        <is>
          <t>730</t>
        </is>
      </c>
      <c r="D429" t="n">
        <v>7.3</v>
      </c>
      <c r="E429">
        <f>MEDIAN(D409:D449)</f>
        <v/>
      </c>
      <c r="F429">
        <f>E409</f>
        <v/>
      </c>
      <c r="G429">
        <f>F429-E429</f>
        <v/>
      </c>
      <c r="H429">
        <f>IF(OR(NOT(ISNUMBER(D429)),ABS(D429-E429)&gt;$O$3,AND($O$11=1,B429&lt;$O$12)),1,0)</f>
        <v/>
      </c>
      <c r="I429">
        <f>IF(H429=1,NA(),D429)</f>
        <v/>
      </c>
      <c r="J429">
        <f>IF(AND(ISNUMBER(D429),D429&gt;=$O$4,OR($O$11=0,B429&gt;=$O$12)),1,0)</f>
        <v/>
      </c>
      <c r="K429">
        <f>B429-$O$14</f>
        <v/>
      </c>
    </row>
    <row r="430">
      <c r="A430" t="n">
        <v>1284</v>
      </c>
      <c r="B430" t="n">
        <v>42.8</v>
      </c>
      <c r="C430" t="inlineStr">
        <is>
          <t>730</t>
        </is>
      </c>
      <c r="D430" t="n">
        <v>7.3</v>
      </c>
      <c r="E430">
        <f>MEDIAN(D410:D450)</f>
        <v/>
      </c>
      <c r="F430">
        <f>E410</f>
        <v/>
      </c>
      <c r="G430">
        <f>F430-E430</f>
        <v/>
      </c>
      <c r="H430">
        <f>IF(OR(NOT(ISNUMBER(D430)),ABS(D430-E430)&gt;$O$3,AND($O$11=1,B430&lt;$O$12)),1,0)</f>
        <v/>
      </c>
      <c r="I430">
        <f>IF(H430=1,NA(),D430)</f>
        <v/>
      </c>
      <c r="J430">
        <f>IF(AND(ISNUMBER(D430),D430&gt;=$O$4,OR($O$11=0,B430&gt;=$O$12)),1,0)</f>
        <v/>
      </c>
      <c r="K430">
        <f>B430-$O$14</f>
        <v/>
      </c>
    </row>
    <row r="431">
      <c r="A431" t="n">
        <v>1287</v>
      </c>
      <c r="B431" t="n">
        <v>42.9</v>
      </c>
      <c r="C431" t="inlineStr">
        <is>
          <t>731</t>
        </is>
      </c>
      <c r="D431" t="n">
        <v>7.31</v>
      </c>
      <c r="E431">
        <f>MEDIAN(D411:D451)</f>
        <v/>
      </c>
      <c r="F431">
        <f>E411</f>
        <v/>
      </c>
      <c r="G431">
        <f>F431-E431</f>
        <v/>
      </c>
      <c r="H431">
        <f>IF(OR(NOT(ISNUMBER(D431)),ABS(D431-E431)&gt;$O$3,AND($O$11=1,B431&lt;$O$12)),1,0)</f>
        <v/>
      </c>
      <c r="I431">
        <f>IF(H431=1,NA(),D431)</f>
        <v/>
      </c>
      <c r="J431">
        <f>IF(AND(ISNUMBER(D431),D431&gt;=$O$4,OR($O$11=0,B431&gt;=$O$12)),1,0)</f>
        <v/>
      </c>
      <c r="K431">
        <f>B431-$O$14</f>
        <v/>
      </c>
    </row>
    <row r="432">
      <c r="A432" t="n">
        <v>1290</v>
      </c>
      <c r="B432" t="n">
        <v>43</v>
      </c>
      <c r="C432" t="inlineStr">
        <is>
          <t>731</t>
        </is>
      </c>
      <c r="D432" t="n">
        <v>7.31</v>
      </c>
      <c r="E432">
        <f>MEDIAN(D412:D452)</f>
        <v/>
      </c>
      <c r="F432">
        <f>E412</f>
        <v/>
      </c>
      <c r="G432">
        <f>F432-E432</f>
        <v/>
      </c>
      <c r="H432">
        <f>IF(OR(NOT(ISNUMBER(D432)),ABS(D432-E432)&gt;$O$3,AND($O$11=1,B432&lt;$O$12)),1,0)</f>
        <v/>
      </c>
      <c r="I432">
        <f>IF(H432=1,NA(),D432)</f>
        <v/>
      </c>
      <c r="J432">
        <f>IF(AND(ISNUMBER(D432),D432&gt;=$O$4,OR($O$11=0,B432&gt;=$O$12)),1,0)</f>
        <v/>
      </c>
      <c r="K432">
        <f>B432-$O$14</f>
        <v/>
      </c>
    </row>
    <row r="433">
      <c r="A433" t="n">
        <v>1293</v>
      </c>
      <c r="B433" t="n">
        <v>43.1</v>
      </c>
      <c r="C433" t="inlineStr">
        <is>
          <t>732</t>
        </is>
      </c>
      <c r="D433" t="n">
        <v>7.32</v>
      </c>
      <c r="E433">
        <f>MEDIAN(D413:D453)</f>
        <v/>
      </c>
      <c r="F433">
        <f>E413</f>
        <v/>
      </c>
      <c r="G433">
        <f>F433-E433</f>
        <v/>
      </c>
      <c r="H433">
        <f>IF(OR(NOT(ISNUMBER(D433)),ABS(D433-E433)&gt;$O$3,AND($O$11=1,B433&lt;$O$12)),1,0)</f>
        <v/>
      </c>
      <c r="I433">
        <f>IF(H433=1,NA(),D433)</f>
        <v/>
      </c>
      <c r="J433">
        <f>IF(AND(ISNUMBER(D433),D433&gt;=$O$4,OR($O$11=0,B433&gt;=$O$12)),1,0)</f>
        <v/>
      </c>
      <c r="K433">
        <f>B433-$O$14</f>
        <v/>
      </c>
    </row>
    <row r="434">
      <c r="A434" t="n">
        <v>1296</v>
      </c>
      <c r="B434" t="n">
        <v>43.2</v>
      </c>
      <c r="C434" t="inlineStr">
        <is>
          <t>733</t>
        </is>
      </c>
      <c r="D434" t="n">
        <v>7.33</v>
      </c>
      <c r="E434">
        <f>MEDIAN(D414:D454)</f>
        <v/>
      </c>
      <c r="F434">
        <f>E414</f>
        <v/>
      </c>
      <c r="G434">
        <f>F434-E434</f>
        <v/>
      </c>
      <c r="H434">
        <f>IF(OR(NOT(ISNUMBER(D434)),ABS(D434-E434)&gt;$O$3,AND($O$11=1,B434&lt;$O$12)),1,0)</f>
        <v/>
      </c>
      <c r="I434">
        <f>IF(H434=1,NA(),D434)</f>
        <v/>
      </c>
      <c r="J434">
        <f>IF(AND(ISNUMBER(D434),D434&gt;=$O$4,OR($O$11=0,B434&gt;=$O$12)),1,0)</f>
        <v/>
      </c>
      <c r="K434">
        <f>B434-$O$14</f>
        <v/>
      </c>
    </row>
    <row r="435">
      <c r="A435" t="n">
        <v>1299</v>
      </c>
      <c r="B435" t="n">
        <v>43.3</v>
      </c>
      <c r="C435" t="inlineStr">
        <is>
          <t>737</t>
        </is>
      </c>
      <c r="D435" t="n">
        <v>7.37</v>
      </c>
      <c r="E435">
        <f>MEDIAN(D415:D455)</f>
        <v/>
      </c>
      <c r="F435">
        <f>E415</f>
        <v/>
      </c>
      <c r="G435">
        <f>F435-E435</f>
        <v/>
      </c>
      <c r="H435">
        <f>IF(OR(NOT(ISNUMBER(D435)),ABS(D435-E435)&gt;$O$3,AND($O$11=1,B435&lt;$O$12)),1,0)</f>
        <v/>
      </c>
      <c r="I435">
        <f>IF(H435=1,NA(),D435)</f>
        <v/>
      </c>
      <c r="J435">
        <f>IF(AND(ISNUMBER(D435),D435&gt;=$O$4,OR($O$11=0,B435&gt;=$O$12)),1,0)</f>
        <v/>
      </c>
      <c r="K435">
        <f>B435-$O$14</f>
        <v/>
      </c>
    </row>
    <row r="436">
      <c r="A436" t="n">
        <v>1302</v>
      </c>
      <c r="B436" t="n">
        <v>43.4</v>
      </c>
      <c r="C436" t="inlineStr">
        <is>
          <t>732</t>
        </is>
      </c>
      <c r="D436" t="n">
        <v>7.32</v>
      </c>
      <c r="E436">
        <f>MEDIAN(D416:D456)</f>
        <v/>
      </c>
      <c r="F436">
        <f>E416</f>
        <v/>
      </c>
      <c r="G436">
        <f>F436-E436</f>
        <v/>
      </c>
      <c r="H436">
        <f>IF(OR(NOT(ISNUMBER(D436)),ABS(D436-E436)&gt;$O$3,AND($O$11=1,B436&lt;$O$12)),1,0)</f>
        <v/>
      </c>
      <c r="I436">
        <f>IF(H436=1,NA(),D436)</f>
        <v/>
      </c>
      <c r="J436">
        <f>IF(AND(ISNUMBER(D436),D436&gt;=$O$4,OR($O$11=0,B436&gt;=$O$12)),1,0)</f>
        <v/>
      </c>
      <c r="K436">
        <f>B436-$O$14</f>
        <v/>
      </c>
    </row>
    <row r="437">
      <c r="A437" t="n">
        <v>1305</v>
      </c>
      <c r="B437" t="n">
        <v>43.5</v>
      </c>
      <c r="C437" t="inlineStr">
        <is>
          <t>732</t>
        </is>
      </c>
      <c r="D437" t="n">
        <v>7.32</v>
      </c>
      <c r="E437">
        <f>MEDIAN(D417:D457)</f>
        <v/>
      </c>
      <c r="F437">
        <f>E417</f>
        <v/>
      </c>
      <c r="G437">
        <f>F437-E437</f>
        <v/>
      </c>
      <c r="H437">
        <f>IF(OR(NOT(ISNUMBER(D437)),ABS(D437-E437)&gt;$O$3,AND($O$11=1,B437&lt;$O$12)),1,0)</f>
        <v/>
      </c>
      <c r="I437">
        <f>IF(H437=1,NA(),D437)</f>
        <v/>
      </c>
      <c r="J437">
        <f>IF(AND(ISNUMBER(D437),D437&gt;=$O$4,OR($O$11=0,B437&gt;=$O$12)),1,0)</f>
        <v/>
      </c>
      <c r="K437">
        <f>B437-$O$14</f>
        <v/>
      </c>
    </row>
    <row r="438">
      <c r="A438" t="n">
        <v>1308</v>
      </c>
      <c r="B438" t="n">
        <v>43.6</v>
      </c>
      <c r="C438" t="inlineStr">
        <is>
          <t>733</t>
        </is>
      </c>
      <c r="D438" t="n">
        <v>7.33</v>
      </c>
      <c r="E438">
        <f>MEDIAN(D418:D458)</f>
        <v/>
      </c>
      <c r="F438">
        <f>E418</f>
        <v/>
      </c>
      <c r="G438">
        <f>F438-E438</f>
        <v/>
      </c>
      <c r="H438">
        <f>IF(OR(NOT(ISNUMBER(D438)),ABS(D438-E438)&gt;$O$3,AND($O$11=1,B438&lt;$O$12)),1,0)</f>
        <v/>
      </c>
      <c r="I438">
        <f>IF(H438=1,NA(),D438)</f>
        <v/>
      </c>
      <c r="J438">
        <f>IF(AND(ISNUMBER(D438),D438&gt;=$O$4,OR($O$11=0,B438&gt;=$O$12)),1,0)</f>
        <v/>
      </c>
      <c r="K438">
        <f>B438-$O$14</f>
        <v/>
      </c>
    </row>
    <row r="439">
      <c r="A439" t="n">
        <v>1311</v>
      </c>
      <c r="B439" t="n">
        <v>43.7</v>
      </c>
      <c r="C439" t="inlineStr">
        <is>
          <t>734</t>
        </is>
      </c>
      <c r="D439" t="n">
        <v>7.34</v>
      </c>
      <c r="E439">
        <f>MEDIAN(D419:D459)</f>
        <v/>
      </c>
      <c r="F439">
        <f>E419</f>
        <v/>
      </c>
      <c r="G439">
        <f>F439-E439</f>
        <v/>
      </c>
      <c r="H439">
        <f>IF(OR(NOT(ISNUMBER(D439)),ABS(D439-E439)&gt;$O$3,AND($O$11=1,B439&lt;$O$12)),1,0)</f>
        <v/>
      </c>
      <c r="I439">
        <f>IF(H439=1,NA(),D439)</f>
        <v/>
      </c>
      <c r="J439">
        <f>IF(AND(ISNUMBER(D439),D439&gt;=$O$4,OR($O$11=0,B439&gt;=$O$12)),1,0)</f>
        <v/>
      </c>
      <c r="K439">
        <f>B439-$O$14</f>
        <v/>
      </c>
    </row>
    <row r="440">
      <c r="A440" t="n">
        <v>1314</v>
      </c>
      <c r="B440" t="n">
        <v>43.8</v>
      </c>
      <c r="C440" t="inlineStr">
        <is>
          <t>734</t>
        </is>
      </c>
      <c r="D440" t="n">
        <v>7.34</v>
      </c>
      <c r="E440">
        <f>MEDIAN(D420:D460)</f>
        <v/>
      </c>
      <c r="F440">
        <f>E420</f>
        <v/>
      </c>
      <c r="G440">
        <f>F440-E440</f>
        <v/>
      </c>
      <c r="H440">
        <f>IF(OR(NOT(ISNUMBER(D440)),ABS(D440-E440)&gt;$O$3,AND($O$11=1,B440&lt;$O$12)),1,0)</f>
        <v/>
      </c>
      <c r="I440">
        <f>IF(H440=1,NA(),D440)</f>
        <v/>
      </c>
      <c r="J440">
        <f>IF(AND(ISNUMBER(D440),D440&gt;=$O$4,OR($O$11=0,B440&gt;=$O$12)),1,0)</f>
        <v/>
      </c>
      <c r="K440">
        <f>B440-$O$14</f>
        <v/>
      </c>
    </row>
    <row r="441">
      <c r="A441" t="n">
        <v>1317</v>
      </c>
      <c r="B441" t="n">
        <v>43.9</v>
      </c>
      <c r="C441" t="inlineStr">
        <is>
          <t>735</t>
        </is>
      </c>
      <c r="D441" t="n">
        <v>7.35</v>
      </c>
      <c r="E441">
        <f>MEDIAN(D421:D461)</f>
        <v/>
      </c>
      <c r="F441">
        <f>E421</f>
        <v/>
      </c>
      <c r="G441">
        <f>F441-E441</f>
        <v/>
      </c>
      <c r="H441">
        <f>IF(OR(NOT(ISNUMBER(D441)),ABS(D441-E441)&gt;$O$3,AND($O$11=1,B441&lt;$O$12)),1,0)</f>
        <v/>
      </c>
      <c r="I441">
        <f>IF(H441=1,NA(),D441)</f>
        <v/>
      </c>
      <c r="J441">
        <f>IF(AND(ISNUMBER(D441),D441&gt;=$O$4,OR($O$11=0,B441&gt;=$O$12)),1,0)</f>
        <v/>
      </c>
      <c r="K441">
        <f>B441-$O$14</f>
        <v/>
      </c>
    </row>
    <row r="442">
      <c r="A442" t="n">
        <v>1320</v>
      </c>
      <c r="B442" t="n">
        <v>44</v>
      </c>
      <c r="C442" t="inlineStr">
        <is>
          <t>735</t>
        </is>
      </c>
      <c r="D442" t="n">
        <v>7.35</v>
      </c>
      <c r="E442">
        <f>MEDIAN(D422:D462)</f>
        <v/>
      </c>
      <c r="F442">
        <f>E422</f>
        <v/>
      </c>
      <c r="G442">
        <f>F442-E442</f>
        <v/>
      </c>
      <c r="H442">
        <f>IF(OR(NOT(ISNUMBER(D442)),ABS(D442-E442)&gt;$O$3,AND($O$11=1,B442&lt;$O$12)),1,0)</f>
        <v/>
      </c>
      <c r="I442">
        <f>IF(H442=1,NA(),D442)</f>
        <v/>
      </c>
      <c r="J442">
        <f>IF(AND(ISNUMBER(D442),D442&gt;=$O$4,OR($O$11=0,B442&gt;=$O$12)),1,0)</f>
        <v/>
      </c>
      <c r="K442">
        <f>B442-$O$14</f>
        <v/>
      </c>
    </row>
    <row r="443">
      <c r="A443" t="n">
        <v>1323</v>
      </c>
      <c r="B443" t="n">
        <v>44.1</v>
      </c>
      <c r="C443" t="inlineStr">
        <is>
          <t>736</t>
        </is>
      </c>
      <c r="D443" t="n">
        <v>7.36</v>
      </c>
      <c r="E443">
        <f>MEDIAN(D423:D463)</f>
        <v/>
      </c>
      <c r="F443">
        <f>E423</f>
        <v/>
      </c>
      <c r="G443">
        <f>F443-E443</f>
        <v/>
      </c>
      <c r="H443">
        <f>IF(OR(NOT(ISNUMBER(D443)),ABS(D443-E443)&gt;$O$3,AND($O$11=1,B443&lt;$O$12)),1,0)</f>
        <v/>
      </c>
      <c r="I443">
        <f>IF(H443=1,NA(),D443)</f>
        <v/>
      </c>
      <c r="J443">
        <f>IF(AND(ISNUMBER(D443),D443&gt;=$O$4,OR($O$11=0,B443&gt;=$O$12)),1,0)</f>
        <v/>
      </c>
      <c r="K443">
        <f>B443-$O$14</f>
        <v/>
      </c>
    </row>
    <row r="444">
      <c r="A444" t="n">
        <v>1326</v>
      </c>
      <c r="B444" t="n">
        <v>44.2</v>
      </c>
      <c r="C444" t="inlineStr">
        <is>
          <t>736</t>
        </is>
      </c>
      <c r="D444" t="n">
        <v>7.36</v>
      </c>
      <c r="E444">
        <f>MEDIAN(D424:D464)</f>
        <v/>
      </c>
      <c r="F444">
        <f>E424</f>
        <v/>
      </c>
      <c r="G444">
        <f>F444-E444</f>
        <v/>
      </c>
      <c r="H444">
        <f>IF(OR(NOT(ISNUMBER(D444)),ABS(D444-E444)&gt;$O$3,AND($O$11=1,B444&lt;$O$12)),1,0)</f>
        <v/>
      </c>
      <c r="I444">
        <f>IF(H444=1,NA(),D444)</f>
        <v/>
      </c>
      <c r="J444">
        <f>IF(AND(ISNUMBER(D444),D444&gt;=$O$4,OR($O$11=0,B444&gt;=$O$12)),1,0)</f>
        <v/>
      </c>
      <c r="K444">
        <f>B444-$O$14</f>
        <v/>
      </c>
    </row>
    <row r="445">
      <c r="A445" t="n">
        <v>1329</v>
      </c>
      <c r="B445" t="n">
        <v>44.3</v>
      </c>
      <c r="C445" t="inlineStr">
        <is>
          <t>737</t>
        </is>
      </c>
      <c r="D445" t="n">
        <v>7.37</v>
      </c>
      <c r="E445">
        <f>MEDIAN(D425:D465)</f>
        <v/>
      </c>
      <c r="F445">
        <f>E425</f>
        <v/>
      </c>
      <c r="G445">
        <f>F445-E445</f>
        <v/>
      </c>
      <c r="H445">
        <f>IF(OR(NOT(ISNUMBER(D445)),ABS(D445-E445)&gt;$O$3,AND($O$11=1,B445&lt;$O$12)),1,0)</f>
        <v/>
      </c>
      <c r="I445">
        <f>IF(H445=1,NA(),D445)</f>
        <v/>
      </c>
      <c r="J445">
        <f>IF(AND(ISNUMBER(D445),D445&gt;=$O$4,OR($O$11=0,B445&gt;=$O$12)),1,0)</f>
        <v/>
      </c>
      <c r="K445">
        <f>B445-$O$14</f>
        <v/>
      </c>
    </row>
    <row r="446">
      <c r="A446" t="n">
        <v>1332</v>
      </c>
      <c r="B446" t="n">
        <v>44.4</v>
      </c>
      <c r="C446" t="inlineStr">
        <is>
          <t>737</t>
        </is>
      </c>
      <c r="D446" t="n">
        <v>7.37</v>
      </c>
      <c r="E446">
        <f>MEDIAN(D426:D466)</f>
        <v/>
      </c>
      <c r="F446">
        <f>E426</f>
        <v/>
      </c>
      <c r="G446">
        <f>F446-E446</f>
        <v/>
      </c>
      <c r="H446">
        <f>IF(OR(NOT(ISNUMBER(D446)),ABS(D446-E446)&gt;$O$3,AND($O$11=1,B446&lt;$O$12)),1,0)</f>
        <v/>
      </c>
      <c r="I446">
        <f>IF(H446=1,NA(),D446)</f>
        <v/>
      </c>
      <c r="J446">
        <f>IF(AND(ISNUMBER(D446),D446&gt;=$O$4,OR($O$11=0,B446&gt;=$O$12)),1,0)</f>
        <v/>
      </c>
      <c r="K446">
        <f>B446-$O$14</f>
        <v/>
      </c>
    </row>
    <row r="447">
      <c r="A447" t="n">
        <v>1335</v>
      </c>
      <c r="B447" t="n">
        <v>44.5</v>
      </c>
      <c r="C447" t="inlineStr">
        <is>
          <t>738</t>
        </is>
      </c>
      <c r="D447" t="n">
        <v>7.38</v>
      </c>
      <c r="E447">
        <f>MEDIAN(D427:D467)</f>
        <v/>
      </c>
      <c r="F447">
        <f>E427</f>
        <v/>
      </c>
      <c r="G447">
        <f>F447-E447</f>
        <v/>
      </c>
      <c r="H447">
        <f>IF(OR(NOT(ISNUMBER(D447)),ABS(D447-E447)&gt;$O$3,AND($O$11=1,B447&lt;$O$12)),1,0)</f>
        <v/>
      </c>
      <c r="I447">
        <f>IF(H447=1,NA(),D447)</f>
        <v/>
      </c>
      <c r="J447">
        <f>IF(AND(ISNUMBER(D447),D447&gt;=$O$4,OR($O$11=0,B447&gt;=$O$12)),1,0)</f>
        <v/>
      </c>
      <c r="K447">
        <f>B447-$O$14</f>
        <v/>
      </c>
    </row>
    <row r="448">
      <c r="A448" t="n">
        <v>1338</v>
      </c>
      <c r="B448" t="n">
        <v>44.6</v>
      </c>
      <c r="C448" t="inlineStr">
        <is>
          <t>738</t>
        </is>
      </c>
      <c r="D448" t="n">
        <v>7.38</v>
      </c>
      <c r="E448">
        <f>MEDIAN(D428:D468)</f>
        <v/>
      </c>
      <c r="F448">
        <f>E428</f>
        <v/>
      </c>
      <c r="G448">
        <f>F448-E448</f>
        <v/>
      </c>
      <c r="H448">
        <f>IF(OR(NOT(ISNUMBER(D448)),ABS(D448-E448)&gt;$O$3,AND($O$11=1,B448&lt;$O$12)),1,0)</f>
        <v/>
      </c>
      <c r="I448">
        <f>IF(H448=1,NA(),D448)</f>
        <v/>
      </c>
      <c r="J448">
        <f>IF(AND(ISNUMBER(D448),D448&gt;=$O$4,OR($O$11=0,B448&gt;=$O$12)),1,0)</f>
        <v/>
      </c>
      <c r="K448">
        <f>B448-$O$14</f>
        <v/>
      </c>
    </row>
    <row r="449">
      <c r="A449" t="n">
        <v>1341</v>
      </c>
      <c r="B449" t="n">
        <v>44.7</v>
      </c>
      <c r="C449" t="inlineStr">
        <is>
          <t>738</t>
        </is>
      </c>
      <c r="D449" t="n">
        <v>7.38</v>
      </c>
      <c r="E449">
        <f>MEDIAN(D429:D469)</f>
        <v/>
      </c>
      <c r="F449">
        <f>E429</f>
        <v/>
      </c>
      <c r="G449">
        <f>F449-E449</f>
        <v/>
      </c>
      <c r="H449">
        <f>IF(OR(NOT(ISNUMBER(D449)),ABS(D449-E449)&gt;$O$3,AND($O$11=1,B449&lt;$O$12)),1,0)</f>
        <v/>
      </c>
      <c r="I449">
        <f>IF(H449=1,NA(),D449)</f>
        <v/>
      </c>
      <c r="J449">
        <f>IF(AND(ISNUMBER(D449),D449&gt;=$O$4,OR($O$11=0,B449&gt;=$O$12)),1,0)</f>
        <v/>
      </c>
      <c r="K449">
        <f>B449-$O$14</f>
        <v/>
      </c>
    </row>
    <row r="450">
      <c r="A450" t="n">
        <v>1344</v>
      </c>
      <c r="B450" t="n">
        <v>44.8</v>
      </c>
      <c r="C450" t="inlineStr">
        <is>
          <t>738</t>
        </is>
      </c>
      <c r="D450" t="n">
        <v>7.38</v>
      </c>
      <c r="E450">
        <f>MEDIAN(D430:D470)</f>
        <v/>
      </c>
      <c r="F450">
        <f>E430</f>
        <v/>
      </c>
      <c r="G450">
        <f>F450-E450</f>
        <v/>
      </c>
      <c r="H450">
        <f>IF(OR(NOT(ISNUMBER(D450)),ABS(D450-E450)&gt;$O$3,AND($O$11=1,B450&lt;$O$12)),1,0)</f>
        <v/>
      </c>
      <c r="I450">
        <f>IF(H450=1,NA(),D450)</f>
        <v/>
      </c>
      <c r="J450">
        <f>IF(AND(ISNUMBER(D450),D450&gt;=$O$4,OR($O$11=0,B450&gt;=$O$12)),1,0)</f>
        <v/>
      </c>
      <c r="K450">
        <f>B450-$O$14</f>
        <v/>
      </c>
    </row>
    <row r="451">
      <c r="A451" t="n">
        <v>1347</v>
      </c>
      <c r="B451" t="n">
        <v>44.9</v>
      </c>
      <c r="C451" t="inlineStr">
        <is>
          <t>739</t>
        </is>
      </c>
      <c r="D451" t="n">
        <v>7.39</v>
      </c>
      <c r="E451">
        <f>MEDIAN(D431:D471)</f>
        <v/>
      </c>
      <c r="F451">
        <f>E431</f>
        <v/>
      </c>
      <c r="G451">
        <f>F451-E451</f>
        <v/>
      </c>
      <c r="H451">
        <f>IF(OR(NOT(ISNUMBER(D451)),ABS(D451-E451)&gt;$O$3,AND($O$11=1,B451&lt;$O$12)),1,0)</f>
        <v/>
      </c>
      <c r="I451">
        <f>IF(H451=1,NA(),D451)</f>
        <v/>
      </c>
      <c r="J451">
        <f>IF(AND(ISNUMBER(D451),D451&gt;=$O$4,OR($O$11=0,B451&gt;=$O$12)),1,0)</f>
        <v/>
      </c>
      <c r="K451">
        <f>B451-$O$14</f>
        <v/>
      </c>
    </row>
    <row r="452">
      <c r="A452" t="n">
        <v>1350</v>
      </c>
      <c r="B452" t="n">
        <v>45</v>
      </c>
      <c r="C452" t="inlineStr">
        <is>
          <t>739</t>
        </is>
      </c>
      <c r="D452" t="n">
        <v>7.39</v>
      </c>
      <c r="E452">
        <f>MEDIAN(D432:D472)</f>
        <v/>
      </c>
      <c r="F452">
        <f>E432</f>
        <v/>
      </c>
      <c r="G452">
        <f>F452-E452</f>
        <v/>
      </c>
      <c r="H452">
        <f>IF(OR(NOT(ISNUMBER(D452)),ABS(D452-E452)&gt;$O$3,AND($O$11=1,B452&lt;$O$12)),1,0)</f>
        <v/>
      </c>
      <c r="I452">
        <f>IF(H452=1,NA(),D452)</f>
        <v/>
      </c>
      <c r="J452">
        <f>IF(AND(ISNUMBER(D452),D452&gt;=$O$4,OR($O$11=0,B452&gt;=$O$12)),1,0)</f>
        <v/>
      </c>
      <c r="K452">
        <f>B452-$O$14</f>
        <v/>
      </c>
    </row>
    <row r="453">
      <c r="A453" t="n">
        <v>1353</v>
      </c>
      <c r="B453" t="n">
        <v>45.1</v>
      </c>
      <c r="C453" t="inlineStr">
        <is>
          <t>740</t>
        </is>
      </c>
      <c r="D453" t="n">
        <v>7.4</v>
      </c>
      <c r="E453">
        <f>MEDIAN(D433:D473)</f>
        <v/>
      </c>
      <c r="F453">
        <f>E433</f>
        <v/>
      </c>
      <c r="G453">
        <f>F453-E453</f>
        <v/>
      </c>
      <c r="H453">
        <f>IF(OR(NOT(ISNUMBER(D453)),ABS(D453-E453)&gt;$O$3,AND($O$11=1,B453&lt;$O$12)),1,0)</f>
        <v/>
      </c>
      <c r="I453">
        <f>IF(H453=1,NA(),D453)</f>
        <v/>
      </c>
      <c r="J453">
        <f>IF(AND(ISNUMBER(D453),D453&gt;=$O$4,OR($O$11=0,B453&gt;=$O$12)),1,0)</f>
        <v/>
      </c>
      <c r="K453">
        <f>B453-$O$14</f>
        <v/>
      </c>
    </row>
    <row r="454">
      <c r="A454" t="n">
        <v>1356</v>
      </c>
      <c r="B454" t="n">
        <v>45.2</v>
      </c>
      <c r="C454" t="inlineStr">
        <is>
          <t>740</t>
        </is>
      </c>
      <c r="D454" t="n">
        <v>7.4</v>
      </c>
      <c r="E454">
        <f>MEDIAN(D434:D474)</f>
        <v/>
      </c>
      <c r="F454">
        <f>E434</f>
        <v/>
      </c>
      <c r="G454">
        <f>F454-E454</f>
        <v/>
      </c>
      <c r="H454">
        <f>IF(OR(NOT(ISNUMBER(D454)),ABS(D454-E454)&gt;$O$3,AND($O$11=1,B454&lt;$O$12)),1,0)</f>
        <v/>
      </c>
      <c r="I454">
        <f>IF(H454=1,NA(),D454)</f>
        <v/>
      </c>
      <c r="J454">
        <f>IF(AND(ISNUMBER(D454),D454&gt;=$O$4,OR($O$11=0,B454&gt;=$O$12)),1,0)</f>
        <v/>
      </c>
      <c r="K454">
        <f>B454-$O$14</f>
        <v/>
      </c>
    </row>
    <row r="455">
      <c r="A455" t="n">
        <v>1359</v>
      </c>
      <c r="B455" t="n">
        <v>45.3</v>
      </c>
      <c r="C455" t="inlineStr">
        <is>
          <t>740</t>
        </is>
      </c>
      <c r="D455" t="n">
        <v>7.4</v>
      </c>
      <c r="E455">
        <f>MEDIAN(D435:D475)</f>
        <v/>
      </c>
      <c r="F455">
        <f>E435</f>
        <v/>
      </c>
      <c r="G455">
        <f>F455-E455</f>
        <v/>
      </c>
      <c r="H455">
        <f>IF(OR(NOT(ISNUMBER(D455)),ABS(D455-E455)&gt;$O$3,AND($O$11=1,B455&lt;$O$12)),1,0)</f>
        <v/>
      </c>
      <c r="I455">
        <f>IF(H455=1,NA(),D455)</f>
        <v/>
      </c>
      <c r="J455">
        <f>IF(AND(ISNUMBER(D455),D455&gt;=$O$4,OR($O$11=0,B455&gt;=$O$12)),1,0)</f>
        <v/>
      </c>
      <c r="K455">
        <f>B455-$O$14</f>
        <v/>
      </c>
    </row>
    <row r="456">
      <c r="A456" t="n">
        <v>1362</v>
      </c>
      <c r="B456" t="n">
        <v>45.4</v>
      </c>
      <c r="C456" t="inlineStr">
        <is>
          <t>741</t>
        </is>
      </c>
      <c r="D456" t="n">
        <v>7.41</v>
      </c>
      <c r="E456">
        <f>MEDIAN(D436:D476)</f>
        <v/>
      </c>
      <c r="F456">
        <f>E436</f>
        <v/>
      </c>
      <c r="G456">
        <f>F456-E456</f>
        <v/>
      </c>
      <c r="H456">
        <f>IF(OR(NOT(ISNUMBER(D456)),ABS(D456-E456)&gt;$O$3,AND($O$11=1,B456&lt;$O$12)),1,0)</f>
        <v/>
      </c>
      <c r="I456">
        <f>IF(H456=1,NA(),D456)</f>
        <v/>
      </c>
      <c r="J456">
        <f>IF(AND(ISNUMBER(D456),D456&gt;=$O$4,OR($O$11=0,B456&gt;=$O$12)),1,0)</f>
        <v/>
      </c>
      <c r="K456">
        <f>B456-$O$14</f>
        <v/>
      </c>
    </row>
    <row r="457">
      <c r="A457" t="n">
        <v>1365</v>
      </c>
      <c r="B457" t="n">
        <v>45.5</v>
      </c>
      <c r="C457" t="inlineStr">
        <is>
          <t>741</t>
        </is>
      </c>
      <c r="D457" t="n">
        <v>7.41</v>
      </c>
      <c r="E457">
        <f>MEDIAN(D437:D477)</f>
        <v/>
      </c>
      <c r="F457">
        <f>E437</f>
        <v/>
      </c>
      <c r="G457">
        <f>F457-E457</f>
        <v/>
      </c>
      <c r="H457">
        <f>IF(OR(NOT(ISNUMBER(D457)),ABS(D457-E457)&gt;$O$3,AND($O$11=1,B457&lt;$O$12)),1,0)</f>
        <v/>
      </c>
      <c r="I457">
        <f>IF(H457=1,NA(),D457)</f>
        <v/>
      </c>
      <c r="J457">
        <f>IF(AND(ISNUMBER(D457),D457&gt;=$O$4,OR($O$11=0,B457&gt;=$O$12)),1,0)</f>
        <v/>
      </c>
      <c r="K457">
        <f>B457-$O$14</f>
        <v/>
      </c>
    </row>
    <row r="458">
      <c r="A458" t="n">
        <v>1368</v>
      </c>
      <c r="B458" t="n">
        <v>45.6</v>
      </c>
      <c r="C458" t="inlineStr">
        <is>
          <t>741</t>
        </is>
      </c>
      <c r="D458" t="n">
        <v>7.41</v>
      </c>
      <c r="E458">
        <f>MEDIAN(D438:D478)</f>
        <v/>
      </c>
      <c r="F458">
        <f>E438</f>
        <v/>
      </c>
      <c r="G458">
        <f>F458-E458</f>
        <v/>
      </c>
      <c r="H458">
        <f>IF(OR(NOT(ISNUMBER(D458)),ABS(D458-E458)&gt;$O$3,AND($O$11=1,B458&lt;$O$12)),1,0)</f>
        <v/>
      </c>
      <c r="I458">
        <f>IF(H458=1,NA(),D458)</f>
        <v/>
      </c>
      <c r="J458">
        <f>IF(AND(ISNUMBER(D458),D458&gt;=$O$4,OR($O$11=0,B458&gt;=$O$12)),1,0)</f>
        <v/>
      </c>
      <c r="K458">
        <f>B458-$O$14</f>
        <v/>
      </c>
    </row>
    <row r="459">
      <c r="A459" t="n">
        <v>1371</v>
      </c>
      <c r="B459" t="n">
        <v>45.7</v>
      </c>
      <c r="C459" t="inlineStr">
        <is>
          <t>742</t>
        </is>
      </c>
      <c r="D459" t="n">
        <v>7.42</v>
      </c>
      <c r="E459">
        <f>MEDIAN(D439:D479)</f>
        <v/>
      </c>
      <c r="F459">
        <f>E439</f>
        <v/>
      </c>
      <c r="G459">
        <f>F459-E459</f>
        <v/>
      </c>
      <c r="H459">
        <f>IF(OR(NOT(ISNUMBER(D459)),ABS(D459-E459)&gt;$O$3,AND($O$11=1,B459&lt;$O$12)),1,0)</f>
        <v/>
      </c>
      <c r="I459">
        <f>IF(H459=1,NA(),D459)</f>
        <v/>
      </c>
      <c r="J459">
        <f>IF(AND(ISNUMBER(D459),D459&gt;=$O$4,OR($O$11=0,B459&gt;=$O$12)),1,0)</f>
        <v/>
      </c>
      <c r="K459">
        <f>B459-$O$14</f>
        <v/>
      </c>
    </row>
    <row r="460">
      <c r="A460" t="n">
        <v>1374</v>
      </c>
      <c r="B460" t="n">
        <v>45.8</v>
      </c>
      <c r="C460" t="inlineStr">
        <is>
          <t>742</t>
        </is>
      </c>
      <c r="D460" t="n">
        <v>7.42</v>
      </c>
      <c r="E460">
        <f>MEDIAN(D440:D480)</f>
        <v/>
      </c>
      <c r="F460">
        <f>E440</f>
        <v/>
      </c>
      <c r="G460">
        <f>F460-E460</f>
        <v/>
      </c>
      <c r="H460">
        <f>IF(OR(NOT(ISNUMBER(D460)),ABS(D460-E460)&gt;$O$3,AND($O$11=1,B460&lt;$O$12)),1,0)</f>
        <v/>
      </c>
      <c r="I460">
        <f>IF(H460=1,NA(),D460)</f>
        <v/>
      </c>
      <c r="J460">
        <f>IF(AND(ISNUMBER(D460),D460&gt;=$O$4,OR($O$11=0,B460&gt;=$O$12)),1,0)</f>
        <v/>
      </c>
      <c r="K460">
        <f>B460-$O$14</f>
        <v/>
      </c>
    </row>
    <row r="461">
      <c r="A461" t="n">
        <v>1377</v>
      </c>
      <c r="B461" t="n">
        <v>45.9</v>
      </c>
      <c r="C461" t="inlineStr">
        <is>
          <t>742</t>
        </is>
      </c>
      <c r="D461" t="n">
        <v>7.42</v>
      </c>
      <c r="E461">
        <f>MEDIAN(D441:D481)</f>
        <v/>
      </c>
      <c r="F461">
        <f>E441</f>
        <v/>
      </c>
      <c r="G461">
        <f>F461-E461</f>
        <v/>
      </c>
      <c r="H461">
        <f>IF(OR(NOT(ISNUMBER(D461)),ABS(D461-E461)&gt;$O$3,AND($O$11=1,B461&lt;$O$12)),1,0)</f>
        <v/>
      </c>
      <c r="I461">
        <f>IF(H461=1,NA(),D461)</f>
        <v/>
      </c>
      <c r="J461">
        <f>IF(AND(ISNUMBER(D461),D461&gt;=$O$4,OR($O$11=0,B461&gt;=$O$12)),1,0)</f>
        <v/>
      </c>
      <c r="K461">
        <f>B461-$O$14</f>
        <v/>
      </c>
    </row>
    <row r="462">
      <c r="A462" t="n">
        <v>1380</v>
      </c>
      <c r="B462" t="n">
        <v>46</v>
      </c>
      <c r="C462" t="inlineStr">
        <is>
          <t>746</t>
        </is>
      </c>
      <c r="D462" t="n">
        <v>7.46</v>
      </c>
      <c r="E462">
        <f>MEDIAN(D442:D482)</f>
        <v/>
      </c>
      <c r="F462">
        <f>E442</f>
        <v/>
      </c>
      <c r="G462">
        <f>F462-E462</f>
        <v/>
      </c>
      <c r="H462">
        <f>IF(OR(NOT(ISNUMBER(D462)),ABS(D462-E462)&gt;$O$3,AND($O$11=1,B462&lt;$O$12)),1,0)</f>
        <v/>
      </c>
      <c r="I462">
        <f>IF(H462=1,NA(),D462)</f>
        <v/>
      </c>
      <c r="J462">
        <f>IF(AND(ISNUMBER(D462),D462&gt;=$O$4,OR($O$11=0,B462&gt;=$O$12)),1,0)</f>
        <v/>
      </c>
      <c r="K462">
        <f>B462-$O$14</f>
        <v/>
      </c>
    </row>
    <row r="463">
      <c r="A463" t="n">
        <v>1383</v>
      </c>
      <c r="B463" t="n">
        <v>46.1</v>
      </c>
      <c r="C463" t="inlineStr">
        <is>
          <t>746</t>
        </is>
      </c>
      <c r="D463" t="n">
        <v>7.46</v>
      </c>
      <c r="E463">
        <f>MEDIAN(D443:D483)</f>
        <v/>
      </c>
      <c r="F463">
        <f>E443</f>
        <v/>
      </c>
      <c r="G463">
        <f>F463-E463</f>
        <v/>
      </c>
      <c r="H463">
        <f>IF(OR(NOT(ISNUMBER(D463)),ABS(D463-E463)&gt;$O$3,AND($O$11=1,B463&lt;$O$12)),1,0)</f>
        <v/>
      </c>
      <c r="I463">
        <f>IF(H463=1,NA(),D463)</f>
        <v/>
      </c>
      <c r="J463">
        <f>IF(AND(ISNUMBER(D463),D463&gt;=$O$4,OR($O$11=0,B463&gt;=$O$12)),1,0)</f>
        <v/>
      </c>
      <c r="K463">
        <f>B463-$O$14</f>
        <v/>
      </c>
    </row>
    <row r="464">
      <c r="A464" t="n">
        <v>1386</v>
      </c>
      <c r="B464" t="n">
        <v>46.2</v>
      </c>
      <c r="C464" t="inlineStr">
        <is>
          <t>746</t>
        </is>
      </c>
      <c r="D464" t="n">
        <v>7.46</v>
      </c>
      <c r="E464">
        <f>MEDIAN(D444:D484)</f>
        <v/>
      </c>
      <c r="F464">
        <f>E444</f>
        <v/>
      </c>
      <c r="G464">
        <f>F464-E464</f>
        <v/>
      </c>
      <c r="H464">
        <f>IF(OR(NOT(ISNUMBER(D464)),ABS(D464-E464)&gt;$O$3,AND($O$11=1,B464&lt;$O$12)),1,0)</f>
        <v/>
      </c>
      <c r="I464">
        <f>IF(H464=1,NA(),D464)</f>
        <v/>
      </c>
      <c r="J464">
        <f>IF(AND(ISNUMBER(D464),D464&gt;=$O$4,OR($O$11=0,B464&gt;=$O$12)),1,0)</f>
        <v/>
      </c>
      <c r="K464">
        <f>B464-$O$14</f>
        <v/>
      </c>
    </row>
    <row r="465">
      <c r="A465" t="n">
        <v>1389</v>
      </c>
      <c r="B465" t="n">
        <v>46.3</v>
      </c>
      <c r="C465" t="inlineStr">
        <is>
          <t>747</t>
        </is>
      </c>
      <c r="D465" t="n">
        <v>7.47</v>
      </c>
      <c r="E465">
        <f>MEDIAN(D445:D485)</f>
        <v/>
      </c>
      <c r="F465">
        <f>E445</f>
        <v/>
      </c>
      <c r="G465">
        <f>F465-E465</f>
        <v/>
      </c>
      <c r="H465">
        <f>IF(OR(NOT(ISNUMBER(D465)),ABS(D465-E465)&gt;$O$3,AND($O$11=1,B465&lt;$O$12)),1,0)</f>
        <v/>
      </c>
      <c r="I465">
        <f>IF(H465=1,NA(),D465)</f>
        <v/>
      </c>
      <c r="J465">
        <f>IF(AND(ISNUMBER(D465),D465&gt;=$O$4,OR($O$11=0,B465&gt;=$O$12)),1,0)</f>
        <v/>
      </c>
      <c r="K465">
        <f>B465-$O$14</f>
        <v/>
      </c>
    </row>
    <row r="466">
      <c r="A466" t="n">
        <v>1392</v>
      </c>
      <c r="B466" t="n">
        <v>46.4</v>
      </c>
      <c r="C466" t="inlineStr">
        <is>
          <t>747</t>
        </is>
      </c>
      <c r="D466" t="n">
        <v>7.47</v>
      </c>
      <c r="E466">
        <f>MEDIAN(D446:D486)</f>
        <v/>
      </c>
      <c r="F466">
        <f>E446</f>
        <v/>
      </c>
      <c r="G466">
        <f>F466-E466</f>
        <v/>
      </c>
      <c r="H466">
        <f>IF(OR(NOT(ISNUMBER(D466)),ABS(D466-E466)&gt;$O$3,AND($O$11=1,B466&lt;$O$12)),1,0)</f>
        <v/>
      </c>
      <c r="I466">
        <f>IF(H466=1,NA(),D466)</f>
        <v/>
      </c>
      <c r="J466">
        <f>IF(AND(ISNUMBER(D466),D466&gt;=$O$4,OR($O$11=0,B466&gt;=$O$12)),1,0)</f>
        <v/>
      </c>
      <c r="K466">
        <f>B466-$O$14</f>
        <v/>
      </c>
    </row>
    <row r="467">
      <c r="A467" t="n">
        <v>1395</v>
      </c>
      <c r="B467" t="n">
        <v>46.5</v>
      </c>
      <c r="C467" t="inlineStr">
        <is>
          <t>748</t>
        </is>
      </c>
      <c r="D467" t="n">
        <v>7.48</v>
      </c>
      <c r="E467">
        <f>MEDIAN(D447:D487)</f>
        <v/>
      </c>
      <c r="F467">
        <f>E447</f>
        <v/>
      </c>
      <c r="G467">
        <f>F467-E467</f>
        <v/>
      </c>
      <c r="H467">
        <f>IF(OR(NOT(ISNUMBER(D467)),ABS(D467-E467)&gt;$O$3,AND($O$11=1,B467&lt;$O$12)),1,0)</f>
        <v/>
      </c>
      <c r="I467">
        <f>IF(H467=1,NA(),D467)</f>
        <v/>
      </c>
      <c r="J467">
        <f>IF(AND(ISNUMBER(D467),D467&gt;=$O$4,OR($O$11=0,B467&gt;=$O$12)),1,0)</f>
        <v/>
      </c>
      <c r="K467">
        <f>B467-$O$14</f>
        <v/>
      </c>
    </row>
    <row r="468">
      <c r="A468" t="n">
        <v>1398</v>
      </c>
      <c r="B468" t="n">
        <v>46.6</v>
      </c>
      <c r="C468" t="inlineStr">
        <is>
          <t>748</t>
        </is>
      </c>
      <c r="D468" t="n">
        <v>7.48</v>
      </c>
      <c r="E468">
        <f>MEDIAN(D448:D488)</f>
        <v/>
      </c>
      <c r="F468">
        <f>E448</f>
        <v/>
      </c>
      <c r="G468">
        <f>F468-E468</f>
        <v/>
      </c>
      <c r="H468">
        <f>IF(OR(NOT(ISNUMBER(D468)),ABS(D468-E468)&gt;$O$3,AND($O$11=1,B468&lt;$O$12)),1,0)</f>
        <v/>
      </c>
      <c r="I468">
        <f>IF(H468=1,NA(),D468)</f>
        <v/>
      </c>
      <c r="J468">
        <f>IF(AND(ISNUMBER(D468),D468&gt;=$O$4,OR($O$11=0,B468&gt;=$O$12)),1,0)</f>
        <v/>
      </c>
      <c r="K468">
        <f>B468-$O$14</f>
        <v/>
      </c>
    </row>
    <row r="469">
      <c r="A469" t="n">
        <v>1401</v>
      </c>
      <c r="B469" t="n">
        <v>46.7</v>
      </c>
      <c r="C469" t="inlineStr">
        <is>
          <t>749</t>
        </is>
      </c>
      <c r="D469" t="n">
        <v>7.49</v>
      </c>
      <c r="E469">
        <f>MEDIAN(D449:D489)</f>
        <v/>
      </c>
      <c r="F469">
        <f>E449</f>
        <v/>
      </c>
      <c r="G469">
        <f>F469-E469</f>
        <v/>
      </c>
      <c r="H469">
        <f>IF(OR(NOT(ISNUMBER(D469)),ABS(D469-E469)&gt;$O$3,AND($O$11=1,B469&lt;$O$12)),1,0)</f>
        <v/>
      </c>
      <c r="I469">
        <f>IF(H469=1,NA(),D469)</f>
        <v/>
      </c>
      <c r="J469">
        <f>IF(AND(ISNUMBER(D469),D469&gt;=$O$4,OR($O$11=0,B469&gt;=$O$12)),1,0)</f>
        <v/>
      </c>
      <c r="K469">
        <f>B469-$O$14</f>
        <v/>
      </c>
    </row>
    <row r="470">
      <c r="A470" t="n">
        <v>1404</v>
      </c>
      <c r="B470" t="n">
        <v>46.8</v>
      </c>
      <c r="C470" t="inlineStr">
        <is>
          <t>749</t>
        </is>
      </c>
      <c r="D470" t="n">
        <v>7.49</v>
      </c>
      <c r="E470">
        <f>MEDIAN(D450:D490)</f>
        <v/>
      </c>
      <c r="F470">
        <f>E450</f>
        <v/>
      </c>
      <c r="G470">
        <f>F470-E470</f>
        <v/>
      </c>
      <c r="H470">
        <f>IF(OR(NOT(ISNUMBER(D470)),ABS(D470-E470)&gt;$O$3,AND($O$11=1,B470&lt;$O$12)),1,0)</f>
        <v/>
      </c>
      <c r="I470">
        <f>IF(H470=1,NA(),D470)</f>
        <v/>
      </c>
      <c r="J470">
        <f>IF(AND(ISNUMBER(D470),D470&gt;=$O$4,OR($O$11=0,B470&gt;=$O$12)),1,0)</f>
        <v/>
      </c>
      <c r="K470">
        <f>B470-$O$14</f>
        <v/>
      </c>
    </row>
    <row r="471">
      <c r="A471" t="n">
        <v>1407</v>
      </c>
      <c r="B471" t="n">
        <v>46.9</v>
      </c>
      <c r="C471" t="inlineStr">
        <is>
          <t>749</t>
        </is>
      </c>
      <c r="D471" t="n">
        <v>7.49</v>
      </c>
      <c r="E471">
        <f>MEDIAN(D451:D491)</f>
        <v/>
      </c>
      <c r="F471">
        <f>E451</f>
        <v/>
      </c>
      <c r="G471">
        <f>F471-E471</f>
        <v/>
      </c>
      <c r="H471">
        <f>IF(OR(NOT(ISNUMBER(D471)),ABS(D471-E471)&gt;$O$3,AND($O$11=1,B471&lt;$O$12)),1,0)</f>
        <v/>
      </c>
      <c r="I471">
        <f>IF(H471=1,NA(),D471)</f>
        <v/>
      </c>
      <c r="J471">
        <f>IF(AND(ISNUMBER(D471),D471&gt;=$O$4,OR($O$11=0,B471&gt;=$O$12)),1,0)</f>
        <v/>
      </c>
      <c r="K471">
        <f>B471-$O$14</f>
        <v/>
      </c>
    </row>
    <row r="472">
      <c r="A472" t="n">
        <v>1410</v>
      </c>
      <c r="B472" t="n">
        <v>47</v>
      </c>
      <c r="C472" t="inlineStr">
        <is>
          <t>750</t>
        </is>
      </c>
      <c r="D472" t="n">
        <v>7.5</v>
      </c>
      <c r="E472">
        <f>MEDIAN(D452:D492)</f>
        <v/>
      </c>
      <c r="F472">
        <f>E452</f>
        <v/>
      </c>
      <c r="G472">
        <f>F472-E472</f>
        <v/>
      </c>
      <c r="H472">
        <f>IF(OR(NOT(ISNUMBER(D472)),ABS(D472-E472)&gt;$O$3,AND($O$11=1,B472&lt;$O$12)),1,0)</f>
        <v/>
      </c>
      <c r="I472">
        <f>IF(H472=1,NA(),D472)</f>
        <v/>
      </c>
      <c r="J472">
        <f>IF(AND(ISNUMBER(D472),D472&gt;=$O$4,OR($O$11=0,B472&gt;=$O$12)),1,0)</f>
        <v/>
      </c>
      <c r="K472">
        <f>B472-$O$14</f>
        <v/>
      </c>
    </row>
    <row r="473">
      <c r="A473" t="n">
        <v>1413</v>
      </c>
      <c r="B473" t="n">
        <v>47.1</v>
      </c>
      <c r="C473" t="inlineStr">
        <is>
          <t>750</t>
        </is>
      </c>
      <c r="D473" t="n">
        <v>7.5</v>
      </c>
      <c r="E473">
        <f>MEDIAN(D453:D493)</f>
        <v/>
      </c>
      <c r="F473">
        <f>E453</f>
        <v/>
      </c>
      <c r="G473">
        <f>F473-E473</f>
        <v/>
      </c>
      <c r="H473">
        <f>IF(OR(NOT(ISNUMBER(D473)),ABS(D473-E473)&gt;$O$3,AND($O$11=1,B473&lt;$O$12)),1,0)</f>
        <v/>
      </c>
      <c r="I473">
        <f>IF(H473=1,NA(),D473)</f>
        <v/>
      </c>
      <c r="J473">
        <f>IF(AND(ISNUMBER(D473),D473&gt;=$O$4,OR($O$11=0,B473&gt;=$O$12)),1,0)</f>
        <v/>
      </c>
      <c r="K473">
        <f>B473-$O$14</f>
        <v/>
      </c>
    </row>
    <row r="474">
      <c r="A474" t="n">
        <v>1416</v>
      </c>
      <c r="B474" t="n">
        <v>47.2</v>
      </c>
      <c r="C474" t="inlineStr">
        <is>
          <t>750</t>
        </is>
      </c>
      <c r="D474" t="n">
        <v>7.5</v>
      </c>
      <c r="E474">
        <f>MEDIAN(D454:D494)</f>
        <v/>
      </c>
      <c r="F474">
        <f>E454</f>
        <v/>
      </c>
      <c r="G474">
        <f>F474-E474</f>
        <v/>
      </c>
      <c r="H474">
        <f>IF(OR(NOT(ISNUMBER(D474)),ABS(D474-E474)&gt;$O$3,AND($O$11=1,B474&lt;$O$12)),1,0)</f>
        <v/>
      </c>
      <c r="I474">
        <f>IF(H474=1,NA(),D474)</f>
        <v/>
      </c>
      <c r="J474">
        <f>IF(AND(ISNUMBER(D474),D474&gt;=$O$4,OR($O$11=0,B474&gt;=$O$12)),1,0)</f>
        <v/>
      </c>
      <c r="K474">
        <f>B474-$O$14</f>
        <v/>
      </c>
    </row>
    <row r="475">
      <c r="A475" t="n">
        <v>1419</v>
      </c>
      <c r="B475" t="n">
        <v>47.3</v>
      </c>
      <c r="C475" t="inlineStr">
        <is>
          <t>750</t>
        </is>
      </c>
      <c r="D475" t="n">
        <v>7.5</v>
      </c>
      <c r="E475">
        <f>MEDIAN(D455:D495)</f>
        <v/>
      </c>
      <c r="F475">
        <f>E455</f>
        <v/>
      </c>
      <c r="G475">
        <f>F475-E475</f>
        <v/>
      </c>
      <c r="H475">
        <f>IF(OR(NOT(ISNUMBER(D475)),ABS(D475-E475)&gt;$O$3,AND($O$11=1,B475&lt;$O$12)),1,0)</f>
        <v/>
      </c>
      <c r="I475">
        <f>IF(H475=1,NA(),D475)</f>
        <v/>
      </c>
      <c r="J475">
        <f>IF(AND(ISNUMBER(D475),D475&gt;=$O$4,OR($O$11=0,B475&gt;=$O$12)),1,0)</f>
        <v/>
      </c>
      <c r="K475">
        <f>B475-$O$14</f>
        <v/>
      </c>
    </row>
    <row r="476">
      <c r="A476" t="n">
        <v>1422</v>
      </c>
      <c r="B476" t="n">
        <v>47.4</v>
      </c>
      <c r="C476" t="inlineStr">
        <is>
          <t>750</t>
        </is>
      </c>
      <c r="D476" t="n">
        <v>7.5</v>
      </c>
      <c r="E476">
        <f>MEDIAN(D456:D496)</f>
        <v/>
      </c>
      <c r="F476">
        <f>E456</f>
        <v/>
      </c>
      <c r="G476">
        <f>F476-E476</f>
        <v/>
      </c>
      <c r="H476">
        <f>IF(OR(NOT(ISNUMBER(D476)),ABS(D476-E476)&gt;$O$3,AND($O$11=1,B476&lt;$O$12)),1,0)</f>
        <v/>
      </c>
      <c r="I476">
        <f>IF(H476=1,NA(),D476)</f>
        <v/>
      </c>
      <c r="J476">
        <f>IF(AND(ISNUMBER(D476),D476&gt;=$O$4,OR($O$11=0,B476&gt;=$O$12)),1,0)</f>
        <v/>
      </c>
      <c r="K476">
        <f>B476-$O$14</f>
        <v/>
      </c>
    </row>
    <row r="477">
      <c r="A477" t="n">
        <v>1425</v>
      </c>
      <c r="B477" t="n">
        <v>47.5</v>
      </c>
      <c r="C477" t="inlineStr">
        <is>
          <t>750</t>
        </is>
      </c>
      <c r="D477" t="n">
        <v>7.5</v>
      </c>
      <c r="E477">
        <f>MEDIAN(D457:D497)</f>
        <v/>
      </c>
      <c r="F477">
        <f>E457</f>
        <v/>
      </c>
      <c r="G477">
        <f>F477-E477</f>
        <v/>
      </c>
      <c r="H477">
        <f>IF(OR(NOT(ISNUMBER(D477)),ABS(D477-E477)&gt;$O$3,AND($O$11=1,B477&lt;$O$12)),1,0)</f>
        <v/>
      </c>
      <c r="I477">
        <f>IF(H477=1,NA(),D477)</f>
        <v/>
      </c>
      <c r="J477">
        <f>IF(AND(ISNUMBER(D477),D477&gt;=$O$4,OR($O$11=0,B477&gt;=$O$12)),1,0)</f>
        <v/>
      </c>
      <c r="K477">
        <f>B477-$O$14</f>
        <v/>
      </c>
    </row>
    <row r="478">
      <c r="A478" t="n">
        <v>1428</v>
      </c>
      <c r="B478" t="n">
        <v>47.6</v>
      </c>
      <c r="C478" t="inlineStr">
        <is>
          <t>751</t>
        </is>
      </c>
      <c r="D478" t="n">
        <v>7.51</v>
      </c>
      <c r="E478">
        <f>MEDIAN(D458:D498)</f>
        <v/>
      </c>
      <c r="F478">
        <f>E458</f>
        <v/>
      </c>
      <c r="G478">
        <f>F478-E478</f>
        <v/>
      </c>
      <c r="H478">
        <f>IF(OR(NOT(ISNUMBER(D478)),ABS(D478-E478)&gt;$O$3,AND($O$11=1,B478&lt;$O$12)),1,0)</f>
        <v/>
      </c>
      <c r="I478">
        <f>IF(H478=1,NA(),D478)</f>
        <v/>
      </c>
      <c r="J478">
        <f>IF(AND(ISNUMBER(D478),D478&gt;=$O$4,OR($O$11=0,B478&gt;=$O$12)),1,0)</f>
        <v/>
      </c>
      <c r="K478">
        <f>B478-$O$14</f>
        <v/>
      </c>
    </row>
    <row r="479">
      <c r="A479" t="n">
        <v>1431</v>
      </c>
      <c r="B479" t="n">
        <v>47.7</v>
      </c>
      <c r="C479" t="inlineStr">
        <is>
          <t>751</t>
        </is>
      </c>
      <c r="D479" t="n">
        <v>7.51</v>
      </c>
      <c r="E479">
        <f>MEDIAN(D459:D499)</f>
        <v/>
      </c>
      <c r="F479">
        <f>E459</f>
        <v/>
      </c>
      <c r="G479">
        <f>F479-E479</f>
        <v/>
      </c>
      <c r="H479">
        <f>IF(OR(NOT(ISNUMBER(D479)),ABS(D479-E479)&gt;$O$3,AND($O$11=1,B479&lt;$O$12)),1,0)</f>
        <v/>
      </c>
      <c r="I479">
        <f>IF(H479=1,NA(),D479)</f>
        <v/>
      </c>
      <c r="J479">
        <f>IF(AND(ISNUMBER(D479),D479&gt;=$O$4,OR($O$11=0,B479&gt;=$O$12)),1,0)</f>
        <v/>
      </c>
      <c r="K479">
        <f>B479-$O$14</f>
        <v/>
      </c>
    </row>
    <row r="480">
      <c r="A480" t="n">
        <v>1434</v>
      </c>
      <c r="B480" t="n">
        <v>47.8</v>
      </c>
      <c r="C480" t="inlineStr">
        <is>
          <t>752</t>
        </is>
      </c>
      <c r="D480" t="n">
        <v>7.52</v>
      </c>
      <c r="E480">
        <f>MEDIAN(D460:D500)</f>
        <v/>
      </c>
      <c r="F480">
        <f>E460</f>
        <v/>
      </c>
      <c r="G480">
        <f>F480-E480</f>
        <v/>
      </c>
      <c r="H480">
        <f>IF(OR(NOT(ISNUMBER(D480)),ABS(D480-E480)&gt;$O$3,AND($O$11=1,B480&lt;$O$12)),1,0)</f>
        <v/>
      </c>
      <c r="I480">
        <f>IF(H480=1,NA(),D480)</f>
        <v/>
      </c>
      <c r="J480">
        <f>IF(AND(ISNUMBER(D480),D480&gt;=$O$4,OR($O$11=0,B480&gt;=$O$12)),1,0)</f>
        <v/>
      </c>
      <c r="K480">
        <f>B480-$O$14</f>
        <v/>
      </c>
    </row>
    <row r="481">
      <c r="A481" t="n">
        <v>1437</v>
      </c>
      <c r="B481" t="n">
        <v>47.9</v>
      </c>
      <c r="C481" t="inlineStr">
        <is>
          <t>752</t>
        </is>
      </c>
      <c r="D481" t="n">
        <v>7.52</v>
      </c>
      <c r="E481">
        <f>MEDIAN(D461:D501)</f>
        <v/>
      </c>
      <c r="F481">
        <f>E461</f>
        <v/>
      </c>
      <c r="G481">
        <f>F481-E481</f>
        <v/>
      </c>
      <c r="H481">
        <f>IF(OR(NOT(ISNUMBER(D481)),ABS(D481-E481)&gt;$O$3,AND($O$11=1,B481&lt;$O$12)),1,0)</f>
        <v/>
      </c>
      <c r="I481">
        <f>IF(H481=1,NA(),D481)</f>
        <v/>
      </c>
      <c r="J481">
        <f>IF(AND(ISNUMBER(D481),D481&gt;=$O$4,OR($O$11=0,B481&gt;=$O$12)),1,0)</f>
        <v/>
      </c>
      <c r="K481">
        <f>B481-$O$14</f>
        <v/>
      </c>
    </row>
    <row r="482">
      <c r="A482" t="n">
        <v>1440</v>
      </c>
      <c r="B482" t="n">
        <v>48</v>
      </c>
      <c r="C482" t="inlineStr">
        <is>
          <t>753</t>
        </is>
      </c>
      <c r="D482" t="n">
        <v>7.53</v>
      </c>
      <c r="E482">
        <f>MEDIAN(D462:D502)</f>
        <v/>
      </c>
      <c r="F482">
        <f>E462</f>
        <v/>
      </c>
      <c r="G482">
        <f>F482-E482</f>
        <v/>
      </c>
      <c r="H482">
        <f>IF(OR(NOT(ISNUMBER(D482)),ABS(D482-E482)&gt;$O$3,AND($O$11=1,B482&lt;$O$12)),1,0)</f>
        <v/>
      </c>
      <c r="I482">
        <f>IF(H482=1,NA(),D482)</f>
        <v/>
      </c>
      <c r="J482">
        <f>IF(AND(ISNUMBER(D482),D482&gt;=$O$4,OR($O$11=0,B482&gt;=$O$12)),1,0)</f>
        <v/>
      </c>
      <c r="K482">
        <f>B482-$O$14</f>
        <v/>
      </c>
    </row>
    <row r="483">
      <c r="A483" t="n">
        <v>1443</v>
      </c>
      <c r="B483" t="n">
        <v>48.1</v>
      </c>
      <c r="C483" t="inlineStr">
        <is>
          <t>754</t>
        </is>
      </c>
      <c r="D483" t="n">
        <v>7.54</v>
      </c>
      <c r="E483">
        <f>MEDIAN(D463:D503)</f>
        <v/>
      </c>
      <c r="F483">
        <f>E463</f>
        <v/>
      </c>
      <c r="G483">
        <f>F483-E483</f>
        <v/>
      </c>
      <c r="H483">
        <f>IF(OR(NOT(ISNUMBER(D483)),ABS(D483-E483)&gt;$O$3,AND($O$11=1,B483&lt;$O$12)),1,0)</f>
        <v/>
      </c>
      <c r="I483">
        <f>IF(H483=1,NA(),D483)</f>
        <v/>
      </c>
      <c r="J483">
        <f>IF(AND(ISNUMBER(D483),D483&gt;=$O$4,OR($O$11=0,B483&gt;=$O$12)),1,0)</f>
        <v/>
      </c>
      <c r="K483">
        <f>B483-$O$14</f>
        <v/>
      </c>
    </row>
    <row r="484">
      <c r="A484" t="n">
        <v>1446</v>
      </c>
      <c r="B484" t="n">
        <v>48.2</v>
      </c>
      <c r="C484" t="inlineStr">
        <is>
          <t>754</t>
        </is>
      </c>
      <c r="D484" t="n">
        <v>7.54</v>
      </c>
      <c r="E484">
        <f>MEDIAN(D464:D504)</f>
        <v/>
      </c>
      <c r="F484">
        <f>E464</f>
        <v/>
      </c>
      <c r="G484">
        <f>F484-E484</f>
        <v/>
      </c>
      <c r="H484">
        <f>IF(OR(NOT(ISNUMBER(D484)),ABS(D484-E484)&gt;$O$3,AND($O$11=1,B484&lt;$O$12)),1,0)</f>
        <v/>
      </c>
      <c r="I484">
        <f>IF(H484=1,NA(),D484)</f>
        <v/>
      </c>
      <c r="J484">
        <f>IF(AND(ISNUMBER(D484),D484&gt;=$O$4,OR($O$11=0,B484&gt;=$O$12)),1,0)</f>
        <v/>
      </c>
      <c r="K484">
        <f>B484-$O$14</f>
        <v/>
      </c>
    </row>
    <row r="485">
      <c r="A485" t="n">
        <v>1449</v>
      </c>
      <c r="B485" t="n">
        <v>48.3</v>
      </c>
      <c r="C485" t="inlineStr">
        <is>
          <t>755</t>
        </is>
      </c>
      <c r="D485" t="n">
        <v>7.55</v>
      </c>
      <c r="E485">
        <f>MEDIAN(D465:D505)</f>
        <v/>
      </c>
      <c r="F485">
        <f>E465</f>
        <v/>
      </c>
      <c r="G485">
        <f>F485-E485</f>
        <v/>
      </c>
      <c r="H485">
        <f>IF(OR(NOT(ISNUMBER(D485)),ABS(D485-E485)&gt;$O$3,AND($O$11=1,B485&lt;$O$12)),1,0)</f>
        <v/>
      </c>
      <c r="I485">
        <f>IF(H485=1,NA(),D485)</f>
        <v/>
      </c>
      <c r="J485">
        <f>IF(AND(ISNUMBER(D485),D485&gt;=$O$4,OR($O$11=0,B485&gt;=$O$12)),1,0)</f>
        <v/>
      </c>
      <c r="K485">
        <f>B485-$O$14</f>
        <v/>
      </c>
    </row>
    <row r="486">
      <c r="A486" t="n">
        <v>1452</v>
      </c>
      <c r="B486" t="n">
        <v>48.4</v>
      </c>
      <c r="C486" t="inlineStr">
        <is>
          <t>755</t>
        </is>
      </c>
      <c r="D486" t="n">
        <v>7.55</v>
      </c>
      <c r="E486">
        <f>MEDIAN(D466:D506)</f>
        <v/>
      </c>
      <c r="F486">
        <f>E466</f>
        <v/>
      </c>
      <c r="G486">
        <f>F486-E486</f>
        <v/>
      </c>
      <c r="H486">
        <f>IF(OR(NOT(ISNUMBER(D486)),ABS(D486-E486)&gt;$O$3,AND($O$11=1,B486&lt;$O$12)),1,0)</f>
        <v/>
      </c>
      <c r="I486">
        <f>IF(H486=1,NA(),D486)</f>
        <v/>
      </c>
      <c r="J486">
        <f>IF(AND(ISNUMBER(D486),D486&gt;=$O$4,OR($O$11=0,B486&gt;=$O$12)),1,0)</f>
        <v/>
      </c>
      <c r="K486">
        <f>B486-$O$14</f>
        <v/>
      </c>
    </row>
    <row r="487">
      <c r="A487" t="n">
        <v>1455</v>
      </c>
      <c r="B487" t="n">
        <v>48.5</v>
      </c>
      <c r="C487" t="inlineStr">
        <is>
          <t>756</t>
        </is>
      </c>
      <c r="D487" t="n">
        <v>7.56</v>
      </c>
      <c r="E487">
        <f>MEDIAN(D467:D507)</f>
        <v/>
      </c>
      <c r="F487">
        <f>E467</f>
        <v/>
      </c>
      <c r="G487">
        <f>F487-E487</f>
        <v/>
      </c>
      <c r="H487">
        <f>IF(OR(NOT(ISNUMBER(D487)),ABS(D487-E487)&gt;$O$3,AND($O$11=1,B487&lt;$O$12)),1,0)</f>
        <v/>
      </c>
      <c r="I487">
        <f>IF(H487=1,NA(),D487)</f>
        <v/>
      </c>
      <c r="J487">
        <f>IF(AND(ISNUMBER(D487),D487&gt;=$O$4,OR($O$11=0,B487&gt;=$O$12)),1,0)</f>
        <v/>
      </c>
      <c r="K487">
        <f>B487-$O$14</f>
        <v/>
      </c>
    </row>
    <row r="488">
      <c r="A488" t="n">
        <v>1458</v>
      </c>
      <c r="B488" t="n">
        <v>48.6</v>
      </c>
      <c r="C488" t="inlineStr">
        <is>
          <t>756</t>
        </is>
      </c>
      <c r="D488" t="n">
        <v>7.56</v>
      </c>
      <c r="E488">
        <f>MEDIAN(D468:D508)</f>
        <v/>
      </c>
      <c r="F488">
        <f>E468</f>
        <v/>
      </c>
      <c r="G488">
        <f>F488-E488</f>
        <v/>
      </c>
      <c r="H488">
        <f>IF(OR(NOT(ISNUMBER(D488)),ABS(D488-E488)&gt;$O$3,AND($O$11=1,B488&lt;$O$12)),1,0)</f>
        <v/>
      </c>
      <c r="I488">
        <f>IF(H488=1,NA(),D488)</f>
        <v/>
      </c>
      <c r="J488">
        <f>IF(AND(ISNUMBER(D488),D488&gt;=$O$4,OR($O$11=0,B488&gt;=$O$12)),1,0)</f>
        <v/>
      </c>
      <c r="K488">
        <f>B488-$O$14</f>
        <v/>
      </c>
    </row>
    <row r="489">
      <c r="A489" t="n">
        <v>1461</v>
      </c>
      <c r="B489" t="n">
        <v>48.7</v>
      </c>
      <c r="C489" t="inlineStr">
        <is>
          <t>756</t>
        </is>
      </c>
      <c r="D489" t="n">
        <v>7.56</v>
      </c>
      <c r="E489">
        <f>MEDIAN(D469:D509)</f>
        <v/>
      </c>
      <c r="F489">
        <f>E469</f>
        <v/>
      </c>
      <c r="G489">
        <f>F489-E489</f>
        <v/>
      </c>
      <c r="H489">
        <f>IF(OR(NOT(ISNUMBER(D489)),ABS(D489-E489)&gt;$O$3,AND($O$11=1,B489&lt;$O$12)),1,0)</f>
        <v/>
      </c>
      <c r="I489">
        <f>IF(H489=1,NA(),D489)</f>
        <v/>
      </c>
      <c r="J489">
        <f>IF(AND(ISNUMBER(D489),D489&gt;=$O$4,OR($O$11=0,B489&gt;=$O$12)),1,0)</f>
        <v/>
      </c>
      <c r="K489">
        <f>B489-$O$14</f>
        <v/>
      </c>
    </row>
    <row r="490">
      <c r="A490" t="n">
        <v>1464</v>
      </c>
      <c r="B490" t="n">
        <v>48.8</v>
      </c>
      <c r="C490" t="inlineStr">
        <is>
          <t>757</t>
        </is>
      </c>
      <c r="D490" t="n">
        <v>7.57</v>
      </c>
      <c r="E490">
        <f>MEDIAN(D470:D510)</f>
        <v/>
      </c>
      <c r="F490">
        <f>E470</f>
        <v/>
      </c>
      <c r="G490">
        <f>F490-E490</f>
        <v/>
      </c>
      <c r="H490">
        <f>IF(OR(NOT(ISNUMBER(D490)),ABS(D490-E490)&gt;$O$3,AND($O$11=1,B490&lt;$O$12)),1,0)</f>
        <v/>
      </c>
      <c r="I490">
        <f>IF(H490=1,NA(),D490)</f>
        <v/>
      </c>
      <c r="J490">
        <f>IF(AND(ISNUMBER(D490),D490&gt;=$O$4,OR($O$11=0,B490&gt;=$O$12)),1,0)</f>
        <v/>
      </c>
      <c r="K490">
        <f>B490-$O$14</f>
        <v/>
      </c>
    </row>
    <row r="491">
      <c r="A491" t="n">
        <v>1467</v>
      </c>
      <c r="B491" t="n">
        <v>48.9</v>
      </c>
      <c r="C491" t="inlineStr">
        <is>
          <t>758</t>
        </is>
      </c>
      <c r="D491" t="n">
        <v>7.58</v>
      </c>
      <c r="E491">
        <f>MEDIAN(D471:D511)</f>
        <v/>
      </c>
      <c r="F491">
        <f>E471</f>
        <v/>
      </c>
      <c r="G491">
        <f>F491-E491</f>
        <v/>
      </c>
      <c r="H491">
        <f>IF(OR(NOT(ISNUMBER(D491)),ABS(D491-E491)&gt;$O$3,AND($O$11=1,B491&lt;$O$12)),1,0)</f>
        <v/>
      </c>
      <c r="I491">
        <f>IF(H491=1,NA(),D491)</f>
        <v/>
      </c>
      <c r="J491">
        <f>IF(AND(ISNUMBER(D491),D491&gt;=$O$4,OR($O$11=0,B491&gt;=$O$12)),1,0)</f>
        <v/>
      </c>
      <c r="K491">
        <f>B491-$O$14</f>
        <v/>
      </c>
    </row>
    <row r="492">
      <c r="A492" t="n">
        <v>1470</v>
      </c>
      <c r="B492" t="n">
        <v>49</v>
      </c>
      <c r="C492" t="inlineStr">
        <is>
          <t>758</t>
        </is>
      </c>
      <c r="D492" t="n">
        <v>7.58</v>
      </c>
      <c r="E492">
        <f>MEDIAN(D472:D512)</f>
        <v/>
      </c>
      <c r="F492">
        <f>E472</f>
        <v/>
      </c>
      <c r="G492">
        <f>F492-E492</f>
        <v/>
      </c>
      <c r="H492">
        <f>IF(OR(NOT(ISNUMBER(D492)),ABS(D492-E492)&gt;$O$3,AND($O$11=1,B492&lt;$O$12)),1,0)</f>
        <v/>
      </c>
      <c r="I492">
        <f>IF(H492=1,NA(),D492)</f>
        <v/>
      </c>
      <c r="J492">
        <f>IF(AND(ISNUMBER(D492),D492&gt;=$O$4,OR($O$11=0,B492&gt;=$O$12)),1,0)</f>
        <v/>
      </c>
      <c r="K492">
        <f>B492-$O$14</f>
        <v/>
      </c>
    </row>
    <row r="493">
      <c r="A493" t="n">
        <v>1473</v>
      </c>
      <c r="B493" t="n">
        <v>49.1</v>
      </c>
      <c r="C493" t="inlineStr">
        <is>
          <t>758</t>
        </is>
      </c>
      <c r="D493" t="n">
        <v>7.58</v>
      </c>
      <c r="E493">
        <f>MEDIAN(D473:D513)</f>
        <v/>
      </c>
      <c r="F493">
        <f>E473</f>
        <v/>
      </c>
      <c r="G493">
        <f>F493-E493</f>
        <v/>
      </c>
      <c r="H493">
        <f>IF(OR(NOT(ISNUMBER(D493)),ABS(D493-E493)&gt;$O$3,AND($O$11=1,B493&lt;$O$12)),1,0)</f>
        <v/>
      </c>
      <c r="I493">
        <f>IF(H493=1,NA(),D493)</f>
        <v/>
      </c>
      <c r="J493">
        <f>IF(AND(ISNUMBER(D493),D493&gt;=$O$4,OR($O$11=0,B493&gt;=$O$12)),1,0)</f>
        <v/>
      </c>
      <c r="K493">
        <f>B493-$O$14</f>
        <v/>
      </c>
    </row>
    <row r="494">
      <c r="A494" t="n">
        <v>1476</v>
      </c>
      <c r="B494" t="n">
        <v>49.2</v>
      </c>
      <c r="C494" t="inlineStr">
        <is>
          <t>759</t>
        </is>
      </c>
      <c r="D494" t="n">
        <v>7.59</v>
      </c>
      <c r="E494">
        <f>MEDIAN(D474:D514)</f>
        <v/>
      </c>
      <c r="F494">
        <f>E474</f>
        <v/>
      </c>
      <c r="G494">
        <f>F494-E494</f>
        <v/>
      </c>
      <c r="H494">
        <f>IF(OR(NOT(ISNUMBER(D494)),ABS(D494-E494)&gt;$O$3,AND($O$11=1,B494&lt;$O$12)),1,0)</f>
        <v/>
      </c>
      <c r="I494">
        <f>IF(H494=1,NA(),D494)</f>
        <v/>
      </c>
      <c r="J494">
        <f>IF(AND(ISNUMBER(D494),D494&gt;=$O$4,OR($O$11=0,B494&gt;=$O$12)),1,0)</f>
        <v/>
      </c>
      <c r="K494">
        <f>B494-$O$14</f>
        <v/>
      </c>
    </row>
    <row r="495">
      <c r="A495" t="n">
        <v>1479</v>
      </c>
      <c r="B495" t="n">
        <v>49.3</v>
      </c>
      <c r="C495" t="inlineStr">
        <is>
          <t>759</t>
        </is>
      </c>
      <c r="D495" t="n">
        <v>7.59</v>
      </c>
      <c r="E495">
        <f>MEDIAN(D475:D515)</f>
        <v/>
      </c>
      <c r="F495">
        <f>E475</f>
        <v/>
      </c>
      <c r="G495">
        <f>F495-E495</f>
        <v/>
      </c>
      <c r="H495">
        <f>IF(OR(NOT(ISNUMBER(D495)),ABS(D495-E495)&gt;$O$3,AND($O$11=1,B495&lt;$O$12)),1,0)</f>
        <v/>
      </c>
      <c r="I495">
        <f>IF(H495=1,NA(),D495)</f>
        <v/>
      </c>
      <c r="J495">
        <f>IF(AND(ISNUMBER(D495),D495&gt;=$O$4,OR($O$11=0,B495&gt;=$O$12)),1,0)</f>
        <v/>
      </c>
      <c r="K495">
        <f>B495-$O$14</f>
        <v/>
      </c>
    </row>
    <row r="496">
      <c r="A496" t="n">
        <v>1482</v>
      </c>
      <c r="B496" t="n">
        <v>49.4</v>
      </c>
      <c r="C496" t="inlineStr">
        <is>
          <t>760</t>
        </is>
      </c>
      <c r="D496" t="n">
        <v>7.6</v>
      </c>
      <c r="E496">
        <f>MEDIAN(D476:D516)</f>
        <v/>
      </c>
      <c r="F496">
        <f>E476</f>
        <v/>
      </c>
      <c r="G496">
        <f>F496-E496</f>
        <v/>
      </c>
      <c r="H496">
        <f>IF(OR(NOT(ISNUMBER(D496)),ABS(D496-E496)&gt;$O$3,AND($O$11=1,B496&lt;$O$12)),1,0)</f>
        <v/>
      </c>
      <c r="I496">
        <f>IF(H496=1,NA(),D496)</f>
        <v/>
      </c>
      <c r="J496">
        <f>IF(AND(ISNUMBER(D496),D496&gt;=$O$4,OR($O$11=0,B496&gt;=$O$12)),1,0)</f>
        <v/>
      </c>
      <c r="K496">
        <f>B496-$O$14</f>
        <v/>
      </c>
    </row>
    <row r="497">
      <c r="A497" t="n">
        <v>1485</v>
      </c>
      <c r="B497" t="n">
        <v>49.5</v>
      </c>
      <c r="C497" t="inlineStr">
        <is>
          <t>759</t>
        </is>
      </c>
      <c r="D497" t="n">
        <v>7.59</v>
      </c>
      <c r="E497">
        <f>MEDIAN(D477:D517)</f>
        <v/>
      </c>
      <c r="F497">
        <f>E477</f>
        <v/>
      </c>
      <c r="G497">
        <f>F497-E497</f>
        <v/>
      </c>
      <c r="H497">
        <f>IF(OR(NOT(ISNUMBER(D497)),ABS(D497-E497)&gt;$O$3,AND($O$11=1,B497&lt;$O$12)),1,0)</f>
        <v/>
      </c>
      <c r="I497">
        <f>IF(H497=1,NA(),D497)</f>
        <v/>
      </c>
      <c r="J497">
        <f>IF(AND(ISNUMBER(D497),D497&gt;=$O$4,OR($O$11=0,B497&gt;=$O$12)),1,0)</f>
        <v/>
      </c>
      <c r="K497">
        <f>B497-$O$14</f>
        <v/>
      </c>
    </row>
    <row r="498">
      <c r="A498" t="n">
        <v>1488</v>
      </c>
      <c r="B498" t="n">
        <v>49.6</v>
      </c>
      <c r="C498" t="inlineStr">
        <is>
          <t>759</t>
        </is>
      </c>
      <c r="D498" t="n">
        <v>7.59</v>
      </c>
      <c r="E498">
        <f>MEDIAN(D478:D518)</f>
        <v/>
      </c>
      <c r="F498">
        <f>E478</f>
        <v/>
      </c>
      <c r="G498">
        <f>F498-E498</f>
        <v/>
      </c>
      <c r="H498">
        <f>IF(OR(NOT(ISNUMBER(D498)),ABS(D498-E498)&gt;$O$3,AND($O$11=1,B498&lt;$O$12)),1,0)</f>
        <v/>
      </c>
      <c r="I498">
        <f>IF(H498=1,NA(),D498)</f>
        <v/>
      </c>
      <c r="J498">
        <f>IF(AND(ISNUMBER(D498),D498&gt;=$O$4,OR($O$11=0,B498&gt;=$O$12)),1,0)</f>
        <v/>
      </c>
      <c r="K498">
        <f>B498-$O$14</f>
        <v/>
      </c>
    </row>
    <row r="499">
      <c r="A499" t="n">
        <v>1491</v>
      </c>
      <c r="B499" t="n">
        <v>49.7</v>
      </c>
      <c r="C499" t="inlineStr">
        <is>
          <t>759</t>
        </is>
      </c>
      <c r="D499" t="n">
        <v>7.59</v>
      </c>
      <c r="E499">
        <f>MEDIAN(D479:D519)</f>
        <v/>
      </c>
      <c r="F499">
        <f>E479</f>
        <v/>
      </c>
      <c r="G499">
        <f>F499-E499</f>
        <v/>
      </c>
      <c r="H499">
        <f>IF(OR(NOT(ISNUMBER(D499)),ABS(D499-E499)&gt;$O$3,AND($O$11=1,B499&lt;$O$12)),1,0)</f>
        <v/>
      </c>
      <c r="I499">
        <f>IF(H499=1,NA(),D499)</f>
        <v/>
      </c>
      <c r="J499">
        <f>IF(AND(ISNUMBER(D499),D499&gt;=$O$4,OR($O$11=0,B499&gt;=$O$12)),1,0)</f>
        <v/>
      </c>
      <c r="K499">
        <f>B499-$O$14</f>
        <v/>
      </c>
    </row>
    <row r="500">
      <c r="A500" t="n">
        <v>1494</v>
      </c>
      <c r="B500" t="n">
        <v>49.8</v>
      </c>
      <c r="C500" t="inlineStr">
        <is>
          <t>760</t>
        </is>
      </c>
      <c r="D500" t="n">
        <v>7.6</v>
      </c>
      <c r="E500">
        <f>MEDIAN(D480:D520)</f>
        <v/>
      </c>
      <c r="F500">
        <f>E480</f>
        <v/>
      </c>
      <c r="G500">
        <f>F500-E500</f>
        <v/>
      </c>
      <c r="H500">
        <f>IF(OR(NOT(ISNUMBER(D500)),ABS(D500-E500)&gt;$O$3,AND($O$11=1,B500&lt;$O$12)),1,0)</f>
        <v/>
      </c>
      <c r="I500">
        <f>IF(H500=1,NA(),D500)</f>
        <v/>
      </c>
      <c r="J500">
        <f>IF(AND(ISNUMBER(D500),D500&gt;=$O$4,OR($O$11=0,B500&gt;=$O$12)),1,0)</f>
        <v/>
      </c>
      <c r="K500">
        <f>B500-$O$14</f>
        <v/>
      </c>
    </row>
    <row r="501">
      <c r="A501" t="n">
        <v>1497</v>
      </c>
      <c r="B501" t="n">
        <v>49.9</v>
      </c>
      <c r="C501" t="inlineStr">
        <is>
          <t>760</t>
        </is>
      </c>
      <c r="D501" t="n">
        <v>7.6</v>
      </c>
      <c r="E501">
        <f>MEDIAN(D481:D521)</f>
        <v/>
      </c>
      <c r="F501">
        <f>E481</f>
        <v/>
      </c>
      <c r="G501">
        <f>F501-E501</f>
        <v/>
      </c>
      <c r="H501">
        <f>IF(OR(NOT(ISNUMBER(D501)),ABS(D501-E501)&gt;$O$3,AND($O$11=1,B501&lt;$O$12)),1,0)</f>
        <v/>
      </c>
      <c r="I501">
        <f>IF(H501=1,NA(),D501)</f>
        <v/>
      </c>
      <c r="J501">
        <f>IF(AND(ISNUMBER(D501),D501&gt;=$O$4,OR($O$11=0,B501&gt;=$O$12)),1,0)</f>
        <v/>
      </c>
      <c r="K501">
        <f>B501-$O$14</f>
        <v/>
      </c>
    </row>
    <row r="502">
      <c r="A502" t="n">
        <v>1500</v>
      </c>
      <c r="B502" t="n">
        <v>50</v>
      </c>
      <c r="C502" t="inlineStr">
        <is>
          <t>760</t>
        </is>
      </c>
      <c r="D502" t="n">
        <v>7.6</v>
      </c>
      <c r="E502">
        <f>MEDIAN(D482:D522)</f>
        <v/>
      </c>
      <c r="F502">
        <f>E482</f>
        <v/>
      </c>
      <c r="G502">
        <f>F502-E502</f>
        <v/>
      </c>
      <c r="H502">
        <f>IF(OR(NOT(ISNUMBER(D502)),ABS(D502-E502)&gt;$O$3,AND($O$11=1,B502&lt;$O$12)),1,0)</f>
        <v/>
      </c>
      <c r="I502">
        <f>IF(H502=1,NA(),D502)</f>
        <v/>
      </c>
      <c r="J502">
        <f>IF(AND(ISNUMBER(D502),D502&gt;=$O$4,OR($O$11=0,B502&gt;=$O$12)),1,0)</f>
        <v/>
      </c>
      <c r="K502">
        <f>B502-$O$14</f>
        <v/>
      </c>
    </row>
    <row r="503">
      <c r="A503" t="n">
        <v>1503</v>
      </c>
      <c r="B503" t="n">
        <v>50.1</v>
      </c>
      <c r="C503" t="inlineStr">
        <is>
          <t>761</t>
        </is>
      </c>
      <c r="D503" t="n">
        <v>7.61</v>
      </c>
      <c r="E503">
        <f>MEDIAN(D483:D523)</f>
        <v/>
      </c>
      <c r="F503">
        <f>E483</f>
        <v/>
      </c>
      <c r="G503">
        <f>F503-E503</f>
        <v/>
      </c>
      <c r="H503">
        <f>IF(OR(NOT(ISNUMBER(D503)),ABS(D503-E503)&gt;$O$3,AND($O$11=1,B503&lt;$O$12)),1,0)</f>
        <v/>
      </c>
      <c r="I503">
        <f>IF(H503=1,NA(),D503)</f>
        <v/>
      </c>
      <c r="J503">
        <f>IF(AND(ISNUMBER(D503),D503&gt;=$O$4,OR($O$11=0,B503&gt;=$O$12)),1,0)</f>
        <v/>
      </c>
      <c r="K503">
        <f>B503-$O$14</f>
        <v/>
      </c>
    </row>
    <row r="504">
      <c r="A504" t="n">
        <v>1506</v>
      </c>
      <c r="B504" t="n">
        <v>50.2</v>
      </c>
      <c r="C504" t="inlineStr">
        <is>
          <t>761</t>
        </is>
      </c>
      <c r="D504" t="n">
        <v>7.61</v>
      </c>
      <c r="E504">
        <f>MEDIAN(D484:D524)</f>
        <v/>
      </c>
      <c r="F504">
        <f>E484</f>
        <v/>
      </c>
      <c r="G504">
        <f>F504-E504</f>
        <v/>
      </c>
      <c r="H504">
        <f>IF(OR(NOT(ISNUMBER(D504)),ABS(D504-E504)&gt;$O$3,AND($O$11=1,B504&lt;$O$12)),1,0)</f>
        <v/>
      </c>
      <c r="I504">
        <f>IF(H504=1,NA(),D504)</f>
        <v/>
      </c>
      <c r="J504">
        <f>IF(AND(ISNUMBER(D504),D504&gt;=$O$4,OR($O$11=0,B504&gt;=$O$12)),1,0)</f>
        <v/>
      </c>
      <c r="K504">
        <f>B504-$O$14</f>
        <v/>
      </c>
    </row>
    <row r="505">
      <c r="A505" t="n">
        <v>1509</v>
      </c>
      <c r="B505" t="n">
        <v>50.3</v>
      </c>
      <c r="C505" t="inlineStr">
        <is>
          <t>761</t>
        </is>
      </c>
      <c r="D505" t="n">
        <v>7.61</v>
      </c>
      <c r="E505">
        <f>MEDIAN(D485:D525)</f>
        <v/>
      </c>
      <c r="F505">
        <f>E485</f>
        <v/>
      </c>
      <c r="G505">
        <f>F505-E505</f>
        <v/>
      </c>
      <c r="H505">
        <f>IF(OR(NOT(ISNUMBER(D505)),ABS(D505-E505)&gt;$O$3,AND($O$11=1,B505&lt;$O$12)),1,0)</f>
        <v/>
      </c>
      <c r="I505">
        <f>IF(H505=1,NA(),D505)</f>
        <v/>
      </c>
      <c r="J505">
        <f>IF(AND(ISNUMBER(D505),D505&gt;=$O$4,OR($O$11=0,B505&gt;=$O$12)),1,0)</f>
        <v/>
      </c>
      <c r="K505">
        <f>B505-$O$14</f>
        <v/>
      </c>
    </row>
    <row r="506">
      <c r="A506" t="n">
        <v>1512</v>
      </c>
      <c r="B506" t="n">
        <v>50.4</v>
      </c>
      <c r="C506" t="inlineStr">
        <is>
          <t>761</t>
        </is>
      </c>
      <c r="D506" t="n">
        <v>7.61</v>
      </c>
      <c r="E506">
        <f>MEDIAN(D486:D526)</f>
        <v/>
      </c>
      <c r="F506">
        <f>E486</f>
        <v/>
      </c>
      <c r="G506">
        <f>F506-E506</f>
        <v/>
      </c>
      <c r="H506">
        <f>IF(OR(NOT(ISNUMBER(D506)),ABS(D506-E506)&gt;$O$3,AND($O$11=1,B506&lt;$O$12)),1,0)</f>
        <v/>
      </c>
      <c r="I506">
        <f>IF(H506=1,NA(),D506)</f>
        <v/>
      </c>
      <c r="J506">
        <f>IF(AND(ISNUMBER(D506),D506&gt;=$O$4,OR($O$11=0,B506&gt;=$O$12)),1,0)</f>
        <v/>
      </c>
      <c r="K506">
        <f>B506-$O$14</f>
        <v/>
      </c>
    </row>
    <row r="507">
      <c r="A507" t="n">
        <v>1515</v>
      </c>
      <c r="B507" t="n">
        <v>50.5</v>
      </c>
      <c r="C507" t="inlineStr">
        <is>
          <t>762</t>
        </is>
      </c>
      <c r="D507" t="n">
        <v>7.62</v>
      </c>
      <c r="E507">
        <f>MEDIAN(D487:D527)</f>
        <v/>
      </c>
      <c r="F507">
        <f>E487</f>
        <v/>
      </c>
      <c r="G507">
        <f>F507-E507</f>
        <v/>
      </c>
      <c r="H507">
        <f>IF(OR(NOT(ISNUMBER(D507)),ABS(D507-E507)&gt;$O$3,AND($O$11=1,B507&lt;$O$12)),1,0)</f>
        <v/>
      </c>
      <c r="I507">
        <f>IF(H507=1,NA(),D507)</f>
        <v/>
      </c>
      <c r="J507">
        <f>IF(AND(ISNUMBER(D507),D507&gt;=$O$4,OR($O$11=0,B507&gt;=$O$12)),1,0)</f>
        <v/>
      </c>
      <c r="K507">
        <f>B507-$O$14</f>
        <v/>
      </c>
    </row>
    <row r="508">
      <c r="A508" t="n">
        <v>1518</v>
      </c>
      <c r="B508" t="n">
        <v>50.6</v>
      </c>
      <c r="C508" t="inlineStr">
        <is>
          <t>762</t>
        </is>
      </c>
      <c r="D508" t="n">
        <v>7.62</v>
      </c>
      <c r="E508">
        <f>MEDIAN(D488:D528)</f>
        <v/>
      </c>
      <c r="F508">
        <f>E488</f>
        <v/>
      </c>
      <c r="G508">
        <f>F508-E508</f>
        <v/>
      </c>
      <c r="H508">
        <f>IF(OR(NOT(ISNUMBER(D508)),ABS(D508-E508)&gt;$O$3,AND($O$11=1,B508&lt;$O$12)),1,0)</f>
        <v/>
      </c>
      <c r="I508">
        <f>IF(H508=1,NA(),D508)</f>
        <v/>
      </c>
      <c r="J508">
        <f>IF(AND(ISNUMBER(D508),D508&gt;=$O$4,OR($O$11=0,B508&gt;=$O$12)),1,0)</f>
        <v/>
      </c>
      <c r="K508">
        <f>B508-$O$14</f>
        <v/>
      </c>
    </row>
    <row r="509">
      <c r="A509" t="n">
        <v>1521</v>
      </c>
      <c r="B509" t="n">
        <v>50.7</v>
      </c>
      <c r="C509" t="inlineStr">
        <is>
          <t>762</t>
        </is>
      </c>
      <c r="D509" t="n">
        <v>7.62</v>
      </c>
      <c r="E509">
        <f>MEDIAN(D489:D529)</f>
        <v/>
      </c>
      <c r="F509">
        <f>E489</f>
        <v/>
      </c>
      <c r="G509">
        <f>F509-E509</f>
        <v/>
      </c>
      <c r="H509">
        <f>IF(OR(NOT(ISNUMBER(D509)),ABS(D509-E509)&gt;$O$3,AND($O$11=1,B509&lt;$O$12)),1,0)</f>
        <v/>
      </c>
      <c r="I509">
        <f>IF(H509=1,NA(),D509)</f>
        <v/>
      </c>
      <c r="J509">
        <f>IF(AND(ISNUMBER(D509),D509&gt;=$O$4,OR($O$11=0,B509&gt;=$O$12)),1,0)</f>
        <v/>
      </c>
      <c r="K509">
        <f>B509-$O$14</f>
        <v/>
      </c>
    </row>
    <row r="510">
      <c r="A510" t="n">
        <v>1524</v>
      </c>
      <c r="B510" t="n">
        <v>50.8</v>
      </c>
      <c r="C510" t="inlineStr">
        <is>
          <t>762</t>
        </is>
      </c>
      <c r="D510" t="n">
        <v>7.62</v>
      </c>
      <c r="E510">
        <f>MEDIAN(D490:D530)</f>
        <v/>
      </c>
      <c r="F510">
        <f>E490</f>
        <v/>
      </c>
      <c r="G510">
        <f>F510-E510</f>
        <v/>
      </c>
      <c r="H510">
        <f>IF(OR(NOT(ISNUMBER(D510)),ABS(D510-E510)&gt;$O$3,AND($O$11=1,B510&lt;$O$12)),1,0)</f>
        <v/>
      </c>
      <c r="I510">
        <f>IF(H510=1,NA(),D510)</f>
        <v/>
      </c>
      <c r="J510">
        <f>IF(AND(ISNUMBER(D510),D510&gt;=$O$4,OR($O$11=0,B510&gt;=$O$12)),1,0)</f>
        <v/>
      </c>
      <c r="K510">
        <f>B510-$O$14</f>
        <v/>
      </c>
    </row>
    <row r="511">
      <c r="A511" t="n">
        <v>1527</v>
      </c>
      <c r="B511" t="n">
        <v>50.9</v>
      </c>
      <c r="C511" t="inlineStr">
        <is>
          <t>763</t>
        </is>
      </c>
      <c r="D511" t="n">
        <v>7.63</v>
      </c>
      <c r="E511">
        <f>MEDIAN(D491:D531)</f>
        <v/>
      </c>
      <c r="F511">
        <f>E491</f>
        <v/>
      </c>
      <c r="G511">
        <f>F511-E511</f>
        <v/>
      </c>
      <c r="H511">
        <f>IF(OR(NOT(ISNUMBER(D511)),ABS(D511-E511)&gt;$O$3,AND($O$11=1,B511&lt;$O$12)),1,0)</f>
        <v/>
      </c>
      <c r="I511">
        <f>IF(H511=1,NA(),D511)</f>
        <v/>
      </c>
      <c r="J511">
        <f>IF(AND(ISNUMBER(D511),D511&gt;=$O$4,OR($O$11=0,B511&gt;=$O$12)),1,0)</f>
        <v/>
      </c>
      <c r="K511">
        <f>B511-$O$14</f>
        <v/>
      </c>
    </row>
    <row r="512">
      <c r="A512" t="n">
        <v>1530</v>
      </c>
      <c r="B512" t="n">
        <v>51</v>
      </c>
      <c r="C512" t="inlineStr">
        <is>
          <t>763</t>
        </is>
      </c>
      <c r="D512" t="n">
        <v>7.63</v>
      </c>
      <c r="E512">
        <f>MEDIAN(D492:D532)</f>
        <v/>
      </c>
      <c r="F512">
        <f>E492</f>
        <v/>
      </c>
      <c r="G512">
        <f>F512-E512</f>
        <v/>
      </c>
      <c r="H512">
        <f>IF(OR(NOT(ISNUMBER(D512)),ABS(D512-E512)&gt;$O$3,AND($O$11=1,B512&lt;$O$12)),1,0)</f>
        <v/>
      </c>
      <c r="I512">
        <f>IF(H512=1,NA(),D512)</f>
        <v/>
      </c>
      <c r="J512">
        <f>IF(AND(ISNUMBER(D512),D512&gt;=$O$4,OR($O$11=0,B512&gt;=$O$12)),1,0)</f>
        <v/>
      </c>
      <c r="K512">
        <f>B512-$O$14</f>
        <v/>
      </c>
    </row>
    <row r="513">
      <c r="A513" t="n">
        <v>1533</v>
      </c>
      <c r="B513" t="n">
        <v>51.1</v>
      </c>
      <c r="C513" t="inlineStr">
        <is>
          <t>763</t>
        </is>
      </c>
      <c r="D513" t="n">
        <v>7.63</v>
      </c>
      <c r="E513">
        <f>MEDIAN(D493:D533)</f>
        <v/>
      </c>
      <c r="F513">
        <f>E493</f>
        <v/>
      </c>
      <c r="G513">
        <f>F513-E513</f>
        <v/>
      </c>
      <c r="H513">
        <f>IF(OR(NOT(ISNUMBER(D513)),ABS(D513-E513)&gt;$O$3,AND($O$11=1,B513&lt;$O$12)),1,0)</f>
        <v/>
      </c>
      <c r="I513">
        <f>IF(H513=1,NA(),D513)</f>
        <v/>
      </c>
      <c r="J513">
        <f>IF(AND(ISNUMBER(D513),D513&gt;=$O$4,OR($O$11=0,B513&gt;=$O$12)),1,0)</f>
        <v/>
      </c>
      <c r="K513">
        <f>B513-$O$14</f>
        <v/>
      </c>
    </row>
    <row r="514">
      <c r="A514" t="n">
        <v>1536</v>
      </c>
      <c r="B514" t="n">
        <v>51.2</v>
      </c>
      <c r="C514" t="inlineStr">
        <is>
          <t>763</t>
        </is>
      </c>
      <c r="D514" t="n">
        <v>7.63</v>
      </c>
      <c r="E514">
        <f>MEDIAN(D494:D534)</f>
        <v/>
      </c>
      <c r="F514">
        <f>E494</f>
        <v/>
      </c>
      <c r="G514">
        <f>F514-E514</f>
        <v/>
      </c>
      <c r="H514">
        <f>IF(OR(NOT(ISNUMBER(D514)),ABS(D514-E514)&gt;$O$3,AND($O$11=1,B514&lt;$O$12)),1,0)</f>
        <v/>
      </c>
      <c r="I514">
        <f>IF(H514=1,NA(),D514)</f>
        <v/>
      </c>
      <c r="J514">
        <f>IF(AND(ISNUMBER(D514),D514&gt;=$O$4,OR($O$11=0,B514&gt;=$O$12)),1,0)</f>
        <v/>
      </c>
      <c r="K514">
        <f>B514-$O$14</f>
        <v/>
      </c>
    </row>
    <row r="515">
      <c r="A515" t="n">
        <v>1539</v>
      </c>
      <c r="B515" t="n">
        <v>51.3</v>
      </c>
      <c r="C515" t="inlineStr">
        <is>
          <t>764</t>
        </is>
      </c>
      <c r="D515" t="n">
        <v>7.64</v>
      </c>
      <c r="E515">
        <f>MEDIAN(D495:D535)</f>
        <v/>
      </c>
      <c r="F515">
        <f>E495</f>
        <v/>
      </c>
      <c r="G515">
        <f>F515-E515</f>
        <v/>
      </c>
      <c r="H515">
        <f>IF(OR(NOT(ISNUMBER(D515)),ABS(D515-E515)&gt;$O$3,AND($O$11=1,B515&lt;$O$12)),1,0)</f>
        <v/>
      </c>
      <c r="I515">
        <f>IF(H515=1,NA(),D515)</f>
        <v/>
      </c>
      <c r="J515">
        <f>IF(AND(ISNUMBER(D515),D515&gt;=$O$4,OR($O$11=0,B515&gt;=$O$12)),1,0)</f>
        <v/>
      </c>
      <c r="K515">
        <f>B515-$O$14</f>
        <v/>
      </c>
    </row>
    <row r="516">
      <c r="A516" t="n">
        <v>1542</v>
      </c>
      <c r="B516" t="n">
        <v>51.4</v>
      </c>
      <c r="C516" t="inlineStr">
        <is>
          <t>764</t>
        </is>
      </c>
      <c r="D516" t="n">
        <v>7.64</v>
      </c>
      <c r="E516">
        <f>MEDIAN(D496:D536)</f>
        <v/>
      </c>
      <c r="F516">
        <f>E496</f>
        <v/>
      </c>
      <c r="G516">
        <f>F516-E516</f>
        <v/>
      </c>
      <c r="H516">
        <f>IF(OR(NOT(ISNUMBER(D516)),ABS(D516-E516)&gt;$O$3,AND($O$11=1,B516&lt;$O$12)),1,0)</f>
        <v/>
      </c>
      <c r="I516">
        <f>IF(H516=1,NA(),D516)</f>
        <v/>
      </c>
      <c r="J516">
        <f>IF(AND(ISNUMBER(D516),D516&gt;=$O$4,OR($O$11=0,B516&gt;=$O$12)),1,0)</f>
        <v/>
      </c>
      <c r="K516">
        <f>B516-$O$14</f>
        <v/>
      </c>
    </row>
    <row r="517">
      <c r="A517" t="n">
        <v>1545</v>
      </c>
      <c r="B517" t="n">
        <v>51.5</v>
      </c>
      <c r="C517" t="inlineStr">
        <is>
          <t>764</t>
        </is>
      </c>
      <c r="D517" t="n">
        <v>7.64</v>
      </c>
      <c r="E517">
        <f>MEDIAN(D497:D537)</f>
        <v/>
      </c>
      <c r="F517">
        <f>E497</f>
        <v/>
      </c>
      <c r="G517">
        <f>F517-E517</f>
        <v/>
      </c>
      <c r="H517">
        <f>IF(OR(NOT(ISNUMBER(D517)),ABS(D517-E517)&gt;$O$3,AND($O$11=1,B517&lt;$O$12)),1,0)</f>
        <v/>
      </c>
      <c r="I517">
        <f>IF(H517=1,NA(),D517)</f>
        <v/>
      </c>
      <c r="J517">
        <f>IF(AND(ISNUMBER(D517),D517&gt;=$O$4,OR($O$11=0,B517&gt;=$O$12)),1,0)</f>
        <v/>
      </c>
      <c r="K517">
        <f>B517-$O$14</f>
        <v/>
      </c>
    </row>
    <row r="518">
      <c r="A518" t="n">
        <v>1548</v>
      </c>
      <c r="B518" t="n">
        <v>51.6</v>
      </c>
      <c r="C518" t="inlineStr">
        <is>
          <t>765</t>
        </is>
      </c>
      <c r="D518" t="n">
        <v>7.65</v>
      </c>
      <c r="E518">
        <f>MEDIAN(D498:D538)</f>
        <v/>
      </c>
      <c r="F518">
        <f>E498</f>
        <v/>
      </c>
      <c r="G518">
        <f>F518-E518</f>
        <v/>
      </c>
      <c r="H518">
        <f>IF(OR(NOT(ISNUMBER(D518)),ABS(D518-E518)&gt;$O$3,AND($O$11=1,B518&lt;$O$12)),1,0)</f>
        <v/>
      </c>
      <c r="I518">
        <f>IF(H518=1,NA(),D518)</f>
        <v/>
      </c>
      <c r="J518">
        <f>IF(AND(ISNUMBER(D518),D518&gt;=$O$4,OR($O$11=0,B518&gt;=$O$12)),1,0)</f>
        <v/>
      </c>
      <c r="K518">
        <f>B518-$O$14</f>
        <v/>
      </c>
    </row>
    <row r="519">
      <c r="A519" t="n">
        <v>1551</v>
      </c>
      <c r="B519" t="n">
        <v>51.7</v>
      </c>
      <c r="C519" t="inlineStr">
        <is>
          <t>765</t>
        </is>
      </c>
      <c r="D519" t="n">
        <v>7.65</v>
      </c>
      <c r="E519">
        <f>MEDIAN(D499:D539)</f>
        <v/>
      </c>
      <c r="F519">
        <f>E499</f>
        <v/>
      </c>
      <c r="G519">
        <f>F519-E519</f>
        <v/>
      </c>
      <c r="H519">
        <f>IF(OR(NOT(ISNUMBER(D519)),ABS(D519-E519)&gt;$O$3,AND($O$11=1,B519&lt;$O$12)),1,0)</f>
        <v/>
      </c>
      <c r="I519">
        <f>IF(H519=1,NA(),D519)</f>
        <v/>
      </c>
      <c r="J519">
        <f>IF(AND(ISNUMBER(D519),D519&gt;=$O$4,OR($O$11=0,B519&gt;=$O$12)),1,0)</f>
        <v/>
      </c>
      <c r="K519">
        <f>B519-$O$14</f>
        <v/>
      </c>
    </row>
    <row r="520">
      <c r="A520" t="n">
        <v>1554</v>
      </c>
      <c r="B520" t="n">
        <v>51.8</v>
      </c>
      <c r="C520" t="inlineStr">
        <is>
          <t>765</t>
        </is>
      </c>
      <c r="D520" t="n">
        <v>7.65</v>
      </c>
      <c r="E520">
        <f>MEDIAN(D500:D540)</f>
        <v/>
      </c>
      <c r="F520">
        <f>E500</f>
        <v/>
      </c>
      <c r="G520">
        <f>F520-E520</f>
        <v/>
      </c>
      <c r="H520">
        <f>IF(OR(NOT(ISNUMBER(D520)),ABS(D520-E520)&gt;$O$3,AND($O$11=1,B520&lt;$O$12)),1,0)</f>
        <v/>
      </c>
      <c r="I520">
        <f>IF(H520=1,NA(),D520)</f>
        <v/>
      </c>
      <c r="J520">
        <f>IF(AND(ISNUMBER(D520),D520&gt;=$O$4,OR($O$11=0,B520&gt;=$O$12)),1,0)</f>
        <v/>
      </c>
      <c r="K520">
        <f>B520-$O$14</f>
        <v/>
      </c>
    </row>
    <row r="521">
      <c r="A521" t="n">
        <v>1557</v>
      </c>
      <c r="B521" t="n">
        <v>51.9</v>
      </c>
      <c r="C521" t="inlineStr">
        <is>
          <t>765</t>
        </is>
      </c>
      <c r="D521" t="n">
        <v>7.65</v>
      </c>
      <c r="E521">
        <f>MEDIAN(D501:D541)</f>
        <v/>
      </c>
      <c r="F521">
        <f>E501</f>
        <v/>
      </c>
      <c r="G521">
        <f>F521-E521</f>
        <v/>
      </c>
      <c r="H521">
        <f>IF(OR(NOT(ISNUMBER(D521)),ABS(D521-E521)&gt;$O$3,AND($O$11=1,B521&lt;$O$12)),1,0)</f>
        <v/>
      </c>
      <c r="I521">
        <f>IF(H521=1,NA(),D521)</f>
        <v/>
      </c>
      <c r="J521">
        <f>IF(AND(ISNUMBER(D521),D521&gt;=$O$4,OR($O$11=0,B521&gt;=$O$12)),1,0)</f>
        <v/>
      </c>
      <c r="K521">
        <f>B521-$O$14</f>
        <v/>
      </c>
    </row>
    <row r="522">
      <c r="A522" t="n">
        <v>1560</v>
      </c>
      <c r="B522" t="n">
        <v>52</v>
      </c>
      <c r="C522" t="inlineStr">
        <is>
          <t>766</t>
        </is>
      </c>
      <c r="D522" t="n">
        <v>7.66</v>
      </c>
      <c r="E522">
        <f>MEDIAN(D502:D542)</f>
        <v/>
      </c>
      <c r="F522">
        <f>E502</f>
        <v/>
      </c>
      <c r="G522">
        <f>F522-E522</f>
        <v/>
      </c>
      <c r="H522">
        <f>IF(OR(NOT(ISNUMBER(D522)),ABS(D522-E522)&gt;$O$3,AND($O$11=1,B522&lt;$O$12)),1,0)</f>
        <v/>
      </c>
      <c r="I522">
        <f>IF(H522=1,NA(),D522)</f>
        <v/>
      </c>
      <c r="J522">
        <f>IF(AND(ISNUMBER(D522),D522&gt;=$O$4,OR($O$11=0,B522&gt;=$O$12)),1,0)</f>
        <v/>
      </c>
      <c r="K522">
        <f>B522-$O$14</f>
        <v/>
      </c>
    </row>
    <row r="523">
      <c r="A523" t="n">
        <v>1563</v>
      </c>
      <c r="B523" t="n">
        <v>52.1</v>
      </c>
      <c r="C523" t="inlineStr">
        <is>
          <t>766</t>
        </is>
      </c>
      <c r="D523" t="n">
        <v>7.66</v>
      </c>
      <c r="E523">
        <f>MEDIAN(D503:D543)</f>
        <v/>
      </c>
      <c r="F523">
        <f>E503</f>
        <v/>
      </c>
      <c r="G523">
        <f>F523-E523</f>
        <v/>
      </c>
      <c r="H523">
        <f>IF(OR(NOT(ISNUMBER(D523)),ABS(D523-E523)&gt;$O$3,AND($O$11=1,B523&lt;$O$12)),1,0)</f>
        <v/>
      </c>
      <c r="I523">
        <f>IF(H523=1,NA(),D523)</f>
        <v/>
      </c>
      <c r="J523">
        <f>IF(AND(ISNUMBER(D523),D523&gt;=$O$4,OR($O$11=0,B523&gt;=$O$12)),1,0)</f>
        <v/>
      </c>
      <c r="K523">
        <f>B523-$O$14</f>
        <v/>
      </c>
    </row>
    <row r="524">
      <c r="A524" t="n">
        <v>1566</v>
      </c>
      <c r="B524" t="n">
        <v>52.2</v>
      </c>
      <c r="C524" t="inlineStr">
        <is>
          <t>766</t>
        </is>
      </c>
      <c r="D524" t="n">
        <v>7.66</v>
      </c>
      <c r="E524">
        <f>MEDIAN(D504:D544)</f>
        <v/>
      </c>
      <c r="F524">
        <f>E504</f>
        <v/>
      </c>
      <c r="G524">
        <f>F524-E524</f>
        <v/>
      </c>
      <c r="H524">
        <f>IF(OR(NOT(ISNUMBER(D524)),ABS(D524-E524)&gt;$O$3,AND($O$11=1,B524&lt;$O$12)),1,0)</f>
        <v/>
      </c>
      <c r="I524">
        <f>IF(H524=1,NA(),D524)</f>
        <v/>
      </c>
      <c r="J524">
        <f>IF(AND(ISNUMBER(D524),D524&gt;=$O$4,OR($O$11=0,B524&gt;=$O$12)),1,0)</f>
        <v/>
      </c>
      <c r="K524">
        <f>B524-$O$14</f>
        <v/>
      </c>
    </row>
    <row r="525">
      <c r="A525" t="n">
        <v>1569</v>
      </c>
      <c r="B525" t="n">
        <v>52.3</v>
      </c>
      <c r="C525" t="inlineStr">
        <is>
          <t>766</t>
        </is>
      </c>
      <c r="D525" t="n">
        <v>7.66</v>
      </c>
      <c r="E525">
        <f>MEDIAN(D505:D545)</f>
        <v/>
      </c>
      <c r="F525">
        <f>E505</f>
        <v/>
      </c>
      <c r="G525">
        <f>F525-E525</f>
        <v/>
      </c>
      <c r="H525">
        <f>IF(OR(NOT(ISNUMBER(D525)),ABS(D525-E525)&gt;$O$3,AND($O$11=1,B525&lt;$O$12)),1,0)</f>
        <v/>
      </c>
      <c r="I525">
        <f>IF(H525=1,NA(),D525)</f>
        <v/>
      </c>
      <c r="J525">
        <f>IF(AND(ISNUMBER(D525),D525&gt;=$O$4,OR($O$11=0,B525&gt;=$O$12)),1,0)</f>
        <v/>
      </c>
      <c r="K525">
        <f>B525-$O$14</f>
        <v/>
      </c>
    </row>
    <row r="526">
      <c r="A526" t="n">
        <v>1572</v>
      </c>
      <c r="B526" t="n">
        <v>52.4</v>
      </c>
      <c r="C526" t="inlineStr">
        <is>
          <t>767</t>
        </is>
      </c>
      <c r="D526" t="n">
        <v>7.67</v>
      </c>
      <c r="E526">
        <f>MEDIAN(D506:D546)</f>
        <v/>
      </c>
      <c r="F526">
        <f>E506</f>
        <v/>
      </c>
      <c r="G526">
        <f>F526-E526</f>
        <v/>
      </c>
      <c r="H526">
        <f>IF(OR(NOT(ISNUMBER(D526)),ABS(D526-E526)&gt;$O$3,AND($O$11=1,B526&lt;$O$12)),1,0)</f>
        <v/>
      </c>
      <c r="I526">
        <f>IF(H526=1,NA(),D526)</f>
        <v/>
      </c>
      <c r="J526">
        <f>IF(AND(ISNUMBER(D526),D526&gt;=$O$4,OR($O$11=0,B526&gt;=$O$12)),1,0)</f>
        <v/>
      </c>
      <c r="K526">
        <f>B526-$O$14</f>
        <v/>
      </c>
    </row>
    <row r="527">
      <c r="A527" t="n">
        <v>1575</v>
      </c>
      <c r="B527" t="n">
        <v>52.5</v>
      </c>
      <c r="C527" t="inlineStr">
        <is>
          <t>767</t>
        </is>
      </c>
      <c r="D527" t="n">
        <v>7.67</v>
      </c>
      <c r="E527">
        <f>MEDIAN(D507:D547)</f>
        <v/>
      </c>
      <c r="F527">
        <f>E507</f>
        <v/>
      </c>
      <c r="G527">
        <f>F527-E527</f>
        <v/>
      </c>
      <c r="H527">
        <f>IF(OR(NOT(ISNUMBER(D527)),ABS(D527-E527)&gt;$O$3,AND($O$11=1,B527&lt;$O$12)),1,0)</f>
        <v/>
      </c>
      <c r="I527">
        <f>IF(H527=1,NA(),D527)</f>
        <v/>
      </c>
      <c r="J527">
        <f>IF(AND(ISNUMBER(D527),D527&gt;=$O$4,OR($O$11=0,B527&gt;=$O$12)),1,0)</f>
        <v/>
      </c>
      <c r="K527">
        <f>B527-$O$14</f>
        <v/>
      </c>
    </row>
    <row r="528">
      <c r="A528" t="n">
        <v>1578</v>
      </c>
      <c r="B528" t="n">
        <v>52.6</v>
      </c>
      <c r="C528" t="inlineStr">
        <is>
          <t>780</t>
        </is>
      </c>
      <c r="D528" t="n">
        <v>7.8</v>
      </c>
      <c r="E528">
        <f>MEDIAN(D508:D548)</f>
        <v/>
      </c>
      <c r="F528">
        <f>E508</f>
        <v/>
      </c>
      <c r="G528">
        <f>F528-E528</f>
        <v/>
      </c>
      <c r="H528">
        <f>IF(OR(NOT(ISNUMBER(D528)),ABS(D528-E528)&gt;$O$3,AND($O$11=1,B528&lt;$O$12)),1,0)</f>
        <v/>
      </c>
      <c r="I528">
        <f>IF(H528=1,NA(),D528)</f>
        <v/>
      </c>
      <c r="J528">
        <f>IF(AND(ISNUMBER(D528),D528&gt;=$O$4,OR($O$11=0,B528&gt;=$O$12)),1,0)</f>
        <v/>
      </c>
      <c r="K528">
        <f>B528-$O$14</f>
        <v/>
      </c>
    </row>
    <row r="529">
      <c r="A529" t="n">
        <v>1581</v>
      </c>
      <c r="B529" t="n">
        <v>52.7</v>
      </c>
      <c r="C529" t="inlineStr">
        <is>
          <t>770</t>
        </is>
      </c>
      <c r="D529" t="n">
        <v>7.7</v>
      </c>
      <c r="E529">
        <f>MEDIAN(D509:D549)</f>
        <v/>
      </c>
      <c r="F529">
        <f>E509</f>
        <v/>
      </c>
      <c r="G529">
        <f>F529-E529</f>
        <v/>
      </c>
      <c r="H529">
        <f>IF(OR(NOT(ISNUMBER(D529)),ABS(D529-E529)&gt;$O$3,AND($O$11=1,B529&lt;$O$12)),1,0)</f>
        <v/>
      </c>
      <c r="I529">
        <f>IF(H529=1,NA(),D529)</f>
        <v/>
      </c>
      <c r="J529">
        <f>IF(AND(ISNUMBER(D529),D529&gt;=$O$4,OR($O$11=0,B529&gt;=$O$12)),1,0)</f>
        <v/>
      </c>
      <c r="K529">
        <f>B529-$O$14</f>
        <v/>
      </c>
    </row>
    <row r="530">
      <c r="A530" t="n">
        <v>1584</v>
      </c>
      <c r="B530" t="n">
        <v>52.8</v>
      </c>
      <c r="C530" t="inlineStr">
        <is>
          <t>770</t>
        </is>
      </c>
      <c r="D530" t="n">
        <v>7.7</v>
      </c>
      <c r="E530">
        <f>MEDIAN(D510:D550)</f>
        <v/>
      </c>
      <c r="F530">
        <f>E510</f>
        <v/>
      </c>
      <c r="G530">
        <f>F530-E530</f>
        <v/>
      </c>
      <c r="H530">
        <f>IF(OR(NOT(ISNUMBER(D530)),ABS(D530-E530)&gt;$O$3,AND($O$11=1,B530&lt;$O$12)),1,0)</f>
        <v/>
      </c>
      <c r="I530">
        <f>IF(H530=1,NA(),D530)</f>
        <v/>
      </c>
      <c r="J530">
        <f>IF(AND(ISNUMBER(D530),D530&gt;=$O$4,OR($O$11=0,B530&gt;=$O$12)),1,0)</f>
        <v/>
      </c>
      <c r="K530">
        <f>B530-$O$14</f>
        <v/>
      </c>
    </row>
    <row r="531">
      <c r="A531" t="n">
        <v>1587</v>
      </c>
      <c r="B531" t="n">
        <v>52.9</v>
      </c>
      <c r="C531" t="inlineStr">
        <is>
          <t>771</t>
        </is>
      </c>
      <c r="D531" t="n">
        <v>7.71</v>
      </c>
      <c r="E531">
        <f>MEDIAN(D511:D551)</f>
        <v/>
      </c>
      <c r="F531">
        <f>E511</f>
        <v/>
      </c>
      <c r="G531">
        <f>F531-E531</f>
        <v/>
      </c>
      <c r="H531">
        <f>IF(OR(NOT(ISNUMBER(D531)),ABS(D531-E531)&gt;$O$3,AND($O$11=1,B531&lt;$O$12)),1,0)</f>
        <v/>
      </c>
      <c r="I531">
        <f>IF(H531=1,NA(),D531)</f>
        <v/>
      </c>
      <c r="J531">
        <f>IF(AND(ISNUMBER(D531),D531&gt;=$O$4,OR($O$11=0,B531&gt;=$O$12)),1,0)</f>
        <v/>
      </c>
      <c r="K531">
        <f>B531-$O$14</f>
        <v/>
      </c>
    </row>
    <row r="532">
      <c r="A532" t="n">
        <v>1590</v>
      </c>
      <c r="B532" t="n">
        <v>53</v>
      </c>
      <c r="C532" t="inlineStr">
        <is>
          <t>771</t>
        </is>
      </c>
      <c r="D532" t="n">
        <v>7.71</v>
      </c>
      <c r="E532">
        <f>MEDIAN(D512:D552)</f>
        <v/>
      </c>
      <c r="F532">
        <f>E512</f>
        <v/>
      </c>
      <c r="G532">
        <f>F532-E532</f>
        <v/>
      </c>
      <c r="H532">
        <f>IF(OR(NOT(ISNUMBER(D532)),ABS(D532-E532)&gt;$O$3,AND($O$11=1,B532&lt;$O$12)),1,0)</f>
        <v/>
      </c>
      <c r="I532">
        <f>IF(H532=1,NA(),D532)</f>
        <v/>
      </c>
      <c r="J532">
        <f>IF(AND(ISNUMBER(D532),D532&gt;=$O$4,OR($O$11=0,B532&gt;=$O$12)),1,0)</f>
        <v/>
      </c>
      <c r="K532">
        <f>B532-$O$14</f>
        <v/>
      </c>
    </row>
    <row r="533">
      <c r="A533" t="n">
        <v>1593</v>
      </c>
      <c r="B533" t="n">
        <v>53.1</v>
      </c>
      <c r="C533" t="inlineStr">
        <is>
          <t>772</t>
        </is>
      </c>
      <c r="D533" t="n">
        <v>7.72</v>
      </c>
      <c r="E533">
        <f>MEDIAN(D513:D553)</f>
        <v/>
      </c>
      <c r="F533">
        <f>E513</f>
        <v/>
      </c>
      <c r="G533">
        <f>F533-E533</f>
        <v/>
      </c>
      <c r="H533">
        <f>IF(OR(NOT(ISNUMBER(D533)),ABS(D533-E533)&gt;$O$3,AND($O$11=1,B533&lt;$O$12)),1,0)</f>
        <v/>
      </c>
      <c r="I533">
        <f>IF(H533=1,NA(),D533)</f>
        <v/>
      </c>
      <c r="J533">
        <f>IF(AND(ISNUMBER(D533),D533&gt;=$O$4,OR($O$11=0,B533&gt;=$O$12)),1,0)</f>
        <v/>
      </c>
      <c r="K533">
        <f>B533-$O$14</f>
        <v/>
      </c>
    </row>
    <row r="534">
      <c r="A534" t="n">
        <v>1596</v>
      </c>
      <c r="B534" t="n">
        <v>53.2</v>
      </c>
      <c r="C534" t="inlineStr">
        <is>
          <t>772</t>
        </is>
      </c>
      <c r="D534" t="n">
        <v>7.72</v>
      </c>
      <c r="E534">
        <f>MEDIAN(D514:D554)</f>
        <v/>
      </c>
      <c r="F534">
        <f>E514</f>
        <v/>
      </c>
      <c r="G534">
        <f>F534-E534</f>
        <v/>
      </c>
      <c r="H534">
        <f>IF(OR(NOT(ISNUMBER(D534)),ABS(D534-E534)&gt;$O$3,AND($O$11=1,B534&lt;$O$12)),1,0)</f>
        <v/>
      </c>
      <c r="I534">
        <f>IF(H534=1,NA(),D534)</f>
        <v/>
      </c>
      <c r="J534">
        <f>IF(AND(ISNUMBER(D534),D534&gt;=$O$4,OR($O$11=0,B534&gt;=$O$12)),1,0)</f>
        <v/>
      </c>
      <c r="K534">
        <f>B534-$O$14</f>
        <v/>
      </c>
    </row>
    <row r="535">
      <c r="A535" t="n">
        <v>1599</v>
      </c>
      <c r="B535" t="n">
        <v>53.3</v>
      </c>
      <c r="C535" t="inlineStr">
        <is>
          <t>772</t>
        </is>
      </c>
      <c r="D535" t="n">
        <v>7.72</v>
      </c>
      <c r="E535">
        <f>MEDIAN(D515:D555)</f>
        <v/>
      </c>
      <c r="F535">
        <f>E515</f>
        <v/>
      </c>
      <c r="G535">
        <f>F535-E535</f>
        <v/>
      </c>
      <c r="H535">
        <f>IF(OR(NOT(ISNUMBER(D535)),ABS(D535-E535)&gt;$O$3,AND($O$11=1,B535&lt;$O$12)),1,0)</f>
        <v/>
      </c>
      <c r="I535">
        <f>IF(H535=1,NA(),D535)</f>
        <v/>
      </c>
      <c r="J535">
        <f>IF(AND(ISNUMBER(D535),D535&gt;=$O$4,OR($O$11=0,B535&gt;=$O$12)),1,0)</f>
        <v/>
      </c>
      <c r="K535">
        <f>B535-$O$14</f>
        <v/>
      </c>
    </row>
    <row r="536">
      <c r="A536" t="n">
        <v>1602</v>
      </c>
      <c r="B536" t="n">
        <v>53.4</v>
      </c>
      <c r="C536" t="inlineStr">
        <is>
          <t>772</t>
        </is>
      </c>
      <c r="D536" t="n">
        <v>7.72</v>
      </c>
      <c r="E536">
        <f>MEDIAN(D516:D556)</f>
        <v/>
      </c>
      <c r="F536">
        <f>E516</f>
        <v/>
      </c>
      <c r="G536">
        <f>F536-E536</f>
        <v/>
      </c>
      <c r="H536">
        <f>IF(OR(NOT(ISNUMBER(D536)),ABS(D536-E536)&gt;$O$3,AND($O$11=1,B536&lt;$O$12)),1,0)</f>
        <v/>
      </c>
      <c r="I536">
        <f>IF(H536=1,NA(),D536)</f>
        <v/>
      </c>
      <c r="J536">
        <f>IF(AND(ISNUMBER(D536),D536&gt;=$O$4,OR($O$11=0,B536&gt;=$O$12)),1,0)</f>
        <v/>
      </c>
      <c r="K536">
        <f>B536-$O$14</f>
        <v/>
      </c>
    </row>
    <row r="537">
      <c r="A537" t="n">
        <v>1605</v>
      </c>
      <c r="B537" t="n">
        <v>53.5</v>
      </c>
      <c r="C537" t="inlineStr">
        <is>
          <t>773</t>
        </is>
      </c>
      <c r="D537" t="n">
        <v>7.73</v>
      </c>
      <c r="E537">
        <f>MEDIAN(D517:D557)</f>
        <v/>
      </c>
      <c r="F537">
        <f>E517</f>
        <v/>
      </c>
      <c r="G537">
        <f>F537-E537</f>
        <v/>
      </c>
      <c r="H537">
        <f>IF(OR(NOT(ISNUMBER(D537)),ABS(D537-E537)&gt;$O$3,AND($O$11=1,B537&lt;$O$12)),1,0)</f>
        <v/>
      </c>
      <c r="I537">
        <f>IF(H537=1,NA(),D537)</f>
        <v/>
      </c>
      <c r="J537">
        <f>IF(AND(ISNUMBER(D537),D537&gt;=$O$4,OR($O$11=0,B537&gt;=$O$12)),1,0)</f>
        <v/>
      </c>
      <c r="K537">
        <f>B537-$O$14</f>
        <v/>
      </c>
    </row>
    <row r="538">
      <c r="A538" t="n">
        <v>1608</v>
      </c>
      <c r="B538" t="n">
        <v>53.6</v>
      </c>
      <c r="C538" t="inlineStr">
        <is>
          <t>773</t>
        </is>
      </c>
      <c r="D538" t="n">
        <v>7.73</v>
      </c>
      <c r="E538">
        <f>MEDIAN(D518:D558)</f>
        <v/>
      </c>
      <c r="F538">
        <f>E518</f>
        <v/>
      </c>
      <c r="G538">
        <f>F538-E538</f>
        <v/>
      </c>
      <c r="H538">
        <f>IF(OR(NOT(ISNUMBER(D538)),ABS(D538-E538)&gt;$O$3,AND($O$11=1,B538&lt;$O$12)),1,0)</f>
        <v/>
      </c>
      <c r="I538">
        <f>IF(H538=1,NA(),D538)</f>
        <v/>
      </c>
      <c r="J538">
        <f>IF(AND(ISNUMBER(D538),D538&gt;=$O$4,OR($O$11=0,B538&gt;=$O$12)),1,0)</f>
        <v/>
      </c>
      <c r="K538">
        <f>B538-$O$14</f>
        <v/>
      </c>
    </row>
    <row r="539">
      <c r="A539" t="n">
        <v>1611</v>
      </c>
      <c r="B539" t="n">
        <v>53.7</v>
      </c>
      <c r="C539" t="inlineStr">
        <is>
          <t>779</t>
        </is>
      </c>
      <c r="D539" t="n">
        <v>7.79</v>
      </c>
      <c r="E539">
        <f>MEDIAN(D519:D559)</f>
        <v/>
      </c>
      <c r="F539">
        <f>E519</f>
        <v/>
      </c>
      <c r="G539">
        <f>F539-E539</f>
        <v/>
      </c>
      <c r="H539">
        <f>IF(OR(NOT(ISNUMBER(D539)),ABS(D539-E539)&gt;$O$3,AND($O$11=1,B539&lt;$O$12)),1,0)</f>
        <v/>
      </c>
      <c r="I539">
        <f>IF(H539=1,NA(),D539)</f>
        <v/>
      </c>
      <c r="J539">
        <f>IF(AND(ISNUMBER(D539),D539&gt;=$O$4,OR($O$11=0,B539&gt;=$O$12)),1,0)</f>
        <v/>
      </c>
      <c r="K539">
        <f>B539-$O$14</f>
        <v/>
      </c>
    </row>
    <row r="540">
      <c r="A540" t="n">
        <v>1614</v>
      </c>
      <c r="B540" t="n">
        <v>53.8</v>
      </c>
      <c r="C540" t="inlineStr">
        <is>
          <t>774</t>
        </is>
      </c>
      <c r="D540" t="n">
        <v>7.74</v>
      </c>
      <c r="E540">
        <f>MEDIAN(D520:D560)</f>
        <v/>
      </c>
      <c r="F540">
        <f>E520</f>
        <v/>
      </c>
      <c r="G540">
        <f>F540-E540</f>
        <v/>
      </c>
      <c r="H540">
        <f>IF(OR(NOT(ISNUMBER(D540)),ABS(D540-E540)&gt;$O$3,AND($O$11=1,B540&lt;$O$12)),1,0)</f>
        <v/>
      </c>
      <c r="I540">
        <f>IF(H540=1,NA(),D540)</f>
        <v/>
      </c>
      <c r="J540">
        <f>IF(AND(ISNUMBER(D540),D540&gt;=$O$4,OR($O$11=0,B540&gt;=$O$12)),1,0)</f>
        <v/>
      </c>
      <c r="K540">
        <f>B540-$O$14</f>
        <v/>
      </c>
    </row>
    <row r="541">
      <c r="A541" t="n">
        <v>1617</v>
      </c>
      <c r="B541" t="n">
        <v>53.9</v>
      </c>
      <c r="C541" t="inlineStr">
        <is>
          <t>774</t>
        </is>
      </c>
      <c r="D541" t="n">
        <v>7.74</v>
      </c>
      <c r="E541">
        <f>MEDIAN(D521:D561)</f>
        <v/>
      </c>
      <c r="F541">
        <f>E521</f>
        <v/>
      </c>
      <c r="G541">
        <f>F541-E541</f>
        <v/>
      </c>
      <c r="H541">
        <f>IF(OR(NOT(ISNUMBER(D541)),ABS(D541-E541)&gt;$O$3,AND($O$11=1,B541&lt;$O$12)),1,0)</f>
        <v/>
      </c>
      <c r="I541">
        <f>IF(H541=1,NA(),D541)</f>
        <v/>
      </c>
      <c r="J541">
        <f>IF(AND(ISNUMBER(D541),D541&gt;=$O$4,OR($O$11=0,B541&gt;=$O$12)),1,0)</f>
        <v/>
      </c>
      <c r="K541">
        <f>B541-$O$14</f>
        <v/>
      </c>
    </row>
    <row r="542">
      <c r="A542" t="n">
        <v>1620</v>
      </c>
      <c r="B542" t="n">
        <v>54</v>
      </c>
      <c r="C542" t="inlineStr">
        <is>
          <t>774</t>
        </is>
      </c>
      <c r="D542" t="n">
        <v>7.74</v>
      </c>
      <c r="E542">
        <f>MEDIAN(D522:D562)</f>
        <v/>
      </c>
      <c r="F542">
        <f>E522</f>
        <v/>
      </c>
      <c r="G542">
        <f>F542-E542</f>
        <v/>
      </c>
      <c r="H542">
        <f>IF(OR(NOT(ISNUMBER(D542)),ABS(D542-E542)&gt;$O$3,AND($O$11=1,B542&lt;$O$12)),1,0)</f>
        <v/>
      </c>
      <c r="I542">
        <f>IF(H542=1,NA(),D542)</f>
        <v/>
      </c>
      <c r="J542">
        <f>IF(AND(ISNUMBER(D542),D542&gt;=$O$4,OR($O$11=0,B542&gt;=$O$12)),1,0)</f>
        <v/>
      </c>
      <c r="K542">
        <f>B542-$O$14</f>
        <v/>
      </c>
    </row>
    <row r="543">
      <c r="A543" t="n">
        <v>1623</v>
      </c>
      <c r="B543" t="n">
        <v>54.1</v>
      </c>
      <c r="C543" t="inlineStr">
        <is>
          <t>774</t>
        </is>
      </c>
      <c r="D543" t="n">
        <v>7.74</v>
      </c>
      <c r="E543">
        <f>MEDIAN(D523:D563)</f>
        <v/>
      </c>
      <c r="F543">
        <f>E523</f>
        <v/>
      </c>
      <c r="G543">
        <f>F543-E543</f>
        <v/>
      </c>
      <c r="H543">
        <f>IF(OR(NOT(ISNUMBER(D543)),ABS(D543-E543)&gt;$O$3,AND($O$11=1,B543&lt;$O$12)),1,0)</f>
        <v/>
      </c>
      <c r="I543">
        <f>IF(H543=1,NA(),D543)</f>
        <v/>
      </c>
      <c r="J543">
        <f>IF(AND(ISNUMBER(D543),D543&gt;=$O$4,OR($O$11=0,B543&gt;=$O$12)),1,0)</f>
        <v/>
      </c>
      <c r="K543">
        <f>B543-$O$14</f>
        <v/>
      </c>
    </row>
    <row r="544">
      <c r="A544" t="n">
        <v>1626</v>
      </c>
      <c r="B544" t="n">
        <v>54.2</v>
      </c>
      <c r="C544" t="inlineStr">
        <is>
          <t>774</t>
        </is>
      </c>
      <c r="D544" t="n">
        <v>7.74</v>
      </c>
      <c r="E544">
        <f>MEDIAN(D524:D564)</f>
        <v/>
      </c>
      <c r="F544">
        <f>E524</f>
        <v/>
      </c>
      <c r="G544">
        <f>F544-E544</f>
        <v/>
      </c>
      <c r="H544">
        <f>IF(OR(NOT(ISNUMBER(D544)),ABS(D544-E544)&gt;$O$3,AND($O$11=1,B544&lt;$O$12)),1,0)</f>
        <v/>
      </c>
      <c r="I544">
        <f>IF(H544=1,NA(),D544)</f>
        <v/>
      </c>
      <c r="J544">
        <f>IF(AND(ISNUMBER(D544),D544&gt;=$O$4,OR($O$11=0,B544&gt;=$O$12)),1,0)</f>
        <v/>
      </c>
      <c r="K544">
        <f>B544-$O$14</f>
        <v/>
      </c>
    </row>
    <row r="545">
      <c r="A545" t="n">
        <v>1629</v>
      </c>
      <c r="B545" t="n">
        <v>54.3</v>
      </c>
      <c r="C545" t="inlineStr">
        <is>
          <t>779</t>
        </is>
      </c>
      <c r="D545" t="n">
        <v>7.79</v>
      </c>
      <c r="E545">
        <f>MEDIAN(D525:D565)</f>
        <v/>
      </c>
      <c r="F545">
        <f>E525</f>
        <v/>
      </c>
      <c r="G545">
        <f>F545-E545</f>
        <v/>
      </c>
      <c r="H545">
        <f>IF(OR(NOT(ISNUMBER(D545)),ABS(D545-E545)&gt;$O$3,AND($O$11=1,B545&lt;$O$12)),1,0)</f>
        <v/>
      </c>
      <c r="I545">
        <f>IF(H545=1,NA(),D545)</f>
        <v/>
      </c>
      <c r="J545">
        <f>IF(AND(ISNUMBER(D545),D545&gt;=$O$4,OR($O$11=0,B545&gt;=$O$12)),1,0)</f>
        <v/>
      </c>
      <c r="K545">
        <f>B545-$O$14</f>
        <v/>
      </c>
    </row>
    <row r="546">
      <c r="A546" t="n">
        <v>1632</v>
      </c>
      <c r="B546" t="n">
        <v>54.4</v>
      </c>
      <c r="C546" t="inlineStr">
        <is>
          <t>775</t>
        </is>
      </c>
      <c r="D546" t="n">
        <v>7.75</v>
      </c>
      <c r="E546">
        <f>MEDIAN(D526:D566)</f>
        <v/>
      </c>
      <c r="F546">
        <f>E526</f>
        <v/>
      </c>
      <c r="G546">
        <f>F546-E546</f>
        <v/>
      </c>
      <c r="H546">
        <f>IF(OR(NOT(ISNUMBER(D546)),ABS(D546-E546)&gt;$O$3,AND($O$11=1,B546&lt;$O$12)),1,0)</f>
        <v/>
      </c>
      <c r="I546">
        <f>IF(H546=1,NA(),D546)</f>
        <v/>
      </c>
      <c r="J546">
        <f>IF(AND(ISNUMBER(D546),D546&gt;=$O$4,OR($O$11=0,B546&gt;=$O$12)),1,0)</f>
        <v/>
      </c>
      <c r="K546">
        <f>B546-$O$14</f>
        <v/>
      </c>
    </row>
    <row r="547">
      <c r="A547" t="n">
        <v>1635</v>
      </c>
      <c r="B547" t="n">
        <v>54.5</v>
      </c>
      <c r="C547" t="inlineStr">
        <is>
          <t>775</t>
        </is>
      </c>
      <c r="D547" t="n">
        <v>7.75</v>
      </c>
      <c r="E547">
        <f>MEDIAN(D527:D567)</f>
        <v/>
      </c>
      <c r="F547">
        <f>E527</f>
        <v/>
      </c>
      <c r="G547">
        <f>F547-E547</f>
        <v/>
      </c>
      <c r="H547">
        <f>IF(OR(NOT(ISNUMBER(D547)),ABS(D547-E547)&gt;$O$3,AND($O$11=1,B547&lt;$O$12)),1,0)</f>
        <v/>
      </c>
      <c r="I547">
        <f>IF(H547=1,NA(),D547)</f>
        <v/>
      </c>
      <c r="J547">
        <f>IF(AND(ISNUMBER(D547),D547&gt;=$O$4,OR($O$11=0,B547&gt;=$O$12)),1,0)</f>
        <v/>
      </c>
      <c r="K547">
        <f>B547-$O$14</f>
        <v/>
      </c>
    </row>
    <row r="548">
      <c r="A548" t="n">
        <v>1638</v>
      </c>
      <c r="B548" t="n">
        <v>54.6</v>
      </c>
      <c r="C548" t="inlineStr">
        <is>
          <t>776</t>
        </is>
      </c>
      <c r="D548" t="n">
        <v>7.76</v>
      </c>
      <c r="E548">
        <f>MEDIAN(D528:D568)</f>
        <v/>
      </c>
      <c r="F548">
        <f>E528</f>
        <v/>
      </c>
      <c r="G548">
        <f>F548-E548</f>
        <v/>
      </c>
      <c r="H548">
        <f>IF(OR(NOT(ISNUMBER(D548)),ABS(D548-E548)&gt;$O$3,AND($O$11=1,B548&lt;$O$12)),1,0)</f>
        <v/>
      </c>
      <c r="I548">
        <f>IF(H548=1,NA(),D548)</f>
        <v/>
      </c>
      <c r="J548">
        <f>IF(AND(ISNUMBER(D548),D548&gt;=$O$4,OR($O$11=0,B548&gt;=$O$12)),1,0)</f>
        <v/>
      </c>
      <c r="K548">
        <f>B548-$O$14</f>
        <v/>
      </c>
    </row>
    <row r="549">
      <c r="A549" t="n">
        <v>1641</v>
      </c>
      <c r="B549" t="n">
        <v>54.7</v>
      </c>
      <c r="C549" t="inlineStr">
        <is>
          <t>776</t>
        </is>
      </c>
      <c r="D549" t="n">
        <v>7.76</v>
      </c>
      <c r="E549">
        <f>MEDIAN(D529:D569)</f>
        <v/>
      </c>
      <c r="F549">
        <f>E529</f>
        <v/>
      </c>
      <c r="G549">
        <f>F549-E549</f>
        <v/>
      </c>
      <c r="H549">
        <f>IF(OR(NOT(ISNUMBER(D549)),ABS(D549-E549)&gt;$O$3,AND($O$11=1,B549&lt;$O$12)),1,0)</f>
        <v/>
      </c>
      <c r="I549">
        <f>IF(H549=1,NA(),D549)</f>
        <v/>
      </c>
      <c r="J549">
        <f>IF(AND(ISNUMBER(D549),D549&gt;=$O$4,OR($O$11=0,B549&gt;=$O$12)),1,0)</f>
        <v/>
      </c>
      <c r="K549">
        <f>B549-$O$14</f>
        <v/>
      </c>
    </row>
    <row r="550">
      <c r="A550" t="n">
        <v>1644</v>
      </c>
      <c r="B550" t="n">
        <v>54.8</v>
      </c>
      <c r="C550" t="inlineStr">
        <is>
          <t>778</t>
        </is>
      </c>
      <c r="D550" t="n">
        <v>7.78</v>
      </c>
      <c r="E550">
        <f>MEDIAN(D530:D570)</f>
        <v/>
      </c>
      <c r="F550">
        <f>E530</f>
        <v/>
      </c>
      <c r="G550">
        <f>F550-E550</f>
        <v/>
      </c>
      <c r="H550">
        <f>IF(OR(NOT(ISNUMBER(D550)),ABS(D550-E550)&gt;$O$3,AND($O$11=1,B550&lt;$O$12)),1,0)</f>
        <v/>
      </c>
      <c r="I550">
        <f>IF(H550=1,NA(),D550)</f>
        <v/>
      </c>
      <c r="J550">
        <f>IF(AND(ISNUMBER(D550),D550&gt;=$O$4,OR($O$11=0,B550&gt;=$O$12)),1,0)</f>
        <v/>
      </c>
      <c r="K550">
        <f>B550-$O$14</f>
        <v/>
      </c>
    </row>
    <row r="551">
      <c r="A551" t="n">
        <v>1647</v>
      </c>
      <c r="B551" t="n">
        <v>54.9</v>
      </c>
      <c r="C551" t="inlineStr">
        <is>
          <t>777</t>
        </is>
      </c>
      <c r="D551" t="n">
        <v>7.77</v>
      </c>
      <c r="E551">
        <f>MEDIAN(D531:D571)</f>
        <v/>
      </c>
      <c r="F551">
        <f>E531</f>
        <v/>
      </c>
      <c r="G551">
        <f>F551-E551</f>
        <v/>
      </c>
      <c r="H551">
        <f>IF(OR(NOT(ISNUMBER(D551)),ABS(D551-E551)&gt;$O$3,AND($O$11=1,B551&lt;$O$12)),1,0)</f>
        <v/>
      </c>
      <c r="I551">
        <f>IF(H551=1,NA(),D551)</f>
        <v/>
      </c>
      <c r="J551">
        <f>IF(AND(ISNUMBER(D551),D551&gt;=$O$4,OR($O$11=0,B551&gt;=$O$12)),1,0)</f>
        <v/>
      </c>
      <c r="K551">
        <f>B551-$O$14</f>
        <v/>
      </c>
    </row>
    <row r="552">
      <c r="A552" t="n">
        <v>1650</v>
      </c>
      <c r="B552" t="n">
        <v>55</v>
      </c>
      <c r="C552" t="inlineStr">
        <is>
          <t>777</t>
        </is>
      </c>
      <c r="D552" t="n">
        <v>7.77</v>
      </c>
      <c r="E552">
        <f>MEDIAN(D532:D572)</f>
        <v/>
      </c>
      <c r="F552">
        <f>E532</f>
        <v/>
      </c>
      <c r="G552">
        <f>F552-E552</f>
        <v/>
      </c>
      <c r="H552">
        <f>IF(OR(NOT(ISNUMBER(D552)),ABS(D552-E552)&gt;$O$3,AND($O$11=1,B552&lt;$O$12)),1,0)</f>
        <v/>
      </c>
      <c r="I552">
        <f>IF(H552=1,NA(),D552)</f>
        <v/>
      </c>
      <c r="J552">
        <f>IF(AND(ISNUMBER(D552),D552&gt;=$O$4,OR($O$11=0,B552&gt;=$O$12)),1,0)</f>
        <v/>
      </c>
      <c r="K552">
        <f>B552-$O$14</f>
        <v/>
      </c>
    </row>
    <row r="553">
      <c r="A553" t="n">
        <v>1653</v>
      </c>
      <c r="B553" t="n">
        <v>55.1</v>
      </c>
      <c r="C553" t="inlineStr">
        <is>
          <t>778</t>
        </is>
      </c>
      <c r="D553" t="n">
        <v>7.78</v>
      </c>
      <c r="E553">
        <f>MEDIAN(D533:D573)</f>
        <v/>
      </c>
      <c r="F553">
        <f>E533</f>
        <v/>
      </c>
      <c r="G553">
        <f>F553-E553</f>
        <v/>
      </c>
      <c r="H553">
        <f>IF(OR(NOT(ISNUMBER(D553)),ABS(D553-E553)&gt;$O$3,AND($O$11=1,B553&lt;$O$12)),1,0)</f>
        <v/>
      </c>
      <c r="I553">
        <f>IF(H553=1,NA(),D553)</f>
        <v/>
      </c>
      <c r="J553">
        <f>IF(AND(ISNUMBER(D553),D553&gt;=$O$4,OR($O$11=0,B553&gt;=$O$12)),1,0)</f>
        <v/>
      </c>
      <c r="K553">
        <f>B553-$O$14</f>
        <v/>
      </c>
    </row>
    <row r="554">
      <c r="A554" t="n">
        <v>1656</v>
      </c>
      <c r="B554" t="n">
        <v>55.2</v>
      </c>
      <c r="C554" t="inlineStr">
        <is>
          <t>778</t>
        </is>
      </c>
      <c r="D554" t="n">
        <v>7.78</v>
      </c>
      <c r="E554">
        <f>MEDIAN(D534:D574)</f>
        <v/>
      </c>
      <c r="F554">
        <f>E534</f>
        <v/>
      </c>
      <c r="G554">
        <f>F554-E554</f>
        <v/>
      </c>
      <c r="H554">
        <f>IF(OR(NOT(ISNUMBER(D554)),ABS(D554-E554)&gt;$O$3,AND($O$11=1,B554&lt;$O$12)),1,0)</f>
        <v/>
      </c>
      <c r="I554">
        <f>IF(H554=1,NA(),D554)</f>
        <v/>
      </c>
      <c r="J554">
        <f>IF(AND(ISNUMBER(D554),D554&gt;=$O$4,OR($O$11=0,B554&gt;=$O$12)),1,0)</f>
        <v/>
      </c>
      <c r="K554">
        <f>B554-$O$14</f>
        <v/>
      </c>
    </row>
    <row r="555">
      <c r="A555" t="n">
        <v>1659</v>
      </c>
      <c r="B555" t="n">
        <v>55.3</v>
      </c>
      <c r="C555" t="inlineStr">
        <is>
          <t>778</t>
        </is>
      </c>
      <c r="D555" t="n">
        <v>7.78</v>
      </c>
      <c r="E555">
        <f>MEDIAN(D535:D575)</f>
        <v/>
      </c>
      <c r="F555">
        <f>E535</f>
        <v/>
      </c>
      <c r="G555">
        <f>F555-E555</f>
        <v/>
      </c>
      <c r="H555">
        <f>IF(OR(NOT(ISNUMBER(D555)),ABS(D555-E555)&gt;$O$3,AND($O$11=1,B555&lt;$O$12)),1,0)</f>
        <v/>
      </c>
      <c r="I555">
        <f>IF(H555=1,NA(),D555)</f>
        <v/>
      </c>
      <c r="J555">
        <f>IF(AND(ISNUMBER(D555),D555&gt;=$O$4,OR($O$11=0,B555&gt;=$O$12)),1,0)</f>
        <v/>
      </c>
      <c r="K555">
        <f>B555-$O$14</f>
        <v/>
      </c>
    </row>
    <row r="556">
      <c r="A556" t="n">
        <v>1662</v>
      </c>
      <c r="B556" t="n">
        <v>55.4</v>
      </c>
      <c r="C556" t="inlineStr">
        <is>
          <t>778</t>
        </is>
      </c>
      <c r="D556" t="n">
        <v>7.78</v>
      </c>
      <c r="E556">
        <f>MEDIAN(D536:D576)</f>
        <v/>
      </c>
      <c r="F556">
        <f>E536</f>
        <v/>
      </c>
      <c r="G556">
        <f>F556-E556</f>
        <v/>
      </c>
      <c r="H556">
        <f>IF(OR(NOT(ISNUMBER(D556)),ABS(D556-E556)&gt;$O$3,AND($O$11=1,B556&lt;$O$12)),1,0)</f>
        <v/>
      </c>
      <c r="I556">
        <f>IF(H556=1,NA(),D556)</f>
        <v/>
      </c>
      <c r="J556">
        <f>IF(AND(ISNUMBER(D556),D556&gt;=$O$4,OR($O$11=0,B556&gt;=$O$12)),1,0)</f>
        <v/>
      </c>
      <c r="K556">
        <f>B556-$O$14</f>
        <v/>
      </c>
    </row>
    <row r="557">
      <c r="A557" t="n">
        <v>1665</v>
      </c>
      <c r="B557" t="n">
        <v>55.5</v>
      </c>
      <c r="C557" t="inlineStr">
        <is>
          <t>779</t>
        </is>
      </c>
      <c r="D557" t="n">
        <v>7.79</v>
      </c>
      <c r="E557">
        <f>MEDIAN(D537:D577)</f>
        <v/>
      </c>
      <c r="F557">
        <f>E537</f>
        <v/>
      </c>
      <c r="G557">
        <f>F557-E557</f>
        <v/>
      </c>
      <c r="H557">
        <f>IF(OR(NOT(ISNUMBER(D557)),ABS(D557-E557)&gt;$O$3,AND($O$11=1,B557&lt;$O$12)),1,0)</f>
        <v/>
      </c>
      <c r="I557">
        <f>IF(H557=1,NA(),D557)</f>
        <v/>
      </c>
      <c r="J557">
        <f>IF(AND(ISNUMBER(D557),D557&gt;=$O$4,OR($O$11=0,B557&gt;=$O$12)),1,0)</f>
        <v/>
      </c>
      <c r="K557">
        <f>B557-$O$14</f>
        <v/>
      </c>
    </row>
    <row r="558">
      <c r="A558" t="n">
        <v>1668</v>
      </c>
      <c r="B558" t="n">
        <v>55.6</v>
      </c>
      <c r="C558" t="inlineStr">
        <is>
          <t>780</t>
        </is>
      </c>
      <c r="D558" t="n">
        <v>7.8</v>
      </c>
      <c r="E558">
        <f>MEDIAN(D538:D578)</f>
        <v/>
      </c>
      <c r="F558">
        <f>E538</f>
        <v/>
      </c>
      <c r="G558">
        <f>F558-E558</f>
        <v/>
      </c>
      <c r="H558">
        <f>IF(OR(NOT(ISNUMBER(D558)),ABS(D558-E558)&gt;$O$3,AND($O$11=1,B558&lt;$O$12)),1,0)</f>
        <v/>
      </c>
      <c r="I558">
        <f>IF(H558=1,NA(),D558)</f>
        <v/>
      </c>
      <c r="J558">
        <f>IF(AND(ISNUMBER(D558),D558&gt;=$O$4,OR($O$11=0,B558&gt;=$O$12)),1,0)</f>
        <v/>
      </c>
      <c r="K558">
        <f>B558-$O$14</f>
        <v/>
      </c>
    </row>
    <row r="559">
      <c r="A559" t="n">
        <v>1671</v>
      </c>
      <c r="B559" t="n">
        <v>55.7</v>
      </c>
      <c r="C559" t="inlineStr">
        <is>
          <t>780</t>
        </is>
      </c>
      <c r="D559" t="n">
        <v>7.8</v>
      </c>
      <c r="E559">
        <f>MEDIAN(D539:D579)</f>
        <v/>
      </c>
      <c r="F559">
        <f>E539</f>
        <v/>
      </c>
      <c r="G559">
        <f>F559-E559</f>
        <v/>
      </c>
      <c r="H559">
        <f>IF(OR(NOT(ISNUMBER(D559)),ABS(D559-E559)&gt;$O$3,AND($O$11=1,B559&lt;$O$12)),1,0)</f>
        <v/>
      </c>
      <c r="I559">
        <f>IF(H559=1,NA(),D559)</f>
        <v/>
      </c>
      <c r="J559">
        <f>IF(AND(ISNUMBER(D559),D559&gt;=$O$4,OR($O$11=0,B559&gt;=$O$12)),1,0)</f>
        <v/>
      </c>
      <c r="K559">
        <f>B559-$O$14</f>
        <v/>
      </c>
    </row>
    <row r="560">
      <c r="A560" t="n">
        <v>1674</v>
      </c>
      <c r="B560" t="n">
        <v>55.8</v>
      </c>
      <c r="C560" t="inlineStr">
        <is>
          <t>780</t>
        </is>
      </c>
      <c r="D560" t="n">
        <v>7.8</v>
      </c>
      <c r="E560">
        <f>MEDIAN(D540:D580)</f>
        <v/>
      </c>
      <c r="F560">
        <f>E540</f>
        <v/>
      </c>
      <c r="G560">
        <f>F560-E560</f>
        <v/>
      </c>
      <c r="H560">
        <f>IF(OR(NOT(ISNUMBER(D560)),ABS(D560-E560)&gt;$O$3,AND($O$11=1,B560&lt;$O$12)),1,0)</f>
        <v/>
      </c>
      <c r="I560">
        <f>IF(H560=1,NA(),D560)</f>
        <v/>
      </c>
      <c r="J560">
        <f>IF(AND(ISNUMBER(D560),D560&gt;=$O$4,OR($O$11=0,B560&gt;=$O$12)),1,0)</f>
        <v/>
      </c>
      <c r="K560">
        <f>B560-$O$14</f>
        <v/>
      </c>
    </row>
    <row r="561">
      <c r="A561" t="n">
        <v>1677</v>
      </c>
      <c r="B561" t="n">
        <v>55.9</v>
      </c>
      <c r="C561" t="inlineStr">
        <is>
          <t>780</t>
        </is>
      </c>
      <c r="D561" t="n">
        <v>7.8</v>
      </c>
      <c r="E561">
        <f>MEDIAN(D541:D581)</f>
        <v/>
      </c>
      <c r="F561">
        <f>E541</f>
        <v/>
      </c>
      <c r="G561">
        <f>F561-E561</f>
        <v/>
      </c>
      <c r="H561">
        <f>IF(OR(NOT(ISNUMBER(D561)),ABS(D561-E561)&gt;$O$3,AND($O$11=1,B561&lt;$O$12)),1,0)</f>
        <v/>
      </c>
      <c r="I561">
        <f>IF(H561=1,NA(),D561)</f>
        <v/>
      </c>
      <c r="J561">
        <f>IF(AND(ISNUMBER(D561),D561&gt;=$O$4,OR($O$11=0,B561&gt;=$O$12)),1,0)</f>
        <v/>
      </c>
      <c r="K561">
        <f>B561-$O$14</f>
        <v/>
      </c>
    </row>
    <row r="562">
      <c r="A562" t="n">
        <v>1680</v>
      </c>
      <c r="B562" t="n">
        <v>56</v>
      </c>
      <c r="C562" t="inlineStr">
        <is>
          <t>780</t>
        </is>
      </c>
      <c r="D562" t="n">
        <v>7.8</v>
      </c>
      <c r="E562">
        <f>MEDIAN(D542:D582)</f>
        <v/>
      </c>
      <c r="F562">
        <f>E542</f>
        <v/>
      </c>
      <c r="G562">
        <f>F562-E562</f>
        <v/>
      </c>
      <c r="H562">
        <f>IF(OR(NOT(ISNUMBER(D562)),ABS(D562-E562)&gt;$O$3,AND($O$11=1,B562&lt;$O$12)),1,0)</f>
        <v/>
      </c>
      <c r="I562">
        <f>IF(H562=1,NA(),D562)</f>
        <v/>
      </c>
      <c r="J562">
        <f>IF(AND(ISNUMBER(D562),D562&gt;=$O$4,OR($O$11=0,B562&gt;=$O$12)),1,0)</f>
        <v/>
      </c>
      <c r="K562">
        <f>B562-$O$14</f>
        <v/>
      </c>
    </row>
    <row r="563">
      <c r="A563" t="n">
        <v>1683</v>
      </c>
      <c r="B563" t="n">
        <v>56.1</v>
      </c>
      <c r="C563" t="inlineStr">
        <is>
          <t>780</t>
        </is>
      </c>
      <c r="D563" t="n">
        <v>7.8</v>
      </c>
      <c r="E563">
        <f>MEDIAN(D543:D583)</f>
        <v/>
      </c>
      <c r="F563">
        <f>E543</f>
        <v/>
      </c>
      <c r="G563">
        <f>F563-E563</f>
        <v/>
      </c>
      <c r="H563">
        <f>IF(OR(NOT(ISNUMBER(D563)),ABS(D563-E563)&gt;$O$3,AND($O$11=1,B563&lt;$O$12)),1,0)</f>
        <v/>
      </c>
      <c r="I563">
        <f>IF(H563=1,NA(),D563)</f>
        <v/>
      </c>
      <c r="J563">
        <f>IF(AND(ISNUMBER(D563),D563&gt;=$O$4,OR($O$11=0,B563&gt;=$O$12)),1,0)</f>
        <v/>
      </c>
      <c r="K563">
        <f>B563-$O$14</f>
        <v/>
      </c>
    </row>
    <row r="564">
      <c r="A564" t="n">
        <v>1686</v>
      </c>
      <c r="B564" t="n">
        <v>56.2</v>
      </c>
      <c r="C564" t="inlineStr">
        <is>
          <t>780</t>
        </is>
      </c>
      <c r="D564" t="n">
        <v>7.8</v>
      </c>
      <c r="E564">
        <f>MEDIAN(D544:D584)</f>
        <v/>
      </c>
      <c r="F564">
        <f>E544</f>
        <v/>
      </c>
      <c r="G564">
        <f>F564-E564</f>
        <v/>
      </c>
      <c r="H564">
        <f>IF(OR(NOT(ISNUMBER(D564)),ABS(D564-E564)&gt;$O$3,AND($O$11=1,B564&lt;$O$12)),1,0)</f>
        <v/>
      </c>
      <c r="I564">
        <f>IF(H564=1,NA(),D564)</f>
        <v/>
      </c>
      <c r="J564">
        <f>IF(AND(ISNUMBER(D564),D564&gt;=$O$4,OR($O$11=0,B564&gt;=$O$12)),1,0)</f>
        <v/>
      </c>
      <c r="K564">
        <f>B564-$O$14</f>
        <v/>
      </c>
    </row>
    <row r="565">
      <c r="A565" t="n">
        <v>1689</v>
      </c>
      <c r="B565" t="n">
        <v>56.3</v>
      </c>
      <c r="C565" t="inlineStr">
        <is>
          <t>780</t>
        </is>
      </c>
      <c r="D565" t="n">
        <v>7.8</v>
      </c>
      <c r="E565">
        <f>MEDIAN(D545:D585)</f>
        <v/>
      </c>
      <c r="F565">
        <f>E545</f>
        <v/>
      </c>
      <c r="G565">
        <f>F565-E565</f>
        <v/>
      </c>
      <c r="H565">
        <f>IF(OR(NOT(ISNUMBER(D565)),ABS(D565-E565)&gt;$O$3,AND($O$11=1,B565&lt;$O$12)),1,0)</f>
        <v/>
      </c>
      <c r="I565">
        <f>IF(H565=1,NA(),D565)</f>
        <v/>
      </c>
      <c r="J565">
        <f>IF(AND(ISNUMBER(D565),D565&gt;=$O$4,OR($O$11=0,B565&gt;=$O$12)),1,0)</f>
        <v/>
      </c>
      <c r="K565">
        <f>B565-$O$14</f>
        <v/>
      </c>
    </row>
    <row r="566">
      <c r="A566" t="n">
        <v>1692</v>
      </c>
      <c r="B566" t="n">
        <v>56.4</v>
      </c>
      <c r="C566" t="inlineStr">
        <is>
          <t>780</t>
        </is>
      </c>
      <c r="D566" t="n">
        <v>7.8</v>
      </c>
      <c r="E566">
        <f>MEDIAN(D546:D586)</f>
        <v/>
      </c>
      <c r="F566">
        <f>E546</f>
        <v/>
      </c>
      <c r="G566">
        <f>F566-E566</f>
        <v/>
      </c>
      <c r="H566">
        <f>IF(OR(NOT(ISNUMBER(D566)),ABS(D566-E566)&gt;$O$3,AND($O$11=1,B566&lt;$O$12)),1,0)</f>
        <v/>
      </c>
      <c r="I566">
        <f>IF(H566=1,NA(),D566)</f>
        <v/>
      </c>
      <c r="J566">
        <f>IF(AND(ISNUMBER(D566),D566&gt;=$O$4,OR($O$11=0,B566&gt;=$O$12)),1,0)</f>
        <v/>
      </c>
      <c r="K566">
        <f>B566-$O$14</f>
        <v/>
      </c>
    </row>
    <row r="567">
      <c r="A567" t="n">
        <v>1695</v>
      </c>
      <c r="B567" t="n">
        <v>56.5</v>
      </c>
      <c r="C567" t="inlineStr">
        <is>
          <t>780</t>
        </is>
      </c>
      <c r="D567" t="n">
        <v>7.8</v>
      </c>
      <c r="E567">
        <f>MEDIAN(D547:D587)</f>
        <v/>
      </c>
      <c r="F567">
        <f>E547</f>
        <v/>
      </c>
      <c r="G567">
        <f>F567-E567</f>
        <v/>
      </c>
      <c r="H567">
        <f>IF(OR(NOT(ISNUMBER(D567)),ABS(D567-E567)&gt;$O$3,AND($O$11=1,B567&lt;$O$12)),1,0)</f>
        <v/>
      </c>
      <c r="I567">
        <f>IF(H567=1,NA(),D567)</f>
        <v/>
      </c>
      <c r="J567">
        <f>IF(AND(ISNUMBER(D567),D567&gt;=$O$4,OR($O$11=0,B567&gt;=$O$12)),1,0)</f>
        <v/>
      </c>
      <c r="K567">
        <f>B567-$O$14</f>
        <v/>
      </c>
    </row>
    <row r="568">
      <c r="A568" t="n">
        <v>1698</v>
      </c>
      <c r="B568" t="n">
        <v>56.6</v>
      </c>
      <c r="C568" t="inlineStr">
        <is>
          <t>781</t>
        </is>
      </c>
      <c r="D568" t="n">
        <v>7.81</v>
      </c>
      <c r="E568">
        <f>MEDIAN(D548:D588)</f>
        <v/>
      </c>
      <c r="F568">
        <f>E548</f>
        <v/>
      </c>
      <c r="G568">
        <f>F568-E568</f>
        <v/>
      </c>
      <c r="H568">
        <f>IF(OR(NOT(ISNUMBER(D568)),ABS(D568-E568)&gt;$O$3,AND($O$11=1,B568&lt;$O$12)),1,0)</f>
        <v/>
      </c>
      <c r="I568">
        <f>IF(H568=1,NA(),D568)</f>
        <v/>
      </c>
      <c r="J568">
        <f>IF(AND(ISNUMBER(D568),D568&gt;=$O$4,OR($O$11=0,B568&gt;=$O$12)),1,0)</f>
        <v/>
      </c>
      <c r="K568">
        <f>B568-$O$14</f>
        <v/>
      </c>
    </row>
    <row r="569">
      <c r="A569" t="n">
        <v>1701</v>
      </c>
      <c r="B569" t="n">
        <v>56.7</v>
      </c>
      <c r="C569" t="inlineStr">
        <is>
          <t>781</t>
        </is>
      </c>
      <c r="D569" t="n">
        <v>7.81</v>
      </c>
      <c r="E569">
        <f>MEDIAN(D549:D589)</f>
        <v/>
      </c>
      <c r="F569">
        <f>E549</f>
        <v/>
      </c>
      <c r="G569">
        <f>F569-E569</f>
        <v/>
      </c>
      <c r="H569">
        <f>IF(OR(NOT(ISNUMBER(D569)),ABS(D569-E569)&gt;$O$3,AND($O$11=1,B569&lt;$O$12)),1,0)</f>
        <v/>
      </c>
      <c r="I569">
        <f>IF(H569=1,NA(),D569)</f>
        <v/>
      </c>
      <c r="J569">
        <f>IF(AND(ISNUMBER(D569),D569&gt;=$O$4,OR($O$11=0,B569&gt;=$O$12)),1,0)</f>
        <v/>
      </c>
      <c r="K569">
        <f>B569-$O$14</f>
        <v/>
      </c>
    </row>
    <row r="570">
      <c r="A570" t="n">
        <v>1704</v>
      </c>
      <c r="B570" t="n">
        <v>56.8</v>
      </c>
      <c r="C570" t="inlineStr">
        <is>
          <t>782</t>
        </is>
      </c>
      <c r="D570" t="n">
        <v>7.82</v>
      </c>
      <c r="E570">
        <f>MEDIAN(D550:D590)</f>
        <v/>
      </c>
      <c r="F570">
        <f>E550</f>
        <v/>
      </c>
      <c r="G570">
        <f>F570-E570</f>
        <v/>
      </c>
      <c r="H570">
        <f>IF(OR(NOT(ISNUMBER(D570)),ABS(D570-E570)&gt;$O$3,AND($O$11=1,B570&lt;$O$12)),1,0)</f>
        <v/>
      </c>
      <c r="I570">
        <f>IF(H570=1,NA(),D570)</f>
        <v/>
      </c>
      <c r="J570">
        <f>IF(AND(ISNUMBER(D570),D570&gt;=$O$4,OR($O$11=0,B570&gt;=$O$12)),1,0)</f>
        <v/>
      </c>
      <c r="K570">
        <f>B570-$O$14</f>
        <v/>
      </c>
    </row>
    <row r="571">
      <c r="A571" t="n">
        <v>1707</v>
      </c>
      <c r="B571" t="n">
        <v>56.9</v>
      </c>
      <c r="C571" t="inlineStr">
        <is>
          <t>782</t>
        </is>
      </c>
      <c r="D571" t="n">
        <v>7.82</v>
      </c>
      <c r="E571">
        <f>MEDIAN(D551:D591)</f>
        <v/>
      </c>
      <c r="F571">
        <f>E551</f>
        <v/>
      </c>
      <c r="G571">
        <f>F571-E571</f>
        <v/>
      </c>
      <c r="H571">
        <f>IF(OR(NOT(ISNUMBER(D571)),ABS(D571-E571)&gt;$O$3,AND($O$11=1,B571&lt;$O$12)),1,0)</f>
        <v/>
      </c>
      <c r="I571">
        <f>IF(H571=1,NA(),D571)</f>
        <v/>
      </c>
      <c r="J571">
        <f>IF(AND(ISNUMBER(D571),D571&gt;=$O$4,OR($O$11=0,B571&gt;=$O$12)),1,0)</f>
        <v/>
      </c>
      <c r="K571">
        <f>B571-$O$14</f>
        <v/>
      </c>
    </row>
    <row r="572">
      <c r="A572" t="n">
        <v>1710</v>
      </c>
      <c r="B572" t="n">
        <v>57</v>
      </c>
      <c r="C572" t="inlineStr">
        <is>
          <t>782</t>
        </is>
      </c>
      <c r="D572" t="n">
        <v>7.82</v>
      </c>
      <c r="E572">
        <f>MEDIAN(D552:D592)</f>
        <v/>
      </c>
      <c r="F572">
        <f>E552</f>
        <v/>
      </c>
      <c r="G572">
        <f>F572-E572</f>
        <v/>
      </c>
      <c r="H572">
        <f>IF(OR(NOT(ISNUMBER(D572)),ABS(D572-E572)&gt;$O$3,AND($O$11=1,B572&lt;$O$12)),1,0)</f>
        <v/>
      </c>
      <c r="I572">
        <f>IF(H572=1,NA(),D572)</f>
        <v/>
      </c>
      <c r="J572">
        <f>IF(AND(ISNUMBER(D572),D572&gt;=$O$4,OR($O$11=0,B572&gt;=$O$12)),1,0)</f>
        <v/>
      </c>
      <c r="K572">
        <f>B572-$O$14</f>
        <v/>
      </c>
    </row>
    <row r="573">
      <c r="A573" t="n">
        <v>1713</v>
      </c>
      <c r="B573" t="n">
        <v>57.1</v>
      </c>
      <c r="C573" t="inlineStr">
        <is>
          <t>783</t>
        </is>
      </c>
      <c r="D573" t="n">
        <v>7.83</v>
      </c>
      <c r="E573">
        <f>MEDIAN(D553:D593)</f>
        <v/>
      </c>
      <c r="F573">
        <f>E553</f>
        <v/>
      </c>
      <c r="G573">
        <f>F573-E573</f>
        <v/>
      </c>
      <c r="H573">
        <f>IF(OR(NOT(ISNUMBER(D573)),ABS(D573-E573)&gt;$O$3,AND($O$11=1,B573&lt;$O$12)),1,0)</f>
        <v/>
      </c>
      <c r="I573">
        <f>IF(H573=1,NA(),D573)</f>
        <v/>
      </c>
      <c r="J573">
        <f>IF(AND(ISNUMBER(D573),D573&gt;=$O$4,OR($O$11=0,B573&gt;=$O$12)),1,0)</f>
        <v/>
      </c>
      <c r="K573">
        <f>B573-$O$14</f>
        <v/>
      </c>
    </row>
    <row r="574">
      <c r="A574" t="n">
        <v>1716</v>
      </c>
      <c r="B574" t="n">
        <v>57.2</v>
      </c>
      <c r="C574" t="inlineStr">
        <is>
          <t>783</t>
        </is>
      </c>
      <c r="D574" t="n">
        <v>7.83</v>
      </c>
      <c r="E574">
        <f>MEDIAN(D554:D594)</f>
        <v/>
      </c>
      <c r="F574">
        <f>E554</f>
        <v/>
      </c>
      <c r="G574">
        <f>F574-E574</f>
        <v/>
      </c>
      <c r="H574">
        <f>IF(OR(NOT(ISNUMBER(D574)),ABS(D574-E574)&gt;$O$3,AND($O$11=1,B574&lt;$O$12)),1,0)</f>
        <v/>
      </c>
      <c r="I574">
        <f>IF(H574=1,NA(),D574)</f>
        <v/>
      </c>
      <c r="J574">
        <f>IF(AND(ISNUMBER(D574),D574&gt;=$O$4,OR($O$11=0,B574&gt;=$O$12)),1,0)</f>
        <v/>
      </c>
      <c r="K574">
        <f>B574-$O$14</f>
        <v/>
      </c>
    </row>
    <row r="575">
      <c r="A575" t="n">
        <v>1719</v>
      </c>
      <c r="B575" t="n">
        <v>57.3</v>
      </c>
      <c r="C575" t="inlineStr">
        <is>
          <t>784</t>
        </is>
      </c>
      <c r="D575" t="n">
        <v>7.84</v>
      </c>
      <c r="E575">
        <f>MEDIAN(D555:D595)</f>
        <v/>
      </c>
      <c r="F575">
        <f>E555</f>
        <v/>
      </c>
      <c r="G575">
        <f>F575-E575</f>
        <v/>
      </c>
      <c r="H575">
        <f>IF(OR(NOT(ISNUMBER(D575)),ABS(D575-E575)&gt;$O$3,AND($O$11=1,B575&lt;$O$12)),1,0)</f>
        <v/>
      </c>
      <c r="I575">
        <f>IF(H575=1,NA(),D575)</f>
        <v/>
      </c>
      <c r="J575">
        <f>IF(AND(ISNUMBER(D575),D575&gt;=$O$4,OR($O$11=0,B575&gt;=$O$12)),1,0)</f>
        <v/>
      </c>
      <c r="K575">
        <f>B575-$O$14</f>
        <v/>
      </c>
    </row>
    <row r="576">
      <c r="A576" t="n">
        <v>1722</v>
      </c>
      <c r="B576" t="n">
        <v>57.4</v>
      </c>
      <c r="C576" t="inlineStr">
        <is>
          <t>784</t>
        </is>
      </c>
      <c r="D576" t="n">
        <v>7.84</v>
      </c>
      <c r="E576">
        <f>MEDIAN(D556:D596)</f>
        <v/>
      </c>
      <c r="F576">
        <f>E556</f>
        <v/>
      </c>
      <c r="G576">
        <f>F576-E576</f>
        <v/>
      </c>
      <c r="H576">
        <f>IF(OR(NOT(ISNUMBER(D576)),ABS(D576-E576)&gt;$O$3,AND($O$11=1,B576&lt;$O$12)),1,0)</f>
        <v/>
      </c>
      <c r="I576">
        <f>IF(H576=1,NA(),D576)</f>
        <v/>
      </c>
      <c r="J576">
        <f>IF(AND(ISNUMBER(D576),D576&gt;=$O$4,OR($O$11=0,B576&gt;=$O$12)),1,0)</f>
        <v/>
      </c>
      <c r="K576">
        <f>B576-$O$14</f>
        <v/>
      </c>
    </row>
    <row r="577">
      <c r="A577" t="n">
        <v>1725</v>
      </c>
      <c r="B577" t="n">
        <v>57.5</v>
      </c>
      <c r="C577" t="inlineStr">
        <is>
          <t>784</t>
        </is>
      </c>
      <c r="D577" t="n">
        <v>7.84</v>
      </c>
      <c r="E577">
        <f>MEDIAN(D557:D597)</f>
        <v/>
      </c>
      <c r="F577">
        <f>E557</f>
        <v/>
      </c>
      <c r="G577">
        <f>F577-E577</f>
        <v/>
      </c>
      <c r="H577">
        <f>IF(OR(NOT(ISNUMBER(D577)),ABS(D577-E577)&gt;$O$3,AND($O$11=1,B577&lt;$O$12)),1,0)</f>
        <v/>
      </c>
      <c r="I577">
        <f>IF(H577=1,NA(),D577)</f>
        <v/>
      </c>
      <c r="J577">
        <f>IF(AND(ISNUMBER(D577),D577&gt;=$O$4,OR($O$11=0,B577&gt;=$O$12)),1,0)</f>
        <v/>
      </c>
      <c r="K577">
        <f>B577-$O$14</f>
        <v/>
      </c>
    </row>
    <row r="578">
      <c r="A578" t="n">
        <v>1728</v>
      </c>
      <c r="B578" t="n">
        <v>57.6</v>
      </c>
      <c r="C578" t="inlineStr">
        <is>
          <t>785</t>
        </is>
      </c>
      <c r="D578" t="n">
        <v>7.85</v>
      </c>
      <c r="E578">
        <f>MEDIAN(D558:D598)</f>
        <v/>
      </c>
      <c r="F578">
        <f>E558</f>
        <v/>
      </c>
      <c r="G578">
        <f>F578-E578</f>
        <v/>
      </c>
      <c r="H578">
        <f>IF(OR(NOT(ISNUMBER(D578)),ABS(D578-E578)&gt;$O$3,AND($O$11=1,B578&lt;$O$12)),1,0)</f>
        <v/>
      </c>
      <c r="I578">
        <f>IF(H578=1,NA(),D578)</f>
        <v/>
      </c>
      <c r="J578">
        <f>IF(AND(ISNUMBER(D578),D578&gt;=$O$4,OR($O$11=0,B578&gt;=$O$12)),1,0)</f>
        <v/>
      </c>
      <c r="K578">
        <f>B578-$O$14</f>
        <v/>
      </c>
    </row>
    <row r="579">
      <c r="A579" t="n">
        <v>1731</v>
      </c>
      <c r="B579" t="n">
        <v>57.7</v>
      </c>
      <c r="C579" t="inlineStr">
        <is>
          <t>785</t>
        </is>
      </c>
      <c r="D579" t="n">
        <v>7.85</v>
      </c>
      <c r="E579">
        <f>MEDIAN(D559:D599)</f>
        <v/>
      </c>
      <c r="F579">
        <f>E559</f>
        <v/>
      </c>
      <c r="G579">
        <f>F579-E579</f>
        <v/>
      </c>
      <c r="H579">
        <f>IF(OR(NOT(ISNUMBER(D579)),ABS(D579-E579)&gt;$O$3,AND($O$11=1,B579&lt;$O$12)),1,0)</f>
        <v/>
      </c>
      <c r="I579">
        <f>IF(H579=1,NA(),D579)</f>
        <v/>
      </c>
      <c r="J579">
        <f>IF(AND(ISNUMBER(D579),D579&gt;=$O$4,OR($O$11=0,B579&gt;=$O$12)),1,0)</f>
        <v/>
      </c>
      <c r="K579">
        <f>B579-$O$14</f>
        <v/>
      </c>
    </row>
    <row r="580">
      <c r="A580" t="n">
        <v>1734</v>
      </c>
      <c r="B580" t="n">
        <v>57.8</v>
      </c>
      <c r="C580" t="inlineStr">
        <is>
          <t>785</t>
        </is>
      </c>
      <c r="D580" t="n">
        <v>7.85</v>
      </c>
      <c r="E580">
        <f>MEDIAN(D560:D600)</f>
        <v/>
      </c>
      <c r="F580">
        <f>E560</f>
        <v/>
      </c>
      <c r="G580">
        <f>F580-E580</f>
        <v/>
      </c>
      <c r="H580">
        <f>IF(OR(NOT(ISNUMBER(D580)),ABS(D580-E580)&gt;$O$3,AND($O$11=1,B580&lt;$O$12)),1,0)</f>
        <v/>
      </c>
      <c r="I580">
        <f>IF(H580=1,NA(),D580)</f>
        <v/>
      </c>
      <c r="J580">
        <f>IF(AND(ISNUMBER(D580),D580&gt;=$O$4,OR($O$11=0,B580&gt;=$O$12)),1,0)</f>
        <v/>
      </c>
      <c r="K580">
        <f>B580-$O$14</f>
        <v/>
      </c>
    </row>
    <row r="581">
      <c r="A581" t="n">
        <v>1737</v>
      </c>
      <c r="B581" t="n">
        <v>57.9</v>
      </c>
      <c r="C581" t="inlineStr">
        <is>
          <t>786</t>
        </is>
      </c>
      <c r="D581" t="n">
        <v>7.86</v>
      </c>
      <c r="E581">
        <f>MEDIAN(D561:D601)</f>
        <v/>
      </c>
      <c r="F581">
        <f>E561</f>
        <v/>
      </c>
      <c r="G581">
        <f>F581-E581</f>
        <v/>
      </c>
      <c r="H581">
        <f>IF(OR(NOT(ISNUMBER(D581)),ABS(D581-E581)&gt;$O$3,AND($O$11=1,B581&lt;$O$12)),1,0)</f>
        <v/>
      </c>
      <c r="I581">
        <f>IF(H581=1,NA(),D581)</f>
        <v/>
      </c>
      <c r="J581">
        <f>IF(AND(ISNUMBER(D581),D581&gt;=$O$4,OR($O$11=0,B581&gt;=$O$12)),1,0)</f>
        <v/>
      </c>
      <c r="K581">
        <f>B581-$O$14</f>
        <v/>
      </c>
    </row>
    <row r="582">
      <c r="A582" t="n">
        <v>1740</v>
      </c>
      <c r="B582" t="n">
        <v>58</v>
      </c>
      <c r="C582" t="inlineStr">
        <is>
          <t>786</t>
        </is>
      </c>
      <c r="D582" t="n">
        <v>7.86</v>
      </c>
      <c r="E582">
        <f>MEDIAN(D562:D602)</f>
        <v/>
      </c>
      <c r="F582">
        <f>E562</f>
        <v/>
      </c>
      <c r="G582">
        <f>F582-E582</f>
        <v/>
      </c>
      <c r="H582">
        <f>IF(OR(NOT(ISNUMBER(D582)),ABS(D582-E582)&gt;$O$3,AND($O$11=1,B582&lt;$O$12)),1,0)</f>
        <v/>
      </c>
      <c r="I582">
        <f>IF(H582=1,NA(),D582)</f>
        <v/>
      </c>
      <c r="J582">
        <f>IF(AND(ISNUMBER(D582),D582&gt;=$O$4,OR($O$11=0,B582&gt;=$O$12)),1,0)</f>
        <v/>
      </c>
      <c r="K582">
        <f>B582-$O$14</f>
        <v/>
      </c>
    </row>
    <row r="583">
      <c r="A583" t="n">
        <v>1743</v>
      </c>
      <c r="B583" t="n">
        <v>58.1</v>
      </c>
      <c r="C583" t="inlineStr">
        <is>
          <t>786</t>
        </is>
      </c>
      <c r="D583" t="n">
        <v>7.86</v>
      </c>
      <c r="E583">
        <f>MEDIAN(D563:D603)</f>
        <v/>
      </c>
      <c r="F583">
        <f>E563</f>
        <v/>
      </c>
      <c r="G583">
        <f>F583-E583</f>
        <v/>
      </c>
      <c r="H583">
        <f>IF(OR(NOT(ISNUMBER(D583)),ABS(D583-E583)&gt;$O$3,AND($O$11=1,B583&lt;$O$12)),1,0)</f>
        <v/>
      </c>
      <c r="I583">
        <f>IF(H583=1,NA(),D583)</f>
        <v/>
      </c>
      <c r="J583">
        <f>IF(AND(ISNUMBER(D583),D583&gt;=$O$4,OR($O$11=0,B583&gt;=$O$12)),1,0)</f>
        <v/>
      </c>
      <c r="K583">
        <f>B583-$O$14</f>
        <v/>
      </c>
    </row>
    <row r="584">
      <c r="A584" t="n">
        <v>1746</v>
      </c>
      <c r="B584" t="n">
        <v>58.2</v>
      </c>
      <c r="C584" t="inlineStr">
        <is>
          <t>786</t>
        </is>
      </c>
      <c r="D584" t="n">
        <v>7.86</v>
      </c>
      <c r="E584">
        <f>MEDIAN(D564:D604)</f>
        <v/>
      </c>
      <c r="F584">
        <f>E564</f>
        <v/>
      </c>
      <c r="G584">
        <f>F584-E584</f>
        <v/>
      </c>
      <c r="H584">
        <f>IF(OR(NOT(ISNUMBER(D584)),ABS(D584-E584)&gt;$O$3,AND($O$11=1,B584&lt;$O$12)),1,0)</f>
        <v/>
      </c>
      <c r="I584">
        <f>IF(H584=1,NA(),D584)</f>
        <v/>
      </c>
      <c r="J584">
        <f>IF(AND(ISNUMBER(D584),D584&gt;=$O$4,OR($O$11=0,B584&gt;=$O$12)),1,0)</f>
        <v/>
      </c>
      <c r="K584">
        <f>B584-$O$14</f>
        <v/>
      </c>
    </row>
    <row r="585">
      <c r="A585" t="n">
        <v>1749</v>
      </c>
      <c r="B585" t="n">
        <v>58.3</v>
      </c>
      <c r="C585" t="inlineStr">
        <is>
          <t>786</t>
        </is>
      </c>
      <c r="D585" t="n">
        <v>7.86</v>
      </c>
      <c r="E585">
        <f>MEDIAN(D565:D605)</f>
        <v/>
      </c>
      <c r="F585">
        <f>E565</f>
        <v/>
      </c>
      <c r="G585">
        <f>F585-E585</f>
        <v/>
      </c>
      <c r="H585">
        <f>IF(OR(NOT(ISNUMBER(D585)),ABS(D585-E585)&gt;$O$3,AND($O$11=1,B585&lt;$O$12)),1,0)</f>
        <v/>
      </c>
      <c r="I585">
        <f>IF(H585=1,NA(),D585)</f>
        <v/>
      </c>
      <c r="J585">
        <f>IF(AND(ISNUMBER(D585),D585&gt;=$O$4,OR($O$11=0,B585&gt;=$O$12)),1,0)</f>
        <v/>
      </c>
      <c r="K585">
        <f>B585-$O$14</f>
        <v/>
      </c>
    </row>
    <row r="586">
      <c r="A586" t="n">
        <v>1752</v>
      </c>
      <c r="B586" t="n">
        <v>58.4</v>
      </c>
      <c r="C586" t="inlineStr">
        <is>
          <t>786</t>
        </is>
      </c>
      <c r="D586" t="n">
        <v>7.86</v>
      </c>
      <c r="E586">
        <f>MEDIAN(D566:D606)</f>
        <v/>
      </c>
      <c r="F586">
        <f>E566</f>
        <v/>
      </c>
      <c r="G586">
        <f>F586-E586</f>
        <v/>
      </c>
      <c r="H586">
        <f>IF(OR(NOT(ISNUMBER(D586)),ABS(D586-E586)&gt;$O$3,AND($O$11=1,B586&lt;$O$12)),1,0)</f>
        <v/>
      </c>
      <c r="I586">
        <f>IF(H586=1,NA(),D586)</f>
        <v/>
      </c>
      <c r="J586">
        <f>IF(AND(ISNUMBER(D586),D586&gt;=$O$4,OR($O$11=0,B586&gt;=$O$12)),1,0)</f>
        <v/>
      </c>
      <c r="K586">
        <f>B586-$O$14</f>
        <v/>
      </c>
    </row>
    <row r="587">
      <c r="A587" t="n">
        <v>1755</v>
      </c>
      <c r="B587" t="n">
        <v>58.5</v>
      </c>
      <c r="C587" t="inlineStr">
        <is>
          <t>786</t>
        </is>
      </c>
      <c r="D587" t="n">
        <v>7.86</v>
      </c>
      <c r="E587">
        <f>MEDIAN(D567:D607)</f>
        <v/>
      </c>
      <c r="F587">
        <f>E567</f>
        <v/>
      </c>
      <c r="G587">
        <f>F587-E587</f>
        <v/>
      </c>
      <c r="H587">
        <f>IF(OR(NOT(ISNUMBER(D587)),ABS(D587-E587)&gt;$O$3,AND($O$11=1,B587&lt;$O$12)),1,0)</f>
        <v/>
      </c>
      <c r="I587">
        <f>IF(H587=1,NA(),D587)</f>
        <v/>
      </c>
      <c r="J587">
        <f>IF(AND(ISNUMBER(D587),D587&gt;=$O$4,OR($O$11=0,B587&gt;=$O$12)),1,0)</f>
        <v/>
      </c>
      <c r="K587">
        <f>B587-$O$14</f>
        <v/>
      </c>
    </row>
    <row r="588">
      <c r="A588" t="n">
        <v>1758</v>
      </c>
      <c r="B588" t="n">
        <v>58.6</v>
      </c>
      <c r="C588" t="inlineStr">
        <is>
          <t>786</t>
        </is>
      </c>
      <c r="D588" t="n">
        <v>7.86</v>
      </c>
      <c r="E588">
        <f>MEDIAN(D568:D608)</f>
        <v/>
      </c>
      <c r="F588">
        <f>E568</f>
        <v/>
      </c>
      <c r="G588">
        <f>F588-E588</f>
        <v/>
      </c>
      <c r="H588">
        <f>IF(OR(NOT(ISNUMBER(D588)),ABS(D588-E588)&gt;$O$3,AND($O$11=1,B588&lt;$O$12)),1,0)</f>
        <v/>
      </c>
      <c r="I588">
        <f>IF(H588=1,NA(),D588)</f>
        <v/>
      </c>
      <c r="J588">
        <f>IF(AND(ISNUMBER(D588),D588&gt;=$O$4,OR($O$11=0,B588&gt;=$O$12)),1,0)</f>
        <v/>
      </c>
      <c r="K588">
        <f>B588-$O$14</f>
        <v/>
      </c>
    </row>
    <row r="589">
      <c r="A589" t="n">
        <v>1761</v>
      </c>
      <c r="B589" t="n">
        <v>58.7</v>
      </c>
      <c r="C589" t="inlineStr">
        <is>
          <t>787</t>
        </is>
      </c>
      <c r="D589" t="n">
        <v>7.87</v>
      </c>
      <c r="E589">
        <f>MEDIAN(D569:D609)</f>
        <v/>
      </c>
      <c r="F589">
        <f>E569</f>
        <v/>
      </c>
      <c r="G589">
        <f>F589-E589</f>
        <v/>
      </c>
      <c r="H589">
        <f>IF(OR(NOT(ISNUMBER(D589)),ABS(D589-E589)&gt;$O$3,AND($O$11=1,B589&lt;$O$12)),1,0)</f>
        <v/>
      </c>
      <c r="I589">
        <f>IF(H589=1,NA(),D589)</f>
        <v/>
      </c>
      <c r="J589">
        <f>IF(AND(ISNUMBER(D589),D589&gt;=$O$4,OR($O$11=0,B589&gt;=$O$12)),1,0)</f>
        <v/>
      </c>
      <c r="K589">
        <f>B589-$O$14</f>
        <v/>
      </c>
    </row>
    <row r="590">
      <c r="A590" t="n">
        <v>1764</v>
      </c>
      <c r="B590" t="n">
        <v>58.8</v>
      </c>
      <c r="C590" t="inlineStr">
        <is>
          <t>787</t>
        </is>
      </c>
      <c r="D590" t="n">
        <v>7.87</v>
      </c>
      <c r="E590">
        <f>MEDIAN(D570:D610)</f>
        <v/>
      </c>
      <c r="F590">
        <f>E570</f>
        <v/>
      </c>
      <c r="G590">
        <f>F590-E590</f>
        <v/>
      </c>
      <c r="H590">
        <f>IF(OR(NOT(ISNUMBER(D590)),ABS(D590-E590)&gt;$O$3,AND($O$11=1,B590&lt;$O$12)),1,0)</f>
        <v/>
      </c>
      <c r="I590">
        <f>IF(H590=1,NA(),D590)</f>
        <v/>
      </c>
      <c r="J590">
        <f>IF(AND(ISNUMBER(D590),D590&gt;=$O$4,OR($O$11=0,B590&gt;=$O$12)),1,0)</f>
        <v/>
      </c>
      <c r="K590">
        <f>B590-$O$14</f>
        <v/>
      </c>
    </row>
    <row r="591">
      <c r="A591" t="n">
        <v>1767</v>
      </c>
      <c r="B591" t="n">
        <v>58.9</v>
      </c>
      <c r="C591" t="inlineStr">
        <is>
          <t>787</t>
        </is>
      </c>
      <c r="D591" t="n">
        <v>7.87</v>
      </c>
      <c r="E591">
        <f>MEDIAN(D571:D611)</f>
        <v/>
      </c>
      <c r="F591">
        <f>E571</f>
        <v/>
      </c>
      <c r="G591">
        <f>F591-E591</f>
        <v/>
      </c>
      <c r="H591">
        <f>IF(OR(NOT(ISNUMBER(D591)),ABS(D591-E591)&gt;$O$3,AND($O$11=1,B591&lt;$O$12)),1,0)</f>
        <v/>
      </c>
      <c r="I591">
        <f>IF(H591=1,NA(),D591)</f>
        <v/>
      </c>
      <c r="J591">
        <f>IF(AND(ISNUMBER(D591),D591&gt;=$O$4,OR($O$11=0,B591&gt;=$O$12)),1,0)</f>
        <v/>
      </c>
      <c r="K591">
        <f>B591-$O$14</f>
        <v/>
      </c>
    </row>
    <row r="592">
      <c r="A592" t="n">
        <v>1770</v>
      </c>
      <c r="B592" t="n">
        <v>59</v>
      </c>
      <c r="C592" t="inlineStr">
        <is>
          <t>787</t>
        </is>
      </c>
      <c r="D592" t="n">
        <v>7.87</v>
      </c>
      <c r="E592">
        <f>MEDIAN(D572:D612)</f>
        <v/>
      </c>
      <c r="F592">
        <f>E572</f>
        <v/>
      </c>
      <c r="G592">
        <f>F592-E592</f>
        <v/>
      </c>
      <c r="H592">
        <f>IF(OR(NOT(ISNUMBER(D592)),ABS(D592-E592)&gt;$O$3,AND($O$11=1,B592&lt;$O$12)),1,0)</f>
        <v/>
      </c>
      <c r="I592">
        <f>IF(H592=1,NA(),D592)</f>
        <v/>
      </c>
      <c r="J592">
        <f>IF(AND(ISNUMBER(D592),D592&gt;=$O$4,OR($O$11=0,B592&gt;=$O$12)),1,0)</f>
        <v/>
      </c>
      <c r="K592">
        <f>B592-$O$14</f>
        <v/>
      </c>
    </row>
    <row r="593">
      <c r="A593" t="n">
        <v>1773</v>
      </c>
      <c r="B593" t="n">
        <v>59.1</v>
      </c>
      <c r="C593" t="inlineStr">
        <is>
          <t>787</t>
        </is>
      </c>
      <c r="D593" t="n">
        <v>7.87</v>
      </c>
      <c r="E593">
        <f>MEDIAN(D573:D613)</f>
        <v/>
      </c>
      <c r="F593">
        <f>E573</f>
        <v/>
      </c>
      <c r="G593">
        <f>F593-E593</f>
        <v/>
      </c>
      <c r="H593">
        <f>IF(OR(NOT(ISNUMBER(D593)),ABS(D593-E593)&gt;$O$3,AND($O$11=1,B593&lt;$O$12)),1,0)</f>
        <v/>
      </c>
      <c r="I593">
        <f>IF(H593=1,NA(),D593)</f>
        <v/>
      </c>
      <c r="J593">
        <f>IF(AND(ISNUMBER(D593),D593&gt;=$O$4,OR($O$11=0,B593&gt;=$O$12)),1,0)</f>
        <v/>
      </c>
      <c r="K593">
        <f>B593-$O$14</f>
        <v/>
      </c>
    </row>
    <row r="594">
      <c r="A594" t="n">
        <v>1776</v>
      </c>
      <c r="B594" t="n">
        <v>59.2</v>
      </c>
      <c r="C594" t="inlineStr">
        <is>
          <t>787</t>
        </is>
      </c>
      <c r="D594" t="n">
        <v>7.87</v>
      </c>
      <c r="E594">
        <f>MEDIAN(D574:D614)</f>
        <v/>
      </c>
      <c r="F594">
        <f>E574</f>
        <v/>
      </c>
      <c r="G594">
        <f>F594-E594</f>
        <v/>
      </c>
      <c r="H594">
        <f>IF(OR(NOT(ISNUMBER(D594)),ABS(D594-E594)&gt;$O$3,AND($O$11=1,B594&lt;$O$12)),1,0)</f>
        <v/>
      </c>
      <c r="I594">
        <f>IF(H594=1,NA(),D594)</f>
        <v/>
      </c>
      <c r="J594">
        <f>IF(AND(ISNUMBER(D594),D594&gt;=$O$4,OR($O$11=0,B594&gt;=$O$12)),1,0)</f>
        <v/>
      </c>
      <c r="K594">
        <f>B594-$O$14</f>
        <v/>
      </c>
    </row>
    <row r="595">
      <c r="A595" t="n">
        <v>1779</v>
      </c>
      <c r="B595" t="n">
        <v>59.3</v>
      </c>
      <c r="C595" t="inlineStr">
        <is>
          <t>787</t>
        </is>
      </c>
      <c r="D595" t="n">
        <v>7.87</v>
      </c>
      <c r="E595">
        <f>MEDIAN(D575:D615)</f>
        <v/>
      </c>
      <c r="F595">
        <f>E575</f>
        <v/>
      </c>
      <c r="G595">
        <f>F595-E595</f>
        <v/>
      </c>
      <c r="H595">
        <f>IF(OR(NOT(ISNUMBER(D595)),ABS(D595-E595)&gt;$O$3,AND($O$11=1,B595&lt;$O$12)),1,0)</f>
        <v/>
      </c>
      <c r="I595">
        <f>IF(H595=1,NA(),D595)</f>
        <v/>
      </c>
      <c r="J595">
        <f>IF(AND(ISNUMBER(D595),D595&gt;=$O$4,OR($O$11=0,B595&gt;=$O$12)),1,0)</f>
        <v/>
      </c>
      <c r="K595">
        <f>B595-$O$14</f>
        <v/>
      </c>
    </row>
    <row r="596">
      <c r="A596" t="n">
        <v>1782</v>
      </c>
      <c r="B596" t="n">
        <v>59.4</v>
      </c>
      <c r="C596" t="inlineStr">
        <is>
          <t>787</t>
        </is>
      </c>
      <c r="D596" t="n">
        <v>7.87</v>
      </c>
      <c r="E596">
        <f>MEDIAN(D576:D616)</f>
        <v/>
      </c>
      <c r="F596">
        <f>E576</f>
        <v/>
      </c>
      <c r="G596">
        <f>F596-E596</f>
        <v/>
      </c>
      <c r="H596">
        <f>IF(OR(NOT(ISNUMBER(D596)),ABS(D596-E596)&gt;$O$3,AND($O$11=1,B596&lt;$O$12)),1,0)</f>
        <v/>
      </c>
      <c r="I596">
        <f>IF(H596=1,NA(),D596)</f>
        <v/>
      </c>
      <c r="J596">
        <f>IF(AND(ISNUMBER(D596),D596&gt;=$O$4,OR($O$11=0,B596&gt;=$O$12)),1,0)</f>
        <v/>
      </c>
      <c r="K596">
        <f>B596-$O$14</f>
        <v/>
      </c>
    </row>
    <row r="597">
      <c r="A597" t="n">
        <v>1785</v>
      </c>
      <c r="B597" t="n">
        <v>59.5</v>
      </c>
      <c r="C597" t="inlineStr">
        <is>
          <t>788</t>
        </is>
      </c>
      <c r="D597" t="n">
        <v>7.88</v>
      </c>
      <c r="E597">
        <f>MEDIAN(D577:D617)</f>
        <v/>
      </c>
      <c r="F597">
        <f>E577</f>
        <v/>
      </c>
      <c r="G597">
        <f>F597-E597</f>
        <v/>
      </c>
      <c r="H597">
        <f>IF(OR(NOT(ISNUMBER(D597)),ABS(D597-E597)&gt;$O$3,AND($O$11=1,B597&lt;$O$12)),1,0)</f>
        <v/>
      </c>
      <c r="I597">
        <f>IF(H597=1,NA(),D597)</f>
        <v/>
      </c>
      <c r="J597">
        <f>IF(AND(ISNUMBER(D597),D597&gt;=$O$4,OR($O$11=0,B597&gt;=$O$12)),1,0)</f>
        <v/>
      </c>
      <c r="K597">
        <f>B597-$O$14</f>
        <v/>
      </c>
    </row>
    <row r="598">
      <c r="A598" t="n">
        <v>1788</v>
      </c>
      <c r="B598" t="n">
        <v>59.6</v>
      </c>
      <c r="C598" t="inlineStr">
        <is>
          <t>788</t>
        </is>
      </c>
      <c r="D598" t="n">
        <v>7.88</v>
      </c>
      <c r="E598">
        <f>MEDIAN(D578:D618)</f>
        <v/>
      </c>
      <c r="F598">
        <f>E578</f>
        <v/>
      </c>
      <c r="G598">
        <f>F598-E598</f>
        <v/>
      </c>
      <c r="H598">
        <f>IF(OR(NOT(ISNUMBER(D598)),ABS(D598-E598)&gt;$O$3,AND($O$11=1,B598&lt;$O$12)),1,0)</f>
        <v/>
      </c>
      <c r="I598">
        <f>IF(H598=1,NA(),D598)</f>
        <v/>
      </c>
      <c r="J598">
        <f>IF(AND(ISNUMBER(D598),D598&gt;=$O$4,OR($O$11=0,B598&gt;=$O$12)),1,0)</f>
        <v/>
      </c>
      <c r="K598">
        <f>B598-$O$14</f>
        <v/>
      </c>
    </row>
    <row r="599">
      <c r="A599" t="n">
        <v>1791</v>
      </c>
      <c r="B599" t="n">
        <v>59.7</v>
      </c>
      <c r="C599" t="inlineStr">
        <is>
          <t>788</t>
        </is>
      </c>
      <c r="D599" t="n">
        <v>7.88</v>
      </c>
      <c r="E599">
        <f>MEDIAN(D579:D619)</f>
        <v/>
      </c>
      <c r="F599">
        <f>E579</f>
        <v/>
      </c>
      <c r="G599">
        <f>F599-E599</f>
        <v/>
      </c>
      <c r="H599">
        <f>IF(OR(NOT(ISNUMBER(D599)),ABS(D599-E599)&gt;$O$3,AND($O$11=1,B599&lt;$O$12)),1,0)</f>
        <v/>
      </c>
      <c r="I599">
        <f>IF(H599=1,NA(),D599)</f>
        <v/>
      </c>
      <c r="J599">
        <f>IF(AND(ISNUMBER(D599),D599&gt;=$O$4,OR($O$11=0,B599&gt;=$O$12)),1,0)</f>
        <v/>
      </c>
      <c r="K599">
        <f>B599-$O$14</f>
        <v/>
      </c>
    </row>
    <row r="600">
      <c r="A600" t="n">
        <v>1794</v>
      </c>
      <c r="B600" t="n">
        <v>59.8</v>
      </c>
      <c r="C600" t="inlineStr">
        <is>
          <t>788</t>
        </is>
      </c>
      <c r="D600" t="n">
        <v>7.88</v>
      </c>
      <c r="E600">
        <f>MEDIAN(D580:D620)</f>
        <v/>
      </c>
      <c r="F600">
        <f>E580</f>
        <v/>
      </c>
      <c r="G600">
        <f>F600-E600</f>
        <v/>
      </c>
      <c r="H600">
        <f>IF(OR(NOT(ISNUMBER(D600)),ABS(D600-E600)&gt;$O$3,AND($O$11=1,B600&lt;$O$12)),1,0)</f>
        <v/>
      </c>
      <c r="I600">
        <f>IF(H600=1,NA(),D600)</f>
        <v/>
      </c>
      <c r="J600">
        <f>IF(AND(ISNUMBER(D600),D600&gt;=$O$4,OR($O$11=0,B600&gt;=$O$12)),1,0)</f>
        <v/>
      </c>
      <c r="K600">
        <f>B600-$O$14</f>
        <v/>
      </c>
    </row>
    <row r="601">
      <c r="A601" t="n">
        <v>1797</v>
      </c>
      <c r="B601" t="n">
        <v>59.9</v>
      </c>
      <c r="C601" t="inlineStr">
        <is>
          <t>789</t>
        </is>
      </c>
      <c r="D601" t="n">
        <v>7.89</v>
      </c>
      <c r="E601">
        <f>MEDIAN(D581:D621)</f>
        <v/>
      </c>
      <c r="F601">
        <f>E581</f>
        <v/>
      </c>
      <c r="G601">
        <f>F601-E601</f>
        <v/>
      </c>
      <c r="H601">
        <f>IF(OR(NOT(ISNUMBER(D601)),ABS(D601-E601)&gt;$O$3,AND($O$11=1,B601&lt;$O$12)),1,0)</f>
        <v/>
      </c>
      <c r="I601">
        <f>IF(H601=1,NA(),D601)</f>
        <v/>
      </c>
      <c r="J601">
        <f>IF(AND(ISNUMBER(D601),D601&gt;=$O$4,OR($O$11=0,B601&gt;=$O$12)),1,0)</f>
        <v/>
      </c>
      <c r="K601">
        <f>B601-$O$14</f>
        <v/>
      </c>
    </row>
    <row r="602">
      <c r="A602" t="n">
        <v>1800</v>
      </c>
      <c r="B602" t="n">
        <v>60</v>
      </c>
      <c r="C602" t="inlineStr">
        <is>
          <t>789</t>
        </is>
      </c>
      <c r="D602" t="n">
        <v>7.89</v>
      </c>
      <c r="E602">
        <f>MEDIAN(D582:D622)</f>
        <v/>
      </c>
      <c r="F602">
        <f>E582</f>
        <v/>
      </c>
      <c r="G602">
        <f>F602-E602</f>
        <v/>
      </c>
      <c r="H602">
        <f>IF(OR(NOT(ISNUMBER(D602)),ABS(D602-E602)&gt;$O$3,AND($O$11=1,B602&lt;$O$12)),1,0)</f>
        <v/>
      </c>
      <c r="I602">
        <f>IF(H602=1,NA(),D602)</f>
        <v/>
      </c>
      <c r="J602">
        <f>IF(AND(ISNUMBER(D602),D602&gt;=$O$4,OR($O$11=0,B602&gt;=$O$12)),1,0)</f>
        <v/>
      </c>
      <c r="K602">
        <f>B602-$O$14</f>
        <v/>
      </c>
    </row>
    <row r="603">
      <c r="A603" t="n">
        <v>1803</v>
      </c>
      <c r="B603" t="n">
        <v>60.1</v>
      </c>
      <c r="C603" t="inlineStr">
        <is>
          <t>792</t>
        </is>
      </c>
      <c r="D603" t="n">
        <v>7.92</v>
      </c>
      <c r="E603">
        <f>MEDIAN(D583:D623)</f>
        <v/>
      </c>
      <c r="F603">
        <f>E583</f>
        <v/>
      </c>
      <c r="G603">
        <f>F603-E603</f>
        <v/>
      </c>
      <c r="H603">
        <f>IF(OR(NOT(ISNUMBER(D603)),ABS(D603-E603)&gt;$O$3,AND($O$11=1,B603&lt;$O$12)),1,0)</f>
        <v/>
      </c>
      <c r="I603">
        <f>IF(H603=1,NA(),D603)</f>
        <v/>
      </c>
      <c r="J603">
        <f>IF(AND(ISNUMBER(D603),D603&gt;=$O$4,OR($O$11=0,B603&gt;=$O$12)),1,0)</f>
        <v/>
      </c>
      <c r="K603">
        <f>B603-$O$14</f>
        <v/>
      </c>
    </row>
    <row r="604">
      <c r="A604" t="n">
        <v>1806</v>
      </c>
      <c r="B604" t="n">
        <v>60.2</v>
      </c>
      <c r="C604" t="inlineStr">
        <is>
          <t>792</t>
        </is>
      </c>
      <c r="D604" t="n">
        <v>7.92</v>
      </c>
      <c r="E604">
        <f>MEDIAN(D584:D624)</f>
        <v/>
      </c>
      <c r="F604">
        <f>E584</f>
        <v/>
      </c>
      <c r="G604">
        <f>F604-E604</f>
        <v/>
      </c>
      <c r="H604">
        <f>IF(OR(NOT(ISNUMBER(D604)),ABS(D604-E604)&gt;$O$3,AND($O$11=1,B604&lt;$O$12)),1,0)</f>
        <v/>
      </c>
      <c r="I604">
        <f>IF(H604=1,NA(),D604)</f>
        <v/>
      </c>
      <c r="J604">
        <f>IF(AND(ISNUMBER(D604),D604&gt;=$O$4,OR($O$11=0,B604&gt;=$O$12)),1,0)</f>
        <v/>
      </c>
      <c r="K604">
        <f>B604-$O$14</f>
        <v/>
      </c>
    </row>
    <row r="605">
      <c r="A605" t="n">
        <v>1809</v>
      </c>
      <c r="B605" t="n">
        <v>60.3</v>
      </c>
      <c r="C605" t="inlineStr">
        <is>
          <t>792</t>
        </is>
      </c>
      <c r="D605" t="n">
        <v>7.92</v>
      </c>
      <c r="E605">
        <f>MEDIAN(D585:D625)</f>
        <v/>
      </c>
      <c r="F605">
        <f>E585</f>
        <v/>
      </c>
      <c r="G605">
        <f>F605-E605</f>
        <v/>
      </c>
      <c r="H605">
        <f>IF(OR(NOT(ISNUMBER(D605)),ABS(D605-E605)&gt;$O$3,AND($O$11=1,B605&lt;$O$12)),1,0)</f>
        <v/>
      </c>
      <c r="I605">
        <f>IF(H605=1,NA(),D605)</f>
        <v/>
      </c>
      <c r="J605">
        <f>IF(AND(ISNUMBER(D605),D605&gt;=$O$4,OR($O$11=0,B605&gt;=$O$12)),1,0)</f>
        <v/>
      </c>
      <c r="K605">
        <f>B605-$O$14</f>
        <v/>
      </c>
    </row>
    <row r="606">
      <c r="A606" t="n">
        <v>1812</v>
      </c>
      <c r="B606" t="n">
        <v>60.4</v>
      </c>
      <c r="C606" t="inlineStr">
        <is>
          <t>792</t>
        </is>
      </c>
      <c r="D606" t="n">
        <v>7.92</v>
      </c>
      <c r="E606">
        <f>MEDIAN(D586:D626)</f>
        <v/>
      </c>
      <c r="F606">
        <f>E586</f>
        <v/>
      </c>
      <c r="G606">
        <f>F606-E606</f>
        <v/>
      </c>
      <c r="H606">
        <f>IF(OR(NOT(ISNUMBER(D606)),ABS(D606-E606)&gt;$O$3,AND($O$11=1,B606&lt;$O$12)),1,0)</f>
        <v/>
      </c>
      <c r="I606">
        <f>IF(H606=1,NA(),D606)</f>
        <v/>
      </c>
      <c r="J606">
        <f>IF(AND(ISNUMBER(D606),D606&gt;=$O$4,OR($O$11=0,B606&gt;=$O$12)),1,0)</f>
        <v/>
      </c>
      <c r="K606">
        <f>B606-$O$14</f>
        <v/>
      </c>
    </row>
    <row r="607">
      <c r="A607" t="n">
        <v>1815</v>
      </c>
      <c r="B607" t="n">
        <v>60.5</v>
      </c>
      <c r="C607" t="inlineStr">
        <is>
          <t>792</t>
        </is>
      </c>
      <c r="D607" t="n">
        <v>7.92</v>
      </c>
      <c r="E607">
        <f>MEDIAN(D587:D627)</f>
        <v/>
      </c>
      <c r="F607">
        <f>E587</f>
        <v/>
      </c>
      <c r="G607">
        <f>F607-E607</f>
        <v/>
      </c>
      <c r="H607">
        <f>IF(OR(NOT(ISNUMBER(D607)),ABS(D607-E607)&gt;$O$3,AND($O$11=1,B607&lt;$O$12)),1,0)</f>
        <v/>
      </c>
      <c r="I607">
        <f>IF(H607=1,NA(),D607)</f>
        <v/>
      </c>
      <c r="J607">
        <f>IF(AND(ISNUMBER(D607),D607&gt;=$O$4,OR($O$11=0,B607&gt;=$O$12)),1,0)</f>
        <v/>
      </c>
      <c r="K607">
        <f>B607-$O$14</f>
        <v/>
      </c>
    </row>
    <row r="608">
      <c r="A608" t="n">
        <v>1818</v>
      </c>
      <c r="B608" t="n">
        <v>60.6</v>
      </c>
      <c r="C608" t="inlineStr">
        <is>
          <t>792</t>
        </is>
      </c>
      <c r="D608" t="n">
        <v>7.92</v>
      </c>
      <c r="E608">
        <f>MEDIAN(D588:D628)</f>
        <v/>
      </c>
      <c r="F608">
        <f>E588</f>
        <v/>
      </c>
      <c r="G608">
        <f>F608-E608</f>
        <v/>
      </c>
      <c r="H608">
        <f>IF(OR(NOT(ISNUMBER(D608)),ABS(D608-E608)&gt;$O$3,AND($O$11=1,B608&lt;$O$12)),1,0)</f>
        <v/>
      </c>
      <c r="I608">
        <f>IF(H608=1,NA(),D608)</f>
        <v/>
      </c>
      <c r="J608">
        <f>IF(AND(ISNUMBER(D608),D608&gt;=$O$4,OR($O$11=0,B608&gt;=$O$12)),1,0)</f>
        <v/>
      </c>
      <c r="K608">
        <f>B608-$O$14</f>
        <v/>
      </c>
    </row>
    <row r="609">
      <c r="A609" t="n">
        <v>1821</v>
      </c>
      <c r="B609" t="n">
        <v>60.7</v>
      </c>
      <c r="C609" t="inlineStr">
        <is>
          <t>792</t>
        </is>
      </c>
      <c r="D609" t="n">
        <v>7.92</v>
      </c>
      <c r="E609">
        <f>MEDIAN(D589:D629)</f>
        <v/>
      </c>
      <c r="F609">
        <f>E589</f>
        <v/>
      </c>
      <c r="G609">
        <f>F609-E609</f>
        <v/>
      </c>
      <c r="H609">
        <f>IF(OR(NOT(ISNUMBER(D609)),ABS(D609-E609)&gt;$O$3,AND($O$11=1,B609&lt;$O$12)),1,0)</f>
        <v/>
      </c>
      <c r="I609">
        <f>IF(H609=1,NA(),D609)</f>
        <v/>
      </c>
      <c r="J609">
        <f>IF(AND(ISNUMBER(D609),D609&gt;=$O$4,OR($O$11=0,B609&gt;=$O$12)),1,0)</f>
        <v/>
      </c>
      <c r="K609">
        <f>B609-$O$14</f>
        <v/>
      </c>
    </row>
    <row r="610">
      <c r="A610" t="n">
        <v>1824</v>
      </c>
      <c r="B610" t="n">
        <v>60.8</v>
      </c>
      <c r="C610" t="inlineStr">
        <is>
          <t>792</t>
        </is>
      </c>
      <c r="D610" t="n">
        <v>7.92</v>
      </c>
      <c r="E610">
        <f>MEDIAN(D590:D630)</f>
        <v/>
      </c>
      <c r="F610">
        <f>E590</f>
        <v/>
      </c>
      <c r="G610">
        <f>F610-E610</f>
        <v/>
      </c>
      <c r="H610">
        <f>IF(OR(NOT(ISNUMBER(D610)),ABS(D610-E610)&gt;$O$3,AND($O$11=1,B610&lt;$O$12)),1,0)</f>
        <v/>
      </c>
      <c r="I610">
        <f>IF(H610=1,NA(),D610)</f>
        <v/>
      </c>
      <c r="J610">
        <f>IF(AND(ISNUMBER(D610),D610&gt;=$O$4,OR($O$11=0,B610&gt;=$O$12)),1,0)</f>
        <v/>
      </c>
      <c r="K610">
        <f>B610-$O$14</f>
        <v/>
      </c>
    </row>
    <row r="611">
      <c r="A611" t="n">
        <v>1827</v>
      </c>
      <c r="B611" t="n">
        <v>60.9</v>
      </c>
      <c r="C611" t="inlineStr">
        <is>
          <t>792</t>
        </is>
      </c>
      <c r="D611" t="n">
        <v>7.92</v>
      </c>
      <c r="E611">
        <f>MEDIAN(D591:D631)</f>
        <v/>
      </c>
      <c r="F611">
        <f>E591</f>
        <v/>
      </c>
      <c r="G611">
        <f>F611-E611</f>
        <v/>
      </c>
      <c r="H611">
        <f>IF(OR(NOT(ISNUMBER(D611)),ABS(D611-E611)&gt;$O$3,AND($O$11=1,B611&lt;$O$12)),1,0)</f>
        <v/>
      </c>
      <c r="I611">
        <f>IF(H611=1,NA(),D611)</f>
        <v/>
      </c>
      <c r="J611">
        <f>IF(AND(ISNUMBER(D611),D611&gt;=$O$4,OR($O$11=0,B611&gt;=$O$12)),1,0)</f>
        <v/>
      </c>
      <c r="K611">
        <f>B611-$O$14</f>
        <v/>
      </c>
    </row>
    <row r="612">
      <c r="A612" t="n">
        <v>1830</v>
      </c>
      <c r="B612" t="n">
        <v>61</v>
      </c>
      <c r="C612" t="inlineStr">
        <is>
          <t>792</t>
        </is>
      </c>
      <c r="D612" t="n">
        <v>7.92</v>
      </c>
      <c r="E612">
        <f>MEDIAN(D592:D632)</f>
        <v/>
      </c>
      <c r="F612">
        <f>E592</f>
        <v/>
      </c>
      <c r="G612">
        <f>F612-E612</f>
        <v/>
      </c>
      <c r="H612">
        <f>IF(OR(NOT(ISNUMBER(D612)),ABS(D612-E612)&gt;$O$3,AND($O$11=1,B612&lt;$O$12)),1,0)</f>
        <v/>
      </c>
      <c r="I612">
        <f>IF(H612=1,NA(),D612)</f>
        <v/>
      </c>
      <c r="J612">
        <f>IF(AND(ISNUMBER(D612),D612&gt;=$O$4,OR($O$11=0,B612&gt;=$O$12)),1,0)</f>
        <v/>
      </c>
      <c r="K612">
        <f>B612-$O$14</f>
        <v/>
      </c>
    </row>
    <row r="613">
      <c r="A613" t="n">
        <v>1833</v>
      </c>
      <c r="B613" t="n">
        <v>61.1</v>
      </c>
      <c r="C613" t="inlineStr">
        <is>
          <t>792</t>
        </is>
      </c>
      <c r="D613" t="n">
        <v>7.92</v>
      </c>
      <c r="E613">
        <f>MEDIAN(D593:D633)</f>
        <v/>
      </c>
      <c r="F613">
        <f>E593</f>
        <v/>
      </c>
      <c r="G613">
        <f>F613-E613</f>
        <v/>
      </c>
      <c r="H613">
        <f>IF(OR(NOT(ISNUMBER(D613)),ABS(D613-E613)&gt;$O$3,AND($O$11=1,B613&lt;$O$12)),1,0)</f>
        <v/>
      </c>
      <c r="I613">
        <f>IF(H613=1,NA(),D613)</f>
        <v/>
      </c>
      <c r="J613">
        <f>IF(AND(ISNUMBER(D613),D613&gt;=$O$4,OR($O$11=0,B613&gt;=$O$12)),1,0)</f>
        <v/>
      </c>
      <c r="K613">
        <f>B613-$O$14</f>
        <v/>
      </c>
    </row>
    <row r="614">
      <c r="A614" t="n">
        <v>1836</v>
      </c>
      <c r="B614" t="n">
        <v>61.2</v>
      </c>
      <c r="C614" t="inlineStr">
        <is>
          <t>792</t>
        </is>
      </c>
      <c r="D614" t="n">
        <v>7.92</v>
      </c>
      <c r="E614">
        <f>MEDIAN(D594:D634)</f>
        <v/>
      </c>
      <c r="F614">
        <f>E594</f>
        <v/>
      </c>
      <c r="G614">
        <f>F614-E614</f>
        <v/>
      </c>
      <c r="H614">
        <f>IF(OR(NOT(ISNUMBER(D614)),ABS(D614-E614)&gt;$O$3,AND($O$11=1,B614&lt;$O$12)),1,0)</f>
        <v/>
      </c>
      <c r="I614">
        <f>IF(H614=1,NA(),D614)</f>
        <v/>
      </c>
      <c r="J614">
        <f>IF(AND(ISNUMBER(D614),D614&gt;=$O$4,OR($O$11=0,B614&gt;=$O$12)),1,0)</f>
        <v/>
      </c>
      <c r="K614">
        <f>B614-$O$14</f>
        <v/>
      </c>
    </row>
    <row r="615">
      <c r="A615" t="n">
        <v>1839</v>
      </c>
      <c r="B615" t="n">
        <v>61.3</v>
      </c>
      <c r="C615" t="inlineStr">
        <is>
          <t>792</t>
        </is>
      </c>
      <c r="D615" t="n">
        <v>7.92</v>
      </c>
      <c r="E615">
        <f>MEDIAN(D595:D635)</f>
        <v/>
      </c>
      <c r="F615">
        <f>E595</f>
        <v/>
      </c>
      <c r="G615">
        <f>F615-E615</f>
        <v/>
      </c>
      <c r="H615">
        <f>IF(OR(NOT(ISNUMBER(D615)),ABS(D615-E615)&gt;$O$3,AND($O$11=1,B615&lt;$O$12)),1,0)</f>
        <v/>
      </c>
      <c r="I615">
        <f>IF(H615=1,NA(),D615)</f>
        <v/>
      </c>
      <c r="J615">
        <f>IF(AND(ISNUMBER(D615),D615&gt;=$O$4,OR($O$11=0,B615&gt;=$O$12)),1,0)</f>
        <v/>
      </c>
      <c r="K615">
        <f>B615-$O$14</f>
        <v/>
      </c>
    </row>
    <row r="616">
      <c r="A616" t="n">
        <v>1842</v>
      </c>
      <c r="B616" t="n">
        <v>61.4</v>
      </c>
      <c r="C616" t="inlineStr">
        <is>
          <t>792</t>
        </is>
      </c>
      <c r="D616" t="n">
        <v>7.92</v>
      </c>
      <c r="E616">
        <f>MEDIAN(D596:D636)</f>
        <v/>
      </c>
      <c r="F616">
        <f>E596</f>
        <v/>
      </c>
      <c r="G616">
        <f>F616-E616</f>
        <v/>
      </c>
      <c r="H616">
        <f>IF(OR(NOT(ISNUMBER(D616)),ABS(D616-E616)&gt;$O$3,AND($O$11=1,B616&lt;$O$12)),1,0)</f>
        <v/>
      </c>
      <c r="I616">
        <f>IF(H616=1,NA(),D616)</f>
        <v/>
      </c>
      <c r="J616">
        <f>IF(AND(ISNUMBER(D616),D616&gt;=$O$4,OR($O$11=0,B616&gt;=$O$12)),1,0)</f>
        <v/>
      </c>
      <c r="K616">
        <f>B616-$O$14</f>
        <v/>
      </c>
    </row>
    <row r="617">
      <c r="A617" t="n">
        <v>1845</v>
      </c>
      <c r="B617" t="n">
        <v>61.5</v>
      </c>
      <c r="C617" t="inlineStr">
        <is>
          <t>792</t>
        </is>
      </c>
      <c r="D617" t="n">
        <v>7.92</v>
      </c>
      <c r="E617">
        <f>MEDIAN(D597:D637)</f>
        <v/>
      </c>
      <c r="F617">
        <f>E597</f>
        <v/>
      </c>
      <c r="G617">
        <f>F617-E617</f>
        <v/>
      </c>
      <c r="H617">
        <f>IF(OR(NOT(ISNUMBER(D617)),ABS(D617-E617)&gt;$O$3,AND($O$11=1,B617&lt;$O$12)),1,0)</f>
        <v/>
      </c>
      <c r="I617">
        <f>IF(H617=1,NA(),D617)</f>
        <v/>
      </c>
      <c r="J617">
        <f>IF(AND(ISNUMBER(D617),D617&gt;=$O$4,OR($O$11=0,B617&gt;=$O$12)),1,0)</f>
        <v/>
      </c>
      <c r="K617">
        <f>B617-$O$14</f>
        <v/>
      </c>
    </row>
    <row r="618">
      <c r="A618" t="n">
        <v>1848</v>
      </c>
      <c r="B618" t="n">
        <v>61.6</v>
      </c>
      <c r="C618" t="inlineStr">
        <is>
          <t>792</t>
        </is>
      </c>
      <c r="D618" t="n">
        <v>7.92</v>
      </c>
      <c r="E618">
        <f>MEDIAN(D598:D638)</f>
        <v/>
      </c>
      <c r="F618">
        <f>E598</f>
        <v/>
      </c>
      <c r="G618">
        <f>F618-E618</f>
        <v/>
      </c>
      <c r="H618">
        <f>IF(OR(NOT(ISNUMBER(D618)),ABS(D618-E618)&gt;$O$3,AND($O$11=1,B618&lt;$O$12)),1,0)</f>
        <v/>
      </c>
      <c r="I618">
        <f>IF(H618=1,NA(),D618)</f>
        <v/>
      </c>
      <c r="J618">
        <f>IF(AND(ISNUMBER(D618),D618&gt;=$O$4,OR($O$11=0,B618&gt;=$O$12)),1,0)</f>
        <v/>
      </c>
      <c r="K618">
        <f>B618-$O$14</f>
        <v/>
      </c>
    </row>
    <row r="619">
      <c r="A619" t="n">
        <v>1851</v>
      </c>
      <c r="B619" t="n">
        <v>61.7</v>
      </c>
      <c r="C619" t="inlineStr">
        <is>
          <t>792</t>
        </is>
      </c>
      <c r="D619" t="n">
        <v>7.92</v>
      </c>
      <c r="E619">
        <f>MEDIAN(D599:D639)</f>
        <v/>
      </c>
      <c r="F619">
        <f>E599</f>
        <v/>
      </c>
      <c r="G619">
        <f>F619-E619</f>
        <v/>
      </c>
      <c r="H619">
        <f>IF(OR(NOT(ISNUMBER(D619)),ABS(D619-E619)&gt;$O$3,AND($O$11=1,B619&lt;$O$12)),1,0)</f>
        <v/>
      </c>
      <c r="I619">
        <f>IF(H619=1,NA(),D619)</f>
        <v/>
      </c>
      <c r="J619">
        <f>IF(AND(ISNUMBER(D619),D619&gt;=$O$4,OR($O$11=0,B619&gt;=$O$12)),1,0)</f>
        <v/>
      </c>
      <c r="K619">
        <f>B619-$O$14</f>
        <v/>
      </c>
    </row>
    <row r="620">
      <c r="A620" t="n">
        <v>1854</v>
      </c>
      <c r="B620" t="n">
        <v>61.8</v>
      </c>
      <c r="C620" t="inlineStr">
        <is>
          <t>792</t>
        </is>
      </c>
      <c r="D620" t="n">
        <v>7.92</v>
      </c>
      <c r="E620">
        <f>MEDIAN(D600:D640)</f>
        <v/>
      </c>
      <c r="F620">
        <f>E600</f>
        <v/>
      </c>
      <c r="G620">
        <f>F620-E620</f>
        <v/>
      </c>
      <c r="H620">
        <f>IF(OR(NOT(ISNUMBER(D620)),ABS(D620-E620)&gt;$O$3,AND($O$11=1,B620&lt;$O$12)),1,0)</f>
        <v/>
      </c>
      <c r="I620">
        <f>IF(H620=1,NA(),D620)</f>
        <v/>
      </c>
      <c r="J620">
        <f>IF(AND(ISNUMBER(D620),D620&gt;=$O$4,OR($O$11=0,B620&gt;=$O$12)),1,0)</f>
        <v/>
      </c>
      <c r="K620">
        <f>B620-$O$14</f>
        <v/>
      </c>
    </row>
    <row r="621">
      <c r="A621" t="n">
        <v>1857</v>
      </c>
      <c r="B621" t="n">
        <v>61.9</v>
      </c>
      <c r="C621" t="inlineStr">
        <is>
          <t>792</t>
        </is>
      </c>
      <c r="D621" t="n">
        <v>7.92</v>
      </c>
      <c r="E621">
        <f>MEDIAN(D601:D641)</f>
        <v/>
      </c>
      <c r="F621">
        <f>E601</f>
        <v/>
      </c>
      <c r="G621">
        <f>F621-E621</f>
        <v/>
      </c>
      <c r="H621">
        <f>IF(OR(NOT(ISNUMBER(D621)),ABS(D621-E621)&gt;$O$3,AND($O$11=1,B621&lt;$O$12)),1,0)</f>
        <v/>
      </c>
      <c r="I621">
        <f>IF(H621=1,NA(),D621)</f>
        <v/>
      </c>
      <c r="J621">
        <f>IF(AND(ISNUMBER(D621),D621&gt;=$O$4,OR($O$11=0,B621&gt;=$O$12)),1,0)</f>
        <v/>
      </c>
      <c r="K621">
        <f>B621-$O$14</f>
        <v/>
      </c>
    </row>
    <row r="622">
      <c r="A622" t="n">
        <v>1860</v>
      </c>
      <c r="B622" t="n">
        <v>62</v>
      </c>
      <c r="C622" t="inlineStr">
        <is>
          <t>792</t>
        </is>
      </c>
      <c r="D622" t="n">
        <v>7.92</v>
      </c>
      <c r="E622">
        <f>MEDIAN(D602:D642)</f>
        <v/>
      </c>
      <c r="F622">
        <f>E602</f>
        <v/>
      </c>
      <c r="G622">
        <f>F622-E622</f>
        <v/>
      </c>
      <c r="H622">
        <f>IF(OR(NOT(ISNUMBER(D622)),ABS(D622-E622)&gt;$O$3,AND($O$11=1,B622&lt;$O$12)),1,0)</f>
        <v/>
      </c>
      <c r="I622">
        <f>IF(H622=1,NA(),D622)</f>
        <v/>
      </c>
      <c r="J622">
        <f>IF(AND(ISNUMBER(D622),D622&gt;=$O$4,OR($O$11=0,B622&gt;=$O$12)),1,0)</f>
        <v/>
      </c>
      <c r="K622">
        <f>B622-$O$14</f>
        <v/>
      </c>
    </row>
    <row r="623">
      <c r="A623" t="n">
        <v>1863</v>
      </c>
      <c r="B623" t="n">
        <v>62.1</v>
      </c>
      <c r="C623" t="inlineStr">
        <is>
          <t>792</t>
        </is>
      </c>
      <c r="D623" t="n">
        <v>7.92</v>
      </c>
      <c r="E623">
        <f>MEDIAN(D603:D643)</f>
        <v/>
      </c>
      <c r="F623">
        <f>E603</f>
        <v/>
      </c>
      <c r="G623">
        <f>F623-E623</f>
        <v/>
      </c>
      <c r="H623">
        <f>IF(OR(NOT(ISNUMBER(D623)),ABS(D623-E623)&gt;$O$3,AND($O$11=1,B623&lt;$O$12)),1,0)</f>
        <v/>
      </c>
      <c r="I623">
        <f>IF(H623=1,NA(),D623)</f>
        <v/>
      </c>
      <c r="J623">
        <f>IF(AND(ISNUMBER(D623),D623&gt;=$O$4,OR($O$11=0,B623&gt;=$O$12)),1,0)</f>
        <v/>
      </c>
      <c r="K623">
        <f>B623-$O$14</f>
        <v/>
      </c>
    </row>
    <row r="624">
      <c r="A624" t="n">
        <v>1866</v>
      </c>
      <c r="B624" t="n">
        <v>62.2</v>
      </c>
      <c r="C624" t="inlineStr">
        <is>
          <t>792</t>
        </is>
      </c>
      <c r="D624" t="n">
        <v>7.92</v>
      </c>
      <c r="E624">
        <f>MEDIAN(D604:D644)</f>
        <v/>
      </c>
      <c r="F624">
        <f>E604</f>
        <v/>
      </c>
      <c r="G624">
        <f>F624-E624</f>
        <v/>
      </c>
      <c r="H624">
        <f>IF(OR(NOT(ISNUMBER(D624)),ABS(D624-E624)&gt;$O$3,AND($O$11=1,B624&lt;$O$12)),1,0)</f>
        <v/>
      </c>
      <c r="I624">
        <f>IF(H624=1,NA(),D624)</f>
        <v/>
      </c>
      <c r="J624">
        <f>IF(AND(ISNUMBER(D624),D624&gt;=$O$4,OR($O$11=0,B624&gt;=$O$12)),1,0)</f>
        <v/>
      </c>
      <c r="K624">
        <f>B624-$O$14</f>
        <v/>
      </c>
    </row>
    <row r="625">
      <c r="A625" t="n">
        <v>1869</v>
      </c>
      <c r="B625" t="n">
        <v>62.3</v>
      </c>
      <c r="C625" t="inlineStr">
        <is>
          <t>792</t>
        </is>
      </c>
      <c r="D625" t="n">
        <v>7.92</v>
      </c>
      <c r="E625">
        <f>MEDIAN(D605:D645)</f>
        <v/>
      </c>
      <c r="F625">
        <f>E605</f>
        <v/>
      </c>
      <c r="G625">
        <f>F625-E625</f>
        <v/>
      </c>
      <c r="H625">
        <f>IF(OR(NOT(ISNUMBER(D625)),ABS(D625-E625)&gt;$O$3,AND($O$11=1,B625&lt;$O$12)),1,0)</f>
        <v/>
      </c>
      <c r="I625">
        <f>IF(H625=1,NA(),D625)</f>
        <v/>
      </c>
      <c r="J625">
        <f>IF(AND(ISNUMBER(D625),D625&gt;=$O$4,OR($O$11=0,B625&gt;=$O$12)),1,0)</f>
        <v/>
      </c>
      <c r="K625">
        <f>B625-$O$14</f>
        <v/>
      </c>
    </row>
    <row r="626">
      <c r="A626" t="n">
        <v>1872</v>
      </c>
      <c r="B626" t="n">
        <v>62.4</v>
      </c>
      <c r="C626" t="inlineStr">
        <is>
          <t>793</t>
        </is>
      </c>
      <c r="D626" t="n">
        <v>7.93</v>
      </c>
      <c r="E626">
        <f>MEDIAN(D606:D646)</f>
        <v/>
      </c>
      <c r="F626">
        <f>E606</f>
        <v/>
      </c>
      <c r="G626">
        <f>F626-E626</f>
        <v/>
      </c>
      <c r="H626">
        <f>IF(OR(NOT(ISNUMBER(D626)),ABS(D626-E626)&gt;$O$3,AND($O$11=1,B626&lt;$O$12)),1,0)</f>
        <v/>
      </c>
      <c r="I626">
        <f>IF(H626=1,NA(),D626)</f>
        <v/>
      </c>
      <c r="J626">
        <f>IF(AND(ISNUMBER(D626),D626&gt;=$O$4,OR($O$11=0,B626&gt;=$O$12)),1,0)</f>
        <v/>
      </c>
      <c r="K626">
        <f>B626-$O$14</f>
        <v/>
      </c>
    </row>
    <row r="627">
      <c r="A627" t="n">
        <v>1875</v>
      </c>
      <c r="B627" t="n">
        <v>62.5</v>
      </c>
      <c r="C627" t="inlineStr">
        <is>
          <t>793</t>
        </is>
      </c>
      <c r="D627" t="n">
        <v>7.93</v>
      </c>
      <c r="E627">
        <f>MEDIAN(D607:D647)</f>
        <v/>
      </c>
      <c r="F627">
        <f>E607</f>
        <v/>
      </c>
      <c r="G627">
        <f>F627-E627</f>
        <v/>
      </c>
      <c r="H627">
        <f>IF(OR(NOT(ISNUMBER(D627)),ABS(D627-E627)&gt;$O$3,AND($O$11=1,B627&lt;$O$12)),1,0)</f>
        <v/>
      </c>
      <c r="I627">
        <f>IF(H627=1,NA(),D627)</f>
        <v/>
      </c>
      <c r="J627">
        <f>IF(AND(ISNUMBER(D627),D627&gt;=$O$4,OR($O$11=0,B627&gt;=$O$12)),1,0)</f>
        <v/>
      </c>
      <c r="K627">
        <f>B627-$O$14</f>
        <v/>
      </c>
    </row>
    <row r="628">
      <c r="A628" t="n">
        <v>1878</v>
      </c>
      <c r="B628" t="n">
        <v>62.6</v>
      </c>
      <c r="C628" t="inlineStr">
        <is>
          <t>793</t>
        </is>
      </c>
      <c r="D628" t="n">
        <v>7.93</v>
      </c>
      <c r="E628">
        <f>MEDIAN(D608:D648)</f>
        <v/>
      </c>
      <c r="F628">
        <f>E608</f>
        <v/>
      </c>
      <c r="G628">
        <f>F628-E628</f>
        <v/>
      </c>
      <c r="H628">
        <f>IF(OR(NOT(ISNUMBER(D628)),ABS(D628-E628)&gt;$O$3,AND($O$11=1,B628&lt;$O$12)),1,0)</f>
        <v/>
      </c>
      <c r="I628">
        <f>IF(H628=1,NA(),D628)</f>
        <v/>
      </c>
      <c r="J628">
        <f>IF(AND(ISNUMBER(D628),D628&gt;=$O$4,OR($O$11=0,B628&gt;=$O$12)),1,0)</f>
        <v/>
      </c>
      <c r="K628">
        <f>B628-$O$14</f>
        <v/>
      </c>
    </row>
    <row r="629">
      <c r="A629" t="n">
        <v>1881</v>
      </c>
      <c r="B629" t="n">
        <v>62.7</v>
      </c>
      <c r="C629" t="inlineStr">
        <is>
          <t>794</t>
        </is>
      </c>
      <c r="D629" t="n">
        <v>7.94</v>
      </c>
      <c r="E629">
        <f>MEDIAN(D609:D649)</f>
        <v/>
      </c>
      <c r="F629">
        <f>E609</f>
        <v/>
      </c>
      <c r="G629">
        <f>F629-E629</f>
        <v/>
      </c>
      <c r="H629">
        <f>IF(OR(NOT(ISNUMBER(D629)),ABS(D629-E629)&gt;$O$3,AND($O$11=1,B629&lt;$O$12)),1,0)</f>
        <v/>
      </c>
      <c r="I629">
        <f>IF(H629=1,NA(),D629)</f>
        <v/>
      </c>
      <c r="J629">
        <f>IF(AND(ISNUMBER(D629),D629&gt;=$O$4,OR($O$11=0,B629&gt;=$O$12)),1,0)</f>
        <v/>
      </c>
      <c r="K629">
        <f>B629-$O$14</f>
        <v/>
      </c>
    </row>
    <row r="630">
      <c r="A630" t="n">
        <v>1884</v>
      </c>
      <c r="B630" t="n">
        <v>62.8</v>
      </c>
      <c r="C630" t="inlineStr">
        <is>
          <t>794</t>
        </is>
      </c>
      <c r="D630" t="n">
        <v>7.94</v>
      </c>
      <c r="E630">
        <f>MEDIAN(D610:D650)</f>
        <v/>
      </c>
      <c r="F630">
        <f>E610</f>
        <v/>
      </c>
      <c r="G630">
        <f>F630-E630</f>
        <v/>
      </c>
      <c r="H630">
        <f>IF(OR(NOT(ISNUMBER(D630)),ABS(D630-E630)&gt;$O$3,AND($O$11=1,B630&lt;$O$12)),1,0)</f>
        <v/>
      </c>
      <c r="I630">
        <f>IF(H630=1,NA(),D630)</f>
        <v/>
      </c>
      <c r="J630">
        <f>IF(AND(ISNUMBER(D630),D630&gt;=$O$4,OR($O$11=0,B630&gt;=$O$12)),1,0)</f>
        <v/>
      </c>
      <c r="K630">
        <f>B630-$O$14</f>
        <v/>
      </c>
    </row>
    <row r="631">
      <c r="A631" t="n">
        <v>1887</v>
      </c>
      <c r="B631" t="n">
        <v>62.9</v>
      </c>
      <c r="C631" t="inlineStr">
        <is>
          <t>794</t>
        </is>
      </c>
      <c r="D631" t="n">
        <v>7.94</v>
      </c>
      <c r="E631">
        <f>MEDIAN(D611:D651)</f>
        <v/>
      </c>
      <c r="F631">
        <f>E611</f>
        <v/>
      </c>
      <c r="G631">
        <f>F631-E631</f>
        <v/>
      </c>
      <c r="H631">
        <f>IF(OR(NOT(ISNUMBER(D631)),ABS(D631-E631)&gt;$O$3,AND($O$11=1,B631&lt;$O$12)),1,0)</f>
        <v/>
      </c>
      <c r="I631">
        <f>IF(H631=1,NA(),D631)</f>
        <v/>
      </c>
      <c r="J631">
        <f>IF(AND(ISNUMBER(D631),D631&gt;=$O$4,OR($O$11=0,B631&gt;=$O$12)),1,0)</f>
        <v/>
      </c>
      <c r="K631">
        <f>B631-$O$14</f>
        <v/>
      </c>
    </row>
    <row r="632">
      <c r="A632" t="n">
        <v>1890</v>
      </c>
      <c r="B632" t="n">
        <v>63</v>
      </c>
      <c r="C632" t="inlineStr">
        <is>
          <t>795</t>
        </is>
      </c>
      <c r="D632" t="n">
        <v>7.95</v>
      </c>
      <c r="E632">
        <f>MEDIAN(D612:D652)</f>
        <v/>
      </c>
      <c r="F632">
        <f>E612</f>
        <v/>
      </c>
      <c r="G632">
        <f>F632-E632</f>
        <v/>
      </c>
      <c r="H632">
        <f>IF(OR(NOT(ISNUMBER(D632)),ABS(D632-E632)&gt;$O$3,AND($O$11=1,B632&lt;$O$12)),1,0)</f>
        <v/>
      </c>
      <c r="I632">
        <f>IF(H632=1,NA(),D632)</f>
        <v/>
      </c>
      <c r="J632">
        <f>IF(AND(ISNUMBER(D632),D632&gt;=$O$4,OR($O$11=0,B632&gt;=$O$12)),1,0)</f>
        <v/>
      </c>
      <c r="K632">
        <f>B632-$O$14</f>
        <v/>
      </c>
    </row>
    <row r="633">
      <c r="A633" t="n">
        <v>1893</v>
      </c>
      <c r="B633" t="n">
        <v>63.1</v>
      </c>
      <c r="C633" t="inlineStr">
        <is>
          <t>795</t>
        </is>
      </c>
      <c r="D633" t="n">
        <v>7.95</v>
      </c>
      <c r="E633">
        <f>MEDIAN(D613:D653)</f>
        <v/>
      </c>
      <c r="F633">
        <f>E613</f>
        <v/>
      </c>
      <c r="G633">
        <f>F633-E633</f>
        <v/>
      </c>
      <c r="H633">
        <f>IF(OR(NOT(ISNUMBER(D633)),ABS(D633-E633)&gt;$O$3,AND($O$11=1,B633&lt;$O$12)),1,0)</f>
        <v/>
      </c>
      <c r="I633">
        <f>IF(H633=1,NA(),D633)</f>
        <v/>
      </c>
      <c r="J633">
        <f>IF(AND(ISNUMBER(D633),D633&gt;=$O$4,OR($O$11=0,B633&gt;=$O$12)),1,0)</f>
        <v/>
      </c>
      <c r="K633">
        <f>B633-$O$14</f>
        <v/>
      </c>
    </row>
    <row r="634">
      <c r="A634" t="n">
        <v>1896</v>
      </c>
      <c r="B634" t="n">
        <v>63.2</v>
      </c>
      <c r="C634" t="inlineStr">
        <is>
          <t>795</t>
        </is>
      </c>
      <c r="D634" t="n">
        <v>7.95</v>
      </c>
      <c r="E634">
        <f>MEDIAN(D614:D654)</f>
        <v/>
      </c>
      <c r="F634">
        <f>E614</f>
        <v/>
      </c>
      <c r="G634">
        <f>F634-E634</f>
        <v/>
      </c>
      <c r="H634">
        <f>IF(OR(NOT(ISNUMBER(D634)),ABS(D634-E634)&gt;$O$3,AND($O$11=1,B634&lt;$O$12)),1,0)</f>
        <v/>
      </c>
      <c r="I634">
        <f>IF(H634=1,NA(),D634)</f>
        <v/>
      </c>
      <c r="J634">
        <f>IF(AND(ISNUMBER(D634),D634&gt;=$O$4,OR($O$11=0,B634&gt;=$O$12)),1,0)</f>
        <v/>
      </c>
      <c r="K634">
        <f>B634-$O$14</f>
        <v/>
      </c>
    </row>
    <row r="635">
      <c r="A635" t="n">
        <v>1899</v>
      </c>
      <c r="B635" t="n">
        <v>63.3</v>
      </c>
      <c r="C635" t="inlineStr">
        <is>
          <t>796</t>
        </is>
      </c>
      <c r="D635" t="n">
        <v>7.96</v>
      </c>
      <c r="E635">
        <f>MEDIAN(D615:D655)</f>
        <v/>
      </c>
      <c r="F635">
        <f>E615</f>
        <v/>
      </c>
      <c r="G635">
        <f>F635-E635</f>
        <v/>
      </c>
      <c r="H635">
        <f>IF(OR(NOT(ISNUMBER(D635)),ABS(D635-E635)&gt;$O$3,AND($O$11=1,B635&lt;$O$12)),1,0)</f>
        <v/>
      </c>
      <c r="I635">
        <f>IF(H635=1,NA(),D635)</f>
        <v/>
      </c>
      <c r="J635">
        <f>IF(AND(ISNUMBER(D635),D635&gt;=$O$4,OR($O$11=0,B635&gt;=$O$12)),1,0)</f>
        <v/>
      </c>
      <c r="K635">
        <f>B635-$O$14</f>
        <v/>
      </c>
    </row>
    <row r="636">
      <c r="A636" t="n">
        <v>1902</v>
      </c>
      <c r="B636" t="n">
        <v>63.4</v>
      </c>
      <c r="C636" t="inlineStr">
        <is>
          <t>796</t>
        </is>
      </c>
      <c r="D636" t="n">
        <v>7.96</v>
      </c>
      <c r="E636">
        <f>MEDIAN(D616:D656)</f>
        <v/>
      </c>
      <c r="F636">
        <f>E616</f>
        <v/>
      </c>
      <c r="G636">
        <f>F636-E636</f>
        <v/>
      </c>
      <c r="H636">
        <f>IF(OR(NOT(ISNUMBER(D636)),ABS(D636-E636)&gt;$O$3,AND($O$11=1,B636&lt;$O$12)),1,0)</f>
        <v/>
      </c>
      <c r="I636">
        <f>IF(H636=1,NA(),D636)</f>
        <v/>
      </c>
      <c r="J636">
        <f>IF(AND(ISNUMBER(D636),D636&gt;=$O$4,OR($O$11=0,B636&gt;=$O$12)),1,0)</f>
        <v/>
      </c>
      <c r="K636">
        <f>B636-$O$14</f>
        <v/>
      </c>
    </row>
    <row r="637">
      <c r="A637" t="n">
        <v>1905</v>
      </c>
      <c r="B637" t="n">
        <v>63.5</v>
      </c>
      <c r="C637" t="inlineStr">
        <is>
          <t>796</t>
        </is>
      </c>
      <c r="D637" t="n">
        <v>7.96</v>
      </c>
      <c r="E637">
        <f>MEDIAN(D617:D657)</f>
        <v/>
      </c>
      <c r="F637">
        <f>E617</f>
        <v/>
      </c>
      <c r="G637">
        <f>F637-E637</f>
        <v/>
      </c>
      <c r="H637">
        <f>IF(OR(NOT(ISNUMBER(D637)),ABS(D637-E637)&gt;$O$3,AND($O$11=1,B637&lt;$O$12)),1,0)</f>
        <v/>
      </c>
      <c r="I637">
        <f>IF(H637=1,NA(),D637)</f>
        <v/>
      </c>
      <c r="J637">
        <f>IF(AND(ISNUMBER(D637),D637&gt;=$O$4,OR($O$11=0,B637&gt;=$O$12)),1,0)</f>
        <v/>
      </c>
      <c r="K637">
        <f>B637-$O$14</f>
        <v/>
      </c>
    </row>
    <row r="638">
      <c r="A638" t="n">
        <v>1908</v>
      </c>
      <c r="B638" t="n">
        <v>63.6</v>
      </c>
      <c r="C638" t="inlineStr">
        <is>
          <t>795</t>
        </is>
      </c>
      <c r="D638" t="n">
        <v>7.95</v>
      </c>
      <c r="E638">
        <f>MEDIAN(D618:D658)</f>
        <v/>
      </c>
      <c r="F638">
        <f>E618</f>
        <v/>
      </c>
      <c r="G638">
        <f>F638-E638</f>
        <v/>
      </c>
      <c r="H638">
        <f>IF(OR(NOT(ISNUMBER(D638)),ABS(D638-E638)&gt;$O$3,AND($O$11=1,B638&lt;$O$12)),1,0)</f>
        <v/>
      </c>
      <c r="I638">
        <f>IF(H638=1,NA(),D638)</f>
        <v/>
      </c>
      <c r="J638">
        <f>IF(AND(ISNUMBER(D638),D638&gt;=$O$4,OR($O$11=0,B638&gt;=$O$12)),1,0)</f>
        <v/>
      </c>
      <c r="K638">
        <f>B638-$O$14</f>
        <v/>
      </c>
    </row>
    <row r="639">
      <c r="A639" t="n">
        <v>1911</v>
      </c>
      <c r="B639" t="n">
        <v>63.7</v>
      </c>
      <c r="C639" t="inlineStr">
        <is>
          <t>796</t>
        </is>
      </c>
      <c r="D639" t="n">
        <v>7.96</v>
      </c>
      <c r="E639">
        <f>MEDIAN(D619:D659)</f>
        <v/>
      </c>
      <c r="F639">
        <f>E619</f>
        <v/>
      </c>
      <c r="G639">
        <f>F639-E639</f>
        <v/>
      </c>
      <c r="H639">
        <f>IF(OR(NOT(ISNUMBER(D639)),ABS(D639-E639)&gt;$O$3,AND($O$11=1,B639&lt;$O$12)),1,0)</f>
        <v/>
      </c>
      <c r="I639">
        <f>IF(H639=1,NA(),D639)</f>
        <v/>
      </c>
      <c r="J639">
        <f>IF(AND(ISNUMBER(D639),D639&gt;=$O$4,OR($O$11=0,B639&gt;=$O$12)),1,0)</f>
        <v/>
      </c>
      <c r="K639">
        <f>B639-$O$14</f>
        <v/>
      </c>
    </row>
    <row r="640">
      <c r="A640" t="n">
        <v>1914</v>
      </c>
      <c r="B640" t="n">
        <v>63.8</v>
      </c>
      <c r="C640" t="inlineStr">
        <is>
          <t>796</t>
        </is>
      </c>
      <c r="D640" t="n">
        <v>7.96</v>
      </c>
      <c r="E640">
        <f>MEDIAN(D620:D660)</f>
        <v/>
      </c>
      <c r="F640">
        <f>E620</f>
        <v/>
      </c>
      <c r="G640">
        <f>F640-E640</f>
        <v/>
      </c>
      <c r="H640">
        <f>IF(OR(NOT(ISNUMBER(D640)),ABS(D640-E640)&gt;$O$3,AND($O$11=1,B640&lt;$O$12)),1,0)</f>
        <v/>
      </c>
      <c r="I640">
        <f>IF(H640=1,NA(),D640)</f>
        <v/>
      </c>
      <c r="J640">
        <f>IF(AND(ISNUMBER(D640),D640&gt;=$O$4,OR($O$11=0,B640&gt;=$O$12)),1,0)</f>
        <v/>
      </c>
      <c r="K640">
        <f>B640-$O$14</f>
        <v/>
      </c>
    </row>
    <row r="641">
      <c r="A641" t="n">
        <v>1917</v>
      </c>
      <c r="B641" t="n">
        <v>63.9</v>
      </c>
      <c r="C641" t="inlineStr">
        <is>
          <t>796</t>
        </is>
      </c>
      <c r="D641" t="n">
        <v>7.96</v>
      </c>
      <c r="E641">
        <f>MEDIAN(D621:D661)</f>
        <v/>
      </c>
      <c r="F641">
        <f>E621</f>
        <v/>
      </c>
      <c r="G641">
        <f>F641-E641</f>
        <v/>
      </c>
      <c r="H641">
        <f>IF(OR(NOT(ISNUMBER(D641)),ABS(D641-E641)&gt;$O$3,AND($O$11=1,B641&lt;$O$12)),1,0)</f>
        <v/>
      </c>
      <c r="I641">
        <f>IF(H641=1,NA(),D641)</f>
        <v/>
      </c>
      <c r="J641">
        <f>IF(AND(ISNUMBER(D641),D641&gt;=$O$4,OR($O$11=0,B641&gt;=$O$12)),1,0)</f>
        <v/>
      </c>
      <c r="K641">
        <f>B641-$O$14</f>
        <v/>
      </c>
    </row>
    <row r="642">
      <c r="A642" t="n">
        <v>1920</v>
      </c>
      <c r="B642" t="n">
        <v>64</v>
      </c>
      <c r="C642" t="inlineStr">
        <is>
          <t>797</t>
        </is>
      </c>
      <c r="D642" t="n">
        <v>7.97</v>
      </c>
      <c r="E642">
        <f>MEDIAN(D622:D662)</f>
        <v/>
      </c>
      <c r="F642">
        <f>E622</f>
        <v/>
      </c>
      <c r="G642">
        <f>F642-E642</f>
        <v/>
      </c>
      <c r="H642">
        <f>IF(OR(NOT(ISNUMBER(D642)),ABS(D642-E642)&gt;$O$3,AND($O$11=1,B642&lt;$O$12)),1,0)</f>
        <v/>
      </c>
      <c r="I642">
        <f>IF(H642=1,NA(),D642)</f>
        <v/>
      </c>
      <c r="J642">
        <f>IF(AND(ISNUMBER(D642),D642&gt;=$O$4,OR($O$11=0,B642&gt;=$O$12)),1,0)</f>
        <v/>
      </c>
      <c r="K642">
        <f>B642-$O$14</f>
        <v/>
      </c>
    </row>
    <row r="643">
      <c r="A643" t="n">
        <v>1923</v>
      </c>
      <c r="B643" t="n">
        <v>64.09999999999999</v>
      </c>
      <c r="C643" t="inlineStr">
        <is>
          <t>797</t>
        </is>
      </c>
      <c r="D643" t="n">
        <v>7.97</v>
      </c>
      <c r="E643">
        <f>MEDIAN(D623:D663)</f>
        <v/>
      </c>
      <c r="F643">
        <f>E623</f>
        <v/>
      </c>
      <c r="G643">
        <f>F643-E643</f>
        <v/>
      </c>
      <c r="H643">
        <f>IF(OR(NOT(ISNUMBER(D643)),ABS(D643-E643)&gt;$O$3,AND($O$11=1,B643&lt;$O$12)),1,0)</f>
        <v/>
      </c>
      <c r="I643">
        <f>IF(H643=1,NA(),D643)</f>
        <v/>
      </c>
      <c r="J643">
        <f>IF(AND(ISNUMBER(D643),D643&gt;=$O$4,OR($O$11=0,B643&gt;=$O$12)),1,0)</f>
        <v/>
      </c>
      <c r="K643">
        <f>B643-$O$14</f>
        <v/>
      </c>
    </row>
    <row r="644">
      <c r="A644" t="n">
        <v>1926</v>
      </c>
      <c r="B644" t="n">
        <v>64.2</v>
      </c>
      <c r="C644" t="inlineStr">
        <is>
          <t>797</t>
        </is>
      </c>
      <c r="D644" t="n">
        <v>7.97</v>
      </c>
      <c r="E644">
        <f>MEDIAN(D624:D664)</f>
        <v/>
      </c>
      <c r="F644">
        <f>E624</f>
        <v/>
      </c>
      <c r="G644">
        <f>F644-E644</f>
        <v/>
      </c>
      <c r="H644">
        <f>IF(OR(NOT(ISNUMBER(D644)),ABS(D644-E644)&gt;$O$3,AND($O$11=1,B644&lt;$O$12)),1,0)</f>
        <v/>
      </c>
      <c r="I644">
        <f>IF(H644=1,NA(),D644)</f>
        <v/>
      </c>
      <c r="J644">
        <f>IF(AND(ISNUMBER(D644),D644&gt;=$O$4,OR($O$11=0,B644&gt;=$O$12)),1,0)</f>
        <v/>
      </c>
      <c r="K644">
        <f>B644-$O$14</f>
        <v/>
      </c>
    </row>
    <row r="645">
      <c r="A645" t="n">
        <v>1929</v>
      </c>
      <c r="B645" t="n">
        <v>64.3</v>
      </c>
      <c r="C645" t="inlineStr">
        <is>
          <t>797</t>
        </is>
      </c>
      <c r="D645" t="n">
        <v>7.97</v>
      </c>
      <c r="E645">
        <f>MEDIAN(D625:D665)</f>
        <v/>
      </c>
      <c r="F645">
        <f>E625</f>
        <v/>
      </c>
      <c r="G645">
        <f>F645-E645</f>
        <v/>
      </c>
      <c r="H645">
        <f>IF(OR(NOT(ISNUMBER(D645)),ABS(D645-E645)&gt;$O$3,AND($O$11=1,B645&lt;$O$12)),1,0)</f>
        <v/>
      </c>
      <c r="I645">
        <f>IF(H645=1,NA(),D645)</f>
        <v/>
      </c>
      <c r="J645">
        <f>IF(AND(ISNUMBER(D645),D645&gt;=$O$4,OR($O$11=0,B645&gt;=$O$12)),1,0)</f>
        <v/>
      </c>
      <c r="K645">
        <f>B645-$O$14</f>
        <v/>
      </c>
    </row>
    <row r="646">
      <c r="A646" t="n">
        <v>1932</v>
      </c>
      <c r="B646" t="n">
        <v>64.40000000000001</v>
      </c>
      <c r="C646" t="inlineStr">
        <is>
          <t>798</t>
        </is>
      </c>
      <c r="D646" t="n">
        <v>7.98</v>
      </c>
      <c r="E646">
        <f>MEDIAN(D626:D666)</f>
        <v/>
      </c>
      <c r="F646">
        <f>E626</f>
        <v/>
      </c>
      <c r="G646">
        <f>F646-E646</f>
        <v/>
      </c>
      <c r="H646">
        <f>IF(OR(NOT(ISNUMBER(D646)),ABS(D646-E646)&gt;$O$3,AND($O$11=1,B646&lt;$O$12)),1,0)</f>
        <v/>
      </c>
      <c r="I646">
        <f>IF(H646=1,NA(),D646)</f>
        <v/>
      </c>
      <c r="J646">
        <f>IF(AND(ISNUMBER(D646),D646&gt;=$O$4,OR($O$11=0,B646&gt;=$O$12)),1,0)</f>
        <v/>
      </c>
      <c r="K646">
        <f>B646-$O$14</f>
        <v/>
      </c>
    </row>
    <row r="647">
      <c r="A647" t="n">
        <v>1935</v>
      </c>
      <c r="B647" t="n">
        <v>64.5</v>
      </c>
      <c r="C647" t="inlineStr">
        <is>
          <t>798</t>
        </is>
      </c>
      <c r="D647" t="n">
        <v>7.98</v>
      </c>
      <c r="E647">
        <f>MEDIAN(D627:D667)</f>
        <v/>
      </c>
      <c r="F647">
        <f>E627</f>
        <v/>
      </c>
      <c r="G647">
        <f>F647-E647</f>
        <v/>
      </c>
      <c r="H647">
        <f>IF(OR(NOT(ISNUMBER(D647)),ABS(D647-E647)&gt;$O$3,AND($O$11=1,B647&lt;$O$12)),1,0)</f>
        <v/>
      </c>
      <c r="I647">
        <f>IF(H647=1,NA(),D647)</f>
        <v/>
      </c>
      <c r="J647">
        <f>IF(AND(ISNUMBER(D647),D647&gt;=$O$4,OR($O$11=0,B647&gt;=$O$12)),1,0)</f>
        <v/>
      </c>
      <c r="K647">
        <f>B647-$O$14</f>
        <v/>
      </c>
    </row>
    <row r="648">
      <c r="A648" t="n">
        <v>1938</v>
      </c>
      <c r="B648" t="n">
        <v>64.59999999999999</v>
      </c>
      <c r="C648" t="inlineStr">
        <is>
          <t>798</t>
        </is>
      </c>
      <c r="D648" t="n">
        <v>7.98</v>
      </c>
      <c r="E648">
        <f>MEDIAN(D628:D668)</f>
        <v/>
      </c>
      <c r="F648">
        <f>E628</f>
        <v/>
      </c>
      <c r="G648">
        <f>F648-E648</f>
        <v/>
      </c>
      <c r="H648">
        <f>IF(OR(NOT(ISNUMBER(D648)),ABS(D648-E648)&gt;$O$3,AND($O$11=1,B648&lt;$O$12)),1,0)</f>
        <v/>
      </c>
      <c r="I648">
        <f>IF(H648=1,NA(),D648)</f>
        <v/>
      </c>
      <c r="J648">
        <f>IF(AND(ISNUMBER(D648),D648&gt;=$O$4,OR($O$11=0,B648&gt;=$O$12)),1,0)</f>
        <v/>
      </c>
      <c r="K648">
        <f>B648-$O$14</f>
        <v/>
      </c>
    </row>
    <row r="649">
      <c r="A649" t="n">
        <v>1941</v>
      </c>
      <c r="B649" t="n">
        <v>64.7</v>
      </c>
      <c r="C649" t="inlineStr">
        <is>
          <t>798</t>
        </is>
      </c>
      <c r="D649" t="n">
        <v>7.98</v>
      </c>
      <c r="E649">
        <f>MEDIAN(D629:D669)</f>
        <v/>
      </c>
      <c r="F649">
        <f>E629</f>
        <v/>
      </c>
      <c r="G649">
        <f>F649-E649</f>
        <v/>
      </c>
      <c r="H649">
        <f>IF(OR(NOT(ISNUMBER(D649)),ABS(D649-E649)&gt;$O$3,AND($O$11=1,B649&lt;$O$12)),1,0)</f>
        <v/>
      </c>
      <c r="I649">
        <f>IF(H649=1,NA(),D649)</f>
        <v/>
      </c>
      <c r="J649">
        <f>IF(AND(ISNUMBER(D649),D649&gt;=$O$4,OR($O$11=0,B649&gt;=$O$12)),1,0)</f>
        <v/>
      </c>
      <c r="K649">
        <f>B649-$O$14</f>
        <v/>
      </c>
    </row>
    <row r="650">
      <c r="A650" t="n">
        <v>1944</v>
      </c>
      <c r="B650" t="n">
        <v>64.8</v>
      </c>
      <c r="C650" t="inlineStr">
        <is>
          <t>798</t>
        </is>
      </c>
      <c r="D650" t="n">
        <v>7.98</v>
      </c>
      <c r="E650">
        <f>MEDIAN(D630:D670)</f>
        <v/>
      </c>
      <c r="F650">
        <f>E630</f>
        <v/>
      </c>
      <c r="G650">
        <f>F650-E650</f>
        <v/>
      </c>
      <c r="H650">
        <f>IF(OR(NOT(ISNUMBER(D650)),ABS(D650-E650)&gt;$O$3,AND($O$11=1,B650&lt;$O$12)),1,0)</f>
        <v/>
      </c>
      <c r="I650">
        <f>IF(H650=1,NA(),D650)</f>
        <v/>
      </c>
      <c r="J650">
        <f>IF(AND(ISNUMBER(D650),D650&gt;=$O$4,OR($O$11=0,B650&gt;=$O$12)),1,0)</f>
        <v/>
      </c>
      <c r="K650">
        <f>B650-$O$14</f>
        <v/>
      </c>
    </row>
    <row r="651">
      <c r="A651" t="n">
        <v>1947</v>
      </c>
      <c r="B651" t="n">
        <v>64.90000000000001</v>
      </c>
      <c r="C651" t="inlineStr">
        <is>
          <t>798</t>
        </is>
      </c>
      <c r="D651" t="n">
        <v>7.98</v>
      </c>
      <c r="E651">
        <f>MEDIAN(D631:D671)</f>
        <v/>
      </c>
      <c r="F651">
        <f>E631</f>
        <v/>
      </c>
      <c r="G651">
        <f>F651-E651</f>
        <v/>
      </c>
      <c r="H651">
        <f>IF(OR(NOT(ISNUMBER(D651)),ABS(D651-E651)&gt;$O$3,AND($O$11=1,B651&lt;$O$12)),1,0)</f>
        <v/>
      </c>
      <c r="I651">
        <f>IF(H651=1,NA(),D651)</f>
        <v/>
      </c>
      <c r="J651">
        <f>IF(AND(ISNUMBER(D651),D651&gt;=$O$4,OR($O$11=0,B651&gt;=$O$12)),1,0)</f>
        <v/>
      </c>
      <c r="K651">
        <f>B651-$O$14</f>
        <v/>
      </c>
    </row>
    <row r="652">
      <c r="A652" t="n">
        <v>1950</v>
      </c>
      <c r="B652" t="n">
        <v>65</v>
      </c>
      <c r="C652" t="inlineStr">
        <is>
          <t>799</t>
        </is>
      </c>
      <c r="D652" t="n">
        <v>7.99</v>
      </c>
      <c r="E652">
        <f>MEDIAN(D632:D672)</f>
        <v/>
      </c>
      <c r="F652">
        <f>E632</f>
        <v/>
      </c>
      <c r="G652">
        <f>F652-E652</f>
        <v/>
      </c>
      <c r="H652">
        <f>IF(OR(NOT(ISNUMBER(D652)),ABS(D652-E652)&gt;$O$3,AND($O$11=1,B652&lt;$O$12)),1,0)</f>
        <v/>
      </c>
      <c r="I652">
        <f>IF(H652=1,NA(),D652)</f>
        <v/>
      </c>
      <c r="J652">
        <f>IF(AND(ISNUMBER(D652),D652&gt;=$O$4,OR($O$11=0,B652&gt;=$O$12)),1,0)</f>
        <v/>
      </c>
      <c r="K652">
        <f>B652-$O$14</f>
        <v/>
      </c>
    </row>
    <row r="653">
      <c r="A653" t="n">
        <v>1953</v>
      </c>
      <c r="B653" t="n">
        <v>65.09999999999999</v>
      </c>
      <c r="C653" t="inlineStr">
        <is>
          <t>799</t>
        </is>
      </c>
      <c r="D653" t="n">
        <v>7.99</v>
      </c>
      <c r="E653">
        <f>MEDIAN(D633:D673)</f>
        <v/>
      </c>
      <c r="F653">
        <f>E633</f>
        <v/>
      </c>
      <c r="G653">
        <f>F653-E653</f>
        <v/>
      </c>
      <c r="H653">
        <f>IF(OR(NOT(ISNUMBER(D653)),ABS(D653-E653)&gt;$O$3,AND($O$11=1,B653&lt;$O$12)),1,0)</f>
        <v/>
      </c>
      <c r="I653">
        <f>IF(H653=1,NA(),D653)</f>
        <v/>
      </c>
      <c r="J653">
        <f>IF(AND(ISNUMBER(D653),D653&gt;=$O$4,OR($O$11=0,B653&gt;=$O$12)),1,0)</f>
        <v/>
      </c>
      <c r="K653">
        <f>B653-$O$14</f>
        <v/>
      </c>
    </row>
    <row r="654">
      <c r="A654" t="n">
        <v>1956</v>
      </c>
      <c r="B654" t="n">
        <v>65.2</v>
      </c>
      <c r="C654" t="inlineStr">
        <is>
          <t>799</t>
        </is>
      </c>
      <c r="D654" t="n">
        <v>7.99</v>
      </c>
      <c r="E654">
        <f>MEDIAN(D634:D674)</f>
        <v/>
      </c>
      <c r="F654">
        <f>E634</f>
        <v/>
      </c>
      <c r="G654">
        <f>F654-E654</f>
        <v/>
      </c>
      <c r="H654">
        <f>IF(OR(NOT(ISNUMBER(D654)),ABS(D654-E654)&gt;$O$3,AND($O$11=1,B654&lt;$O$12)),1,0)</f>
        <v/>
      </c>
      <c r="I654">
        <f>IF(H654=1,NA(),D654)</f>
        <v/>
      </c>
      <c r="J654">
        <f>IF(AND(ISNUMBER(D654),D654&gt;=$O$4,OR($O$11=0,B654&gt;=$O$12)),1,0)</f>
        <v/>
      </c>
      <c r="K654">
        <f>B654-$O$14</f>
        <v/>
      </c>
    </row>
    <row r="655">
      <c r="A655" t="n">
        <v>1959</v>
      </c>
      <c r="B655" t="n">
        <v>65.3</v>
      </c>
      <c r="C655" t="inlineStr">
        <is>
          <t>800</t>
        </is>
      </c>
      <c r="D655" t="n">
        <v>8</v>
      </c>
      <c r="E655">
        <f>MEDIAN(D635:D675)</f>
        <v/>
      </c>
      <c r="F655">
        <f>E635</f>
        <v/>
      </c>
      <c r="G655">
        <f>F655-E655</f>
        <v/>
      </c>
      <c r="H655">
        <f>IF(OR(NOT(ISNUMBER(D655)),ABS(D655-E655)&gt;$O$3,AND($O$11=1,B655&lt;$O$12)),1,0)</f>
        <v/>
      </c>
      <c r="I655">
        <f>IF(H655=1,NA(),D655)</f>
        <v/>
      </c>
      <c r="J655">
        <f>IF(AND(ISNUMBER(D655),D655&gt;=$O$4,OR($O$11=0,B655&gt;=$O$12)),1,0)</f>
        <v/>
      </c>
      <c r="K655">
        <f>B655-$O$14</f>
        <v/>
      </c>
    </row>
    <row r="656">
      <c r="A656" t="n">
        <v>1962</v>
      </c>
      <c r="B656" t="n">
        <v>65.40000000000001</v>
      </c>
      <c r="C656" t="inlineStr">
        <is>
          <t>800</t>
        </is>
      </c>
      <c r="D656" t="n">
        <v>8</v>
      </c>
      <c r="E656">
        <f>MEDIAN(D636:D676)</f>
        <v/>
      </c>
      <c r="F656">
        <f>E636</f>
        <v/>
      </c>
      <c r="G656">
        <f>F656-E656</f>
        <v/>
      </c>
      <c r="H656">
        <f>IF(OR(NOT(ISNUMBER(D656)),ABS(D656-E656)&gt;$O$3,AND($O$11=1,B656&lt;$O$12)),1,0)</f>
        <v/>
      </c>
      <c r="I656">
        <f>IF(H656=1,NA(),D656)</f>
        <v/>
      </c>
      <c r="J656">
        <f>IF(AND(ISNUMBER(D656),D656&gt;=$O$4,OR($O$11=0,B656&gt;=$O$12)),1,0)</f>
        <v/>
      </c>
      <c r="K656">
        <f>B656-$O$14</f>
        <v/>
      </c>
    </row>
    <row r="657">
      <c r="A657" t="n">
        <v>1965</v>
      </c>
      <c r="B657" t="n">
        <v>65.5</v>
      </c>
      <c r="C657" t="inlineStr">
        <is>
          <t>800</t>
        </is>
      </c>
      <c r="D657" t="n">
        <v>8</v>
      </c>
      <c r="E657">
        <f>MEDIAN(D637:D677)</f>
        <v/>
      </c>
      <c r="F657">
        <f>E637</f>
        <v/>
      </c>
      <c r="G657">
        <f>F657-E657</f>
        <v/>
      </c>
      <c r="H657">
        <f>IF(OR(NOT(ISNUMBER(D657)),ABS(D657-E657)&gt;$O$3,AND($O$11=1,B657&lt;$O$12)),1,0)</f>
        <v/>
      </c>
      <c r="I657">
        <f>IF(H657=1,NA(),D657)</f>
        <v/>
      </c>
      <c r="J657">
        <f>IF(AND(ISNUMBER(D657),D657&gt;=$O$4,OR($O$11=0,B657&gt;=$O$12)),1,0)</f>
        <v/>
      </c>
      <c r="K657">
        <f>B657-$O$14</f>
        <v/>
      </c>
    </row>
    <row r="658">
      <c r="A658" t="n">
        <v>1968</v>
      </c>
      <c r="B658" t="n">
        <v>65.59999999999999</v>
      </c>
      <c r="C658" t="inlineStr">
        <is>
          <t>800</t>
        </is>
      </c>
      <c r="D658" t="n">
        <v>8</v>
      </c>
      <c r="E658">
        <f>MEDIAN(D638:D678)</f>
        <v/>
      </c>
      <c r="F658">
        <f>E638</f>
        <v/>
      </c>
      <c r="G658">
        <f>F658-E658</f>
        <v/>
      </c>
      <c r="H658">
        <f>IF(OR(NOT(ISNUMBER(D658)),ABS(D658-E658)&gt;$O$3,AND($O$11=1,B658&lt;$O$12)),1,0)</f>
        <v/>
      </c>
      <c r="I658">
        <f>IF(H658=1,NA(),D658)</f>
        <v/>
      </c>
      <c r="J658">
        <f>IF(AND(ISNUMBER(D658),D658&gt;=$O$4,OR($O$11=0,B658&gt;=$O$12)),1,0)</f>
        <v/>
      </c>
      <c r="K658">
        <f>B658-$O$14</f>
        <v/>
      </c>
    </row>
    <row r="659">
      <c r="A659" t="n">
        <v>1971</v>
      </c>
      <c r="B659" t="n">
        <v>65.7</v>
      </c>
      <c r="C659" t="inlineStr">
        <is>
          <t>800</t>
        </is>
      </c>
      <c r="D659" t="n">
        <v>8</v>
      </c>
      <c r="E659">
        <f>MEDIAN(D639:D679)</f>
        <v/>
      </c>
      <c r="F659">
        <f>E639</f>
        <v/>
      </c>
      <c r="G659">
        <f>F659-E659</f>
        <v/>
      </c>
      <c r="H659">
        <f>IF(OR(NOT(ISNUMBER(D659)),ABS(D659-E659)&gt;$O$3,AND($O$11=1,B659&lt;$O$12)),1,0)</f>
        <v/>
      </c>
      <c r="I659">
        <f>IF(H659=1,NA(),D659)</f>
        <v/>
      </c>
      <c r="J659">
        <f>IF(AND(ISNUMBER(D659),D659&gt;=$O$4,OR($O$11=0,B659&gt;=$O$12)),1,0)</f>
        <v/>
      </c>
      <c r="K659">
        <f>B659-$O$14</f>
        <v/>
      </c>
    </row>
    <row r="660">
      <c r="A660" t="n">
        <v>1974</v>
      </c>
      <c r="B660" t="n">
        <v>65.8</v>
      </c>
      <c r="C660" t="inlineStr">
        <is>
          <t>801</t>
        </is>
      </c>
      <c r="D660" t="n">
        <v>8.01</v>
      </c>
      <c r="E660">
        <f>MEDIAN(D640:D680)</f>
        <v/>
      </c>
      <c r="F660">
        <f>E640</f>
        <v/>
      </c>
      <c r="G660">
        <f>F660-E660</f>
        <v/>
      </c>
      <c r="H660">
        <f>IF(OR(NOT(ISNUMBER(D660)),ABS(D660-E660)&gt;$O$3,AND($O$11=1,B660&lt;$O$12)),1,0)</f>
        <v/>
      </c>
      <c r="I660">
        <f>IF(H660=1,NA(),D660)</f>
        <v/>
      </c>
      <c r="J660">
        <f>IF(AND(ISNUMBER(D660),D660&gt;=$O$4,OR($O$11=0,B660&gt;=$O$12)),1,0)</f>
        <v/>
      </c>
      <c r="K660">
        <f>B660-$O$14</f>
        <v/>
      </c>
    </row>
    <row r="661">
      <c r="A661" t="n">
        <v>1977</v>
      </c>
      <c r="B661" t="n">
        <v>65.90000000000001</v>
      </c>
      <c r="C661" t="inlineStr">
        <is>
          <t>801</t>
        </is>
      </c>
      <c r="D661" t="n">
        <v>8.01</v>
      </c>
      <c r="E661">
        <f>MEDIAN(D641:D681)</f>
        <v/>
      </c>
      <c r="F661">
        <f>E641</f>
        <v/>
      </c>
      <c r="G661">
        <f>F661-E661</f>
        <v/>
      </c>
      <c r="H661">
        <f>IF(OR(NOT(ISNUMBER(D661)),ABS(D661-E661)&gt;$O$3,AND($O$11=1,B661&lt;$O$12)),1,0)</f>
        <v/>
      </c>
      <c r="I661">
        <f>IF(H661=1,NA(),D661)</f>
        <v/>
      </c>
      <c r="J661">
        <f>IF(AND(ISNUMBER(D661),D661&gt;=$O$4,OR($O$11=0,B661&gt;=$O$12)),1,0)</f>
        <v/>
      </c>
      <c r="K661">
        <f>B661-$O$14</f>
        <v/>
      </c>
    </row>
    <row r="662">
      <c r="A662" t="n">
        <v>1980</v>
      </c>
      <c r="B662" t="n">
        <v>66</v>
      </c>
      <c r="C662" t="inlineStr">
        <is>
          <t>801</t>
        </is>
      </c>
      <c r="D662" t="n">
        <v>8.01</v>
      </c>
      <c r="E662">
        <f>MEDIAN(D642:D682)</f>
        <v/>
      </c>
      <c r="F662">
        <f>E642</f>
        <v/>
      </c>
      <c r="G662">
        <f>F662-E662</f>
        <v/>
      </c>
      <c r="H662">
        <f>IF(OR(NOT(ISNUMBER(D662)),ABS(D662-E662)&gt;$O$3,AND($O$11=1,B662&lt;$O$12)),1,0)</f>
        <v/>
      </c>
      <c r="I662">
        <f>IF(H662=1,NA(),D662)</f>
        <v/>
      </c>
      <c r="J662">
        <f>IF(AND(ISNUMBER(D662),D662&gt;=$O$4,OR($O$11=0,B662&gt;=$O$12)),1,0)</f>
        <v/>
      </c>
      <c r="K662">
        <f>B662-$O$14</f>
        <v/>
      </c>
    </row>
    <row r="663">
      <c r="A663" t="n">
        <v>1983</v>
      </c>
      <c r="B663" t="n">
        <v>66.09999999999999</v>
      </c>
      <c r="C663" t="inlineStr">
        <is>
          <t>801</t>
        </is>
      </c>
      <c r="D663" t="n">
        <v>8.01</v>
      </c>
      <c r="E663">
        <f>MEDIAN(D643:D683)</f>
        <v/>
      </c>
      <c r="F663">
        <f>E643</f>
        <v/>
      </c>
      <c r="G663">
        <f>F663-E663</f>
        <v/>
      </c>
      <c r="H663">
        <f>IF(OR(NOT(ISNUMBER(D663)),ABS(D663-E663)&gt;$O$3,AND($O$11=1,B663&lt;$O$12)),1,0)</f>
        <v/>
      </c>
      <c r="I663">
        <f>IF(H663=1,NA(),D663)</f>
        <v/>
      </c>
      <c r="J663">
        <f>IF(AND(ISNUMBER(D663),D663&gt;=$O$4,OR($O$11=0,B663&gt;=$O$12)),1,0)</f>
        <v/>
      </c>
      <c r="K663">
        <f>B663-$O$14</f>
        <v/>
      </c>
    </row>
    <row r="664">
      <c r="A664" t="n">
        <v>1986</v>
      </c>
      <c r="B664" t="n">
        <v>66.2</v>
      </c>
      <c r="C664" t="inlineStr">
        <is>
          <t>801</t>
        </is>
      </c>
      <c r="D664" t="n">
        <v>8.01</v>
      </c>
      <c r="E664">
        <f>MEDIAN(D644:D684)</f>
        <v/>
      </c>
      <c r="F664">
        <f>E644</f>
        <v/>
      </c>
      <c r="G664">
        <f>F664-E664</f>
        <v/>
      </c>
      <c r="H664">
        <f>IF(OR(NOT(ISNUMBER(D664)),ABS(D664-E664)&gt;$O$3,AND($O$11=1,B664&lt;$O$12)),1,0)</f>
        <v/>
      </c>
      <c r="I664">
        <f>IF(H664=1,NA(),D664)</f>
        <v/>
      </c>
      <c r="J664">
        <f>IF(AND(ISNUMBER(D664),D664&gt;=$O$4,OR($O$11=0,B664&gt;=$O$12)),1,0)</f>
        <v/>
      </c>
      <c r="K664">
        <f>B664-$O$14</f>
        <v/>
      </c>
    </row>
    <row r="665">
      <c r="A665" t="n">
        <v>1989</v>
      </c>
      <c r="B665" t="n">
        <v>66.3</v>
      </c>
      <c r="C665" t="inlineStr">
        <is>
          <t>80?</t>
        </is>
      </c>
      <c r="E665">
        <f>MEDIAN(D645:D685)</f>
        <v/>
      </c>
      <c r="F665">
        <f>E645</f>
        <v/>
      </c>
      <c r="G665">
        <f>F665-E665</f>
        <v/>
      </c>
      <c r="H665">
        <f>IF(OR(NOT(ISNUMBER(D665)),ABS(D665-E665)&gt;$O$3,AND($O$11=1,B665&lt;$O$12)),1,0)</f>
        <v/>
      </c>
      <c r="I665">
        <f>IF(H665=1,NA(),D665)</f>
        <v/>
      </c>
      <c r="J665">
        <f>IF(AND(ISNUMBER(D665),D665&gt;=$O$4,OR($O$11=0,B665&gt;=$O$12)),1,0)</f>
        <v/>
      </c>
      <c r="K665">
        <f>B665-$O$14</f>
        <v/>
      </c>
    </row>
    <row r="666">
      <c r="A666" t="n">
        <v>1992</v>
      </c>
      <c r="B666" t="n">
        <v>66.40000000000001</v>
      </c>
      <c r="C666" t="inlineStr">
        <is>
          <t>802</t>
        </is>
      </c>
      <c r="D666" t="n">
        <v>8.02</v>
      </c>
      <c r="E666">
        <f>MEDIAN(D646:D686)</f>
        <v/>
      </c>
      <c r="F666">
        <f>E646</f>
        <v/>
      </c>
      <c r="G666">
        <f>F666-E666</f>
        <v/>
      </c>
      <c r="H666">
        <f>IF(OR(NOT(ISNUMBER(D666)),ABS(D666-E666)&gt;$O$3,AND($O$11=1,B666&lt;$O$12)),1,0)</f>
        <v/>
      </c>
      <c r="I666">
        <f>IF(H666=1,NA(),D666)</f>
        <v/>
      </c>
      <c r="J666">
        <f>IF(AND(ISNUMBER(D666),D666&gt;=$O$4,OR($O$11=0,B666&gt;=$O$12)),1,0)</f>
        <v/>
      </c>
      <c r="K666">
        <f>B666-$O$14</f>
        <v/>
      </c>
    </row>
    <row r="667">
      <c r="A667" t="n">
        <v>1995</v>
      </c>
      <c r="B667" t="n">
        <v>66.5</v>
      </c>
      <c r="C667" t="inlineStr">
        <is>
          <t>802</t>
        </is>
      </c>
      <c r="D667" t="n">
        <v>8.02</v>
      </c>
      <c r="E667">
        <f>MEDIAN(D647:D687)</f>
        <v/>
      </c>
      <c r="F667">
        <f>E647</f>
        <v/>
      </c>
      <c r="G667">
        <f>F667-E667</f>
        <v/>
      </c>
      <c r="H667">
        <f>IF(OR(NOT(ISNUMBER(D667)),ABS(D667-E667)&gt;$O$3,AND($O$11=1,B667&lt;$O$12)),1,0)</f>
        <v/>
      </c>
      <c r="I667">
        <f>IF(H667=1,NA(),D667)</f>
        <v/>
      </c>
      <c r="J667">
        <f>IF(AND(ISNUMBER(D667),D667&gt;=$O$4,OR($O$11=0,B667&gt;=$O$12)),1,0)</f>
        <v/>
      </c>
      <c r="K667">
        <f>B667-$O$14</f>
        <v/>
      </c>
    </row>
    <row r="668">
      <c r="A668" t="n">
        <v>1998</v>
      </c>
      <c r="B668" t="n">
        <v>66.59999999999999</v>
      </c>
      <c r="C668" t="inlineStr">
        <is>
          <t>802</t>
        </is>
      </c>
      <c r="D668" t="n">
        <v>8.02</v>
      </c>
      <c r="E668">
        <f>MEDIAN(D648:D688)</f>
        <v/>
      </c>
      <c r="F668">
        <f>E648</f>
        <v/>
      </c>
      <c r="G668">
        <f>F668-E668</f>
        <v/>
      </c>
      <c r="H668">
        <f>IF(OR(NOT(ISNUMBER(D668)),ABS(D668-E668)&gt;$O$3,AND($O$11=1,B668&lt;$O$12)),1,0)</f>
        <v/>
      </c>
      <c r="I668">
        <f>IF(H668=1,NA(),D668)</f>
        <v/>
      </c>
      <c r="J668">
        <f>IF(AND(ISNUMBER(D668),D668&gt;=$O$4,OR($O$11=0,B668&gt;=$O$12)),1,0)</f>
        <v/>
      </c>
      <c r="K668">
        <f>B668-$O$14</f>
        <v/>
      </c>
    </row>
    <row r="669">
      <c r="A669" t="n">
        <v>2001</v>
      </c>
      <c r="B669" t="n">
        <v>66.7</v>
      </c>
      <c r="C669" t="inlineStr">
        <is>
          <t>802</t>
        </is>
      </c>
      <c r="D669" t="n">
        <v>8.02</v>
      </c>
      <c r="E669">
        <f>MEDIAN(D649:D689)</f>
        <v/>
      </c>
      <c r="F669">
        <f>E649</f>
        <v/>
      </c>
      <c r="G669">
        <f>F669-E669</f>
        <v/>
      </c>
      <c r="H669">
        <f>IF(OR(NOT(ISNUMBER(D669)),ABS(D669-E669)&gt;$O$3,AND($O$11=1,B669&lt;$O$12)),1,0)</f>
        <v/>
      </c>
      <c r="I669">
        <f>IF(H669=1,NA(),D669)</f>
        <v/>
      </c>
      <c r="J669">
        <f>IF(AND(ISNUMBER(D669),D669&gt;=$O$4,OR($O$11=0,B669&gt;=$O$12)),1,0)</f>
        <v/>
      </c>
      <c r="K669">
        <f>B669-$O$14</f>
        <v/>
      </c>
    </row>
    <row r="670">
      <c r="A670" t="n">
        <v>2004</v>
      </c>
      <c r="B670" t="n">
        <v>66.8</v>
      </c>
      <c r="C670" t="inlineStr">
        <is>
          <t>803</t>
        </is>
      </c>
      <c r="D670" t="n">
        <v>8.029999999999999</v>
      </c>
      <c r="E670">
        <f>MEDIAN(D650:D690)</f>
        <v/>
      </c>
      <c r="F670">
        <f>E650</f>
        <v/>
      </c>
      <c r="G670">
        <f>F670-E670</f>
        <v/>
      </c>
      <c r="H670">
        <f>IF(OR(NOT(ISNUMBER(D670)),ABS(D670-E670)&gt;$O$3,AND($O$11=1,B670&lt;$O$12)),1,0)</f>
        <v/>
      </c>
      <c r="I670">
        <f>IF(H670=1,NA(),D670)</f>
        <v/>
      </c>
      <c r="J670">
        <f>IF(AND(ISNUMBER(D670),D670&gt;=$O$4,OR($O$11=0,B670&gt;=$O$12)),1,0)</f>
        <v/>
      </c>
      <c r="K670">
        <f>B670-$O$14</f>
        <v/>
      </c>
    </row>
    <row r="671">
      <c r="A671" t="n">
        <v>2007</v>
      </c>
      <c r="B671" t="n">
        <v>66.90000000000001</v>
      </c>
      <c r="C671" t="inlineStr">
        <is>
          <t>805</t>
        </is>
      </c>
      <c r="D671" t="n">
        <v>8.050000000000001</v>
      </c>
      <c r="E671">
        <f>MEDIAN(D651:D691)</f>
        <v/>
      </c>
      <c r="F671">
        <f>E651</f>
        <v/>
      </c>
      <c r="G671">
        <f>F671-E671</f>
        <v/>
      </c>
      <c r="H671">
        <f>IF(OR(NOT(ISNUMBER(D671)),ABS(D671-E671)&gt;$O$3,AND($O$11=1,B671&lt;$O$12)),1,0)</f>
        <v/>
      </c>
      <c r="I671">
        <f>IF(H671=1,NA(),D671)</f>
        <v/>
      </c>
      <c r="J671">
        <f>IF(AND(ISNUMBER(D671),D671&gt;=$O$4,OR($O$11=0,B671&gt;=$O$12)),1,0)</f>
        <v/>
      </c>
      <c r="K671">
        <f>B671-$O$14</f>
        <v/>
      </c>
    </row>
    <row r="672">
      <c r="A672" t="n">
        <v>2010</v>
      </c>
      <c r="B672" t="n">
        <v>67</v>
      </c>
      <c r="C672" t="inlineStr">
        <is>
          <t>806</t>
        </is>
      </c>
      <c r="D672" t="n">
        <v>8.06</v>
      </c>
      <c r="E672">
        <f>MEDIAN(D652:D692)</f>
        <v/>
      </c>
      <c r="F672">
        <f>E652</f>
        <v/>
      </c>
      <c r="G672">
        <f>F672-E672</f>
        <v/>
      </c>
      <c r="H672">
        <f>IF(OR(NOT(ISNUMBER(D672)),ABS(D672-E672)&gt;$O$3,AND($O$11=1,B672&lt;$O$12)),1,0)</f>
        <v/>
      </c>
      <c r="I672">
        <f>IF(H672=1,NA(),D672)</f>
        <v/>
      </c>
      <c r="J672">
        <f>IF(AND(ISNUMBER(D672),D672&gt;=$O$4,OR($O$11=0,B672&gt;=$O$12)),1,0)</f>
        <v/>
      </c>
      <c r="K672">
        <f>B672-$O$14</f>
        <v/>
      </c>
    </row>
    <row r="673">
      <c r="A673" t="n">
        <v>2013</v>
      </c>
      <c r="B673" t="n">
        <v>67.09999999999999</v>
      </c>
      <c r="C673" t="inlineStr">
        <is>
          <t>806</t>
        </is>
      </c>
      <c r="D673" t="n">
        <v>8.06</v>
      </c>
      <c r="E673">
        <f>MEDIAN(D653:D693)</f>
        <v/>
      </c>
      <c r="F673">
        <f>E653</f>
        <v/>
      </c>
      <c r="G673">
        <f>F673-E673</f>
        <v/>
      </c>
      <c r="H673">
        <f>IF(OR(NOT(ISNUMBER(D673)),ABS(D673-E673)&gt;$O$3,AND($O$11=1,B673&lt;$O$12)),1,0)</f>
        <v/>
      </c>
      <c r="I673">
        <f>IF(H673=1,NA(),D673)</f>
        <v/>
      </c>
      <c r="J673">
        <f>IF(AND(ISNUMBER(D673),D673&gt;=$O$4,OR($O$11=0,B673&gt;=$O$12)),1,0)</f>
        <v/>
      </c>
      <c r="K673">
        <f>B673-$O$14</f>
        <v/>
      </c>
    </row>
    <row r="674">
      <c r="A674" t="n">
        <v>2016</v>
      </c>
      <c r="B674" t="n">
        <v>67.2</v>
      </c>
      <c r="C674" t="inlineStr">
        <is>
          <t>807</t>
        </is>
      </c>
      <c r="D674" t="n">
        <v>8.07</v>
      </c>
      <c r="E674">
        <f>MEDIAN(D654:D694)</f>
        <v/>
      </c>
      <c r="F674">
        <f>E654</f>
        <v/>
      </c>
      <c r="G674">
        <f>F674-E674</f>
        <v/>
      </c>
      <c r="H674">
        <f>IF(OR(NOT(ISNUMBER(D674)),ABS(D674-E674)&gt;$O$3,AND($O$11=1,B674&lt;$O$12)),1,0)</f>
        <v/>
      </c>
      <c r="I674">
        <f>IF(H674=1,NA(),D674)</f>
        <v/>
      </c>
      <c r="J674">
        <f>IF(AND(ISNUMBER(D674),D674&gt;=$O$4,OR($O$11=0,B674&gt;=$O$12)),1,0)</f>
        <v/>
      </c>
      <c r="K674">
        <f>B674-$O$14</f>
        <v/>
      </c>
    </row>
    <row r="675">
      <c r="A675" t="n">
        <v>2019</v>
      </c>
      <c r="B675" t="n">
        <v>67.3</v>
      </c>
      <c r="C675" t="inlineStr">
        <is>
          <t>807</t>
        </is>
      </c>
      <c r="D675" t="n">
        <v>8.07</v>
      </c>
      <c r="E675">
        <f>MEDIAN(D655:D695)</f>
        <v/>
      </c>
      <c r="F675">
        <f>E655</f>
        <v/>
      </c>
      <c r="G675">
        <f>F675-E675</f>
        <v/>
      </c>
      <c r="H675">
        <f>IF(OR(NOT(ISNUMBER(D675)),ABS(D675-E675)&gt;$O$3,AND($O$11=1,B675&lt;$O$12)),1,0)</f>
        <v/>
      </c>
      <c r="I675">
        <f>IF(H675=1,NA(),D675)</f>
        <v/>
      </c>
      <c r="J675">
        <f>IF(AND(ISNUMBER(D675),D675&gt;=$O$4,OR($O$11=0,B675&gt;=$O$12)),1,0)</f>
        <v/>
      </c>
      <c r="K675">
        <f>B675-$O$14</f>
        <v/>
      </c>
    </row>
    <row r="676">
      <c r="A676" t="n">
        <v>2022</v>
      </c>
      <c r="B676" t="n">
        <v>67.40000000000001</v>
      </c>
      <c r="C676" t="inlineStr">
        <is>
          <t>800</t>
        </is>
      </c>
      <c r="D676" t="n">
        <v>8</v>
      </c>
      <c r="E676">
        <f>MEDIAN(D656:D696)</f>
        <v/>
      </c>
      <c r="F676">
        <f>E656</f>
        <v/>
      </c>
      <c r="G676">
        <f>F676-E676</f>
        <v/>
      </c>
      <c r="H676">
        <f>IF(OR(NOT(ISNUMBER(D676)),ABS(D676-E676)&gt;$O$3,AND($O$11=1,B676&lt;$O$12)),1,0)</f>
        <v/>
      </c>
      <c r="I676">
        <f>IF(H676=1,NA(),D676)</f>
        <v/>
      </c>
      <c r="J676">
        <f>IF(AND(ISNUMBER(D676),D676&gt;=$O$4,OR($O$11=0,B676&gt;=$O$12)),1,0)</f>
        <v/>
      </c>
      <c r="K676">
        <f>B676-$O$14</f>
        <v/>
      </c>
    </row>
    <row r="677">
      <c r="A677" t="n">
        <v>2025</v>
      </c>
      <c r="B677" t="n">
        <v>67.5</v>
      </c>
      <c r="C677" t="inlineStr">
        <is>
          <t>808</t>
        </is>
      </c>
      <c r="D677" t="n">
        <v>8.08</v>
      </c>
      <c r="E677">
        <f>MEDIAN(D657:D697)</f>
        <v/>
      </c>
      <c r="F677">
        <f>E657</f>
        <v/>
      </c>
      <c r="G677">
        <f>F677-E677</f>
        <v/>
      </c>
      <c r="H677">
        <f>IF(OR(NOT(ISNUMBER(D677)),ABS(D677-E677)&gt;$O$3,AND($O$11=1,B677&lt;$O$12)),1,0)</f>
        <v/>
      </c>
      <c r="I677">
        <f>IF(H677=1,NA(),D677)</f>
        <v/>
      </c>
      <c r="J677">
        <f>IF(AND(ISNUMBER(D677),D677&gt;=$O$4,OR($O$11=0,B677&gt;=$O$12)),1,0)</f>
        <v/>
      </c>
      <c r="K677">
        <f>B677-$O$14</f>
        <v/>
      </c>
    </row>
    <row r="678">
      <c r="A678" t="n">
        <v>2028</v>
      </c>
      <c r="B678" t="n">
        <v>67.59999999999999</v>
      </c>
      <c r="C678" t="inlineStr">
        <is>
          <t>808</t>
        </is>
      </c>
      <c r="D678" t="n">
        <v>8.08</v>
      </c>
      <c r="E678">
        <f>MEDIAN(D658:D698)</f>
        <v/>
      </c>
      <c r="F678">
        <f>E658</f>
        <v/>
      </c>
      <c r="G678">
        <f>F678-E678</f>
        <v/>
      </c>
      <c r="H678">
        <f>IF(OR(NOT(ISNUMBER(D678)),ABS(D678-E678)&gt;$O$3,AND($O$11=1,B678&lt;$O$12)),1,0)</f>
        <v/>
      </c>
      <c r="I678">
        <f>IF(H678=1,NA(),D678)</f>
        <v/>
      </c>
      <c r="J678">
        <f>IF(AND(ISNUMBER(D678),D678&gt;=$O$4,OR($O$11=0,B678&gt;=$O$12)),1,0)</f>
        <v/>
      </c>
      <c r="K678">
        <f>B678-$O$14</f>
        <v/>
      </c>
    </row>
    <row r="679">
      <c r="A679" t="n">
        <v>2031</v>
      </c>
      <c r="B679" t="n">
        <v>67.7</v>
      </c>
      <c r="C679" t="inlineStr">
        <is>
          <t>808</t>
        </is>
      </c>
      <c r="D679" t="n">
        <v>8.08</v>
      </c>
      <c r="E679">
        <f>MEDIAN(D659:D699)</f>
        <v/>
      </c>
      <c r="F679">
        <f>E659</f>
        <v/>
      </c>
      <c r="G679">
        <f>F679-E679</f>
        <v/>
      </c>
      <c r="H679">
        <f>IF(OR(NOT(ISNUMBER(D679)),ABS(D679-E679)&gt;$O$3,AND($O$11=1,B679&lt;$O$12)),1,0)</f>
        <v/>
      </c>
      <c r="I679">
        <f>IF(H679=1,NA(),D679)</f>
        <v/>
      </c>
      <c r="J679">
        <f>IF(AND(ISNUMBER(D679),D679&gt;=$O$4,OR($O$11=0,B679&gt;=$O$12)),1,0)</f>
        <v/>
      </c>
      <c r="K679">
        <f>B679-$O$14</f>
        <v/>
      </c>
    </row>
    <row r="680">
      <c r="A680" t="n">
        <v>2034</v>
      </c>
      <c r="B680" t="n">
        <v>67.8</v>
      </c>
      <c r="C680" t="inlineStr">
        <is>
          <t>808</t>
        </is>
      </c>
      <c r="D680" t="n">
        <v>8.08</v>
      </c>
      <c r="E680">
        <f>MEDIAN(D660:D700)</f>
        <v/>
      </c>
      <c r="F680">
        <f>E660</f>
        <v/>
      </c>
      <c r="G680">
        <f>F680-E680</f>
        <v/>
      </c>
      <c r="H680">
        <f>IF(OR(NOT(ISNUMBER(D680)),ABS(D680-E680)&gt;$O$3,AND($O$11=1,B680&lt;$O$12)),1,0)</f>
        <v/>
      </c>
      <c r="I680">
        <f>IF(H680=1,NA(),D680)</f>
        <v/>
      </c>
      <c r="J680">
        <f>IF(AND(ISNUMBER(D680),D680&gt;=$O$4,OR($O$11=0,B680&gt;=$O$12)),1,0)</f>
        <v/>
      </c>
      <c r="K680">
        <f>B680-$O$14</f>
        <v/>
      </c>
    </row>
    <row r="681">
      <c r="A681" t="n">
        <v>2037</v>
      </c>
      <c r="B681" t="n">
        <v>67.90000000000001</v>
      </c>
      <c r="C681" t="inlineStr">
        <is>
          <t>808</t>
        </is>
      </c>
      <c r="D681" t="n">
        <v>8.08</v>
      </c>
      <c r="E681">
        <f>MEDIAN(D661:D701)</f>
        <v/>
      </c>
      <c r="F681">
        <f>E661</f>
        <v/>
      </c>
      <c r="G681">
        <f>F681-E681</f>
        <v/>
      </c>
      <c r="H681">
        <f>IF(OR(NOT(ISNUMBER(D681)),ABS(D681-E681)&gt;$O$3,AND($O$11=1,B681&lt;$O$12)),1,0)</f>
        <v/>
      </c>
      <c r="I681">
        <f>IF(H681=1,NA(),D681)</f>
        <v/>
      </c>
      <c r="J681">
        <f>IF(AND(ISNUMBER(D681),D681&gt;=$O$4,OR($O$11=0,B681&gt;=$O$12)),1,0)</f>
        <v/>
      </c>
      <c r="K681">
        <f>B681-$O$14</f>
        <v/>
      </c>
    </row>
    <row r="682">
      <c r="A682" t="n">
        <v>2040</v>
      </c>
      <c r="B682" t="n">
        <v>68</v>
      </c>
      <c r="C682" t="inlineStr">
        <is>
          <t>808</t>
        </is>
      </c>
      <c r="D682" t="n">
        <v>8.08</v>
      </c>
      <c r="E682">
        <f>MEDIAN(D662:D702)</f>
        <v/>
      </c>
      <c r="F682">
        <f>E662</f>
        <v/>
      </c>
      <c r="G682">
        <f>F682-E682</f>
        <v/>
      </c>
      <c r="H682">
        <f>IF(OR(NOT(ISNUMBER(D682)),ABS(D682-E682)&gt;$O$3,AND($O$11=1,B682&lt;$O$12)),1,0)</f>
        <v/>
      </c>
      <c r="I682">
        <f>IF(H682=1,NA(),D682)</f>
        <v/>
      </c>
      <c r="J682">
        <f>IF(AND(ISNUMBER(D682),D682&gt;=$O$4,OR($O$11=0,B682&gt;=$O$12)),1,0)</f>
        <v/>
      </c>
      <c r="K682">
        <f>B682-$O$14</f>
        <v/>
      </c>
    </row>
    <row r="683">
      <c r="A683" t="n">
        <v>2043</v>
      </c>
      <c r="B683" t="n">
        <v>68.09999999999999</v>
      </c>
      <c r="C683" t="inlineStr">
        <is>
          <t>808</t>
        </is>
      </c>
      <c r="D683" t="n">
        <v>8.08</v>
      </c>
      <c r="E683">
        <f>MEDIAN(D663:D703)</f>
        <v/>
      </c>
      <c r="F683">
        <f>E663</f>
        <v/>
      </c>
      <c r="G683">
        <f>F683-E683</f>
        <v/>
      </c>
      <c r="H683">
        <f>IF(OR(NOT(ISNUMBER(D683)),ABS(D683-E683)&gt;$O$3,AND($O$11=1,B683&lt;$O$12)),1,0)</f>
        <v/>
      </c>
      <c r="I683">
        <f>IF(H683=1,NA(),D683)</f>
        <v/>
      </c>
      <c r="J683">
        <f>IF(AND(ISNUMBER(D683),D683&gt;=$O$4,OR($O$11=0,B683&gt;=$O$12)),1,0)</f>
        <v/>
      </c>
      <c r="K683">
        <f>B683-$O$14</f>
        <v/>
      </c>
    </row>
    <row r="684">
      <c r="A684" t="n">
        <v>2046</v>
      </c>
      <c r="B684" t="n">
        <v>68.2</v>
      </c>
      <c r="C684" t="inlineStr">
        <is>
          <t>808</t>
        </is>
      </c>
      <c r="D684" t="n">
        <v>8.08</v>
      </c>
      <c r="E684">
        <f>MEDIAN(D664:D704)</f>
        <v/>
      </c>
      <c r="F684">
        <f>E664</f>
        <v/>
      </c>
      <c r="G684">
        <f>F684-E684</f>
        <v/>
      </c>
      <c r="H684">
        <f>IF(OR(NOT(ISNUMBER(D684)),ABS(D684-E684)&gt;$O$3,AND($O$11=1,B684&lt;$O$12)),1,0)</f>
        <v/>
      </c>
      <c r="I684">
        <f>IF(H684=1,NA(),D684)</f>
        <v/>
      </c>
      <c r="J684">
        <f>IF(AND(ISNUMBER(D684),D684&gt;=$O$4,OR($O$11=0,B684&gt;=$O$12)),1,0)</f>
        <v/>
      </c>
      <c r="K684">
        <f>B684-$O$14</f>
        <v/>
      </c>
    </row>
    <row r="685">
      <c r="A685" t="n">
        <v>2049</v>
      </c>
      <c r="B685" t="n">
        <v>68.3</v>
      </c>
      <c r="C685" t="inlineStr">
        <is>
          <t>808</t>
        </is>
      </c>
      <c r="D685" t="n">
        <v>8.08</v>
      </c>
      <c r="E685">
        <f>MEDIAN(D665:D705)</f>
        <v/>
      </c>
      <c r="F685">
        <f>E665</f>
        <v/>
      </c>
      <c r="G685">
        <f>F685-E685</f>
        <v/>
      </c>
      <c r="H685">
        <f>IF(OR(NOT(ISNUMBER(D685)),ABS(D685-E685)&gt;$O$3,AND($O$11=1,B685&lt;$O$12)),1,0)</f>
        <v/>
      </c>
      <c r="I685">
        <f>IF(H685=1,NA(),D685)</f>
        <v/>
      </c>
      <c r="J685">
        <f>IF(AND(ISNUMBER(D685),D685&gt;=$O$4,OR($O$11=0,B685&gt;=$O$12)),1,0)</f>
        <v/>
      </c>
      <c r="K685">
        <f>B685-$O$14</f>
        <v/>
      </c>
    </row>
    <row r="686">
      <c r="A686" t="n">
        <v>2052</v>
      </c>
      <c r="B686" t="n">
        <v>68.40000000000001</v>
      </c>
      <c r="C686" t="inlineStr">
        <is>
          <t>808</t>
        </is>
      </c>
      <c r="D686" t="n">
        <v>8.08</v>
      </c>
      <c r="E686">
        <f>MEDIAN(D666:D706)</f>
        <v/>
      </c>
      <c r="F686">
        <f>E666</f>
        <v/>
      </c>
      <c r="G686">
        <f>F686-E686</f>
        <v/>
      </c>
      <c r="H686">
        <f>IF(OR(NOT(ISNUMBER(D686)),ABS(D686-E686)&gt;$O$3,AND($O$11=1,B686&lt;$O$12)),1,0)</f>
        <v/>
      </c>
      <c r="I686">
        <f>IF(H686=1,NA(),D686)</f>
        <v/>
      </c>
      <c r="J686">
        <f>IF(AND(ISNUMBER(D686),D686&gt;=$O$4,OR($O$11=0,B686&gt;=$O$12)),1,0)</f>
        <v/>
      </c>
      <c r="K686">
        <f>B686-$O$14</f>
        <v/>
      </c>
    </row>
    <row r="687">
      <c r="A687" t="n">
        <v>2055</v>
      </c>
      <c r="B687" t="n">
        <v>68.5</v>
      </c>
      <c r="C687" t="inlineStr">
        <is>
          <t>808</t>
        </is>
      </c>
      <c r="D687" t="n">
        <v>8.08</v>
      </c>
      <c r="E687">
        <f>MEDIAN(D667:D707)</f>
        <v/>
      </c>
      <c r="F687">
        <f>E667</f>
        <v/>
      </c>
      <c r="G687">
        <f>F687-E687</f>
        <v/>
      </c>
      <c r="H687">
        <f>IF(OR(NOT(ISNUMBER(D687)),ABS(D687-E687)&gt;$O$3,AND($O$11=1,B687&lt;$O$12)),1,0)</f>
        <v/>
      </c>
      <c r="I687">
        <f>IF(H687=1,NA(),D687)</f>
        <v/>
      </c>
      <c r="J687">
        <f>IF(AND(ISNUMBER(D687),D687&gt;=$O$4,OR($O$11=0,B687&gt;=$O$12)),1,0)</f>
        <v/>
      </c>
      <c r="K687">
        <f>B687-$O$14</f>
        <v/>
      </c>
    </row>
    <row r="688">
      <c r="A688" t="n">
        <v>2058</v>
      </c>
      <c r="B688" t="n">
        <v>68.59999999999999</v>
      </c>
      <c r="C688" t="inlineStr">
        <is>
          <t>808</t>
        </is>
      </c>
      <c r="D688" t="n">
        <v>8.08</v>
      </c>
      <c r="E688">
        <f>MEDIAN(D668:D708)</f>
        <v/>
      </c>
      <c r="F688">
        <f>E668</f>
        <v/>
      </c>
      <c r="G688">
        <f>F688-E688</f>
        <v/>
      </c>
      <c r="H688">
        <f>IF(OR(NOT(ISNUMBER(D688)),ABS(D688-E688)&gt;$O$3,AND($O$11=1,B688&lt;$O$12)),1,0)</f>
        <v/>
      </c>
      <c r="I688">
        <f>IF(H688=1,NA(),D688)</f>
        <v/>
      </c>
      <c r="J688">
        <f>IF(AND(ISNUMBER(D688),D688&gt;=$O$4,OR($O$11=0,B688&gt;=$O$12)),1,0)</f>
        <v/>
      </c>
      <c r="K688">
        <f>B688-$O$14</f>
        <v/>
      </c>
    </row>
    <row r="689">
      <c r="A689" t="n">
        <v>2061</v>
      </c>
      <c r="B689" t="n">
        <v>68.7</v>
      </c>
      <c r="C689" t="inlineStr">
        <is>
          <t>808</t>
        </is>
      </c>
      <c r="D689" t="n">
        <v>8.08</v>
      </c>
      <c r="E689">
        <f>MEDIAN(D669:D709)</f>
        <v/>
      </c>
      <c r="F689">
        <f>E669</f>
        <v/>
      </c>
      <c r="G689">
        <f>F689-E689</f>
        <v/>
      </c>
      <c r="H689">
        <f>IF(OR(NOT(ISNUMBER(D689)),ABS(D689-E689)&gt;$O$3,AND($O$11=1,B689&lt;$O$12)),1,0)</f>
        <v/>
      </c>
      <c r="I689">
        <f>IF(H689=1,NA(),D689)</f>
        <v/>
      </c>
      <c r="J689">
        <f>IF(AND(ISNUMBER(D689),D689&gt;=$O$4,OR($O$11=0,B689&gt;=$O$12)),1,0)</f>
        <v/>
      </c>
      <c r="K689">
        <f>B689-$O$14</f>
        <v/>
      </c>
    </row>
    <row r="690">
      <c r="A690" t="n">
        <v>2064</v>
      </c>
      <c r="B690" t="n">
        <v>68.8</v>
      </c>
      <c r="C690" t="inlineStr">
        <is>
          <t>808</t>
        </is>
      </c>
      <c r="D690" t="n">
        <v>8.08</v>
      </c>
      <c r="E690">
        <f>MEDIAN(D670:D710)</f>
        <v/>
      </c>
      <c r="F690">
        <f>E670</f>
        <v/>
      </c>
      <c r="G690">
        <f>F690-E690</f>
        <v/>
      </c>
      <c r="H690">
        <f>IF(OR(NOT(ISNUMBER(D690)),ABS(D690-E690)&gt;$O$3,AND($O$11=1,B690&lt;$O$12)),1,0)</f>
        <v/>
      </c>
      <c r="I690">
        <f>IF(H690=1,NA(),D690)</f>
        <v/>
      </c>
      <c r="J690">
        <f>IF(AND(ISNUMBER(D690),D690&gt;=$O$4,OR($O$11=0,B690&gt;=$O$12)),1,0)</f>
        <v/>
      </c>
      <c r="K690">
        <f>B690-$O$14</f>
        <v/>
      </c>
    </row>
    <row r="691">
      <c r="A691" t="n">
        <v>2067</v>
      </c>
      <c r="B691" t="n">
        <v>68.90000000000001</v>
      </c>
      <c r="C691" t="inlineStr">
        <is>
          <t>808</t>
        </is>
      </c>
      <c r="D691" t="n">
        <v>8.08</v>
      </c>
      <c r="E691">
        <f>MEDIAN(D671:D711)</f>
        <v/>
      </c>
      <c r="F691">
        <f>E671</f>
        <v/>
      </c>
      <c r="G691">
        <f>F691-E691</f>
        <v/>
      </c>
      <c r="H691">
        <f>IF(OR(NOT(ISNUMBER(D691)),ABS(D691-E691)&gt;$O$3,AND($O$11=1,B691&lt;$O$12)),1,0)</f>
        <v/>
      </c>
      <c r="I691">
        <f>IF(H691=1,NA(),D691)</f>
        <v/>
      </c>
      <c r="J691">
        <f>IF(AND(ISNUMBER(D691),D691&gt;=$O$4,OR($O$11=0,B691&gt;=$O$12)),1,0)</f>
        <v/>
      </c>
      <c r="K691">
        <f>B691-$O$14</f>
        <v/>
      </c>
    </row>
    <row r="692">
      <c r="A692" t="n">
        <v>2070</v>
      </c>
      <c r="B692" t="n">
        <v>69</v>
      </c>
      <c r="C692" t="inlineStr">
        <is>
          <t>808</t>
        </is>
      </c>
      <c r="D692" t="n">
        <v>8.08</v>
      </c>
      <c r="E692">
        <f>MEDIAN(D672:D712)</f>
        <v/>
      </c>
      <c r="F692">
        <f>E672</f>
        <v/>
      </c>
      <c r="G692">
        <f>F692-E692</f>
        <v/>
      </c>
      <c r="H692">
        <f>IF(OR(NOT(ISNUMBER(D692)),ABS(D692-E692)&gt;$O$3,AND($O$11=1,B692&lt;$O$12)),1,0)</f>
        <v/>
      </c>
      <c r="I692">
        <f>IF(H692=1,NA(),D692)</f>
        <v/>
      </c>
      <c r="J692">
        <f>IF(AND(ISNUMBER(D692),D692&gt;=$O$4,OR($O$11=0,B692&gt;=$O$12)),1,0)</f>
        <v/>
      </c>
      <c r="K692">
        <f>B692-$O$14</f>
        <v/>
      </c>
    </row>
    <row r="693">
      <c r="A693" t="n">
        <v>2073</v>
      </c>
      <c r="B693" t="n">
        <v>69.09999999999999</v>
      </c>
      <c r="C693" t="inlineStr">
        <is>
          <t>809</t>
        </is>
      </c>
      <c r="D693" t="n">
        <v>8.09</v>
      </c>
      <c r="E693">
        <f>MEDIAN(D673:D713)</f>
        <v/>
      </c>
      <c r="F693">
        <f>E673</f>
        <v/>
      </c>
      <c r="G693">
        <f>F693-E693</f>
        <v/>
      </c>
      <c r="H693">
        <f>IF(OR(NOT(ISNUMBER(D693)),ABS(D693-E693)&gt;$O$3,AND($O$11=1,B693&lt;$O$12)),1,0)</f>
        <v/>
      </c>
      <c r="I693">
        <f>IF(H693=1,NA(),D693)</f>
        <v/>
      </c>
      <c r="J693">
        <f>IF(AND(ISNUMBER(D693),D693&gt;=$O$4,OR($O$11=0,B693&gt;=$O$12)),1,0)</f>
        <v/>
      </c>
      <c r="K693">
        <f>B693-$O$14</f>
        <v/>
      </c>
    </row>
    <row r="694">
      <c r="A694" t="n">
        <v>2076</v>
      </c>
      <c r="B694" t="n">
        <v>69.2</v>
      </c>
      <c r="C694" t="inlineStr">
        <is>
          <t>809</t>
        </is>
      </c>
      <c r="D694" t="n">
        <v>8.09</v>
      </c>
      <c r="E694">
        <f>MEDIAN(D674:D714)</f>
        <v/>
      </c>
      <c r="F694">
        <f>E674</f>
        <v/>
      </c>
      <c r="G694">
        <f>F694-E694</f>
        <v/>
      </c>
      <c r="H694">
        <f>IF(OR(NOT(ISNUMBER(D694)),ABS(D694-E694)&gt;$O$3,AND($O$11=1,B694&lt;$O$12)),1,0)</f>
        <v/>
      </c>
      <c r="I694">
        <f>IF(H694=1,NA(),D694)</f>
        <v/>
      </c>
      <c r="J694">
        <f>IF(AND(ISNUMBER(D694),D694&gt;=$O$4,OR($O$11=0,B694&gt;=$O$12)),1,0)</f>
        <v/>
      </c>
      <c r="K694">
        <f>B694-$O$14</f>
        <v/>
      </c>
    </row>
    <row r="695">
      <c r="A695" t="n">
        <v>2079</v>
      </c>
      <c r="B695" t="n">
        <v>69.3</v>
      </c>
      <c r="C695" t="inlineStr">
        <is>
          <t>808</t>
        </is>
      </c>
      <c r="D695" t="n">
        <v>8.08</v>
      </c>
      <c r="E695">
        <f>MEDIAN(D675:D715)</f>
        <v/>
      </c>
      <c r="F695">
        <f>E675</f>
        <v/>
      </c>
      <c r="G695">
        <f>F695-E695</f>
        <v/>
      </c>
      <c r="H695">
        <f>IF(OR(NOT(ISNUMBER(D695)),ABS(D695-E695)&gt;$O$3,AND($O$11=1,B695&lt;$O$12)),1,0)</f>
        <v/>
      </c>
      <c r="I695">
        <f>IF(H695=1,NA(),D695)</f>
        <v/>
      </c>
      <c r="J695">
        <f>IF(AND(ISNUMBER(D695),D695&gt;=$O$4,OR($O$11=0,B695&gt;=$O$12)),1,0)</f>
        <v/>
      </c>
      <c r="K695">
        <f>B695-$O$14</f>
        <v/>
      </c>
    </row>
    <row r="696">
      <c r="A696" t="n">
        <v>2082</v>
      </c>
      <c r="B696" t="n">
        <v>69.40000000000001</v>
      </c>
      <c r="C696" t="inlineStr">
        <is>
          <t>810</t>
        </is>
      </c>
      <c r="D696" t="n">
        <v>8.1</v>
      </c>
      <c r="E696">
        <f>MEDIAN(D676:D716)</f>
        <v/>
      </c>
      <c r="F696">
        <f>E676</f>
        <v/>
      </c>
      <c r="G696">
        <f>F696-E696</f>
        <v/>
      </c>
      <c r="H696">
        <f>IF(OR(NOT(ISNUMBER(D696)),ABS(D696-E696)&gt;$O$3,AND($O$11=1,B696&lt;$O$12)),1,0)</f>
        <v/>
      </c>
      <c r="I696">
        <f>IF(H696=1,NA(),D696)</f>
        <v/>
      </c>
      <c r="J696">
        <f>IF(AND(ISNUMBER(D696),D696&gt;=$O$4,OR($O$11=0,B696&gt;=$O$12)),1,0)</f>
        <v/>
      </c>
      <c r="K696">
        <f>B696-$O$14</f>
        <v/>
      </c>
    </row>
    <row r="697">
      <c r="A697" t="n">
        <v>2085</v>
      </c>
      <c r="B697" t="n">
        <v>69.5</v>
      </c>
      <c r="C697" t="inlineStr">
        <is>
          <t>810</t>
        </is>
      </c>
      <c r="D697" t="n">
        <v>8.1</v>
      </c>
      <c r="E697">
        <f>MEDIAN(D677:D717)</f>
        <v/>
      </c>
      <c r="F697">
        <f>E677</f>
        <v/>
      </c>
      <c r="G697">
        <f>F697-E697</f>
        <v/>
      </c>
      <c r="H697">
        <f>IF(OR(NOT(ISNUMBER(D697)),ABS(D697-E697)&gt;$O$3,AND($O$11=1,B697&lt;$O$12)),1,0)</f>
        <v/>
      </c>
      <c r="I697">
        <f>IF(H697=1,NA(),D697)</f>
        <v/>
      </c>
      <c r="J697">
        <f>IF(AND(ISNUMBER(D697),D697&gt;=$O$4,OR($O$11=0,B697&gt;=$O$12)),1,0)</f>
        <v/>
      </c>
      <c r="K697">
        <f>B697-$O$14</f>
        <v/>
      </c>
    </row>
    <row r="698">
      <c r="A698" t="n">
        <v>2088</v>
      </c>
      <c r="B698" t="n">
        <v>69.59999999999999</v>
      </c>
      <c r="C698" t="inlineStr">
        <is>
          <t>810</t>
        </is>
      </c>
      <c r="D698" t="n">
        <v>8.1</v>
      </c>
      <c r="E698">
        <f>MEDIAN(D678:D718)</f>
        <v/>
      </c>
      <c r="F698">
        <f>E678</f>
        <v/>
      </c>
      <c r="G698">
        <f>F698-E698</f>
        <v/>
      </c>
      <c r="H698">
        <f>IF(OR(NOT(ISNUMBER(D698)),ABS(D698-E698)&gt;$O$3,AND($O$11=1,B698&lt;$O$12)),1,0)</f>
        <v/>
      </c>
      <c r="I698">
        <f>IF(H698=1,NA(),D698)</f>
        <v/>
      </c>
      <c r="J698">
        <f>IF(AND(ISNUMBER(D698),D698&gt;=$O$4,OR($O$11=0,B698&gt;=$O$12)),1,0)</f>
        <v/>
      </c>
      <c r="K698">
        <f>B698-$O$14</f>
        <v/>
      </c>
    </row>
    <row r="699">
      <c r="A699" t="n">
        <v>2091</v>
      </c>
      <c r="B699" t="n">
        <v>69.7</v>
      </c>
      <c r="C699" t="inlineStr">
        <is>
          <t>811</t>
        </is>
      </c>
      <c r="D699" t="n">
        <v>8.109999999999999</v>
      </c>
      <c r="E699">
        <f>MEDIAN(D679:D719)</f>
        <v/>
      </c>
      <c r="F699">
        <f>E679</f>
        <v/>
      </c>
      <c r="G699">
        <f>F699-E699</f>
        <v/>
      </c>
      <c r="H699">
        <f>IF(OR(NOT(ISNUMBER(D699)),ABS(D699-E699)&gt;$O$3,AND($O$11=1,B699&lt;$O$12)),1,0)</f>
        <v/>
      </c>
      <c r="I699">
        <f>IF(H699=1,NA(),D699)</f>
        <v/>
      </c>
      <c r="J699">
        <f>IF(AND(ISNUMBER(D699),D699&gt;=$O$4,OR($O$11=0,B699&gt;=$O$12)),1,0)</f>
        <v/>
      </c>
      <c r="K699">
        <f>B699-$O$14</f>
        <v/>
      </c>
    </row>
    <row r="700">
      <c r="A700" t="n">
        <v>2094</v>
      </c>
      <c r="B700" t="n">
        <v>69.8</v>
      </c>
      <c r="C700" t="inlineStr">
        <is>
          <t>811</t>
        </is>
      </c>
      <c r="D700" t="n">
        <v>8.109999999999999</v>
      </c>
      <c r="E700">
        <f>MEDIAN(D680:D720)</f>
        <v/>
      </c>
      <c r="F700">
        <f>E680</f>
        <v/>
      </c>
      <c r="G700">
        <f>F700-E700</f>
        <v/>
      </c>
      <c r="H700">
        <f>IF(OR(NOT(ISNUMBER(D700)),ABS(D700-E700)&gt;$O$3,AND($O$11=1,B700&lt;$O$12)),1,0)</f>
        <v/>
      </c>
      <c r="I700">
        <f>IF(H700=1,NA(),D700)</f>
        <v/>
      </c>
      <c r="J700">
        <f>IF(AND(ISNUMBER(D700),D700&gt;=$O$4,OR($O$11=0,B700&gt;=$O$12)),1,0)</f>
        <v/>
      </c>
      <c r="K700">
        <f>B700-$O$14</f>
        <v/>
      </c>
    </row>
    <row r="701">
      <c r="A701" t="n">
        <v>2097</v>
      </c>
      <c r="B701" t="n">
        <v>69.90000000000001</v>
      </c>
      <c r="C701" t="inlineStr">
        <is>
          <t>811</t>
        </is>
      </c>
      <c r="D701" t="n">
        <v>8.109999999999999</v>
      </c>
      <c r="E701">
        <f>MEDIAN(D681:D721)</f>
        <v/>
      </c>
      <c r="F701">
        <f>E681</f>
        <v/>
      </c>
      <c r="G701">
        <f>F701-E701</f>
        <v/>
      </c>
      <c r="H701">
        <f>IF(OR(NOT(ISNUMBER(D701)),ABS(D701-E701)&gt;$O$3,AND($O$11=1,B701&lt;$O$12)),1,0)</f>
        <v/>
      </c>
      <c r="I701">
        <f>IF(H701=1,NA(),D701)</f>
        <v/>
      </c>
      <c r="J701">
        <f>IF(AND(ISNUMBER(D701),D701&gt;=$O$4,OR($O$11=0,B701&gt;=$O$12)),1,0)</f>
        <v/>
      </c>
      <c r="K701">
        <f>B701-$O$14</f>
        <v/>
      </c>
    </row>
    <row r="702">
      <c r="A702" t="n">
        <v>2100</v>
      </c>
      <c r="B702" t="n">
        <v>70</v>
      </c>
      <c r="C702" t="inlineStr">
        <is>
          <t>811</t>
        </is>
      </c>
      <c r="D702" t="n">
        <v>8.109999999999999</v>
      </c>
      <c r="E702">
        <f>MEDIAN(D682:D722)</f>
        <v/>
      </c>
      <c r="F702">
        <f>E682</f>
        <v/>
      </c>
      <c r="G702">
        <f>F702-E702</f>
        <v/>
      </c>
      <c r="H702">
        <f>IF(OR(NOT(ISNUMBER(D702)),ABS(D702-E702)&gt;$O$3,AND($O$11=1,B702&lt;$O$12)),1,0)</f>
        <v/>
      </c>
      <c r="I702">
        <f>IF(H702=1,NA(),D702)</f>
        <v/>
      </c>
      <c r="J702">
        <f>IF(AND(ISNUMBER(D702),D702&gt;=$O$4,OR($O$11=0,B702&gt;=$O$12)),1,0)</f>
        <v/>
      </c>
      <c r="K702">
        <f>B702-$O$14</f>
        <v/>
      </c>
    </row>
    <row r="703">
      <c r="A703" t="n">
        <v>2103</v>
      </c>
      <c r="B703" t="n">
        <v>70.09999999999999</v>
      </c>
      <c r="C703" t="inlineStr">
        <is>
          <t>81?</t>
        </is>
      </c>
      <c r="E703">
        <f>MEDIAN(D683:D723)</f>
        <v/>
      </c>
      <c r="F703">
        <f>E683</f>
        <v/>
      </c>
      <c r="G703">
        <f>F703-E703</f>
        <v/>
      </c>
      <c r="H703">
        <f>IF(OR(NOT(ISNUMBER(D703)),ABS(D703-E703)&gt;$O$3,AND($O$11=1,B703&lt;$O$12)),1,0)</f>
        <v/>
      </c>
      <c r="I703">
        <f>IF(H703=1,NA(),D703)</f>
        <v/>
      </c>
      <c r="J703">
        <f>IF(AND(ISNUMBER(D703),D703&gt;=$O$4,OR($O$11=0,B703&gt;=$O$12)),1,0)</f>
        <v/>
      </c>
      <c r="K703">
        <f>B703-$O$14</f>
        <v/>
      </c>
    </row>
    <row r="704">
      <c r="A704" t="n">
        <v>2106</v>
      </c>
      <c r="B704" t="n">
        <v>70.2</v>
      </c>
      <c r="C704" t="inlineStr">
        <is>
          <t>812</t>
        </is>
      </c>
      <c r="D704" t="n">
        <v>8.119999999999999</v>
      </c>
      <c r="E704">
        <f>MEDIAN(D684:D724)</f>
        <v/>
      </c>
      <c r="F704">
        <f>E684</f>
        <v/>
      </c>
      <c r="G704">
        <f>F704-E704</f>
        <v/>
      </c>
      <c r="H704">
        <f>IF(OR(NOT(ISNUMBER(D704)),ABS(D704-E704)&gt;$O$3,AND($O$11=1,B704&lt;$O$12)),1,0)</f>
        <v/>
      </c>
      <c r="I704">
        <f>IF(H704=1,NA(),D704)</f>
        <v/>
      </c>
      <c r="J704">
        <f>IF(AND(ISNUMBER(D704),D704&gt;=$O$4,OR($O$11=0,B704&gt;=$O$12)),1,0)</f>
        <v/>
      </c>
      <c r="K704">
        <f>B704-$O$14</f>
        <v/>
      </c>
    </row>
    <row r="705">
      <c r="A705" t="n">
        <v>2109</v>
      </c>
      <c r="B705" t="n">
        <v>70.3</v>
      </c>
      <c r="C705" t="inlineStr">
        <is>
          <t>812</t>
        </is>
      </c>
      <c r="D705" t="n">
        <v>8.119999999999999</v>
      </c>
      <c r="E705">
        <f>MEDIAN(D685:D725)</f>
        <v/>
      </c>
      <c r="F705">
        <f>E685</f>
        <v/>
      </c>
      <c r="G705">
        <f>F705-E705</f>
        <v/>
      </c>
      <c r="H705">
        <f>IF(OR(NOT(ISNUMBER(D705)),ABS(D705-E705)&gt;$O$3,AND($O$11=1,B705&lt;$O$12)),1,0)</f>
        <v/>
      </c>
      <c r="I705">
        <f>IF(H705=1,NA(),D705)</f>
        <v/>
      </c>
      <c r="J705">
        <f>IF(AND(ISNUMBER(D705),D705&gt;=$O$4,OR($O$11=0,B705&gt;=$O$12)),1,0)</f>
        <v/>
      </c>
      <c r="K705">
        <f>B705-$O$14</f>
        <v/>
      </c>
    </row>
    <row r="706">
      <c r="A706" t="n">
        <v>2112</v>
      </c>
      <c r="B706" t="n">
        <v>70.40000000000001</v>
      </c>
      <c r="C706" t="inlineStr">
        <is>
          <t>811</t>
        </is>
      </c>
      <c r="D706" t="n">
        <v>8.109999999999999</v>
      </c>
      <c r="E706">
        <f>MEDIAN(D686:D726)</f>
        <v/>
      </c>
      <c r="F706">
        <f>E686</f>
        <v/>
      </c>
      <c r="G706">
        <f>F706-E706</f>
        <v/>
      </c>
      <c r="H706">
        <f>IF(OR(NOT(ISNUMBER(D706)),ABS(D706-E706)&gt;$O$3,AND($O$11=1,B706&lt;$O$12)),1,0)</f>
        <v/>
      </c>
      <c r="I706">
        <f>IF(H706=1,NA(),D706)</f>
        <v/>
      </c>
      <c r="J706">
        <f>IF(AND(ISNUMBER(D706),D706&gt;=$O$4,OR($O$11=0,B706&gt;=$O$12)),1,0)</f>
        <v/>
      </c>
      <c r="K706">
        <f>B706-$O$14</f>
        <v/>
      </c>
    </row>
    <row r="707">
      <c r="A707" t="n">
        <v>2115</v>
      </c>
      <c r="B707" t="n">
        <v>70.5</v>
      </c>
      <c r="C707" t="inlineStr">
        <is>
          <t>811</t>
        </is>
      </c>
      <c r="D707" t="n">
        <v>8.109999999999999</v>
      </c>
      <c r="E707">
        <f>MEDIAN(D687:D727)</f>
        <v/>
      </c>
      <c r="F707">
        <f>E687</f>
        <v/>
      </c>
      <c r="G707">
        <f>F707-E707</f>
        <v/>
      </c>
      <c r="H707">
        <f>IF(OR(NOT(ISNUMBER(D707)),ABS(D707-E707)&gt;$O$3,AND($O$11=1,B707&lt;$O$12)),1,0)</f>
        <v/>
      </c>
      <c r="I707">
        <f>IF(H707=1,NA(),D707)</f>
        <v/>
      </c>
      <c r="J707">
        <f>IF(AND(ISNUMBER(D707),D707&gt;=$O$4,OR($O$11=0,B707&gt;=$O$12)),1,0)</f>
        <v/>
      </c>
      <c r="K707">
        <f>B707-$O$14</f>
        <v/>
      </c>
    </row>
    <row r="708">
      <c r="A708" t="n">
        <v>2118</v>
      </c>
      <c r="B708" t="n">
        <v>70.59999999999999</v>
      </c>
      <c r="C708" t="inlineStr">
        <is>
          <t>811</t>
        </is>
      </c>
      <c r="D708" t="n">
        <v>8.109999999999999</v>
      </c>
      <c r="E708">
        <f>MEDIAN(D688:D728)</f>
        <v/>
      </c>
      <c r="F708">
        <f>E688</f>
        <v/>
      </c>
      <c r="G708">
        <f>F708-E708</f>
        <v/>
      </c>
      <c r="H708">
        <f>IF(OR(NOT(ISNUMBER(D708)),ABS(D708-E708)&gt;$O$3,AND($O$11=1,B708&lt;$O$12)),1,0)</f>
        <v/>
      </c>
      <c r="I708">
        <f>IF(H708=1,NA(),D708)</f>
        <v/>
      </c>
      <c r="J708">
        <f>IF(AND(ISNUMBER(D708),D708&gt;=$O$4,OR($O$11=0,B708&gt;=$O$12)),1,0)</f>
        <v/>
      </c>
      <c r="K708">
        <f>B708-$O$14</f>
        <v/>
      </c>
    </row>
    <row r="709">
      <c r="A709" t="n">
        <v>2121</v>
      </c>
      <c r="B709" t="n">
        <v>70.7</v>
      </c>
      <c r="C709" t="inlineStr">
        <is>
          <t>812</t>
        </is>
      </c>
      <c r="D709" t="n">
        <v>8.119999999999999</v>
      </c>
      <c r="E709">
        <f>MEDIAN(D689:D729)</f>
        <v/>
      </c>
      <c r="F709">
        <f>E689</f>
        <v/>
      </c>
      <c r="G709">
        <f>F709-E709</f>
        <v/>
      </c>
      <c r="H709">
        <f>IF(OR(NOT(ISNUMBER(D709)),ABS(D709-E709)&gt;$O$3,AND($O$11=1,B709&lt;$O$12)),1,0)</f>
        <v/>
      </c>
      <c r="I709">
        <f>IF(H709=1,NA(),D709)</f>
        <v/>
      </c>
      <c r="J709">
        <f>IF(AND(ISNUMBER(D709),D709&gt;=$O$4,OR($O$11=0,B709&gt;=$O$12)),1,0)</f>
        <v/>
      </c>
      <c r="K709">
        <f>B709-$O$14</f>
        <v/>
      </c>
    </row>
    <row r="710">
      <c r="A710" t="n">
        <v>2124</v>
      </c>
      <c r="B710" t="n">
        <v>70.8</v>
      </c>
      <c r="C710" t="inlineStr">
        <is>
          <t>812</t>
        </is>
      </c>
      <c r="D710" t="n">
        <v>8.119999999999999</v>
      </c>
      <c r="E710">
        <f>MEDIAN(D690:D730)</f>
        <v/>
      </c>
      <c r="F710">
        <f>E690</f>
        <v/>
      </c>
      <c r="G710">
        <f>F710-E710</f>
        <v/>
      </c>
      <c r="H710">
        <f>IF(OR(NOT(ISNUMBER(D710)),ABS(D710-E710)&gt;$O$3,AND($O$11=1,B710&lt;$O$12)),1,0)</f>
        <v/>
      </c>
      <c r="I710">
        <f>IF(H710=1,NA(),D710)</f>
        <v/>
      </c>
      <c r="J710">
        <f>IF(AND(ISNUMBER(D710),D710&gt;=$O$4,OR($O$11=0,B710&gt;=$O$12)),1,0)</f>
        <v/>
      </c>
      <c r="K710">
        <f>B710-$O$14</f>
        <v/>
      </c>
    </row>
    <row r="711">
      <c r="A711" t="n">
        <v>2127</v>
      </c>
      <c r="B711" t="n">
        <v>70.90000000000001</v>
      </c>
      <c r="C711" t="inlineStr">
        <is>
          <t>812</t>
        </is>
      </c>
      <c r="D711" t="n">
        <v>8.119999999999999</v>
      </c>
      <c r="E711">
        <f>MEDIAN(D691:D731)</f>
        <v/>
      </c>
      <c r="F711">
        <f>E691</f>
        <v/>
      </c>
      <c r="G711">
        <f>F711-E711</f>
        <v/>
      </c>
      <c r="H711">
        <f>IF(OR(NOT(ISNUMBER(D711)),ABS(D711-E711)&gt;$O$3,AND($O$11=1,B711&lt;$O$12)),1,0)</f>
        <v/>
      </c>
      <c r="I711">
        <f>IF(H711=1,NA(),D711)</f>
        <v/>
      </c>
      <c r="J711">
        <f>IF(AND(ISNUMBER(D711),D711&gt;=$O$4,OR($O$11=0,B711&gt;=$O$12)),1,0)</f>
        <v/>
      </c>
      <c r="K711">
        <f>B711-$O$14</f>
        <v/>
      </c>
    </row>
    <row r="712">
      <c r="A712" t="n">
        <v>2130</v>
      </c>
      <c r="B712" t="n">
        <v>71</v>
      </c>
      <c r="C712" t="inlineStr">
        <is>
          <t>812</t>
        </is>
      </c>
      <c r="D712" t="n">
        <v>8.119999999999999</v>
      </c>
      <c r="E712">
        <f>MEDIAN(D692:D732)</f>
        <v/>
      </c>
      <c r="F712">
        <f>E692</f>
        <v/>
      </c>
      <c r="G712">
        <f>F712-E712</f>
        <v/>
      </c>
      <c r="H712">
        <f>IF(OR(NOT(ISNUMBER(D712)),ABS(D712-E712)&gt;$O$3,AND($O$11=1,B712&lt;$O$12)),1,0)</f>
        <v/>
      </c>
      <c r="I712">
        <f>IF(H712=1,NA(),D712)</f>
        <v/>
      </c>
      <c r="J712">
        <f>IF(AND(ISNUMBER(D712),D712&gt;=$O$4,OR($O$11=0,B712&gt;=$O$12)),1,0)</f>
        <v/>
      </c>
      <c r="K712">
        <f>B712-$O$14</f>
        <v/>
      </c>
    </row>
    <row r="713">
      <c r="A713" t="n">
        <v>2133</v>
      </c>
      <c r="B713" t="n">
        <v>71.09999999999999</v>
      </c>
      <c r="C713" t="inlineStr">
        <is>
          <t>812</t>
        </is>
      </c>
      <c r="D713" t="n">
        <v>8.119999999999999</v>
      </c>
      <c r="E713">
        <f>MEDIAN(D693:D733)</f>
        <v/>
      </c>
      <c r="F713">
        <f>E693</f>
        <v/>
      </c>
      <c r="G713">
        <f>F713-E713</f>
        <v/>
      </c>
      <c r="H713">
        <f>IF(OR(NOT(ISNUMBER(D713)),ABS(D713-E713)&gt;$O$3,AND($O$11=1,B713&lt;$O$12)),1,0)</f>
        <v/>
      </c>
      <c r="I713">
        <f>IF(H713=1,NA(),D713)</f>
        <v/>
      </c>
      <c r="J713">
        <f>IF(AND(ISNUMBER(D713),D713&gt;=$O$4,OR($O$11=0,B713&gt;=$O$12)),1,0)</f>
        <v/>
      </c>
      <c r="K713">
        <f>B713-$O$14</f>
        <v/>
      </c>
    </row>
    <row r="714">
      <c r="A714" t="n">
        <v>2136</v>
      </c>
      <c r="B714" t="n">
        <v>71.2</v>
      </c>
      <c r="C714" t="inlineStr">
        <is>
          <t>812</t>
        </is>
      </c>
      <c r="D714" t="n">
        <v>8.119999999999999</v>
      </c>
      <c r="E714">
        <f>MEDIAN(D694:D734)</f>
        <v/>
      </c>
      <c r="F714">
        <f>E694</f>
        <v/>
      </c>
      <c r="G714">
        <f>F714-E714</f>
        <v/>
      </c>
      <c r="H714">
        <f>IF(OR(NOT(ISNUMBER(D714)),ABS(D714-E714)&gt;$O$3,AND($O$11=1,B714&lt;$O$12)),1,0)</f>
        <v/>
      </c>
      <c r="I714">
        <f>IF(H714=1,NA(),D714)</f>
        <v/>
      </c>
      <c r="J714">
        <f>IF(AND(ISNUMBER(D714),D714&gt;=$O$4,OR($O$11=0,B714&gt;=$O$12)),1,0)</f>
        <v/>
      </c>
      <c r="K714">
        <f>B714-$O$14</f>
        <v/>
      </c>
    </row>
    <row r="715">
      <c r="A715" t="n">
        <v>2139</v>
      </c>
      <c r="B715" t="n">
        <v>71.3</v>
      </c>
      <c r="C715" t="inlineStr">
        <is>
          <t>812</t>
        </is>
      </c>
      <c r="D715" t="n">
        <v>8.119999999999999</v>
      </c>
      <c r="E715">
        <f>MEDIAN(D695:D735)</f>
        <v/>
      </c>
      <c r="F715">
        <f>E695</f>
        <v/>
      </c>
      <c r="G715">
        <f>F715-E715</f>
        <v/>
      </c>
      <c r="H715">
        <f>IF(OR(NOT(ISNUMBER(D715)),ABS(D715-E715)&gt;$O$3,AND($O$11=1,B715&lt;$O$12)),1,0)</f>
        <v/>
      </c>
      <c r="I715">
        <f>IF(H715=1,NA(),D715)</f>
        <v/>
      </c>
      <c r="J715">
        <f>IF(AND(ISNUMBER(D715),D715&gt;=$O$4,OR($O$11=0,B715&gt;=$O$12)),1,0)</f>
        <v/>
      </c>
      <c r="K715">
        <f>B715-$O$14</f>
        <v/>
      </c>
    </row>
    <row r="716">
      <c r="A716" t="n">
        <v>2142</v>
      </c>
      <c r="B716" t="n">
        <v>71.40000000000001</v>
      </c>
      <c r="C716" t="inlineStr">
        <is>
          <t>812</t>
        </is>
      </c>
      <c r="D716" t="n">
        <v>8.119999999999999</v>
      </c>
      <c r="E716">
        <f>MEDIAN(D696:D736)</f>
        <v/>
      </c>
      <c r="F716">
        <f>E696</f>
        <v/>
      </c>
      <c r="G716">
        <f>F716-E716</f>
        <v/>
      </c>
      <c r="H716">
        <f>IF(OR(NOT(ISNUMBER(D716)),ABS(D716-E716)&gt;$O$3,AND($O$11=1,B716&lt;$O$12)),1,0)</f>
        <v/>
      </c>
      <c r="I716">
        <f>IF(H716=1,NA(),D716)</f>
        <v/>
      </c>
      <c r="J716">
        <f>IF(AND(ISNUMBER(D716),D716&gt;=$O$4,OR($O$11=0,B716&gt;=$O$12)),1,0)</f>
        <v/>
      </c>
      <c r="K716">
        <f>B716-$O$14</f>
        <v/>
      </c>
    </row>
    <row r="717">
      <c r="A717" t="n">
        <v>2145</v>
      </c>
      <c r="B717" t="n">
        <v>71.5</v>
      </c>
      <c r="C717" t="inlineStr">
        <is>
          <t>813</t>
        </is>
      </c>
      <c r="D717" t="n">
        <v>8.130000000000001</v>
      </c>
      <c r="E717">
        <f>MEDIAN(D697:D737)</f>
        <v/>
      </c>
      <c r="F717">
        <f>E697</f>
        <v/>
      </c>
      <c r="G717">
        <f>F717-E717</f>
        <v/>
      </c>
      <c r="H717">
        <f>IF(OR(NOT(ISNUMBER(D717)),ABS(D717-E717)&gt;$O$3,AND($O$11=1,B717&lt;$O$12)),1,0)</f>
        <v/>
      </c>
      <c r="I717">
        <f>IF(H717=1,NA(),D717)</f>
        <v/>
      </c>
      <c r="J717">
        <f>IF(AND(ISNUMBER(D717),D717&gt;=$O$4,OR($O$11=0,B717&gt;=$O$12)),1,0)</f>
        <v/>
      </c>
      <c r="K717">
        <f>B717-$O$14</f>
        <v/>
      </c>
    </row>
    <row r="718">
      <c r="A718" t="n">
        <v>2148</v>
      </c>
      <c r="B718" t="n">
        <v>71.59999999999999</v>
      </c>
      <c r="C718" t="inlineStr">
        <is>
          <t>813</t>
        </is>
      </c>
      <c r="D718" t="n">
        <v>8.130000000000001</v>
      </c>
      <c r="E718">
        <f>MEDIAN(D698:D738)</f>
        <v/>
      </c>
      <c r="F718">
        <f>E698</f>
        <v/>
      </c>
      <c r="G718">
        <f>F718-E718</f>
        <v/>
      </c>
      <c r="H718">
        <f>IF(OR(NOT(ISNUMBER(D718)),ABS(D718-E718)&gt;$O$3,AND($O$11=1,B718&lt;$O$12)),1,0)</f>
        <v/>
      </c>
      <c r="I718">
        <f>IF(H718=1,NA(),D718)</f>
        <v/>
      </c>
      <c r="J718">
        <f>IF(AND(ISNUMBER(D718),D718&gt;=$O$4,OR($O$11=0,B718&gt;=$O$12)),1,0)</f>
        <v/>
      </c>
      <c r="K718">
        <f>B718-$O$14</f>
        <v/>
      </c>
    </row>
    <row r="719">
      <c r="A719" t="n">
        <v>2151</v>
      </c>
      <c r="B719" t="n">
        <v>71.7</v>
      </c>
      <c r="C719" t="inlineStr">
        <is>
          <t>819</t>
        </is>
      </c>
      <c r="D719" t="n">
        <v>8.19</v>
      </c>
      <c r="E719">
        <f>MEDIAN(D699:D739)</f>
        <v/>
      </c>
      <c r="F719">
        <f>E699</f>
        <v/>
      </c>
      <c r="G719">
        <f>F719-E719</f>
        <v/>
      </c>
      <c r="H719">
        <f>IF(OR(NOT(ISNUMBER(D719)),ABS(D719-E719)&gt;$O$3,AND($O$11=1,B719&lt;$O$12)),1,0)</f>
        <v/>
      </c>
      <c r="I719">
        <f>IF(H719=1,NA(),D719)</f>
        <v/>
      </c>
      <c r="J719">
        <f>IF(AND(ISNUMBER(D719),D719&gt;=$O$4,OR($O$11=0,B719&gt;=$O$12)),1,0)</f>
        <v/>
      </c>
      <c r="K719">
        <f>B719-$O$14</f>
        <v/>
      </c>
    </row>
    <row r="720">
      <c r="A720" t="n">
        <v>2154</v>
      </c>
      <c r="B720" t="n">
        <v>71.8</v>
      </c>
      <c r="C720" t="inlineStr">
        <is>
          <t>814</t>
        </is>
      </c>
      <c r="D720" t="n">
        <v>8.140000000000001</v>
      </c>
      <c r="E720">
        <f>MEDIAN(D700:D740)</f>
        <v/>
      </c>
      <c r="F720">
        <f>E700</f>
        <v/>
      </c>
      <c r="G720">
        <f>F720-E720</f>
        <v/>
      </c>
      <c r="H720">
        <f>IF(OR(NOT(ISNUMBER(D720)),ABS(D720-E720)&gt;$O$3,AND($O$11=1,B720&lt;$O$12)),1,0)</f>
        <v/>
      </c>
      <c r="I720">
        <f>IF(H720=1,NA(),D720)</f>
        <v/>
      </c>
      <c r="J720">
        <f>IF(AND(ISNUMBER(D720),D720&gt;=$O$4,OR($O$11=0,B720&gt;=$O$12)),1,0)</f>
        <v/>
      </c>
      <c r="K720">
        <f>B720-$O$14</f>
        <v/>
      </c>
    </row>
    <row r="721">
      <c r="A721" t="n">
        <v>2157</v>
      </c>
      <c r="B721" t="n">
        <v>71.90000000000001</v>
      </c>
      <c r="C721" t="inlineStr">
        <is>
          <t>814</t>
        </is>
      </c>
      <c r="D721" t="n">
        <v>8.140000000000001</v>
      </c>
      <c r="E721">
        <f>MEDIAN(D701:D741)</f>
        <v/>
      </c>
      <c r="F721">
        <f>E701</f>
        <v/>
      </c>
      <c r="G721">
        <f>F721-E721</f>
        <v/>
      </c>
      <c r="H721">
        <f>IF(OR(NOT(ISNUMBER(D721)),ABS(D721-E721)&gt;$O$3,AND($O$11=1,B721&lt;$O$12)),1,0)</f>
        <v/>
      </c>
      <c r="I721">
        <f>IF(H721=1,NA(),D721)</f>
        <v/>
      </c>
      <c r="J721">
        <f>IF(AND(ISNUMBER(D721),D721&gt;=$O$4,OR($O$11=0,B721&gt;=$O$12)),1,0)</f>
        <v/>
      </c>
      <c r="K721">
        <f>B721-$O$14</f>
        <v/>
      </c>
    </row>
    <row r="722">
      <c r="A722" t="n">
        <v>2160</v>
      </c>
      <c r="B722" t="n">
        <v>72</v>
      </c>
      <c r="C722" t="inlineStr">
        <is>
          <t>814</t>
        </is>
      </c>
      <c r="D722" t="n">
        <v>8.140000000000001</v>
      </c>
      <c r="E722">
        <f>MEDIAN(D702:D742)</f>
        <v/>
      </c>
      <c r="F722">
        <f>E702</f>
        <v/>
      </c>
      <c r="G722">
        <f>F722-E722</f>
        <v/>
      </c>
      <c r="H722">
        <f>IF(OR(NOT(ISNUMBER(D722)),ABS(D722-E722)&gt;$O$3,AND($O$11=1,B722&lt;$O$12)),1,0)</f>
        <v/>
      </c>
      <c r="I722">
        <f>IF(H722=1,NA(),D722)</f>
        <v/>
      </c>
      <c r="J722">
        <f>IF(AND(ISNUMBER(D722),D722&gt;=$O$4,OR($O$11=0,B722&gt;=$O$12)),1,0)</f>
        <v/>
      </c>
      <c r="K722">
        <f>B722-$O$14</f>
        <v/>
      </c>
    </row>
    <row r="723">
      <c r="A723" t="n">
        <v>2163</v>
      </c>
      <c r="B723" t="n">
        <v>72.09999999999999</v>
      </c>
      <c r="C723" t="inlineStr">
        <is>
          <t>819</t>
        </is>
      </c>
      <c r="D723" t="n">
        <v>8.19</v>
      </c>
      <c r="E723">
        <f>MEDIAN(D703:D743)</f>
        <v/>
      </c>
      <c r="F723">
        <f>E703</f>
        <v/>
      </c>
      <c r="G723">
        <f>F723-E723</f>
        <v/>
      </c>
      <c r="H723">
        <f>IF(OR(NOT(ISNUMBER(D723)),ABS(D723-E723)&gt;$O$3,AND($O$11=1,B723&lt;$O$12)),1,0)</f>
        <v/>
      </c>
      <c r="I723">
        <f>IF(H723=1,NA(),D723)</f>
        <v/>
      </c>
      <c r="J723">
        <f>IF(AND(ISNUMBER(D723),D723&gt;=$O$4,OR($O$11=0,B723&gt;=$O$12)),1,0)</f>
        <v/>
      </c>
      <c r="K723">
        <f>B723-$O$14</f>
        <v/>
      </c>
    </row>
    <row r="724">
      <c r="A724" t="n">
        <v>2166</v>
      </c>
      <c r="B724" t="n">
        <v>72.2</v>
      </c>
      <c r="C724" t="inlineStr">
        <is>
          <t>815</t>
        </is>
      </c>
      <c r="D724" t="n">
        <v>8.15</v>
      </c>
      <c r="E724">
        <f>MEDIAN(D704:D744)</f>
        <v/>
      </c>
      <c r="F724">
        <f>E704</f>
        <v/>
      </c>
      <c r="G724">
        <f>F724-E724</f>
        <v/>
      </c>
      <c r="H724">
        <f>IF(OR(NOT(ISNUMBER(D724)),ABS(D724-E724)&gt;$O$3,AND($O$11=1,B724&lt;$O$12)),1,0)</f>
        <v/>
      </c>
      <c r="I724">
        <f>IF(H724=1,NA(),D724)</f>
        <v/>
      </c>
      <c r="J724">
        <f>IF(AND(ISNUMBER(D724),D724&gt;=$O$4,OR($O$11=0,B724&gt;=$O$12)),1,0)</f>
        <v/>
      </c>
      <c r="K724">
        <f>B724-$O$14</f>
        <v/>
      </c>
    </row>
    <row r="725">
      <c r="A725" t="n">
        <v>2169</v>
      </c>
      <c r="B725" t="n">
        <v>72.3</v>
      </c>
      <c r="C725" t="inlineStr">
        <is>
          <t>815</t>
        </is>
      </c>
      <c r="D725" t="n">
        <v>8.15</v>
      </c>
      <c r="E725">
        <f>MEDIAN(D705:D745)</f>
        <v/>
      </c>
      <c r="F725">
        <f>E705</f>
        <v/>
      </c>
      <c r="G725">
        <f>F725-E725</f>
        <v/>
      </c>
      <c r="H725">
        <f>IF(OR(NOT(ISNUMBER(D725)),ABS(D725-E725)&gt;$O$3,AND($O$11=1,B725&lt;$O$12)),1,0)</f>
        <v/>
      </c>
      <c r="I725">
        <f>IF(H725=1,NA(),D725)</f>
        <v/>
      </c>
      <c r="J725">
        <f>IF(AND(ISNUMBER(D725),D725&gt;=$O$4,OR($O$11=0,B725&gt;=$O$12)),1,0)</f>
        <v/>
      </c>
      <c r="K725">
        <f>B725-$O$14</f>
        <v/>
      </c>
    </row>
    <row r="726">
      <c r="A726" t="n">
        <v>2172</v>
      </c>
      <c r="B726" t="n">
        <v>72.40000000000001</v>
      </c>
      <c r="C726" t="inlineStr">
        <is>
          <t>815</t>
        </is>
      </c>
      <c r="D726" t="n">
        <v>8.15</v>
      </c>
      <c r="E726">
        <f>MEDIAN(D706:D746)</f>
        <v/>
      </c>
      <c r="F726">
        <f>E706</f>
        <v/>
      </c>
      <c r="G726">
        <f>F726-E726</f>
        <v/>
      </c>
      <c r="H726">
        <f>IF(OR(NOT(ISNUMBER(D726)),ABS(D726-E726)&gt;$O$3,AND($O$11=1,B726&lt;$O$12)),1,0)</f>
        <v/>
      </c>
      <c r="I726">
        <f>IF(H726=1,NA(),D726)</f>
        <v/>
      </c>
      <c r="J726">
        <f>IF(AND(ISNUMBER(D726),D726&gt;=$O$4,OR($O$11=0,B726&gt;=$O$12)),1,0)</f>
        <v/>
      </c>
      <c r="K726">
        <f>B726-$O$14</f>
        <v/>
      </c>
    </row>
    <row r="727">
      <c r="A727" t="n">
        <v>2175</v>
      </c>
      <c r="B727" t="n">
        <v>72.5</v>
      </c>
      <c r="C727" t="inlineStr">
        <is>
          <t>816</t>
        </is>
      </c>
      <c r="D727" t="n">
        <v>8.16</v>
      </c>
      <c r="E727">
        <f>MEDIAN(D707:D747)</f>
        <v/>
      </c>
      <c r="F727">
        <f>E707</f>
        <v/>
      </c>
      <c r="G727">
        <f>F727-E727</f>
        <v/>
      </c>
      <c r="H727">
        <f>IF(OR(NOT(ISNUMBER(D727)),ABS(D727-E727)&gt;$O$3,AND($O$11=1,B727&lt;$O$12)),1,0)</f>
        <v/>
      </c>
      <c r="I727">
        <f>IF(H727=1,NA(),D727)</f>
        <v/>
      </c>
      <c r="J727">
        <f>IF(AND(ISNUMBER(D727),D727&gt;=$O$4,OR($O$11=0,B727&gt;=$O$12)),1,0)</f>
        <v/>
      </c>
      <c r="K727">
        <f>B727-$O$14</f>
        <v/>
      </c>
    </row>
    <row r="728">
      <c r="A728" t="n">
        <v>2178</v>
      </c>
      <c r="B728" t="n">
        <v>72.59999999999999</v>
      </c>
      <c r="C728" t="inlineStr">
        <is>
          <t>816</t>
        </is>
      </c>
      <c r="D728" t="n">
        <v>8.16</v>
      </c>
      <c r="E728">
        <f>MEDIAN(D708:D748)</f>
        <v/>
      </c>
      <c r="F728">
        <f>E708</f>
        <v/>
      </c>
      <c r="G728">
        <f>F728-E728</f>
        <v/>
      </c>
      <c r="H728">
        <f>IF(OR(NOT(ISNUMBER(D728)),ABS(D728-E728)&gt;$O$3,AND($O$11=1,B728&lt;$O$12)),1,0)</f>
        <v/>
      </c>
      <c r="I728">
        <f>IF(H728=1,NA(),D728)</f>
        <v/>
      </c>
      <c r="J728">
        <f>IF(AND(ISNUMBER(D728),D728&gt;=$O$4,OR($O$11=0,B728&gt;=$O$12)),1,0)</f>
        <v/>
      </c>
      <c r="K728">
        <f>B728-$O$14</f>
        <v/>
      </c>
    </row>
    <row r="729">
      <c r="A729" t="n">
        <v>2181</v>
      </c>
      <c r="B729" t="n">
        <v>72.7</v>
      </c>
      <c r="C729" t="inlineStr">
        <is>
          <t>816</t>
        </is>
      </c>
      <c r="D729" t="n">
        <v>8.16</v>
      </c>
      <c r="E729">
        <f>MEDIAN(D709:D749)</f>
        <v/>
      </c>
      <c r="F729">
        <f>E709</f>
        <v/>
      </c>
      <c r="G729">
        <f>F729-E729</f>
        <v/>
      </c>
      <c r="H729">
        <f>IF(OR(NOT(ISNUMBER(D729)),ABS(D729-E729)&gt;$O$3,AND($O$11=1,B729&lt;$O$12)),1,0)</f>
        <v/>
      </c>
      <c r="I729">
        <f>IF(H729=1,NA(),D729)</f>
        <v/>
      </c>
      <c r="J729">
        <f>IF(AND(ISNUMBER(D729),D729&gt;=$O$4,OR($O$11=0,B729&gt;=$O$12)),1,0)</f>
        <v/>
      </c>
      <c r="K729">
        <f>B729-$O$14</f>
        <v/>
      </c>
    </row>
    <row r="730">
      <c r="A730" t="n">
        <v>2184</v>
      </c>
      <c r="B730" t="n">
        <v>72.8</v>
      </c>
      <c r="C730" t="inlineStr">
        <is>
          <t>816</t>
        </is>
      </c>
      <c r="D730" t="n">
        <v>8.16</v>
      </c>
      <c r="E730">
        <f>MEDIAN(D710:D750)</f>
        <v/>
      </c>
      <c r="F730">
        <f>E710</f>
        <v/>
      </c>
      <c r="G730">
        <f>F730-E730</f>
        <v/>
      </c>
      <c r="H730">
        <f>IF(OR(NOT(ISNUMBER(D730)),ABS(D730-E730)&gt;$O$3,AND($O$11=1,B730&lt;$O$12)),1,0)</f>
        <v/>
      </c>
      <c r="I730">
        <f>IF(H730=1,NA(),D730)</f>
        <v/>
      </c>
      <c r="J730">
        <f>IF(AND(ISNUMBER(D730),D730&gt;=$O$4,OR($O$11=0,B730&gt;=$O$12)),1,0)</f>
        <v/>
      </c>
      <c r="K730">
        <f>B730-$O$14</f>
        <v/>
      </c>
    </row>
    <row r="731">
      <c r="A731" t="n">
        <v>2187</v>
      </c>
      <c r="B731" t="n">
        <v>72.90000000000001</v>
      </c>
      <c r="C731" t="inlineStr">
        <is>
          <t>816</t>
        </is>
      </c>
      <c r="D731" t="n">
        <v>8.16</v>
      </c>
      <c r="E731">
        <f>MEDIAN(D711:D751)</f>
        <v/>
      </c>
      <c r="F731">
        <f>E711</f>
        <v/>
      </c>
      <c r="G731">
        <f>F731-E731</f>
        <v/>
      </c>
      <c r="H731">
        <f>IF(OR(NOT(ISNUMBER(D731)),ABS(D731-E731)&gt;$O$3,AND($O$11=1,B731&lt;$O$12)),1,0)</f>
        <v/>
      </c>
      <c r="I731">
        <f>IF(H731=1,NA(),D731)</f>
        <v/>
      </c>
      <c r="J731">
        <f>IF(AND(ISNUMBER(D731),D731&gt;=$O$4,OR($O$11=0,B731&gt;=$O$12)),1,0)</f>
        <v/>
      </c>
      <c r="K731">
        <f>B731-$O$14</f>
        <v/>
      </c>
    </row>
    <row r="732">
      <c r="A732" t="n">
        <v>2190</v>
      </c>
      <c r="B732" t="n">
        <v>73</v>
      </c>
      <c r="C732" t="inlineStr">
        <is>
          <t>816</t>
        </is>
      </c>
      <c r="D732" t="n">
        <v>8.16</v>
      </c>
      <c r="E732">
        <f>MEDIAN(D712:D752)</f>
        <v/>
      </c>
      <c r="F732">
        <f>E712</f>
        <v/>
      </c>
      <c r="G732">
        <f>F732-E732</f>
        <v/>
      </c>
      <c r="H732">
        <f>IF(OR(NOT(ISNUMBER(D732)),ABS(D732-E732)&gt;$O$3,AND($O$11=1,B732&lt;$O$12)),1,0)</f>
        <v/>
      </c>
      <c r="I732">
        <f>IF(H732=1,NA(),D732)</f>
        <v/>
      </c>
      <c r="J732">
        <f>IF(AND(ISNUMBER(D732),D732&gt;=$O$4,OR($O$11=0,B732&gt;=$O$12)),1,0)</f>
        <v/>
      </c>
      <c r="K732">
        <f>B732-$O$14</f>
        <v/>
      </c>
    </row>
    <row r="733">
      <c r="A733" t="n">
        <v>2193</v>
      </c>
      <c r="B733" t="n">
        <v>73.09999999999999</v>
      </c>
      <c r="C733" t="inlineStr">
        <is>
          <t>816</t>
        </is>
      </c>
      <c r="D733" t="n">
        <v>8.16</v>
      </c>
      <c r="E733">
        <f>MEDIAN(D713:D753)</f>
        <v/>
      </c>
      <c r="F733">
        <f>E713</f>
        <v/>
      </c>
      <c r="G733">
        <f>F733-E733</f>
        <v/>
      </c>
      <c r="H733">
        <f>IF(OR(NOT(ISNUMBER(D733)),ABS(D733-E733)&gt;$O$3,AND($O$11=1,B733&lt;$O$12)),1,0)</f>
        <v/>
      </c>
      <c r="I733">
        <f>IF(H733=1,NA(),D733)</f>
        <v/>
      </c>
      <c r="J733">
        <f>IF(AND(ISNUMBER(D733),D733&gt;=$O$4,OR($O$11=0,B733&gt;=$O$12)),1,0)</f>
        <v/>
      </c>
      <c r="K733">
        <f>B733-$O$14</f>
        <v/>
      </c>
    </row>
    <row r="734">
      <c r="A734" t="n">
        <v>2196</v>
      </c>
      <c r="B734" t="n">
        <v>73.2</v>
      </c>
      <c r="C734" t="inlineStr">
        <is>
          <t>816</t>
        </is>
      </c>
      <c r="D734" t="n">
        <v>8.16</v>
      </c>
      <c r="E734">
        <f>MEDIAN(D714:D754)</f>
        <v/>
      </c>
      <c r="F734">
        <f>E714</f>
        <v/>
      </c>
      <c r="G734">
        <f>F734-E734</f>
        <v/>
      </c>
      <c r="H734">
        <f>IF(OR(NOT(ISNUMBER(D734)),ABS(D734-E734)&gt;$O$3,AND($O$11=1,B734&lt;$O$12)),1,0)</f>
        <v/>
      </c>
      <c r="I734">
        <f>IF(H734=1,NA(),D734)</f>
        <v/>
      </c>
      <c r="J734">
        <f>IF(AND(ISNUMBER(D734),D734&gt;=$O$4,OR($O$11=0,B734&gt;=$O$12)),1,0)</f>
        <v/>
      </c>
      <c r="K734">
        <f>B734-$O$14</f>
        <v/>
      </c>
    </row>
    <row r="735">
      <c r="A735" t="n">
        <v>2199</v>
      </c>
      <c r="B735" t="n">
        <v>73.3</v>
      </c>
      <c r="C735" t="inlineStr">
        <is>
          <t>816</t>
        </is>
      </c>
      <c r="D735" t="n">
        <v>8.16</v>
      </c>
      <c r="E735">
        <f>MEDIAN(D715:D755)</f>
        <v/>
      </c>
      <c r="F735">
        <f>E715</f>
        <v/>
      </c>
      <c r="G735">
        <f>F735-E735</f>
        <v/>
      </c>
      <c r="H735">
        <f>IF(OR(NOT(ISNUMBER(D735)),ABS(D735-E735)&gt;$O$3,AND($O$11=1,B735&lt;$O$12)),1,0)</f>
        <v/>
      </c>
      <c r="I735">
        <f>IF(H735=1,NA(),D735)</f>
        <v/>
      </c>
      <c r="J735">
        <f>IF(AND(ISNUMBER(D735),D735&gt;=$O$4,OR($O$11=0,B735&gt;=$O$12)),1,0)</f>
        <v/>
      </c>
      <c r="K735">
        <f>B735-$O$14</f>
        <v/>
      </c>
    </row>
    <row r="736">
      <c r="A736" t="n">
        <v>2202</v>
      </c>
      <c r="B736" t="n">
        <v>73.40000000000001</v>
      </c>
      <c r="C736" t="inlineStr">
        <is>
          <t>816</t>
        </is>
      </c>
      <c r="D736" t="n">
        <v>8.16</v>
      </c>
      <c r="E736">
        <f>MEDIAN(D716:D756)</f>
        <v/>
      </c>
      <c r="F736">
        <f>E716</f>
        <v/>
      </c>
      <c r="G736">
        <f>F736-E736</f>
        <v/>
      </c>
      <c r="H736">
        <f>IF(OR(NOT(ISNUMBER(D736)),ABS(D736-E736)&gt;$O$3,AND($O$11=1,B736&lt;$O$12)),1,0)</f>
        <v/>
      </c>
      <c r="I736">
        <f>IF(H736=1,NA(),D736)</f>
        <v/>
      </c>
      <c r="J736">
        <f>IF(AND(ISNUMBER(D736),D736&gt;=$O$4,OR($O$11=0,B736&gt;=$O$12)),1,0)</f>
        <v/>
      </c>
      <c r="K736">
        <f>B736-$O$14</f>
        <v/>
      </c>
    </row>
    <row r="737">
      <c r="A737" t="n">
        <v>2205</v>
      </c>
      <c r="B737" t="n">
        <v>73.5</v>
      </c>
      <c r="C737" t="inlineStr">
        <is>
          <t>816</t>
        </is>
      </c>
      <c r="D737" t="n">
        <v>8.16</v>
      </c>
      <c r="E737">
        <f>MEDIAN(D717:D757)</f>
        <v/>
      </c>
      <c r="F737">
        <f>E717</f>
        <v/>
      </c>
      <c r="G737">
        <f>F737-E737</f>
        <v/>
      </c>
      <c r="H737">
        <f>IF(OR(NOT(ISNUMBER(D737)),ABS(D737-E737)&gt;$O$3,AND($O$11=1,B737&lt;$O$12)),1,0)</f>
        <v/>
      </c>
      <c r="I737">
        <f>IF(H737=1,NA(),D737)</f>
        <v/>
      </c>
      <c r="J737">
        <f>IF(AND(ISNUMBER(D737),D737&gt;=$O$4,OR($O$11=0,B737&gt;=$O$12)),1,0)</f>
        <v/>
      </c>
      <c r="K737">
        <f>B737-$O$14</f>
        <v/>
      </c>
    </row>
    <row r="738">
      <c r="A738" t="n">
        <v>2208</v>
      </c>
      <c r="B738" t="n">
        <v>73.59999999999999</v>
      </c>
      <c r="C738" t="inlineStr">
        <is>
          <t>816</t>
        </is>
      </c>
      <c r="D738" t="n">
        <v>8.16</v>
      </c>
      <c r="E738">
        <f>MEDIAN(D718:D758)</f>
        <v/>
      </c>
      <c r="F738">
        <f>E718</f>
        <v/>
      </c>
      <c r="G738">
        <f>F738-E738</f>
        <v/>
      </c>
      <c r="H738">
        <f>IF(OR(NOT(ISNUMBER(D738)),ABS(D738-E738)&gt;$O$3,AND($O$11=1,B738&lt;$O$12)),1,0)</f>
        <v/>
      </c>
      <c r="I738">
        <f>IF(H738=1,NA(),D738)</f>
        <v/>
      </c>
      <c r="J738">
        <f>IF(AND(ISNUMBER(D738),D738&gt;=$O$4,OR($O$11=0,B738&gt;=$O$12)),1,0)</f>
        <v/>
      </c>
      <c r="K738">
        <f>B738-$O$14</f>
        <v/>
      </c>
    </row>
    <row r="739">
      <c r="A739" t="n">
        <v>2211</v>
      </c>
      <c r="B739" t="n">
        <v>73.7</v>
      </c>
      <c r="C739" t="inlineStr">
        <is>
          <t>816</t>
        </is>
      </c>
      <c r="D739" t="n">
        <v>8.16</v>
      </c>
      <c r="E739">
        <f>MEDIAN(D719:D759)</f>
        <v/>
      </c>
      <c r="F739">
        <f>E719</f>
        <v/>
      </c>
      <c r="G739">
        <f>F739-E739</f>
        <v/>
      </c>
      <c r="H739">
        <f>IF(OR(NOT(ISNUMBER(D739)),ABS(D739-E739)&gt;$O$3,AND($O$11=1,B739&lt;$O$12)),1,0)</f>
        <v/>
      </c>
      <c r="I739">
        <f>IF(H739=1,NA(),D739)</f>
        <v/>
      </c>
      <c r="J739">
        <f>IF(AND(ISNUMBER(D739),D739&gt;=$O$4,OR($O$11=0,B739&gt;=$O$12)),1,0)</f>
        <v/>
      </c>
      <c r="K739">
        <f>B739-$O$14</f>
        <v/>
      </c>
    </row>
    <row r="740">
      <c r="A740" t="n">
        <v>2214</v>
      </c>
      <c r="B740" t="n">
        <v>73.8</v>
      </c>
      <c r="C740" t="inlineStr">
        <is>
          <t>816</t>
        </is>
      </c>
      <c r="D740" t="n">
        <v>8.16</v>
      </c>
      <c r="E740">
        <f>MEDIAN(D720:D760)</f>
        <v/>
      </c>
      <c r="F740">
        <f>E720</f>
        <v/>
      </c>
      <c r="G740">
        <f>F740-E740</f>
        <v/>
      </c>
      <c r="H740">
        <f>IF(OR(NOT(ISNUMBER(D740)),ABS(D740-E740)&gt;$O$3,AND($O$11=1,B740&lt;$O$12)),1,0)</f>
        <v/>
      </c>
      <c r="I740">
        <f>IF(H740=1,NA(),D740)</f>
        <v/>
      </c>
      <c r="J740">
        <f>IF(AND(ISNUMBER(D740),D740&gt;=$O$4,OR($O$11=0,B740&gt;=$O$12)),1,0)</f>
        <v/>
      </c>
      <c r="K740">
        <f>B740-$O$14</f>
        <v/>
      </c>
    </row>
    <row r="741">
      <c r="A741" t="n">
        <v>2217</v>
      </c>
      <c r="B741" t="n">
        <v>73.90000000000001</v>
      </c>
      <c r="C741" t="inlineStr">
        <is>
          <t>816</t>
        </is>
      </c>
      <c r="D741" t="n">
        <v>8.16</v>
      </c>
      <c r="E741">
        <f>MEDIAN(D721:D761)</f>
        <v/>
      </c>
      <c r="F741">
        <f>E721</f>
        <v/>
      </c>
      <c r="G741">
        <f>F741-E741</f>
        <v/>
      </c>
      <c r="H741">
        <f>IF(OR(NOT(ISNUMBER(D741)),ABS(D741-E741)&gt;$O$3,AND($O$11=1,B741&lt;$O$12)),1,0)</f>
        <v/>
      </c>
      <c r="I741">
        <f>IF(H741=1,NA(),D741)</f>
        <v/>
      </c>
      <c r="J741">
        <f>IF(AND(ISNUMBER(D741),D741&gt;=$O$4,OR($O$11=0,B741&gt;=$O$12)),1,0)</f>
        <v/>
      </c>
      <c r="K741">
        <f>B741-$O$14</f>
        <v/>
      </c>
    </row>
    <row r="742">
      <c r="A742" t="n">
        <v>2220</v>
      </c>
      <c r="B742" t="n">
        <v>74</v>
      </c>
      <c r="C742" t="inlineStr">
        <is>
          <t>816</t>
        </is>
      </c>
      <c r="D742" t="n">
        <v>8.16</v>
      </c>
      <c r="E742">
        <f>MEDIAN(D722:D762)</f>
        <v/>
      </c>
      <c r="F742">
        <f>E722</f>
        <v/>
      </c>
      <c r="G742">
        <f>F742-E742</f>
        <v/>
      </c>
      <c r="H742">
        <f>IF(OR(NOT(ISNUMBER(D742)),ABS(D742-E742)&gt;$O$3,AND($O$11=1,B742&lt;$O$12)),1,0)</f>
        <v/>
      </c>
      <c r="I742">
        <f>IF(H742=1,NA(),D742)</f>
        <v/>
      </c>
      <c r="J742">
        <f>IF(AND(ISNUMBER(D742),D742&gt;=$O$4,OR($O$11=0,B742&gt;=$O$12)),1,0)</f>
        <v/>
      </c>
      <c r="K742">
        <f>B742-$O$14</f>
        <v/>
      </c>
    </row>
    <row r="743">
      <c r="A743" t="n">
        <v>2223</v>
      </c>
      <c r="B743" t="n">
        <v>74.09999999999999</v>
      </c>
      <c r="C743" t="inlineStr">
        <is>
          <t>816</t>
        </is>
      </c>
      <c r="D743" t="n">
        <v>8.16</v>
      </c>
      <c r="E743">
        <f>MEDIAN(D723:D763)</f>
        <v/>
      </c>
      <c r="F743">
        <f>E723</f>
        <v/>
      </c>
      <c r="G743">
        <f>F743-E743</f>
        <v/>
      </c>
      <c r="H743">
        <f>IF(OR(NOT(ISNUMBER(D743)),ABS(D743-E743)&gt;$O$3,AND($O$11=1,B743&lt;$O$12)),1,0)</f>
        <v/>
      </c>
      <c r="I743">
        <f>IF(H743=1,NA(),D743)</f>
        <v/>
      </c>
      <c r="J743">
        <f>IF(AND(ISNUMBER(D743),D743&gt;=$O$4,OR($O$11=0,B743&gt;=$O$12)),1,0)</f>
        <v/>
      </c>
      <c r="K743">
        <f>B743-$O$14</f>
        <v/>
      </c>
    </row>
    <row r="744">
      <c r="A744" t="n">
        <v>2226</v>
      </c>
      <c r="B744" t="n">
        <v>74.2</v>
      </c>
      <c r="C744" t="inlineStr">
        <is>
          <t>816</t>
        </is>
      </c>
      <c r="D744" t="n">
        <v>8.16</v>
      </c>
      <c r="E744">
        <f>MEDIAN(D724:D764)</f>
        <v/>
      </c>
      <c r="F744">
        <f>E724</f>
        <v/>
      </c>
      <c r="G744">
        <f>F744-E744</f>
        <v/>
      </c>
      <c r="H744">
        <f>IF(OR(NOT(ISNUMBER(D744)),ABS(D744-E744)&gt;$O$3,AND($O$11=1,B744&lt;$O$12)),1,0)</f>
        <v/>
      </c>
      <c r="I744">
        <f>IF(H744=1,NA(),D744)</f>
        <v/>
      </c>
      <c r="J744">
        <f>IF(AND(ISNUMBER(D744),D744&gt;=$O$4,OR($O$11=0,B744&gt;=$O$12)),1,0)</f>
        <v/>
      </c>
      <c r="K744">
        <f>B744-$O$14</f>
        <v/>
      </c>
    </row>
    <row r="745">
      <c r="A745" t="n">
        <v>2229</v>
      </c>
      <c r="B745" t="n">
        <v>74.3</v>
      </c>
      <c r="C745" t="inlineStr">
        <is>
          <t>816</t>
        </is>
      </c>
      <c r="D745" t="n">
        <v>8.16</v>
      </c>
      <c r="E745">
        <f>MEDIAN(D725:D765)</f>
        <v/>
      </c>
      <c r="F745">
        <f>E725</f>
        <v/>
      </c>
      <c r="G745">
        <f>F745-E745</f>
        <v/>
      </c>
      <c r="H745">
        <f>IF(OR(NOT(ISNUMBER(D745)),ABS(D745-E745)&gt;$O$3,AND($O$11=1,B745&lt;$O$12)),1,0)</f>
        <v/>
      </c>
      <c r="I745">
        <f>IF(H745=1,NA(),D745)</f>
        <v/>
      </c>
      <c r="J745">
        <f>IF(AND(ISNUMBER(D745),D745&gt;=$O$4,OR($O$11=0,B745&gt;=$O$12)),1,0)</f>
        <v/>
      </c>
      <c r="K745">
        <f>B745-$O$14</f>
        <v/>
      </c>
    </row>
    <row r="746">
      <c r="A746" t="n">
        <v>2232</v>
      </c>
      <c r="B746" t="n">
        <v>74.40000000000001</v>
      </c>
      <c r="C746" t="inlineStr">
        <is>
          <t>816</t>
        </is>
      </c>
      <c r="D746" t="n">
        <v>8.16</v>
      </c>
      <c r="E746">
        <f>MEDIAN(D726:D766)</f>
        <v/>
      </c>
      <c r="F746">
        <f>E726</f>
        <v/>
      </c>
      <c r="G746">
        <f>F746-E746</f>
        <v/>
      </c>
      <c r="H746">
        <f>IF(OR(NOT(ISNUMBER(D746)),ABS(D746-E746)&gt;$O$3,AND($O$11=1,B746&lt;$O$12)),1,0)</f>
        <v/>
      </c>
      <c r="I746">
        <f>IF(H746=1,NA(),D746)</f>
        <v/>
      </c>
      <c r="J746">
        <f>IF(AND(ISNUMBER(D746),D746&gt;=$O$4,OR($O$11=0,B746&gt;=$O$12)),1,0)</f>
        <v/>
      </c>
      <c r="K746">
        <f>B746-$O$14</f>
        <v/>
      </c>
    </row>
    <row r="747">
      <c r="A747" t="n">
        <v>2235</v>
      </c>
      <c r="B747" t="n">
        <v>74.5</v>
      </c>
      <c r="C747" t="inlineStr">
        <is>
          <t>816</t>
        </is>
      </c>
      <c r="D747" t="n">
        <v>8.16</v>
      </c>
      <c r="E747">
        <f>MEDIAN(D727:D767)</f>
        <v/>
      </c>
      <c r="F747">
        <f>E727</f>
        <v/>
      </c>
      <c r="G747">
        <f>F747-E747</f>
        <v/>
      </c>
      <c r="H747">
        <f>IF(OR(NOT(ISNUMBER(D747)),ABS(D747-E747)&gt;$O$3,AND($O$11=1,B747&lt;$O$12)),1,0)</f>
        <v/>
      </c>
      <c r="I747">
        <f>IF(H747=1,NA(),D747)</f>
        <v/>
      </c>
      <c r="J747">
        <f>IF(AND(ISNUMBER(D747),D747&gt;=$O$4,OR($O$11=0,B747&gt;=$O$12)),1,0)</f>
        <v/>
      </c>
      <c r="K747">
        <f>B747-$O$14</f>
        <v/>
      </c>
    </row>
    <row r="748">
      <c r="A748" t="n">
        <v>2238</v>
      </c>
      <c r="B748" t="n">
        <v>74.59999999999999</v>
      </c>
      <c r="C748" t="inlineStr">
        <is>
          <t>816</t>
        </is>
      </c>
      <c r="D748" t="n">
        <v>8.16</v>
      </c>
      <c r="E748">
        <f>MEDIAN(D728:D768)</f>
        <v/>
      </c>
      <c r="F748">
        <f>E728</f>
        <v/>
      </c>
      <c r="G748">
        <f>F748-E748</f>
        <v/>
      </c>
      <c r="H748">
        <f>IF(OR(NOT(ISNUMBER(D748)),ABS(D748-E748)&gt;$O$3,AND($O$11=1,B748&lt;$O$12)),1,0)</f>
        <v/>
      </c>
      <c r="I748">
        <f>IF(H748=1,NA(),D748)</f>
        <v/>
      </c>
      <c r="J748">
        <f>IF(AND(ISNUMBER(D748),D748&gt;=$O$4,OR($O$11=0,B748&gt;=$O$12)),1,0)</f>
        <v/>
      </c>
      <c r="K748">
        <f>B748-$O$14</f>
        <v/>
      </c>
    </row>
    <row r="749">
      <c r="A749" t="n">
        <v>2241</v>
      </c>
      <c r="B749" t="n">
        <v>74.7</v>
      </c>
      <c r="C749" t="inlineStr">
        <is>
          <t>817</t>
        </is>
      </c>
      <c r="D749" t="n">
        <v>8.17</v>
      </c>
      <c r="E749">
        <f>MEDIAN(D729:D769)</f>
        <v/>
      </c>
      <c r="F749">
        <f>E729</f>
        <v/>
      </c>
      <c r="G749">
        <f>F749-E749</f>
        <v/>
      </c>
      <c r="H749">
        <f>IF(OR(NOT(ISNUMBER(D749)),ABS(D749-E749)&gt;$O$3,AND($O$11=1,B749&lt;$O$12)),1,0)</f>
        <v/>
      </c>
      <c r="I749">
        <f>IF(H749=1,NA(),D749)</f>
        <v/>
      </c>
      <c r="J749">
        <f>IF(AND(ISNUMBER(D749),D749&gt;=$O$4,OR($O$11=0,B749&gt;=$O$12)),1,0)</f>
        <v/>
      </c>
      <c r="K749">
        <f>B749-$O$14</f>
        <v/>
      </c>
    </row>
    <row r="750">
      <c r="A750" t="n">
        <v>2244</v>
      </c>
      <c r="B750" t="n">
        <v>74.8</v>
      </c>
      <c r="C750" t="inlineStr">
        <is>
          <t>817</t>
        </is>
      </c>
      <c r="D750" t="n">
        <v>8.17</v>
      </c>
      <c r="E750">
        <f>MEDIAN(D730:D770)</f>
        <v/>
      </c>
      <c r="F750">
        <f>E730</f>
        <v/>
      </c>
      <c r="G750">
        <f>F750-E750</f>
        <v/>
      </c>
      <c r="H750">
        <f>IF(OR(NOT(ISNUMBER(D750)),ABS(D750-E750)&gt;$O$3,AND($O$11=1,B750&lt;$O$12)),1,0)</f>
        <v/>
      </c>
      <c r="I750">
        <f>IF(H750=1,NA(),D750)</f>
        <v/>
      </c>
      <c r="J750">
        <f>IF(AND(ISNUMBER(D750),D750&gt;=$O$4,OR($O$11=0,B750&gt;=$O$12)),1,0)</f>
        <v/>
      </c>
      <c r="K750">
        <f>B750-$O$14</f>
        <v/>
      </c>
    </row>
    <row r="751">
      <c r="A751" t="n">
        <v>2247</v>
      </c>
      <c r="B751" t="n">
        <v>74.90000000000001</v>
      </c>
      <c r="C751" t="inlineStr">
        <is>
          <t>817</t>
        </is>
      </c>
      <c r="D751" t="n">
        <v>8.17</v>
      </c>
      <c r="E751">
        <f>MEDIAN(D731:D771)</f>
        <v/>
      </c>
      <c r="F751">
        <f>E731</f>
        <v/>
      </c>
      <c r="G751">
        <f>F751-E751</f>
        <v/>
      </c>
      <c r="H751">
        <f>IF(OR(NOT(ISNUMBER(D751)),ABS(D751-E751)&gt;$O$3,AND($O$11=1,B751&lt;$O$12)),1,0)</f>
        <v/>
      </c>
      <c r="I751">
        <f>IF(H751=1,NA(),D751)</f>
        <v/>
      </c>
      <c r="J751">
        <f>IF(AND(ISNUMBER(D751),D751&gt;=$O$4,OR($O$11=0,B751&gt;=$O$12)),1,0)</f>
        <v/>
      </c>
      <c r="K751">
        <f>B751-$O$14</f>
        <v/>
      </c>
    </row>
    <row r="752">
      <c r="A752" t="n">
        <v>2250</v>
      </c>
      <c r="B752" t="n">
        <v>75</v>
      </c>
      <c r="C752" t="inlineStr">
        <is>
          <t>817</t>
        </is>
      </c>
      <c r="D752" t="n">
        <v>8.17</v>
      </c>
      <c r="E752">
        <f>MEDIAN(D732:D772)</f>
        <v/>
      </c>
      <c r="F752">
        <f>E732</f>
        <v/>
      </c>
      <c r="G752">
        <f>F752-E752</f>
        <v/>
      </c>
      <c r="H752">
        <f>IF(OR(NOT(ISNUMBER(D752)),ABS(D752-E752)&gt;$O$3,AND($O$11=1,B752&lt;$O$12)),1,0)</f>
        <v/>
      </c>
      <c r="I752">
        <f>IF(H752=1,NA(),D752)</f>
        <v/>
      </c>
      <c r="J752">
        <f>IF(AND(ISNUMBER(D752),D752&gt;=$O$4,OR($O$11=0,B752&gt;=$O$12)),1,0)</f>
        <v/>
      </c>
      <c r="K752">
        <f>B752-$O$14</f>
        <v/>
      </c>
    </row>
    <row r="753">
      <c r="A753" t="n">
        <v>2253</v>
      </c>
      <c r="B753" t="n">
        <v>75.09999999999999</v>
      </c>
      <c r="C753" t="inlineStr">
        <is>
          <t>817</t>
        </is>
      </c>
      <c r="D753" t="n">
        <v>8.17</v>
      </c>
      <c r="E753">
        <f>MEDIAN(D733:D773)</f>
        <v/>
      </c>
      <c r="F753">
        <f>E733</f>
        <v/>
      </c>
      <c r="G753">
        <f>F753-E753</f>
        <v/>
      </c>
      <c r="H753">
        <f>IF(OR(NOT(ISNUMBER(D753)),ABS(D753-E753)&gt;$O$3,AND($O$11=1,B753&lt;$O$12)),1,0)</f>
        <v/>
      </c>
      <c r="I753">
        <f>IF(H753=1,NA(),D753)</f>
        <v/>
      </c>
      <c r="J753">
        <f>IF(AND(ISNUMBER(D753),D753&gt;=$O$4,OR($O$11=0,B753&gt;=$O$12)),1,0)</f>
        <v/>
      </c>
      <c r="K753">
        <f>B753-$O$14</f>
        <v/>
      </c>
    </row>
    <row r="754">
      <c r="A754" t="n">
        <v>2256</v>
      </c>
      <c r="B754" t="n">
        <v>75.2</v>
      </c>
      <c r="C754" t="inlineStr">
        <is>
          <t>817</t>
        </is>
      </c>
      <c r="D754" t="n">
        <v>8.17</v>
      </c>
      <c r="E754">
        <f>MEDIAN(D734:D774)</f>
        <v/>
      </c>
      <c r="F754">
        <f>E734</f>
        <v/>
      </c>
      <c r="G754">
        <f>F754-E754</f>
        <v/>
      </c>
      <c r="H754">
        <f>IF(OR(NOT(ISNUMBER(D754)),ABS(D754-E754)&gt;$O$3,AND($O$11=1,B754&lt;$O$12)),1,0)</f>
        <v/>
      </c>
      <c r="I754">
        <f>IF(H754=1,NA(),D754)</f>
        <v/>
      </c>
      <c r="J754">
        <f>IF(AND(ISNUMBER(D754),D754&gt;=$O$4,OR($O$11=0,B754&gt;=$O$12)),1,0)</f>
        <v/>
      </c>
      <c r="K754">
        <f>B754-$O$14</f>
        <v/>
      </c>
    </row>
    <row r="755">
      <c r="A755" t="n">
        <v>2259</v>
      </c>
      <c r="B755" t="n">
        <v>75.3</v>
      </c>
      <c r="C755" t="inlineStr">
        <is>
          <t>818</t>
        </is>
      </c>
      <c r="D755" t="n">
        <v>8.18</v>
      </c>
      <c r="E755">
        <f>MEDIAN(D735:D775)</f>
        <v/>
      </c>
      <c r="F755">
        <f>E735</f>
        <v/>
      </c>
      <c r="G755">
        <f>F755-E755</f>
        <v/>
      </c>
      <c r="H755">
        <f>IF(OR(NOT(ISNUMBER(D755)),ABS(D755-E755)&gt;$O$3,AND($O$11=1,B755&lt;$O$12)),1,0)</f>
        <v/>
      </c>
      <c r="I755">
        <f>IF(H755=1,NA(),D755)</f>
        <v/>
      </c>
      <c r="J755">
        <f>IF(AND(ISNUMBER(D755),D755&gt;=$O$4,OR($O$11=0,B755&gt;=$O$12)),1,0)</f>
        <v/>
      </c>
      <c r="K755">
        <f>B755-$O$14</f>
        <v/>
      </c>
    </row>
    <row r="756">
      <c r="A756" t="n">
        <v>2262</v>
      </c>
      <c r="B756" t="n">
        <v>75.40000000000001</v>
      </c>
      <c r="C756" t="inlineStr">
        <is>
          <t>818</t>
        </is>
      </c>
      <c r="D756" t="n">
        <v>8.18</v>
      </c>
      <c r="E756">
        <f>MEDIAN(D736:D776)</f>
        <v/>
      </c>
      <c r="F756">
        <f>E736</f>
        <v/>
      </c>
      <c r="G756">
        <f>F756-E756</f>
        <v/>
      </c>
      <c r="H756">
        <f>IF(OR(NOT(ISNUMBER(D756)),ABS(D756-E756)&gt;$O$3,AND($O$11=1,B756&lt;$O$12)),1,0)</f>
        <v/>
      </c>
      <c r="I756">
        <f>IF(H756=1,NA(),D756)</f>
        <v/>
      </c>
      <c r="J756">
        <f>IF(AND(ISNUMBER(D756),D756&gt;=$O$4,OR($O$11=0,B756&gt;=$O$12)),1,0)</f>
        <v/>
      </c>
      <c r="K756">
        <f>B756-$O$14</f>
        <v/>
      </c>
    </row>
    <row r="757">
      <c r="A757" t="n">
        <v>2265</v>
      </c>
      <c r="B757" t="n">
        <v>75.5</v>
      </c>
      <c r="C757" t="inlineStr">
        <is>
          <t>819</t>
        </is>
      </c>
      <c r="D757" t="n">
        <v>8.19</v>
      </c>
      <c r="E757">
        <f>MEDIAN(D737:D777)</f>
        <v/>
      </c>
      <c r="F757">
        <f>E737</f>
        <v/>
      </c>
      <c r="G757">
        <f>F757-E757</f>
        <v/>
      </c>
      <c r="H757">
        <f>IF(OR(NOT(ISNUMBER(D757)),ABS(D757-E757)&gt;$O$3,AND($O$11=1,B757&lt;$O$12)),1,0)</f>
        <v/>
      </c>
      <c r="I757">
        <f>IF(H757=1,NA(),D757)</f>
        <v/>
      </c>
      <c r="J757">
        <f>IF(AND(ISNUMBER(D757),D757&gt;=$O$4,OR($O$11=0,B757&gt;=$O$12)),1,0)</f>
        <v/>
      </c>
      <c r="K757">
        <f>B757-$O$14</f>
        <v/>
      </c>
    </row>
    <row r="758">
      <c r="A758" t="n">
        <v>2268</v>
      </c>
      <c r="B758" t="n">
        <v>75.59999999999999</v>
      </c>
      <c r="C758" t="inlineStr">
        <is>
          <t>819</t>
        </is>
      </c>
      <c r="D758" t="n">
        <v>8.19</v>
      </c>
      <c r="E758">
        <f>MEDIAN(D738:D778)</f>
        <v/>
      </c>
      <c r="F758">
        <f>E738</f>
        <v/>
      </c>
      <c r="G758">
        <f>F758-E758</f>
        <v/>
      </c>
      <c r="H758">
        <f>IF(OR(NOT(ISNUMBER(D758)),ABS(D758-E758)&gt;$O$3,AND($O$11=1,B758&lt;$O$12)),1,0)</f>
        <v/>
      </c>
      <c r="I758">
        <f>IF(H758=1,NA(),D758)</f>
        <v/>
      </c>
      <c r="J758">
        <f>IF(AND(ISNUMBER(D758),D758&gt;=$O$4,OR($O$11=0,B758&gt;=$O$12)),1,0)</f>
        <v/>
      </c>
      <c r="K758">
        <f>B758-$O$14</f>
        <v/>
      </c>
    </row>
    <row r="759">
      <c r="A759" t="n">
        <v>2271</v>
      </c>
      <c r="B759" t="n">
        <v>75.7</v>
      </c>
      <c r="C759" t="inlineStr">
        <is>
          <t>819</t>
        </is>
      </c>
      <c r="D759" t="n">
        <v>8.19</v>
      </c>
      <c r="E759">
        <f>MEDIAN(D739:D779)</f>
        <v/>
      </c>
      <c r="F759">
        <f>E739</f>
        <v/>
      </c>
      <c r="G759">
        <f>F759-E759</f>
        <v/>
      </c>
      <c r="H759">
        <f>IF(OR(NOT(ISNUMBER(D759)),ABS(D759-E759)&gt;$O$3,AND($O$11=1,B759&lt;$O$12)),1,0)</f>
        <v/>
      </c>
      <c r="I759">
        <f>IF(H759=1,NA(),D759)</f>
        <v/>
      </c>
      <c r="J759">
        <f>IF(AND(ISNUMBER(D759),D759&gt;=$O$4,OR($O$11=0,B759&gt;=$O$12)),1,0)</f>
        <v/>
      </c>
      <c r="K759">
        <f>B759-$O$14</f>
        <v/>
      </c>
    </row>
    <row r="760">
      <c r="A760" t="n">
        <v>2274</v>
      </c>
      <c r="B760" t="n">
        <v>75.8</v>
      </c>
      <c r="C760" t="inlineStr">
        <is>
          <t>820</t>
        </is>
      </c>
      <c r="D760" t="n">
        <v>8.199999999999999</v>
      </c>
      <c r="E760">
        <f>MEDIAN(D740:D780)</f>
        <v/>
      </c>
      <c r="F760">
        <f>E740</f>
        <v/>
      </c>
      <c r="G760">
        <f>F760-E760</f>
        <v/>
      </c>
      <c r="H760">
        <f>IF(OR(NOT(ISNUMBER(D760)),ABS(D760-E760)&gt;$O$3,AND($O$11=1,B760&lt;$O$12)),1,0)</f>
        <v/>
      </c>
      <c r="I760">
        <f>IF(H760=1,NA(),D760)</f>
        <v/>
      </c>
      <c r="J760">
        <f>IF(AND(ISNUMBER(D760),D760&gt;=$O$4,OR($O$11=0,B760&gt;=$O$12)),1,0)</f>
        <v/>
      </c>
      <c r="K760">
        <f>B760-$O$14</f>
        <v/>
      </c>
    </row>
    <row r="761">
      <c r="A761" t="n">
        <v>2277</v>
      </c>
      <c r="B761" t="n">
        <v>75.90000000000001</v>
      </c>
      <c r="C761" t="inlineStr">
        <is>
          <t>820</t>
        </is>
      </c>
      <c r="D761" t="n">
        <v>8.199999999999999</v>
      </c>
      <c r="E761">
        <f>MEDIAN(D741:D781)</f>
        <v/>
      </c>
      <c r="F761">
        <f>E741</f>
        <v/>
      </c>
      <c r="G761">
        <f>F761-E761</f>
        <v/>
      </c>
      <c r="H761">
        <f>IF(OR(NOT(ISNUMBER(D761)),ABS(D761-E761)&gt;$O$3,AND($O$11=1,B761&lt;$O$12)),1,0)</f>
        <v/>
      </c>
      <c r="I761">
        <f>IF(H761=1,NA(),D761)</f>
        <v/>
      </c>
      <c r="J761">
        <f>IF(AND(ISNUMBER(D761),D761&gt;=$O$4,OR($O$11=0,B761&gt;=$O$12)),1,0)</f>
        <v/>
      </c>
      <c r="K761">
        <f>B761-$O$14</f>
        <v/>
      </c>
    </row>
    <row r="762">
      <c r="A762" t="n">
        <v>2280</v>
      </c>
      <c r="B762" t="n">
        <v>76</v>
      </c>
      <c r="C762" t="inlineStr">
        <is>
          <t>820</t>
        </is>
      </c>
      <c r="D762" t="n">
        <v>8.199999999999999</v>
      </c>
      <c r="E762">
        <f>MEDIAN(D742:D782)</f>
        <v/>
      </c>
      <c r="F762">
        <f>E742</f>
        <v/>
      </c>
      <c r="G762">
        <f>F762-E762</f>
        <v/>
      </c>
      <c r="H762">
        <f>IF(OR(NOT(ISNUMBER(D762)),ABS(D762-E762)&gt;$O$3,AND($O$11=1,B762&lt;$O$12)),1,0)</f>
        <v/>
      </c>
      <c r="I762">
        <f>IF(H762=1,NA(),D762)</f>
        <v/>
      </c>
      <c r="J762">
        <f>IF(AND(ISNUMBER(D762),D762&gt;=$O$4,OR($O$11=0,B762&gt;=$O$12)),1,0)</f>
        <v/>
      </c>
      <c r="K762">
        <f>B762-$O$14</f>
        <v/>
      </c>
    </row>
    <row r="763">
      <c r="A763" t="n">
        <v>2283</v>
      </c>
      <c r="B763" t="n">
        <v>76.09999999999999</v>
      </c>
      <c r="C763" t="inlineStr">
        <is>
          <t>820</t>
        </is>
      </c>
      <c r="D763" t="n">
        <v>8.199999999999999</v>
      </c>
      <c r="E763">
        <f>MEDIAN(D743:D783)</f>
        <v/>
      </c>
      <c r="F763">
        <f>E743</f>
        <v/>
      </c>
      <c r="G763">
        <f>F763-E763</f>
        <v/>
      </c>
      <c r="H763">
        <f>IF(OR(NOT(ISNUMBER(D763)),ABS(D763-E763)&gt;$O$3,AND($O$11=1,B763&lt;$O$12)),1,0)</f>
        <v/>
      </c>
      <c r="I763">
        <f>IF(H763=1,NA(),D763)</f>
        <v/>
      </c>
      <c r="J763">
        <f>IF(AND(ISNUMBER(D763),D763&gt;=$O$4,OR($O$11=0,B763&gt;=$O$12)),1,0)</f>
        <v/>
      </c>
      <c r="K763">
        <f>B763-$O$14</f>
        <v/>
      </c>
    </row>
    <row r="764">
      <c r="A764" t="n">
        <v>2286</v>
      </c>
      <c r="B764" t="n">
        <v>76.2</v>
      </c>
      <c r="C764" t="inlineStr">
        <is>
          <t>821</t>
        </is>
      </c>
      <c r="D764" t="n">
        <v>8.210000000000001</v>
      </c>
      <c r="E764">
        <f>MEDIAN(D744:D784)</f>
        <v/>
      </c>
      <c r="F764">
        <f>E744</f>
        <v/>
      </c>
      <c r="G764">
        <f>F764-E764</f>
        <v/>
      </c>
      <c r="H764">
        <f>IF(OR(NOT(ISNUMBER(D764)),ABS(D764-E764)&gt;$O$3,AND($O$11=1,B764&lt;$O$12)),1,0)</f>
        <v/>
      </c>
      <c r="I764">
        <f>IF(H764=1,NA(),D764)</f>
        <v/>
      </c>
      <c r="J764">
        <f>IF(AND(ISNUMBER(D764),D764&gt;=$O$4,OR($O$11=0,B764&gt;=$O$12)),1,0)</f>
        <v/>
      </c>
      <c r="K764">
        <f>B764-$O$14</f>
        <v/>
      </c>
    </row>
    <row r="765">
      <c r="A765" t="n">
        <v>2289</v>
      </c>
      <c r="B765" t="n">
        <v>76.3</v>
      </c>
      <c r="C765" t="inlineStr">
        <is>
          <t>821</t>
        </is>
      </c>
      <c r="D765" t="n">
        <v>8.210000000000001</v>
      </c>
      <c r="E765">
        <f>MEDIAN(D745:D785)</f>
        <v/>
      </c>
      <c r="F765">
        <f>E745</f>
        <v/>
      </c>
      <c r="G765">
        <f>F765-E765</f>
        <v/>
      </c>
      <c r="H765">
        <f>IF(OR(NOT(ISNUMBER(D765)),ABS(D765-E765)&gt;$O$3,AND($O$11=1,B765&lt;$O$12)),1,0)</f>
        <v/>
      </c>
      <c r="I765">
        <f>IF(H765=1,NA(),D765)</f>
        <v/>
      </c>
      <c r="J765">
        <f>IF(AND(ISNUMBER(D765),D765&gt;=$O$4,OR($O$11=0,B765&gt;=$O$12)),1,0)</f>
        <v/>
      </c>
      <c r="K765">
        <f>B765-$O$14</f>
        <v/>
      </c>
    </row>
    <row r="766">
      <c r="A766" t="n">
        <v>2292</v>
      </c>
      <c r="B766" t="n">
        <v>76.40000000000001</v>
      </c>
      <c r="C766" t="inlineStr">
        <is>
          <t>821</t>
        </is>
      </c>
      <c r="D766" t="n">
        <v>8.210000000000001</v>
      </c>
      <c r="E766">
        <f>MEDIAN(D746:D786)</f>
        <v/>
      </c>
      <c r="F766">
        <f>E746</f>
        <v/>
      </c>
      <c r="G766">
        <f>F766-E766</f>
        <v/>
      </c>
      <c r="H766">
        <f>IF(OR(NOT(ISNUMBER(D766)),ABS(D766-E766)&gt;$O$3,AND($O$11=1,B766&lt;$O$12)),1,0)</f>
        <v/>
      </c>
      <c r="I766">
        <f>IF(H766=1,NA(),D766)</f>
        <v/>
      </c>
      <c r="J766">
        <f>IF(AND(ISNUMBER(D766),D766&gt;=$O$4,OR($O$11=0,B766&gt;=$O$12)),1,0)</f>
        <v/>
      </c>
      <c r="K766">
        <f>B766-$O$14</f>
        <v/>
      </c>
    </row>
    <row r="767">
      <c r="A767" t="n">
        <v>2295</v>
      </c>
      <c r="B767" t="n">
        <v>76.5</v>
      </c>
      <c r="C767" t="inlineStr">
        <is>
          <t>821</t>
        </is>
      </c>
      <c r="D767" t="n">
        <v>8.210000000000001</v>
      </c>
      <c r="E767">
        <f>MEDIAN(D747:D787)</f>
        <v/>
      </c>
      <c r="F767">
        <f>E747</f>
        <v/>
      </c>
      <c r="G767">
        <f>F767-E767</f>
        <v/>
      </c>
      <c r="H767">
        <f>IF(OR(NOT(ISNUMBER(D767)),ABS(D767-E767)&gt;$O$3,AND($O$11=1,B767&lt;$O$12)),1,0)</f>
        <v/>
      </c>
      <c r="I767">
        <f>IF(H767=1,NA(),D767)</f>
        <v/>
      </c>
      <c r="J767">
        <f>IF(AND(ISNUMBER(D767),D767&gt;=$O$4,OR($O$11=0,B767&gt;=$O$12)),1,0)</f>
        <v/>
      </c>
      <c r="K767">
        <f>B767-$O$14</f>
        <v/>
      </c>
    </row>
    <row r="768">
      <c r="A768" t="n">
        <v>2298</v>
      </c>
      <c r="B768" t="n">
        <v>76.59999999999999</v>
      </c>
      <c r="C768" t="inlineStr">
        <is>
          <t>822</t>
        </is>
      </c>
      <c r="D768" t="n">
        <v>8.220000000000001</v>
      </c>
      <c r="E768">
        <f>MEDIAN(D748:D788)</f>
        <v/>
      </c>
      <c r="F768">
        <f>E748</f>
        <v/>
      </c>
      <c r="G768">
        <f>F768-E768</f>
        <v/>
      </c>
      <c r="H768">
        <f>IF(OR(NOT(ISNUMBER(D768)),ABS(D768-E768)&gt;$O$3,AND($O$11=1,B768&lt;$O$12)),1,0)</f>
        <v/>
      </c>
      <c r="I768">
        <f>IF(H768=1,NA(),D768)</f>
        <v/>
      </c>
      <c r="J768">
        <f>IF(AND(ISNUMBER(D768),D768&gt;=$O$4,OR($O$11=0,B768&gt;=$O$12)),1,0)</f>
        <v/>
      </c>
      <c r="K768">
        <f>B768-$O$14</f>
        <v/>
      </c>
    </row>
    <row r="769">
      <c r="A769" t="n">
        <v>2301</v>
      </c>
      <c r="B769" t="n">
        <v>76.7</v>
      </c>
      <c r="C769" t="inlineStr">
        <is>
          <t>822</t>
        </is>
      </c>
      <c r="D769" t="n">
        <v>8.220000000000001</v>
      </c>
      <c r="E769">
        <f>MEDIAN(D749:D789)</f>
        <v/>
      </c>
      <c r="F769">
        <f>E749</f>
        <v/>
      </c>
      <c r="G769">
        <f>F769-E769</f>
        <v/>
      </c>
      <c r="H769">
        <f>IF(OR(NOT(ISNUMBER(D769)),ABS(D769-E769)&gt;$O$3,AND($O$11=1,B769&lt;$O$12)),1,0)</f>
        <v/>
      </c>
      <c r="I769">
        <f>IF(H769=1,NA(),D769)</f>
        <v/>
      </c>
      <c r="J769">
        <f>IF(AND(ISNUMBER(D769),D769&gt;=$O$4,OR($O$11=0,B769&gt;=$O$12)),1,0)</f>
        <v/>
      </c>
      <c r="K769">
        <f>B769-$O$14</f>
        <v/>
      </c>
    </row>
    <row r="770">
      <c r="A770" t="n">
        <v>2304</v>
      </c>
      <c r="B770" t="n">
        <v>76.8</v>
      </c>
      <c r="C770" t="inlineStr">
        <is>
          <t>821</t>
        </is>
      </c>
      <c r="D770" t="n">
        <v>8.210000000000001</v>
      </c>
      <c r="E770">
        <f>MEDIAN(D750:D790)</f>
        <v/>
      </c>
      <c r="F770">
        <f>E750</f>
        <v/>
      </c>
      <c r="G770">
        <f>F770-E770</f>
        <v/>
      </c>
      <c r="H770">
        <f>IF(OR(NOT(ISNUMBER(D770)),ABS(D770-E770)&gt;$O$3,AND($O$11=1,B770&lt;$O$12)),1,0)</f>
        <v/>
      </c>
      <c r="I770">
        <f>IF(H770=1,NA(),D770)</f>
        <v/>
      </c>
      <c r="J770">
        <f>IF(AND(ISNUMBER(D770),D770&gt;=$O$4,OR($O$11=0,B770&gt;=$O$12)),1,0)</f>
        <v/>
      </c>
      <c r="K770">
        <f>B770-$O$14</f>
        <v/>
      </c>
    </row>
    <row r="771">
      <c r="A771" t="n">
        <v>2307</v>
      </c>
      <c r="B771" t="n">
        <v>76.90000000000001</v>
      </c>
      <c r="C771" t="inlineStr">
        <is>
          <t>822</t>
        </is>
      </c>
      <c r="D771" t="n">
        <v>8.220000000000001</v>
      </c>
      <c r="E771">
        <f>MEDIAN(D751:D791)</f>
        <v/>
      </c>
      <c r="F771">
        <f>E751</f>
        <v/>
      </c>
      <c r="G771">
        <f>F771-E771</f>
        <v/>
      </c>
      <c r="H771">
        <f>IF(OR(NOT(ISNUMBER(D771)),ABS(D771-E771)&gt;$O$3,AND($O$11=1,B771&lt;$O$12)),1,0)</f>
        <v/>
      </c>
      <c r="I771">
        <f>IF(H771=1,NA(),D771)</f>
        <v/>
      </c>
      <c r="J771">
        <f>IF(AND(ISNUMBER(D771),D771&gt;=$O$4,OR($O$11=0,B771&gt;=$O$12)),1,0)</f>
        <v/>
      </c>
      <c r="K771">
        <f>B771-$O$14</f>
        <v/>
      </c>
    </row>
    <row r="772">
      <c r="A772" t="n">
        <v>2310</v>
      </c>
      <c r="B772" t="n">
        <v>77</v>
      </c>
      <c r="C772" t="inlineStr">
        <is>
          <t>822</t>
        </is>
      </c>
      <c r="D772" t="n">
        <v>8.220000000000001</v>
      </c>
      <c r="E772">
        <f>MEDIAN(D752:D792)</f>
        <v/>
      </c>
      <c r="F772">
        <f>E752</f>
        <v/>
      </c>
      <c r="G772">
        <f>F772-E772</f>
        <v/>
      </c>
      <c r="H772">
        <f>IF(OR(NOT(ISNUMBER(D772)),ABS(D772-E772)&gt;$O$3,AND($O$11=1,B772&lt;$O$12)),1,0)</f>
        <v/>
      </c>
      <c r="I772">
        <f>IF(H772=1,NA(),D772)</f>
        <v/>
      </c>
      <c r="J772">
        <f>IF(AND(ISNUMBER(D772),D772&gt;=$O$4,OR($O$11=0,B772&gt;=$O$12)),1,0)</f>
        <v/>
      </c>
      <c r="K772">
        <f>B772-$O$14</f>
        <v/>
      </c>
    </row>
    <row r="773">
      <c r="A773" t="n">
        <v>2313</v>
      </c>
      <c r="B773" t="n">
        <v>77.09999999999999</v>
      </c>
      <c r="C773" t="inlineStr">
        <is>
          <t>822</t>
        </is>
      </c>
      <c r="D773" t="n">
        <v>8.220000000000001</v>
      </c>
      <c r="E773">
        <f>MEDIAN(D753:D793)</f>
        <v/>
      </c>
      <c r="F773">
        <f>E753</f>
        <v/>
      </c>
      <c r="G773">
        <f>F773-E773</f>
        <v/>
      </c>
      <c r="H773">
        <f>IF(OR(NOT(ISNUMBER(D773)),ABS(D773-E773)&gt;$O$3,AND($O$11=1,B773&lt;$O$12)),1,0)</f>
        <v/>
      </c>
      <c r="I773">
        <f>IF(H773=1,NA(),D773)</f>
        <v/>
      </c>
      <c r="J773">
        <f>IF(AND(ISNUMBER(D773),D773&gt;=$O$4,OR($O$11=0,B773&gt;=$O$12)),1,0)</f>
        <v/>
      </c>
      <c r="K773">
        <f>B773-$O$14</f>
        <v/>
      </c>
    </row>
    <row r="774">
      <c r="A774" t="n">
        <v>2316</v>
      </c>
      <c r="B774" t="n">
        <v>77.2</v>
      </c>
      <c r="C774" t="inlineStr">
        <is>
          <t>822</t>
        </is>
      </c>
      <c r="D774" t="n">
        <v>8.220000000000001</v>
      </c>
      <c r="E774">
        <f>MEDIAN(D754:D794)</f>
        <v/>
      </c>
      <c r="F774">
        <f>E754</f>
        <v/>
      </c>
      <c r="G774">
        <f>F774-E774</f>
        <v/>
      </c>
      <c r="H774">
        <f>IF(OR(NOT(ISNUMBER(D774)),ABS(D774-E774)&gt;$O$3,AND($O$11=1,B774&lt;$O$12)),1,0)</f>
        <v/>
      </c>
      <c r="I774">
        <f>IF(H774=1,NA(),D774)</f>
        <v/>
      </c>
      <c r="J774">
        <f>IF(AND(ISNUMBER(D774),D774&gt;=$O$4,OR($O$11=0,B774&gt;=$O$12)),1,0)</f>
        <v/>
      </c>
      <c r="K774">
        <f>B774-$O$14</f>
        <v/>
      </c>
    </row>
    <row r="775">
      <c r="A775" t="n">
        <v>2319</v>
      </c>
      <c r="B775" t="n">
        <v>77.3</v>
      </c>
      <c r="C775" t="inlineStr">
        <is>
          <t>822</t>
        </is>
      </c>
      <c r="D775" t="n">
        <v>8.220000000000001</v>
      </c>
      <c r="E775">
        <f>MEDIAN(D755:D795)</f>
        <v/>
      </c>
      <c r="F775">
        <f>E755</f>
        <v/>
      </c>
      <c r="G775">
        <f>F775-E775</f>
        <v/>
      </c>
      <c r="H775">
        <f>IF(OR(NOT(ISNUMBER(D775)),ABS(D775-E775)&gt;$O$3,AND($O$11=1,B775&lt;$O$12)),1,0)</f>
        <v/>
      </c>
      <c r="I775">
        <f>IF(H775=1,NA(),D775)</f>
        <v/>
      </c>
      <c r="J775">
        <f>IF(AND(ISNUMBER(D775),D775&gt;=$O$4,OR($O$11=0,B775&gt;=$O$12)),1,0)</f>
        <v/>
      </c>
      <c r="K775">
        <f>B775-$O$14</f>
        <v/>
      </c>
    </row>
    <row r="776">
      <c r="A776" t="n">
        <v>2322</v>
      </c>
      <c r="B776" t="n">
        <v>77.40000000000001</v>
      </c>
      <c r="C776" t="inlineStr">
        <is>
          <t>822</t>
        </is>
      </c>
      <c r="D776" t="n">
        <v>8.220000000000001</v>
      </c>
      <c r="E776">
        <f>MEDIAN(D756:D796)</f>
        <v/>
      </c>
      <c r="F776">
        <f>E756</f>
        <v/>
      </c>
      <c r="G776">
        <f>F776-E776</f>
        <v/>
      </c>
      <c r="H776">
        <f>IF(OR(NOT(ISNUMBER(D776)),ABS(D776-E776)&gt;$O$3,AND($O$11=1,B776&lt;$O$12)),1,0)</f>
        <v/>
      </c>
      <c r="I776">
        <f>IF(H776=1,NA(),D776)</f>
        <v/>
      </c>
      <c r="J776">
        <f>IF(AND(ISNUMBER(D776),D776&gt;=$O$4,OR($O$11=0,B776&gt;=$O$12)),1,0)</f>
        <v/>
      </c>
      <c r="K776">
        <f>B776-$O$14</f>
        <v/>
      </c>
    </row>
    <row r="777">
      <c r="A777" t="n">
        <v>2325</v>
      </c>
      <c r="B777" t="n">
        <v>77.5</v>
      </c>
      <c r="C777" t="inlineStr">
        <is>
          <t>822</t>
        </is>
      </c>
      <c r="D777" t="n">
        <v>8.220000000000001</v>
      </c>
      <c r="E777">
        <f>MEDIAN(D757:D797)</f>
        <v/>
      </c>
      <c r="F777">
        <f>E757</f>
        <v/>
      </c>
      <c r="G777">
        <f>F777-E777</f>
        <v/>
      </c>
      <c r="H777">
        <f>IF(OR(NOT(ISNUMBER(D777)),ABS(D777-E777)&gt;$O$3,AND($O$11=1,B777&lt;$O$12)),1,0)</f>
        <v/>
      </c>
      <c r="I777">
        <f>IF(H777=1,NA(),D777)</f>
        <v/>
      </c>
      <c r="J777">
        <f>IF(AND(ISNUMBER(D777),D777&gt;=$O$4,OR($O$11=0,B777&gt;=$O$12)),1,0)</f>
        <v/>
      </c>
      <c r="K777">
        <f>B777-$O$14</f>
        <v/>
      </c>
    </row>
    <row r="778">
      <c r="A778" t="n">
        <v>2328</v>
      </c>
      <c r="B778" t="n">
        <v>77.59999999999999</v>
      </c>
      <c r="C778" t="inlineStr">
        <is>
          <t>822</t>
        </is>
      </c>
      <c r="D778" t="n">
        <v>8.220000000000001</v>
      </c>
      <c r="E778">
        <f>MEDIAN(D758:D798)</f>
        <v/>
      </c>
      <c r="F778">
        <f>E758</f>
        <v/>
      </c>
      <c r="G778">
        <f>F778-E778</f>
        <v/>
      </c>
      <c r="H778">
        <f>IF(OR(NOT(ISNUMBER(D778)),ABS(D778-E778)&gt;$O$3,AND($O$11=1,B778&lt;$O$12)),1,0)</f>
        <v/>
      </c>
      <c r="I778">
        <f>IF(H778=1,NA(),D778)</f>
        <v/>
      </c>
      <c r="J778">
        <f>IF(AND(ISNUMBER(D778),D778&gt;=$O$4,OR($O$11=0,B778&gt;=$O$12)),1,0)</f>
        <v/>
      </c>
      <c r="K778">
        <f>B778-$O$14</f>
        <v/>
      </c>
    </row>
    <row r="779">
      <c r="A779" t="n">
        <v>2331</v>
      </c>
      <c r="B779" t="n">
        <v>77.7</v>
      </c>
      <c r="C779" t="inlineStr">
        <is>
          <t>822</t>
        </is>
      </c>
      <c r="D779" t="n">
        <v>8.220000000000001</v>
      </c>
      <c r="E779">
        <f>MEDIAN(D759:D799)</f>
        <v/>
      </c>
      <c r="F779">
        <f>E759</f>
        <v/>
      </c>
      <c r="G779">
        <f>F779-E779</f>
        <v/>
      </c>
      <c r="H779">
        <f>IF(OR(NOT(ISNUMBER(D779)),ABS(D779-E779)&gt;$O$3,AND($O$11=1,B779&lt;$O$12)),1,0)</f>
        <v/>
      </c>
      <c r="I779">
        <f>IF(H779=1,NA(),D779)</f>
        <v/>
      </c>
      <c r="J779">
        <f>IF(AND(ISNUMBER(D779),D779&gt;=$O$4,OR($O$11=0,B779&gt;=$O$12)),1,0)</f>
        <v/>
      </c>
      <c r="K779">
        <f>B779-$O$14</f>
        <v/>
      </c>
    </row>
    <row r="780">
      <c r="A780" t="n">
        <v>2334</v>
      </c>
      <c r="B780" t="n">
        <v>77.8</v>
      </c>
      <c r="C780" t="inlineStr">
        <is>
          <t>822</t>
        </is>
      </c>
      <c r="D780" t="n">
        <v>8.220000000000001</v>
      </c>
      <c r="E780">
        <f>MEDIAN(D760:D800)</f>
        <v/>
      </c>
      <c r="F780">
        <f>E760</f>
        <v/>
      </c>
      <c r="G780">
        <f>F780-E780</f>
        <v/>
      </c>
      <c r="H780">
        <f>IF(OR(NOT(ISNUMBER(D780)),ABS(D780-E780)&gt;$O$3,AND($O$11=1,B780&lt;$O$12)),1,0)</f>
        <v/>
      </c>
      <c r="I780">
        <f>IF(H780=1,NA(),D780)</f>
        <v/>
      </c>
      <c r="J780">
        <f>IF(AND(ISNUMBER(D780),D780&gt;=$O$4,OR($O$11=0,B780&gt;=$O$12)),1,0)</f>
        <v/>
      </c>
      <c r="K780">
        <f>B780-$O$14</f>
        <v/>
      </c>
    </row>
    <row r="781">
      <c r="A781" t="n">
        <v>2337</v>
      </c>
      <c r="B781" t="n">
        <v>77.90000000000001</v>
      </c>
      <c r="C781" t="inlineStr">
        <is>
          <t>822</t>
        </is>
      </c>
      <c r="D781" t="n">
        <v>8.220000000000001</v>
      </c>
      <c r="E781">
        <f>MEDIAN(D761:D801)</f>
        <v/>
      </c>
      <c r="F781">
        <f>E761</f>
        <v/>
      </c>
      <c r="G781">
        <f>F781-E781</f>
        <v/>
      </c>
      <c r="H781">
        <f>IF(OR(NOT(ISNUMBER(D781)),ABS(D781-E781)&gt;$O$3,AND($O$11=1,B781&lt;$O$12)),1,0)</f>
        <v/>
      </c>
      <c r="I781">
        <f>IF(H781=1,NA(),D781)</f>
        <v/>
      </c>
      <c r="J781">
        <f>IF(AND(ISNUMBER(D781),D781&gt;=$O$4,OR($O$11=0,B781&gt;=$O$12)),1,0)</f>
        <v/>
      </c>
      <c r="K781">
        <f>B781-$O$14</f>
        <v/>
      </c>
    </row>
    <row r="782">
      <c r="A782" t="n">
        <v>2340</v>
      </c>
      <c r="B782" t="n">
        <v>78</v>
      </c>
      <c r="C782" t="inlineStr">
        <is>
          <t>822</t>
        </is>
      </c>
      <c r="D782" t="n">
        <v>8.220000000000001</v>
      </c>
      <c r="E782">
        <f>MEDIAN(D762:D802)</f>
        <v/>
      </c>
      <c r="F782">
        <f>E762</f>
        <v/>
      </c>
      <c r="G782">
        <f>F782-E782</f>
        <v/>
      </c>
      <c r="H782">
        <f>IF(OR(NOT(ISNUMBER(D782)),ABS(D782-E782)&gt;$O$3,AND($O$11=1,B782&lt;$O$12)),1,0)</f>
        <v/>
      </c>
      <c r="I782">
        <f>IF(H782=1,NA(),D782)</f>
        <v/>
      </c>
      <c r="J782">
        <f>IF(AND(ISNUMBER(D782),D782&gt;=$O$4,OR($O$11=0,B782&gt;=$O$12)),1,0)</f>
        <v/>
      </c>
      <c r="K782">
        <f>B782-$O$14</f>
        <v/>
      </c>
    </row>
    <row r="783">
      <c r="A783" t="n">
        <v>2343</v>
      </c>
      <c r="B783" t="n">
        <v>78.09999999999999</v>
      </c>
      <c r="C783" t="inlineStr">
        <is>
          <t>822</t>
        </is>
      </c>
      <c r="D783" t="n">
        <v>8.220000000000001</v>
      </c>
      <c r="E783">
        <f>MEDIAN(D763:D803)</f>
        <v/>
      </c>
      <c r="F783">
        <f>E763</f>
        <v/>
      </c>
      <c r="G783">
        <f>F783-E783</f>
        <v/>
      </c>
      <c r="H783">
        <f>IF(OR(NOT(ISNUMBER(D783)),ABS(D783-E783)&gt;$O$3,AND($O$11=1,B783&lt;$O$12)),1,0)</f>
        <v/>
      </c>
      <c r="I783">
        <f>IF(H783=1,NA(),D783)</f>
        <v/>
      </c>
      <c r="J783">
        <f>IF(AND(ISNUMBER(D783),D783&gt;=$O$4,OR($O$11=0,B783&gt;=$O$12)),1,0)</f>
        <v/>
      </c>
      <c r="K783">
        <f>B783-$O$14</f>
        <v/>
      </c>
    </row>
    <row r="784">
      <c r="A784" t="n">
        <v>2346</v>
      </c>
      <c r="B784" t="n">
        <v>78.2</v>
      </c>
      <c r="C784" t="inlineStr">
        <is>
          <t>822</t>
        </is>
      </c>
      <c r="D784" t="n">
        <v>8.220000000000001</v>
      </c>
      <c r="E784">
        <f>MEDIAN(D764:D804)</f>
        <v/>
      </c>
      <c r="F784">
        <f>E764</f>
        <v/>
      </c>
      <c r="G784">
        <f>F784-E784</f>
        <v/>
      </c>
      <c r="H784">
        <f>IF(OR(NOT(ISNUMBER(D784)),ABS(D784-E784)&gt;$O$3,AND($O$11=1,B784&lt;$O$12)),1,0)</f>
        <v/>
      </c>
      <c r="I784">
        <f>IF(H784=1,NA(),D784)</f>
        <v/>
      </c>
      <c r="J784">
        <f>IF(AND(ISNUMBER(D784),D784&gt;=$O$4,OR($O$11=0,B784&gt;=$O$12)),1,0)</f>
        <v/>
      </c>
      <c r="K784">
        <f>B784-$O$14</f>
        <v/>
      </c>
    </row>
    <row r="785">
      <c r="A785" t="n">
        <v>2349</v>
      </c>
      <c r="B785" t="n">
        <v>78.3</v>
      </c>
      <c r="C785" t="inlineStr">
        <is>
          <t>822</t>
        </is>
      </c>
      <c r="D785" t="n">
        <v>8.220000000000001</v>
      </c>
      <c r="E785">
        <f>MEDIAN(D765:D805)</f>
        <v/>
      </c>
      <c r="F785">
        <f>E765</f>
        <v/>
      </c>
      <c r="G785">
        <f>F785-E785</f>
        <v/>
      </c>
      <c r="H785">
        <f>IF(OR(NOT(ISNUMBER(D785)),ABS(D785-E785)&gt;$O$3,AND($O$11=1,B785&lt;$O$12)),1,0)</f>
        <v/>
      </c>
      <c r="I785">
        <f>IF(H785=1,NA(),D785)</f>
        <v/>
      </c>
      <c r="J785">
        <f>IF(AND(ISNUMBER(D785),D785&gt;=$O$4,OR($O$11=0,B785&gt;=$O$12)),1,0)</f>
        <v/>
      </c>
      <c r="K785">
        <f>B785-$O$14</f>
        <v/>
      </c>
    </row>
    <row r="786">
      <c r="A786" t="n">
        <v>2352</v>
      </c>
      <c r="B786" t="n">
        <v>78.40000000000001</v>
      </c>
      <c r="C786" t="inlineStr">
        <is>
          <t>822</t>
        </is>
      </c>
      <c r="D786" t="n">
        <v>8.220000000000001</v>
      </c>
      <c r="E786">
        <f>MEDIAN(D766:D806)</f>
        <v/>
      </c>
      <c r="F786">
        <f>E766</f>
        <v/>
      </c>
      <c r="G786">
        <f>F786-E786</f>
        <v/>
      </c>
      <c r="H786">
        <f>IF(OR(NOT(ISNUMBER(D786)),ABS(D786-E786)&gt;$O$3,AND($O$11=1,B786&lt;$O$12)),1,0)</f>
        <v/>
      </c>
      <c r="I786">
        <f>IF(H786=1,NA(),D786)</f>
        <v/>
      </c>
      <c r="J786">
        <f>IF(AND(ISNUMBER(D786),D786&gt;=$O$4,OR($O$11=0,B786&gt;=$O$12)),1,0)</f>
        <v/>
      </c>
      <c r="K786">
        <f>B786-$O$14</f>
        <v/>
      </c>
    </row>
    <row r="787">
      <c r="A787" t="n">
        <v>2355</v>
      </c>
      <c r="B787" t="n">
        <v>78.5</v>
      </c>
      <c r="C787" t="inlineStr">
        <is>
          <t>822</t>
        </is>
      </c>
      <c r="D787" t="n">
        <v>8.220000000000001</v>
      </c>
      <c r="E787">
        <f>MEDIAN(D767:D807)</f>
        <v/>
      </c>
      <c r="F787">
        <f>E767</f>
        <v/>
      </c>
      <c r="G787">
        <f>F787-E787</f>
        <v/>
      </c>
      <c r="H787">
        <f>IF(OR(NOT(ISNUMBER(D787)),ABS(D787-E787)&gt;$O$3,AND($O$11=1,B787&lt;$O$12)),1,0)</f>
        <v/>
      </c>
      <c r="I787">
        <f>IF(H787=1,NA(),D787)</f>
        <v/>
      </c>
      <c r="J787">
        <f>IF(AND(ISNUMBER(D787),D787&gt;=$O$4,OR($O$11=0,B787&gt;=$O$12)),1,0)</f>
        <v/>
      </c>
      <c r="K787">
        <f>B787-$O$14</f>
        <v/>
      </c>
    </row>
    <row r="788">
      <c r="A788" t="n">
        <v>2358</v>
      </c>
      <c r="B788" t="n">
        <v>78.59999999999999</v>
      </c>
      <c r="C788" t="inlineStr">
        <is>
          <t>822</t>
        </is>
      </c>
      <c r="D788" t="n">
        <v>8.220000000000001</v>
      </c>
      <c r="E788">
        <f>MEDIAN(D768:D808)</f>
        <v/>
      </c>
      <c r="F788">
        <f>E768</f>
        <v/>
      </c>
      <c r="G788">
        <f>F788-E788</f>
        <v/>
      </c>
      <c r="H788">
        <f>IF(OR(NOT(ISNUMBER(D788)),ABS(D788-E788)&gt;$O$3,AND($O$11=1,B788&lt;$O$12)),1,0)</f>
        <v/>
      </c>
      <c r="I788">
        <f>IF(H788=1,NA(),D788)</f>
        <v/>
      </c>
      <c r="J788">
        <f>IF(AND(ISNUMBER(D788),D788&gt;=$O$4,OR($O$11=0,B788&gt;=$O$12)),1,0)</f>
        <v/>
      </c>
      <c r="K788">
        <f>B788-$O$14</f>
        <v/>
      </c>
    </row>
    <row r="789">
      <c r="A789" t="n">
        <v>2361</v>
      </c>
      <c r="B789" t="n">
        <v>78.7</v>
      </c>
      <c r="C789" t="inlineStr">
        <is>
          <t>822</t>
        </is>
      </c>
      <c r="D789" t="n">
        <v>8.220000000000001</v>
      </c>
      <c r="E789">
        <f>MEDIAN(D769:D809)</f>
        <v/>
      </c>
      <c r="F789">
        <f>E769</f>
        <v/>
      </c>
      <c r="G789">
        <f>F789-E789</f>
        <v/>
      </c>
      <c r="H789">
        <f>IF(OR(NOT(ISNUMBER(D789)),ABS(D789-E789)&gt;$O$3,AND($O$11=1,B789&lt;$O$12)),1,0)</f>
        <v/>
      </c>
      <c r="I789">
        <f>IF(H789=1,NA(),D789)</f>
        <v/>
      </c>
      <c r="J789">
        <f>IF(AND(ISNUMBER(D789),D789&gt;=$O$4,OR($O$11=0,B789&gt;=$O$12)),1,0)</f>
        <v/>
      </c>
      <c r="K789">
        <f>B789-$O$14</f>
        <v/>
      </c>
    </row>
    <row r="790">
      <c r="A790" t="n">
        <v>2364</v>
      </c>
      <c r="B790" t="n">
        <v>78.8</v>
      </c>
      <c r="C790" t="inlineStr">
        <is>
          <t>822</t>
        </is>
      </c>
      <c r="D790" t="n">
        <v>8.220000000000001</v>
      </c>
      <c r="E790">
        <f>MEDIAN(D770:D810)</f>
        <v/>
      </c>
      <c r="F790">
        <f>E770</f>
        <v/>
      </c>
      <c r="G790">
        <f>F790-E790</f>
        <v/>
      </c>
      <c r="H790">
        <f>IF(OR(NOT(ISNUMBER(D790)),ABS(D790-E790)&gt;$O$3,AND($O$11=1,B790&lt;$O$12)),1,0)</f>
        <v/>
      </c>
      <c r="I790">
        <f>IF(H790=1,NA(),D790)</f>
        <v/>
      </c>
      <c r="J790">
        <f>IF(AND(ISNUMBER(D790),D790&gt;=$O$4,OR($O$11=0,B790&gt;=$O$12)),1,0)</f>
        <v/>
      </c>
      <c r="K790">
        <f>B790-$O$14</f>
        <v/>
      </c>
    </row>
    <row r="791">
      <c r="A791" t="n">
        <v>2367</v>
      </c>
      <c r="B791" t="n">
        <v>78.90000000000001</v>
      </c>
      <c r="C791" t="inlineStr">
        <is>
          <t>822</t>
        </is>
      </c>
      <c r="D791" t="n">
        <v>8.220000000000001</v>
      </c>
      <c r="E791">
        <f>MEDIAN(D771:D811)</f>
        <v/>
      </c>
      <c r="F791">
        <f>E771</f>
        <v/>
      </c>
      <c r="G791">
        <f>F791-E791</f>
        <v/>
      </c>
      <c r="H791">
        <f>IF(OR(NOT(ISNUMBER(D791)),ABS(D791-E791)&gt;$O$3,AND($O$11=1,B791&lt;$O$12)),1,0)</f>
        <v/>
      </c>
      <c r="I791">
        <f>IF(H791=1,NA(),D791)</f>
        <v/>
      </c>
      <c r="J791">
        <f>IF(AND(ISNUMBER(D791),D791&gt;=$O$4,OR($O$11=0,B791&gt;=$O$12)),1,0)</f>
        <v/>
      </c>
      <c r="K791">
        <f>B791-$O$14</f>
        <v/>
      </c>
    </row>
    <row r="792">
      <c r="A792" t="n">
        <v>2370</v>
      </c>
      <c r="B792" t="n">
        <v>79</v>
      </c>
      <c r="C792" t="inlineStr">
        <is>
          <t>822</t>
        </is>
      </c>
      <c r="D792" t="n">
        <v>8.220000000000001</v>
      </c>
      <c r="E792">
        <f>MEDIAN(D772:D812)</f>
        <v/>
      </c>
      <c r="F792">
        <f>E772</f>
        <v/>
      </c>
      <c r="G792">
        <f>F792-E792</f>
        <v/>
      </c>
      <c r="H792">
        <f>IF(OR(NOT(ISNUMBER(D792)),ABS(D792-E792)&gt;$O$3,AND($O$11=1,B792&lt;$O$12)),1,0)</f>
        <v/>
      </c>
      <c r="I792">
        <f>IF(H792=1,NA(),D792)</f>
        <v/>
      </c>
      <c r="J792">
        <f>IF(AND(ISNUMBER(D792),D792&gt;=$O$4,OR($O$11=0,B792&gt;=$O$12)),1,0)</f>
        <v/>
      </c>
      <c r="K792">
        <f>B792-$O$14</f>
        <v/>
      </c>
    </row>
    <row r="793">
      <c r="A793" t="n">
        <v>2373</v>
      </c>
      <c r="B793" t="n">
        <v>79.09999999999999</v>
      </c>
      <c r="C793" t="inlineStr">
        <is>
          <t>822</t>
        </is>
      </c>
      <c r="D793" t="n">
        <v>8.220000000000001</v>
      </c>
      <c r="E793">
        <f>MEDIAN(D773:D813)</f>
        <v/>
      </c>
      <c r="F793">
        <f>E773</f>
        <v/>
      </c>
      <c r="G793">
        <f>F793-E793</f>
        <v/>
      </c>
      <c r="H793">
        <f>IF(OR(NOT(ISNUMBER(D793)),ABS(D793-E793)&gt;$O$3,AND($O$11=1,B793&lt;$O$12)),1,0)</f>
        <v/>
      </c>
      <c r="I793">
        <f>IF(H793=1,NA(),D793)</f>
        <v/>
      </c>
      <c r="J793">
        <f>IF(AND(ISNUMBER(D793),D793&gt;=$O$4,OR($O$11=0,B793&gt;=$O$12)),1,0)</f>
        <v/>
      </c>
      <c r="K793">
        <f>B793-$O$14</f>
        <v/>
      </c>
    </row>
    <row r="794">
      <c r="A794" t="n">
        <v>2376</v>
      </c>
      <c r="B794" t="n">
        <v>79.2</v>
      </c>
      <c r="C794" t="inlineStr">
        <is>
          <t>822</t>
        </is>
      </c>
      <c r="D794" t="n">
        <v>8.220000000000001</v>
      </c>
      <c r="E794">
        <f>MEDIAN(D774:D814)</f>
        <v/>
      </c>
      <c r="F794">
        <f>E774</f>
        <v/>
      </c>
      <c r="G794">
        <f>F794-E794</f>
        <v/>
      </c>
      <c r="H794">
        <f>IF(OR(NOT(ISNUMBER(D794)),ABS(D794-E794)&gt;$O$3,AND($O$11=1,B794&lt;$O$12)),1,0)</f>
        <v/>
      </c>
      <c r="I794">
        <f>IF(H794=1,NA(),D794)</f>
        <v/>
      </c>
      <c r="J794">
        <f>IF(AND(ISNUMBER(D794),D794&gt;=$O$4,OR($O$11=0,B794&gt;=$O$12)),1,0)</f>
        <v/>
      </c>
      <c r="K794">
        <f>B794-$O$14</f>
        <v/>
      </c>
    </row>
    <row r="795">
      <c r="A795" t="n">
        <v>2379</v>
      </c>
      <c r="B795" t="n">
        <v>79.3</v>
      </c>
      <c r="C795" t="inlineStr">
        <is>
          <t>822</t>
        </is>
      </c>
      <c r="D795" t="n">
        <v>8.220000000000001</v>
      </c>
      <c r="E795">
        <f>MEDIAN(D775:D815)</f>
        <v/>
      </c>
      <c r="F795">
        <f>E775</f>
        <v/>
      </c>
      <c r="G795">
        <f>F795-E795</f>
        <v/>
      </c>
      <c r="H795">
        <f>IF(OR(NOT(ISNUMBER(D795)),ABS(D795-E795)&gt;$O$3,AND($O$11=1,B795&lt;$O$12)),1,0)</f>
        <v/>
      </c>
      <c r="I795">
        <f>IF(H795=1,NA(),D795)</f>
        <v/>
      </c>
      <c r="J795">
        <f>IF(AND(ISNUMBER(D795),D795&gt;=$O$4,OR($O$11=0,B795&gt;=$O$12)),1,0)</f>
        <v/>
      </c>
      <c r="K795">
        <f>B795-$O$14</f>
        <v/>
      </c>
    </row>
    <row r="796">
      <c r="A796" t="n">
        <v>2382</v>
      </c>
      <c r="B796" t="n">
        <v>79.40000000000001</v>
      </c>
      <c r="C796" t="inlineStr">
        <is>
          <t>822</t>
        </is>
      </c>
      <c r="D796" t="n">
        <v>8.220000000000001</v>
      </c>
      <c r="E796">
        <f>MEDIAN(D776:D816)</f>
        <v/>
      </c>
      <c r="F796">
        <f>E776</f>
        <v/>
      </c>
      <c r="G796">
        <f>F796-E796</f>
        <v/>
      </c>
      <c r="H796">
        <f>IF(OR(NOT(ISNUMBER(D796)),ABS(D796-E796)&gt;$O$3,AND($O$11=1,B796&lt;$O$12)),1,0)</f>
        <v/>
      </c>
      <c r="I796">
        <f>IF(H796=1,NA(),D796)</f>
        <v/>
      </c>
      <c r="J796">
        <f>IF(AND(ISNUMBER(D796),D796&gt;=$O$4,OR($O$11=0,B796&gt;=$O$12)),1,0)</f>
        <v/>
      </c>
      <c r="K796">
        <f>B796-$O$14</f>
        <v/>
      </c>
    </row>
    <row r="797">
      <c r="A797" t="n">
        <v>2385</v>
      </c>
      <c r="B797" t="n">
        <v>79.5</v>
      </c>
      <c r="C797" t="inlineStr">
        <is>
          <t>822</t>
        </is>
      </c>
      <c r="D797" t="n">
        <v>8.220000000000001</v>
      </c>
      <c r="E797">
        <f>MEDIAN(D777:D817)</f>
        <v/>
      </c>
      <c r="F797">
        <f>E777</f>
        <v/>
      </c>
      <c r="G797">
        <f>F797-E797</f>
        <v/>
      </c>
      <c r="H797">
        <f>IF(OR(NOT(ISNUMBER(D797)),ABS(D797-E797)&gt;$O$3,AND($O$11=1,B797&lt;$O$12)),1,0)</f>
        <v/>
      </c>
      <c r="I797">
        <f>IF(H797=1,NA(),D797)</f>
        <v/>
      </c>
      <c r="J797">
        <f>IF(AND(ISNUMBER(D797),D797&gt;=$O$4,OR($O$11=0,B797&gt;=$O$12)),1,0)</f>
        <v/>
      </c>
      <c r="K797">
        <f>B797-$O$14</f>
        <v/>
      </c>
    </row>
    <row r="798">
      <c r="A798" t="n">
        <v>2388</v>
      </c>
      <c r="B798" t="n">
        <v>79.59999999999999</v>
      </c>
      <c r="C798" t="inlineStr">
        <is>
          <t>822</t>
        </is>
      </c>
      <c r="D798" t="n">
        <v>8.220000000000001</v>
      </c>
      <c r="E798">
        <f>MEDIAN(D778:D818)</f>
        <v/>
      </c>
      <c r="F798">
        <f>E778</f>
        <v/>
      </c>
      <c r="G798">
        <f>F798-E798</f>
        <v/>
      </c>
      <c r="H798">
        <f>IF(OR(NOT(ISNUMBER(D798)),ABS(D798-E798)&gt;$O$3,AND($O$11=1,B798&lt;$O$12)),1,0)</f>
        <v/>
      </c>
      <c r="I798">
        <f>IF(H798=1,NA(),D798)</f>
        <v/>
      </c>
      <c r="J798">
        <f>IF(AND(ISNUMBER(D798),D798&gt;=$O$4,OR($O$11=0,B798&gt;=$O$12)),1,0)</f>
        <v/>
      </c>
      <c r="K798">
        <f>B798-$O$14</f>
        <v/>
      </c>
    </row>
    <row r="799">
      <c r="A799" t="n">
        <v>2391</v>
      </c>
      <c r="B799" t="n">
        <v>79.7</v>
      </c>
      <c r="C799" t="inlineStr">
        <is>
          <t>822</t>
        </is>
      </c>
      <c r="D799" t="n">
        <v>8.220000000000001</v>
      </c>
      <c r="E799">
        <f>MEDIAN(D779:D819)</f>
        <v/>
      </c>
      <c r="F799">
        <f>E779</f>
        <v/>
      </c>
      <c r="G799">
        <f>F799-E799</f>
        <v/>
      </c>
      <c r="H799">
        <f>IF(OR(NOT(ISNUMBER(D799)),ABS(D799-E799)&gt;$O$3,AND($O$11=1,B799&lt;$O$12)),1,0)</f>
        <v/>
      </c>
      <c r="I799">
        <f>IF(H799=1,NA(),D799)</f>
        <v/>
      </c>
      <c r="J799">
        <f>IF(AND(ISNUMBER(D799),D799&gt;=$O$4,OR($O$11=0,B799&gt;=$O$12)),1,0)</f>
        <v/>
      </c>
      <c r="K799">
        <f>B799-$O$14</f>
        <v/>
      </c>
    </row>
    <row r="800">
      <c r="A800" t="n">
        <v>2394</v>
      </c>
      <c r="B800" t="n">
        <v>79.8</v>
      </c>
      <c r="C800" t="inlineStr">
        <is>
          <t>822</t>
        </is>
      </c>
      <c r="D800" t="n">
        <v>8.220000000000001</v>
      </c>
      <c r="E800">
        <f>MEDIAN(D780:D820)</f>
        <v/>
      </c>
      <c r="F800">
        <f>E780</f>
        <v/>
      </c>
      <c r="G800">
        <f>F800-E800</f>
        <v/>
      </c>
      <c r="H800">
        <f>IF(OR(NOT(ISNUMBER(D800)),ABS(D800-E800)&gt;$O$3,AND($O$11=1,B800&lt;$O$12)),1,0)</f>
        <v/>
      </c>
      <c r="I800">
        <f>IF(H800=1,NA(),D800)</f>
        <v/>
      </c>
      <c r="J800">
        <f>IF(AND(ISNUMBER(D800),D800&gt;=$O$4,OR($O$11=0,B800&gt;=$O$12)),1,0)</f>
        <v/>
      </c>
      <c r="K800">
        <f>B800-$O$14</f>
        <v/>
      </c>
    </row>
    <row r="801">
      <c r="A801" t="n">
        <v>2397</v>
      </c>
      <c r="B801" t="n">
        <v>79.90000000000001</v>
      </c>
      <c r="C801" t="inlineStr">
        <is>
          <t>823</t>
        </is>
      </c>
      <c r="D801" t="n">
        <v>8.23</v>
      </c>
      <c r="E801">
        <f>MEDIAN(D781:D821)</f>
        <v/>
      </c>
      <c r="F801">
        <f>E781</f>
        <v/>
      </c>
      <c r="G801">
        <f>F801-E801</f>
        <v/>
      </c>
      <c r="H801">
        <f>IF(OR(NOT(ISNUMBER(D801)),ABS(D801-E801)&gt;$O$3,AND($O$11=1,B801&lt;$O$12)),1,0)</f>
        <v/>
      </c>
      <c r="I801">
        <f>IF(H801=1,NA(),D801)</f>
        <v/>
      </c>
      <c r="J801">
        <f>IF(AND(ISNUMBER(D801),D801&gt;=$O$4,OR($O$11=0,B801&gt;=$O$12)),1,0)</f>
        <v/>
      </c>
      <c r="K801">
        <f>B801-$O$14</f>
        <v/>
      </c>
    </row>
    <row r="802">
      <c r="A802" t="n">
        <v>2400</v>
      </c>
      <c r="B802" t="n">
        <v>80</v>
      </c>
      <c r="C802" t="inlineStr">
        <is>
          <t>823</t>
        </is>
      </c>
      <c r="D802" t="n">
        <v>8.23</v>
      </c>
      <c r="E802">
        <f>MEDIAN(D782:D822)</f>
        <v/>
      </c>
      <c r="F802">
        <f>E782</f>
        <v/>
      </c>
      <c r="G802">
        <f>F802-E802</f>
        <v/>
      </c>
      <c r="H802">
        <f>IF(OR(NOT(ISNUMBER(D802)),ABS(D802-E802)&gt;$O$3,AND($O$11=1,B802&lt;$O$12)),1,0)</f>
        <v/>
      </c>
      <c r="I802">
        <f>IF(H802=1,NA(),D802)</f>
        <v/>
      </c>
      <c r="J802">
        <f>IF(AND(ISNUMBER(D802),D802&gt;=$O$4,OR($O$11=0,B802&gt;=$O$12)),1,0)</f>
        <v/>
      </c>
      <c r="K802">
        <f>B802-$O$14</f>
        <v/>
      </c>
    </row>
    <row r="803">
      <c r="A803" t="n">
        <v>2403</v>
      </c>
      <c r="B803" t="n">
        <v>80.09999999999999</v>
      </c>
      <c r="C803" t="inlineStr">
        <is>
          <t>823</t>
        </is>
      </c>
      <c r="D803" t="n">
        <v>8.23</v>
      </c>
      <c r="E803">
        <f>MEDIAN(D783:D823)</f>
        <v/>
      </c>
      <c r="F803">
        <f>E783</f>
        <v/>
      </c>
      <c r="G803">
        <f>F803-E803</f>
        <v/>
      </c>
      <c r="H803">
        <f>IF(OR(NOT(ISNUMBER(D803)),ABS(D803-E803)&gt;$O$3,AND($O$11=1,B803&lt;$O$12)),1,0)</f>
        <v/>
      </c>
      <c r="I803">
        <f>IF(H803=1,NA(),D803)</f>
        <v/>
      </c>
      <c r="J803">
        <f>IF(AND(ISNUMBER(D803),D803&gt;=$O$4,OR($O$11=0,B803&gt;=$O$12)),1,0)</f>
        <v/>
      </c>
      <c r="K803">
        <f>B803-$O$14</f>
        <v/>
      </c>
    </row>
    <row r="804">
      <c r="A804" t="n">
        <v>2406</v>
      </c>
      <c r="B804" t="n">
        <v>80.2</v>
      </c>
      <c r="C804" t="inlineStr">
        <is>
          <t>823</t>
        </is>
      </c>
      <c r="D804" t="n">
        <v>8.23</v>
      </c>
      <c r="E804">
        <f>MEDIAN(D784:D824)</f>
        <v/>
      </c>
      <c r="F804">
        <f>E784</f>
        <v/>
      </c>
      <c r="G804">
        <f>F804-E804</f>
        <v/>
      </c>
      <c r="H804">
        <f>IF(OR(NOT(ISNUMBER(D804)),ABS(D804-E804)&gt;$O$3,AND($O$11=1,B804&lt;$O$12)),1,0)</f>
        <v/>
      </c>
      <c r="I804">
        <f>IF(H804=1,NA(),D804)</f>
        <v/>
      </c>
      <c r="J804">
        <f>IF(AND(ISNUMBER(D804),D804&gt;=$O$4,OR($O$11=0,B804&gt;=$O$12)),1,0)</f>
        <v/>
      </c>
      <c r="K804">
        <f>B804-$O$14</f>
        <v/>
      </c>
    </row>
    <row r="805">
      <c r="A805" t="n">
        <v>2409</v>
      </c>
      <c r="B805" t="n">
        <v>80.3</v>
      </c>
      <c r="C805" t="inlineStr">
        <is>
          <t>823</t>
        </is>
      </c>
      <c r="D805" t="n">
        <v>8.23</v>
      </c>
      <c r="E805">
        <f>MEDIAN(D785:D825)</f>
        <v/>
      </c>
      <c r="F805">
        <f>E785</f>
        <v/>
      </c>
      <c r="G805">
        <f>F805-E805</f>
        <v/>
      </c>
      <c r="H805">
        <f>IF(OR(NOT(ISNUMBER(D805)),ABS(D805-E805)&gt;$O$3,AND($O$11=1,B805&lt;$O$12)),1,0)</f>
        <v/>
      </c>
      <c r="I805">
        <f>IF(H805=1,NA(),D805)</f>
        <v/>
      </c>
      <c r="J805">
        <f>IF(AND(ISNUMBER(D805),D805&gt;=$O$4,OR($O$11=0,B805&gt;=$O$12)),1,0)</f>
        <v/>
      </c>
      <c r="K805">
        <f>B805-$O$14</f>
        <v/>
      </c>
    </row>
    <row r="806">
      <c r="A806" t="n">
        <v>2412</v>
      </c>
      <c r="B806" t="n">
        <v>80.40000000000001</v>
      </c>
      <c r="C806" t="inlineStr">
        <is>
          <t>823</t>
        </is>
      </c>
      <c r="D806" t="n">
        <v>8.23</v>
      </c>
      <c r="E806">
        <f>MEDIAN(D786:D826)</f>
        <v/>
      </c>
      <c r="F806">
        <f>E786</f>
        <v/>
      </c>
      <c r="G806">
        <f>F806-E806</f>
        <v/>
      </c>
      <c r="H806">
        <f>IF(OR(NOT(ISNUMBER(D806)),ABS(D806-E806)&gt;$O$3,AND($O$11=1,B806&lt;$O$12)),1,0)</f>
        <v/>
      </c>
      <c r="I806">
        <f>IF(H806=1,NA(),D806)</f>
        <v/>
      </c>
      <c r="J806">
        <f>IF(AND(ISNUMBER(D806),D806&gt;=$O$4,OR($O$11=0,B806&gt;=$O$12)),1,0)</f>
        <v/>
      </c>
      <c r="K806">
        <f>B806-$O$14</f>
        <v/>
      </c>
    </row>
    <row r="807">
      <c r="A807" t="n">
        <v>2415</v>
      </c>
      <c r="B807" t="n">
        <v>80.5</v>
      </c>
      <c r="C807" t="inlineStr">
        <is>
          <t>823</t>
        </is>
      </c>
      <c r="D807" t="n">
        <v>8.23</v>
      </c>
      <c r="E807">
        <f>MEDIAN(D787:D827)</f>
        <v/>
      </c>
      <c r="F807">
        <f>E787</f>
        <v/>
      </c>
      <c r="G807">
        <f>F807-E807</f>
        <v/>
      </c>
      <c r="H807">
        <f>IF(OR(NOT(ISNUMBER(D807)),ABS(D807-E807)&gt;$O$3,AND($O$11=1,B807&lt;$O$12)),1,0)</f>
        <v/>
      </c>
      <c r="I807">
        <f>IF(H807=1,NA(),D807)</f>
        <v/>
      </c>
      <c r="J807">
        <f>IF(AND(ISNUMBER(D807),D807&gt;=$O$4,OR($O$11=0,B807&gt;=$O$12)),1,0)</f>
        <v/>
      </c>
      <c r="K807">
        <f>B807-$O$14</f>
        <v/>
      </c>
    </row>
    <row r="808">
      <c r="A808" t="n">
        <v>2418</v>
      </c>
      <c r="B808" t="n">
        <v>80.59999999999999</v>
      </c>
      <c r="C808" t="inlineStr">
        <is>
          <t>823</t>
        </is>
      </c>
      <c r="D808" t="n">
        <v>8.23</v>
      </c>
      <c r="E808">
        <f>MEDIAN(D788:D828)</f>
        <v/>
      </c>
      <c r="F808">
        <f>E788</f>
        <v/>
      </c>
      <c r="G808">
        <f>F808-E808</f>
        <v/>
      </c>
      <c r="H808">
        <f>IF(OR(NOT(ISNUMBER(D808)),ABS(D808-E808)&gt;$O$3,AND($O$11=1,B808&lt;$O$12)),1,0)</f>
        <v/>
      </c>
      <c r="I808">
        <f>IF(H808=1,NA(),D808)</f>
        <v/>
      </c>
      <c r="J808">
        <f>IF(AND(ISNUMBER(D808),D808&gt;=$O$4,OR($O$11=0,B808&gt;=$O$12)),1,0)</f>
        <v/>
      </c>
      <c r="K808">
        <f>B808-$O$14</f>
        <v/>
      </c>
    </row>
    <row r="809">
      <c r="A809" t="n">
        <v>2421</v>
      </c>
      <c r="B809" t="n">
        <v>80.7</v>
      </c>
      <c r="C809" t="inlineStr">
        <is>
          <t>823</t>
        </is>
      </c>
      <c r="D809" t="n">
        <v>8.23</v>
      </c>
      <c r="E809">
        <f>MEDIAN(D789:D829)</f>
        <v/>
      </c>
      <c r="F809">
        <f>E789</f>
        <v/>
      </c>
      <c r="G809">
        <f>F809-E809</f>
        <v/>
      </c>
      <c r="H809">
        <f>IF(OR(NOT(ISNUMBER(D809)),ABS(D809-E809)&gt;$O$3,AND($O$11=1,B809&lt;$O$12)),1,0)</f>
        <v/>
      </c>
      <c r="I809">
        <f>IF(H809=1,NA(),D809)</f>
        <v/>
      </c>
      <c r="J809">
        <f>IF(AND(ISNUMBER(D809),D809&gt;=$O$4,OR($O$11=0,B809&gt;=$O$12)),1,0)</f>
        <v/>
      </c>
      <c r="K809">
        <f>B809-$O$14</f>
        <v/>
      </c>
    </row>
    <row r="810">
      <c r="A810" t="n">
        <v>2424</v>
      </c>
      <c r="B810" t="n">
        <v>80.8</v>
      </c>
      <c r="C810" t="inlineStr">
        <is>
          <t>823</t>
        </is>
      </c>
      <c r="D810" t="n">
        <v>8.23</v>
      </c>
      <c r="E810">
        <f>MEDIAN(D790:D830)</f>
        <v/>
      </c>
      <c r="F810">
        <f>E790</f>
        <v/>
      </c>
      <c r="G810">
        <f>F810-E810</f>
        <v/>
      </c>
      <c r="H810">
        <f>IF(OR(NOT(ISNUMBER(D810)),ABS(D810-E810)&gt;$O$3,AND($O$11=1,B810&lt;$O$12)),1,0)</f>
        <v/>
      </c>
      <c r="I810">
        <f>IF(H810=1,NA(),D810)</f>
        <v/>
      </c>
      <c r="J810">
        <f>IF(AND(ISNUMBER(D810),D810&gt;=$O$4,OR($O$11=0,B810&gt;=$O$12)),1,0)</f>
        <v/>
      </c>
      <c r="K810">
        <f>B810-$O$14</f>
        <v/>
      </c>
    </row>
    <row r="811">
      <c r="A811" t="n">
        <v>2427</v>
      </c>
      <c r="B811" t="n">
        <v>80.90000000000001</v>
      </c>
      <c r="C811" t="inlineStr">
        <is>
          <t>824</t>
        </is>
      </c>
      <c r="D811" t="n">
        <v>8.24</v>
      </c>
      <c r="E811">
        <f>MEDIAN(D791:D831)</f>
        <v/>
      </c>
      <c r="F811">
        <f>E791</f>
        <v/>
      </c>
      <c r="G811">
        <f>F811-E811</f>
        <v/>
      </c>
      <c r="H811">
        <f>IF(OR(NOT(ISNUMBER(D811)),ABS(D811-E811)&gt;$O$3,AND($O$11=1,B811&lt;$O$12)),1,0)</f>
        <v/>
      </c>
      <c r="I811">
        <f>IF(H811=1,NA(),D811)</f>
        <v/>
      </c>
      <c r="J811">
        <f>IF(AND(ISNUMBER(D811),D811&gt;=$O$4,OR($O$11=0,B811&gt;=$O$12)),1,0)</f>
        <v/>
      </c>
      <c r="K811">
        <f>B811-$O$14</f>
        <v/>
      </c>
    </row>
    <row r="812">
      <c r="A812" t="n">
        <v>2430</v>
      </c>
      <c r="B812" t="n">
        <v>81</v>
      </c>
      <c r="C812" t="inlineStr">
        <is>
          <t>824</t>
        </is>
      </c>
      <c r="D812" t="n">
        <v>8.24</v>
      </c>
      <c r="E812">
        <f>MEDIAN(D792:D832)</f>
        <v/>
      </c>
      <c r="F812">
        <f>E792</f>
        <v/>
      </c>
      <c r="G812">
        <f>F812-E812</f>
        <v/>
      </c>
      <c r="H812">
        <f>IF(OR(NOT(ISNUMBER(D812)),ABS(D812-E812)&gt;$O$3,AND($O$11=1,B812&lt;$O$12)),1,0)</f>
        <v/>
      </c>
      <c r="I812">
        <f>IF(H812=1,NA(),D812)</f>
        <v/>
      </c>
      <c r="J812">
        <f>IF(AND(ISNUMBER(D812),D812&gt;=$O$4,OR($O$11=0,B812&gt;=$O$12)),1,0)</f>
        <v/>
      </c>
      <c r="K812">
        <f>B812-$O$14</f>
        <v/>
      </c>
    </row>
    <row r="813">
      <c r="A813" t="n">
        <v>2433</v>
      </c>
      <c r="B813" t="n">
        <v>81.09999999999999</v>
      </c>
      <c r="C813" t="inlineStr">
        <is>
          <t>824</t>
        </is>
      </c>
      <c r="D813" t="n">
        <v>8.24</v>
      </c>
      <c r="E813">
        <f>MEDIAN(D793:D833)</f>
        <v/>
      </c>
      <c r="F813">
        <f>E793</f>
        <v/>
      </c>
      <c r="G813">
        <f>F813-E813</f>
        <v/>
      </c>
      <c r="H813">
        <f>IF(OR(NOT(ISNUMBER(D813)),ABS(D813-E813)&gt;$O$3,AND($O$11=1,B813&lt;$O$12)),1,0)</f>
        <v/>
      </c>
      <c r="I813">
        <f>IF(H813=1,NA(),D813)</f>
        <v/>
      </c>
      <c r="J813">
        <f>IF(AND(ISNUMBER(D813),D813&gt;=$O$4,OR($O$11=0,B813&gt;=$O$12)),1,0)</f>
        <v/>
      </c>
      <c r="K813">
        <f>B813-$O$14</f>
        <v/>
      </c>
    </row>
    <row r="814">
      <c r="A814" t="n">
        <v>2436</v>
      </c>
      <c r="B814" t="n">
        <v>81.2</v>
      </c>
      <c r="C814" t="inlineStr">
        <is>
          <t>824</t>
        </is>
      </c>
      <c r="D814" t="n">
        <v>8.24</v>
      </c>
      <c r="E814">
        <f>MEDIAN(D794:D834)</f>
        <v/>
      </c>
      <c r="F814">
        <f>E794</f>
        <v/>
      </c>
      <c r="G814">
        <f>F814-E814</f>
        <v/>
      </c>
      <c r="H814">
        <f>IF(OR(NOT(ISNUMBER(D814)),ABS(D814-E814)&gt;$O$3,AND($O$11=1,B814&lt;$O$12)),1,0)</f>
        <v/>
      </c>
      <c r="I814">
        <f>IF(H814=1,NA(),D814)</f>
        <v/>
      </c>
      <c r="J814">
        <f>IF(AND(ISNUMBER(D814),D814&gt;=$O$4,OR($O$11=0,B814&gt;=$O$12)),1,0)</f>
        <v/>
      </c>
      <c r="K814">
        <f>B814-$O$14</f>
        <v/>
      </c>
    </row>
    <row r="815">
      <c r="A815" t="n">
        <v>2439</v>
      </c>
      <c r="B815" t="n">
        <v>81.3</v>
      </c>
      <c r="C815" t="inlineStr">
        <is>
          <t>824</t>
        </is>
      </c>
      <c r="D815" t="n">
        <v>8.24</v>
      </c>
      <c r="E815">
        <f>MEDIAN(D795:D835)</f>
        <v/>
      </c>
      <c r="F815">
        <f>E795</f>
        <v/>
      </c>
      <c r="G815">
        <f>F815-E815</f>
        <v/>
      </c>
      <c r="H815">
        <f>IF(OR(NOT(ISNUMBER(D815)),ABS(D815-E815)&gt;$O$3,AND($O$11=1,B815&lt;$O$12)),1,0)</f>
        <v/>
      </c>
      <c r="I815">
        <f>IF(H815=1,NA(),D815)</f>
        <v/>
      </c>
      <c r="J815">
        <f>IF(AND(ISNUMBER(D815),D815&gt;=$O$4,OR($O$11=0,B815&gt;=$O$12)),1,0)</f>
        <v/>
      </c>
      <c r="K815">
        <f>B815-$O$14</f>
        <v/>
      </c>
    </row>
    <row r="816">
      <c r="A816" t="n">
        <v>2442</v>
      </c>
      <c r="B816" t="n">
        <v>81.40000000000001</v>
      </c>
      <c r="C816" t="inlineStr">
        <is>
          <t>825</t>
        </is>
      </c>
      <c r="D816" t="n">
        <v>8.25</v>
      </c>
      <c r="E816">
        <f>MEDIAN(D796:D836)</f>
        <v/>
      </c>
      <c r="F816">
        <f>E796</f>
        <v/>
      </c>
      <c r="G816">
        <f>F816-E816</f>
        <v/>
      </c>
      <c r="H816">
        <f>IF(OR(NOT(ISNUMBER(D816)),ABS(D816-E816)&gt;$O$3,AND($O$11=1,B816&lt;$O$12)),1,0)</f>
        <v/>
      </c>
      <c r="I816">
        <f>IF(H816=1,NA(),D816)</f>
        <v/>
      </c>
      <c r="J816">
        <f>IF(AND(ISNUMBER(D816),D816&gt;=$O$4,OR($O$11=0,B816&gt;=$O$12)),1,0)</f>
        <v/>
      </c>
      <c r="K816">
        <f>B816-$O$14</f>
        <v/>
      </c>
    </row>
    <row r="817">
      <c r="A817" t="n">
        <v>2445</v>
      </c>
      <c r="B817" t="n">
        <v>81.5</v>
      </c>
      <c r="C817" t="inlineStr">
        <is>
          <t>825</t>
        </is>
      </c>
      <c r="D817" t="n">
        <v>8.25</v>
      </c>
      <c r="E817">
        <f>MEDIAN(D797:D837)</f>
        <v/>
      </c>
      <c r="F817">
        <f>E797</f>
        <v/>
      </c>
      <c r="G817">
        <f>F817-E817</f>
        <v/>
      </c>
      <c r="H817">
        <f>IF(OR(NOT(ISNUMBER(D817)),ABS(D817-E817)&gt;$O$3,AND($O$11=1,B817&lt;$O$12)),1,0)</f>
        <v/>
      </c>
      <c r="I817">
        <f>IF(H817=1,NA(),D817)</f>
        <v/>
      </c>
      <c r="J817">
        <f>IF(AND(ISNUMBER(D817),D817&gt;=$O$4,OR($O$11=0,B817&gt;=$O$12)),1,0)</f>
        <v/>
      </c>
      <c r="K817">
        <f>B817-$O$14</f>
        <v/>
      </c>
    </row>
    <row r="818">
      <c r="A818" t="n">
        <v>2448</v>
      </c>
      <c r="B818" t="n">
        <v>81.59999999999999</v>
      </c>
      <c r="C818" t="inlineStr">
        <is>
          <t>825</t>
        </is>
      </c>
      <c r="D818" t="n">
        <v>8.25</v>
      </c>
      <c r="E818">
        <f>MEDIAN(D798:D838)</f>
        <v/>
      </c>
      <c r="F818">
        <f>E798</f>
        <v/>
      </c>
      <c r="G818">
        <f>F818-E818</f>
        <v/>
      </c>
      <c r="H818">
        <f>IF(OR(NOT(ISNUMBER(D818)),ABS(D818-E818)&gt;$O$3,AND($O$11=1,B818&lt;$O$12)),1,0)</f>
        <v/>
      </c>
      <c r="I818">
        <f>IF(H818=1,NA(),D818)</f>
        <v/>
      </c>
      <c r="J818">
        <f>IF(AND(ISNUMBER(D818),D818&gt;=$O$4,OR($O$11=0,B818&gt;=$O$12)),1,0)</f>
        <v/>
      </c>
      <c r="K818">
        <f>B818-$O$14</f>
        <v/>
      </c>
    </row>
    <row r="819">
      <c r="A819" t="n">
        <v>2451</v>
      </c>
      <c r="B819" t="n">
        <v>81.7</v>
      </c>
      <c r="C819" t="inlineStr">
        <is>
          <t>825</t>
        </is>
      </c>
      <c r="D819" t="n">
        <v>8.25</v>
      </c>
      <c r="E819">
        <f>MEDIAN(D799:D839)</f>
        <v/>
      </c>
      <c r="F819">
        <f>E799</f>
        <v/>
      </c>
      <c r="G819">
        <f>F819-E819</f>
        <v/>
      </c>
      <c r="H819">
        <f>IF(OR(NOT(ISNUMBER(D819)),ABS(D819-E819)&gt;$O$3,AND($O$11=1,B819&lt;$O$12)),1,0)</f>
        <v/>
      </c>
      <c r="I819">
        <f>IF(H819=1,NA(),D819)</f>
        <v/>
      </c>
      <c r="J819">
        <f>IF(AND(ISNUMBER(D819),D819&gt;=$O$4,OR($O$11=0,B819&gt;=$O$12)),1,0)</f>
        <v/>
      </c>
      <c r="K819">
        <f>B819-$O$14</f>
        <v/>
      </c>
    </row>
    <row r="820">
      <c r="A820" t="n">
        <v>2454</v>
      </c>
      <c r="B820" t="n">
        <v>81.8</v>
      </c>
      <c r="C820" t="inlineStr">
        <is>
          <t>825</t>
        </is>
      </c>
      <c r="D820" t="n">
        <v>8.25</v>
      </c>
      <c r="E820">
        <f>MEDIAN(D800:D840)</f>
        <v/>
      </c>
      <c r="F820">
        <f>E800</f>
        <v/>
      </c>
      <c r="G820">
        <f>F820-E820</f>
        <v/>
      </c>
      <c r="H820">
        <f>IF(OR(NOT(ISNUMBER(D820)),ABS(D820-E820)&gt;$O$3,AND($O$11=1,B820&lt;$O$12)),1,0)</f>
        <v/>
      </c>
      <c r="I820">
        <f>IF(H820=1,NA(),D820)</f>
        <v/>
      </c>
      <c r="J820">
        <f>IF(AND(ISNUMBER(D820),D820&gt;=$O$4,OR($O$11=0,B820&gt;=$O$12)),1,0)</f>
        <v/>
      </c>
      <c r="K820">
        <f>B820-$O$14</f>
        <v/>
      </c>
    </row>
    <row r="821">
      <c r="A821" t="n">
        <v>2457</v>
      </c>
      <c r="B821" t="n">
        <v>81.90000000000001</v>
      </c>
      <c r="C821" t="inlineStr">
        <is>
          <t>825</t>
        </is>
      </c>
      <c r="D821" t="n">
        <v>8.25</v>
      </c>
      <c r="E821">
        <f>MEDIAN(D801:D841)</f>
        <v/>
      </c>
      <c r="F821">
        <f>E801</f>
        <v/>
      </c>
      <c r="G821">
        <f>F821-E821</f>
        <v/>
      </c>
      <c r="H821">
        <f>IF(OR(NOT(ISNUMBER(D821)),ABS(D821-E821)&gt;$O$3,AND($O$11=1,B821&lt;$O$12)),1,0)</f>
        <v/>
      </c>
      <c r="I821">
        <f>IF(H821=1,NA(),D821)</f>
        <v/>
      </c>
      <c r="J821">
        <f>IF(AND(ISNUMBER(D821),D821&gt;=$O$4,OR($O$11=0,B821&gt;=$O$12)),1,0)</f>
        <v/>
      </c>
      <c r="K821">
        <f>B821-$O$14</f>
        <v/>
      </c>
    </row>
    <row r="822">
      <c r="A822" t="n">
        <v>2460</v>
      </c>
      <c r="B822" t="n">
        <v>82</v>
      </c>
      <c r="C822" t="inlineStr">
        <is>
          <t>826</t>
        </is>
      </c>
      <c r="D822" t="n">
        <v>8.26</v>
      </c>
      <c r="E822">
        <f>MEDIAN(D802:D842)</f>
        <v/>
      </c>
      <c r="F822">
        <f>E802</f>
        <v/>
      </c>
      <c r="G822">
        <f>F822-E822</f>
        <v/>
      </c>
      <c r="H822">
        <f>IF(OR(NOT(ISNUMBER(D822)),ABS(D822-E822)&gt;$O$3,AND($O$11=1,B822&lt;$O$12)),1,0)</f>
        <v/>
      </c>
      <c r="I822">
        <f>IF(H822=1,NA(),D822)</f>
        <v/>
      </c>
      <c r="J822">
        <f>IF(AND(ISNUMBER(D822),D822&gt;=$O$4,OR($O$11=0,B822&gt;=$O$12)),1,0)</f>
        <v/>
      </c>
      <c r="K822">
        <f>B822-$O$14</f>
        <v/>
      </c>
    </row>
    <row r="823">
      <c r="A823" t="n">
        <v>2463</v>
      </c>
      <c r="B823" t="n">
        <v>82.09999999999999</v>
      </c>
      <c r="C823" t="inlineStr">
        <is>
          <t>827</t>
        </is>
      </c>
      <c r="D823" t="n">
        <v>8.27</v>
      </c>
      <c r="E823">
        <f>MEDIAN(D803:D843)</f>
        <v/>
      </c>
      <c r="F823">
        <f>E803</f>
        <v/>
      </c>
      <c r="G823">
        <f>F823-E823</f>
        <v/>
      </c>
      <c r="H823">
        <f>IF(OR(NOT(ISNUMBER(D823)),ABS(D823-E823)&gt;$O$3,AND($O$11=1,B823&lt;$O$12)),1,0)</f>
        <v/>
      </c>
      <c r="I823">
        <f>IF(H823=1,NA(),D823)</f>
        <v/>
      </c>
      <c r="J823">
        <f>IF(AND(ISNUMBER(D823),D823&gt;=$O$4,OR($O$11=0,B823&gt;=$O$12)),1,0)</f>
        <v/>
      </c>
      <c r="K823">
        <f>B823-$O$14</f>
        <v/>
      </c>
    </row>
    <row r="824">
      <c r="A824" t="n">
        <v>2466</v>
      </c>
      <c r="B824" t="n">
        <v>82.2</v>
      </c>
      <c r="C824" t="inlineStr">
        <is>
          <t>827</t>
        </is>
      </c>
      <c r="D824" t="n">
        <v>8.27</v>
      </c>
      <c r="E824">
        <f>MEDIAN(D804:D844)</f>
        <v/>
      </c>
      <c r="F824">
        <f>E804</f>
        <v/>
      </c>
      <c r="G824">
        <f>F824-E824</f>
        <v/>
      </c>
      <c r="H824">
        <f>IF(OR(NOT(ISNUMBER(D824)),ABS(D824-E824)&gt;$O$3,AND($O$11=1,B824&lt;$O$12)),1,0)</f>
        <v/>
      </c>
      <c r="I824">
        <f>IF(H824=1,NA(),D824)</f>
        <v/>
      </c>
      <c r="J824">
        <f>IF(AND(ISNUMBER(D824),D824&gt;=$O$4,OR($O$11=0,B824&gt;=$O$12)),1,0)</f>
        <v/>
      </c>
      <c r="K824">
        <f>B824-$O$14</f>
        <v/>
      </c>
    </row>
    <row r="825">
      <c r="A825" t="n">
        <v>2469</v>
      </c>
      <c r="B825" t="n">
        <v>82.3</v>
      </c>
      <c r="C825" t="inlineStr">
        <is>
          <t>827</t>
        </is>
      </c>
      <c r="D825" t="n">
        <v>8.27</v>
      </c>
      <c r="E825">
        <f>MEDIAN(D805:D845)</f>
        <v/>
      </c>
      <c r="F825">
        <f>E805</f>
        <v/>
      </c>
      <c r="G825">
        <f>F825-E825</f>
        <v/>
      </c>
      <c r="H825">
        <f>IF(OR(NOT(ISNUMBER(D825)),ABS(D825-E825)&gt;$O$3,AND($O$11=1,B825&lt;$O$12)),1,0)</f>
        <v/>
      </c>
      <c r="I825">
        <f>IF(H825=1,NA(),D825)</f>
        <v/>
      </c>
      <c r="J825">
        <f>IF(AND(ISNUMBER(D825),D825&gt;=$O$4,OR($O$11=0,B825&gt;=$O$12)),1,0)</f>
        <v/>
      </c>
      <c r="K825">
        <f>B825-$O$14</f>
        <v/>
      </c>
    </row>
    <row r="826">
      <c r="A826" t="n">
        <v>2472</v>
      </c>
      <c r="B826" t="n">
        <v>82.40000000000001</v>
      </c>
      <c r="C826" t="inlineStr">
        <is>
          <t>827</t>
        </is>
      </c>
      <c r="D826" t="n">
        <v>8.27</v>
      </c>
      <c r="E826">
        <f>MEDIAN(D806:D846)</f>
        <v/>
      </c>
      <c r="F826">
        <f>E806</f>
        <v/>
      </c>
      <c r="G826">
        <f>F826-E826</f>
        <v/>
      </c>
      <c r="H826">
        <f>IF(OR(NOT(ISNUMBER(D826)),ABS(D826-E826)&gt;$O$3,AND($O$11=1,B826&lt;$O$12)),1,0)</f>
        <v/>
      </c>
      <c r="I826">
        <f>IF(H826=1,NA(),D826)</f>
        <v/>
      </c>
      <c r="J826">
        <f>IF(AND(ISNUMBER(D826),D826&gt;=$O$4,OR($O$11=0,B826&gt;=$O$12)),1,0)</f>
        <v/>
      </c>
      <c r="K826">
        <f>B826-$O$14</f>
        <v/>
      </c>
    </row>
    <row r="827">
      <c r="A827" t="n">
        <v>2475</v>
      </c>
      <c r="B827" t="n">
        <v>82.5</v>
      </c>
      <c r="C827" t="inlineStr">
        <is>
          <t>827</t>
        </is>
      </c>
      <c r="D827" t="n">
        <v>8.27</v>
      </c>
      <c r="E827">
        <f>MEDIAN(D807:D847)</f>
        <v/>
      </c>
      <c r="F827">
        <f>E807</f>
        <v/>
      </c>
      <c r="G827">
        <f>F827-E827</f>
        <v/>
      </c>
      <c r="H827">
        <f>IF(OR(NOT(ISNUMBER(D827)),ABS(D827-E827)&gt;$O$3,AND($O$11=1,B827&lt;$O$12)),1,0)</f>
        <v/>
      </c>
      <c r="I827">
        <f>IF(H827=1,NA(),D827)</f>
        <v/>
      </c>
      <c r="J827">
        <f>IF(AND(ISNUMBER(D827),D827&gt;=$O$4,OR($O$11=0,B827&gt;=$O$12)),1,0)</f>
        <v/>
      </c>
      <c r="K827">
        <f>B827-$O$14</f>
        <v/>
      </c>
    </row>
    <row r="828">
      <c r="A828" t="n">
        <v>2478</v>
      </c>
      <c r="B828" t="n">
        <v>82.59999999999999</v>
      </c>
      <c r="C828" t="inlineStr">
        <is>
          <t>827</t>
        </is>
      </c>
      <c r="D828" t="n">
        <v>8.27</v>
      </c>
      <c r="E828">
        <f>MEDIAN(D808:D848)</f>
        <v/>
      </c>
      <c r="F828">
        <f>E808</f>
        <v/>
      </c>
      <c r="G828">
        <f>F828-E828</f>
        <v/>
      </c>
      <c r="H828">
        <f>IF(OR(NOT(ISNUMBER(D828)),ABS(D828-E828)&gt;$O$3,AND($O$11=1,B828&lt;$O$12)),1,0)</f>
        <v/>
      </c>
      <c r="I828">
        <f>IF(H828=1,NA(),D828)</f>
        <v/>
      </c>
      <c r="J828">
        <f>IF(AND(ISNUMBER(D828),D828&gt;=$O$4,OR($O$11=0,B828&gt;=$O$12)),1,0)</f>
        <v/>
      </c>
      <c r="K828">
        <f>B828-$O$14</f>
        <v/>
      </c>
    </row>
    <row r="829">
      <c r="A829" t="n">
        <v>2481</v>
      </c>
      <c r="B829" t="n">
        <v>82.7</v>
      </c>
      <c r="C829" t="inlineStr">
        <is>
          <t>827</t>
        </is>
      </c>
      <c r="D829" t="n">
        <v>8.27</v>
      </c>
      <c r="E829">
        <f>MEDIAN(D809:D849)</f>
        <v/>
      </c>
      <c r="F829">
        <f>E809</f>
        <v/>
      </c>
      <c r="G829">
        <f>F829-E829</f>
        <v/>
      </c>
      <c r="H829">
        <f>IF(OR(NOT(ISNUMBER(D829)),ABS(D829-E829)&gt;$O$3,AND($O$11=1,B829&lt;$O$12)),1,0)</f>
        <v/>
      </c>
      <c r="I829">
        <f>IF(H829=1,NA(),D829)</f>
        <v/>
      </c>
      <c r="J829">
        <f>IF(AND(ISNUMBER(D829),D829&gt;=$O$4,OR($O$11=0,B829&gt;=$O$12)),1,0)</f>
        <v/>
      </c>
      <c r="K829">
        <f>B829-$O$14</f>
        <v/>
      </c>
    </row>
    <row r="830">
      <c r="A830" t="n">
        <v>2484</v>
      </c>
      <c r="B830" t="n">
        <v>82.8</v>
      </c>
      <c r="C830" t="inlineStr">
        <is>
          <t>827</t>
        </is>
      </c>
      <c r="D830" t="n">
        <v>8.27</v>
      </c>
      <c r="E830">
        <f>MEDIAN(D810:D850)</f>
        <v/>
      </c>
      <c r="F830">
        <f>E810</f>
        <v/>
      </c>
      <c r="G830">
        <f>F830-E830</f>
        <v/>
      </c>
      <c r="H830">
        <f>IF(OR(NOT(ISNUMBER(D830)),ABS(D830-E830)&gt;$O$3,AND($O$11=1,B830&lt;$O$12)),1,0)</f>
        <v/>
      </c>
      <c r="I830">
        <f>IF(H830=1,NA(),D830)</f>
        <v/>
      </c>
      <c r="J830">
        <f>IF(AND(ISNUMBER(D830),D830&gt;=$O$4,OR($O$11=0,B830&gt;=$O$12)),1,0)</f>
        <v/>
      </c>
      <c r="K830">
        <f>B830-$O$14</f>
        <v/>
      </c>
    </row>
    <row r="831">
      <c r="A831" t="n">
        <v>2487</v>
      </c>
      <c r="B831" t="n">
        <v>82.90000000000001</v>
      </c>
      <c r="C831" t="inlineStr">
        <is>
          <t>827</t>
        </is>
      </c>
      <c r="D831" t="n">
        <v>8.27</v>
      </c>
      <c r="E831">
        <f>MEDIAN(D811:D851)</f>
        <v/>
      </c>
      <c r="F831">
        <f>E811</f>
        <v/>
      </c>
      <c r="G831">
        <f>F831-E831</f>
        <v/>
      </c>
      <c r="H831">
        <f>IF(OR(NOT(ISNUMBER(D831)),ABS(D831-E831)&gt;$O$3,AND($O$11=1,B831&lt;$O$12)),1,0)</f>
        <v/>
      </c>
      <c r="I831">
        <f>IF(H831=1,NA(),D831)</f>
        <v/>
      </c>
      <c r="J831">
        <f>IF(AND(ISNUMBER(D831),D831&gt;=$O$4,OR($O$11=0,B831&gt;=$O$12)),1,0)</f>
        <v/>
      </c>
      <c r="K831">
        <f>B831-$O$14</f>
        <v/>
      </c>
    </row>
    <row r="832">
      <c r="A832" t="n">
        <v>2490</v>
      </c>
      <c r="B832" t="n">
        <v>83</v>
      </c>
      <c r="C832" t="inlineStr">
        <is>
          <t>827</t>
        </is>
      </c>
      <c r="D832" t="n">
        <v>8.27</v>
      </c>
      <c r="E832">
        <f>MEDIAN(D812:D852)</f>
        <v/>
      </c>
      <c r="F832">
        <f>E812</f>
        <v/>
      </c>
      <c r="G832">
        <f>F832-E832</f>
        <v/>
      </c>
      <c r="H832">
        <f>IF(OR(NOT(ISNUMBER(D832)),ABS(D832-E832)&gt;$O$3,AND($O$11=1,B832&lt;$O$12)),1,0)</f>
        <v/>
      </c>
      <c r="I832">
        <f>IF(H832=1,NA(),D832)</f>
        <v/>
      </c>
      <c r="J832">
        <f>IF(AND(ISNUMBER(D832),D832&gt;=$O$4,OR($O$11=0,B832&gt;=$O$12)),1,0)</f>
        <v/>
      </c>
      <c r="K832">
        <f>B832-$O$14</f>
        <v/>
      </c>
    </row>
    <row r="833">
      <c r="A833" t="n">
        <v>2493</v>
      </c>
      <c r="B833" t="n">
        <v>83.09999999999999</v>
      </c>
      <c r="C833" t="inlineStr">
        <is>
          <t>827</t>
        </is>
      </c>
      <c r="D833" t="n">
        <v>8.27</v>
      </c>
      <c r="E833">
        <f>MEDIAN(D813:D853)</f>
        <v/>
      </c>
      <c r="F833">
        <f>E813</f>
        <v/>
      </c>
      <c r="G833">
        <f>F833-E833</f>
        <v/>
      </c>
      <c r="H833">
        <f>IF(OR(NOT(ISNUMBER(D833)),ABS(D833-E833)&gt;$O$3,AND($O$11=1,B833&lt;$O$12)),1,0)</f>
        <v/>
      </c>
      <c r="I833">
        <f>IF(H833=1,NA(),D833)</f>
        <v/>
      </c>
      <c r="J833">
        <f>IF(AND(ISNUMBER(D833),D833&gt;=$O$4,OR($O$11=0,B833&gt;=$O$12)),1,0)</f>
        <v/>
      </c>
      <c r="K833">
        <f>B833-$O$14</f>
        <v/>
      </c>
    </row>
    <row r="834">
      <c r="A834" t="n">
        <v>2496</v>
      </c>
      <c r="B834" t="n">
        <v>83.2</v>
      </c>
      <c r="C834" t="inlineStr">
        <is>
          <t>827</t>
        </is>
      </c>
      <c r="D834" t="n">
        <v>8.27</v>
      </c>
      <c r="E834">
        <f>MEDIAN(D814:D854)</f>
        <v/>
      </c>
      <c r="F834">
        <f>E814</f>
        <v/>
      </c>
      <c r="G834">
        <f>F834-E834</f>
        <v/>
      </c>
      <c r="H834">
        <f>IF(OR(NOT(ISNUMBER(D834)),ABS(D834-E834)&gt;$O$3,AND($O$11=1,B834&lt;$O$12)),1,0)</f>
        <v/>
      </c>
      <c r="I834">
        <f>IF(H834=1,NA(),D834)</f>
        <v/>
      </c>
      <c r="J834">
        <f>IF(AND(ISNUMBER(D834),D834&gt;=$O$4,OR($O$11=0,B834&gt;=$O$12)),1,0)</f>
        <v/>
      </c>
      <c r="K834">
        <f>B834-$O$14</f>
        <v/>
      </c>
    </row>
    <row r="835">
      <c r="A835" t="n">
        <v>2499</v>
      </c>
      <c r="B835" t="n">
        <v>83.3</v>
      </c>
      <c r="C835" t="inlineStr">
        <is>
          <t>827</t>
        </is>
      </c>
      <c r="D835" t="n">
        <v>8.27</v>
      </c>
      <c r="E835">
        <f>MEDIAN(D815:D855)</f>
        <v/>
      </c>
      <c r="F835">
        <f>E815</f>
        <v/>
      </c>
      <c r="G835">
        <f>F835-E835</f>
        <v/>
      </c>
      <c r="H835">
        <f>IF(OR(NOT(ISNUMBER(D835)),ABS(D835-E835)&gt;$O$3,AND($O$11=1,B835&lt;$O$12)),1,0)</f>
        <v/>
      </c>
      <c r="I835">
        <f>IF(H835=1,NA(),D835)</f>
        <v/>
      </c>
      <c r="J835">
        <f>IF(AND(ISNUMBER(D835),D835&gt;=$O$4,OR($O$11=0,B835&gt;=$O$12)),1,0)</f>
        <v/>
      </c>
      <c r="K835">
        <f>B835-$O$14</f>
        <v/>
      </c>
    </row>
    <row r="836">
      <c r="A836" t="n">
        <v>2502</v>
      </c>
      <c r="B836" t="n">
        <v>83.40000000000001</v>
      </c>
      <c r="C836" t="inlineStr">
        <is>
          <t>82?</t>
        </is>
      </c>
      <c r="E836">
        <f>MEDIAN(D816:D856)</f>
        <v/>
      </c>
      <c r="F836">
        <f>E816</f>
        <v/>
      </c>
      <c r="G836">
        <f>F836-E836</f>
        <v/>
      </c>
      <c r="H836">
        <f>IF(OR(NOT(ISNUMBER(D836)),ABS(D836-E836)&gt;$O$3,AND($O$11=1,B836&lt;$O$12)),1,0)</f>
        <v/>
      </c>
      <c r="I836">
        <f>IF(H836=1,NA(),D836)</f>
        <v/>
      </c>
      <c r="J836">
        <f>IF(AND(ISNUMBER(D836),D836&gt;=$O$4,OR($O$11=0,B836&gt;=$O$12)),1,0)</f>
        <v/>
      </c>
      <c r="K836">
        <f>B836-$O$14</f>
        <v/>
      </c>
    </row>
    <row r="837">
      <c r="A837" t="n">
        <v>2505</v>
      </c>
      <c r="B837" t="n">
        <v>83.5</v>
      </c>
      <c r="C837" t="inlineStr">
        <is>
          <t>828</t>
        </is>
      </c>
      <c r="D837" t="n">
        <v>8.279999999999999</v>
      </c>
      <c r="E837">
        <f>MEDIAN(D817:D857)</f>
        <v/>
      </c>
      <c r="F837">
        <f>E817</f>
        <v/>
      </c>
      <c r="G837">
        <f>F837-E837</f>
        <v/>
      </c>
      <c r="H837">
        <f>IF(OR(NOT(ISNUMBER(D837)),ABS(D837-E837)&gt;$O$3,AND($O$11=1,B837&lt;$O$12)),1,0)</f>
        <v/>
      </c>
      <c r="I837">
        <f>IF(H837=1,NA(),D837)</f>
        <v/>
      </c>
      <c r="J837">
        <f>IF(AND(ISNUMBER(D837),D837&gt;=$O$4,OR($O$11=0,B837&gt;=$O$12)),1,0)</f>
        <v/>
      </c>
      <c r="K837">
        <f>B837-$O$14</f>
        <v/>
      </c>
    </row>
    <row r="838">
      <c r="A838" t="n">
        <v>2508</v>
      </c>
      <c r="B838" t="n">
        <v>83.59999999999999</v>
      </c>
      <c r="C838" t="inlineStr">
        <is>
          <t>828</t>
        </is>
      </c>
      <c r="D838" t="n">
        <v>8.279999999999999</v>
      </c>
      <c r="E838">
        <f>MEDIAN(D818:D858)</f>
        <v/>
      </c>
      <c r="F838">
        <f>E818</f>
        <v/>
      </c>
      <c r="G838">
        <f>F838-E838</f>
        <v/>
      </c>
      <c r="H838">
        <f>IF(OR(NOT(ISNUMBER(D838)),ABS(D838-E838)&gt;$O$3,AND($O$11=1,B838&lt;$O$12)),1,0)</f>
        <v/>
      </c>
      <c r="I838">
        <f>IF(H838=1,NA(),D838)</f>
        <v/>
      </c>
      <c r="J838">
        <f>IF(AND(ISNUMBER(D838),D838&gt;=$O$4,OR($O$11=0,B838&gt;=$O$12)),1,0)</f>
        <v/>
      </c>
      <c r="K838">
        <f>B838-$O$14</f>
        <v/>
      </c>
    </row>
    <row r="839">
      <c r="A839" t="n">
        <v>2511</v>
      </c>
      <c r="B839" t="n">
        <v>83.7</v>
      </c>
      <c r="C839" t="inlineStr">
        <is>
          <t>828</t>
        </is>
      </c>
      <c r="D839" t="n">
        <v>8.279999999999999</v>
      </c>
      <c r="E839">
        <f>MEDIAN(D819:D859)</f>
        <v/>
      </c>
      <c r="F839">
        <f>E819</f>
        <v/>
      </c>
      <c r="G839">
        <f>F839-E839</f>
        <v/>
      </c>
      <c r="H839">
        <f>IF(OR(NOT(ISNUMBER(D839)),ABS(D839-E839)&gt;$O$3,AND($O$11=1,B839&lt;$O$12)),1,0)</f>
        <v/>
      </c>
      <c r="I839">
        <f>IF(H839=1,NA(),D839)</f>
        <v/>
      </c>
      <c r="J839">
        <f>IF(AND(ISNUMBER(D839),D839&gt;=$O$4,OR($O$11=0,B839&gt;=$O$12)),1,0)</f>
        <v/>
      </c>
      <c r="K839">
        <f>B839-$O$14</f>
        <v/>
      </c>
    </row>
    <row r="840">
      <c r="A840" t="n">
        <v>2514</v>
      </c>
      <c r="B840" t="n">
        <v>83.8</v>
      </c>
      <c r="C840" t="inlineStr">
        <is>
          <t>828</t>
        </is>
      </c>
      <c r="D840" t="n">
        <v>8.279999999999999</v>
      </c>
      <c r="E840">
        <f>MEDIAN(D820:D860)</f>
        <v/>
      </c>
      <c r="F840">
        <f>E820</f>
        <v/>
      </c>
      <c r="G840">
        <f>F840-E840</f>
        <v/>
      </c>
      <c r="H840">
        <f>IF(OR(NOT(ISNUMBER(D840)),ABS(D840-E840)&gt;$O$3,AND($O$11=1,B840&lt;$O$12)),1,0)</f>
        <v/>
      </c>
      <c r="I840">
        <f>IF(H840=1,NA(),D840)</f>
        <v/>
      </c>
      <c r="J840">
        <f>IF(AND(ISNUMBER(D840),D840&gt;=$O$4,OR($O$11=0,B840&gt;=$O$12)),1,0)</f>
        <v/>
      </c>
      <c r="K840">
        <f>B840-$O$14</f>
        <v/>
      </c>
    </row>
    <row r="841">
      <c r="A841" t="n">
        <v>2517</v>
      </c>
      <c r="B841" t="n">
        <v>83.90000000000001</v>
      </c>
      <c r="C841" t="inlineStr">
        <is>
          <t>828</t>
        </is>
      </c>
      <c r="D841" t="n">
        <v>8.279999999999999</v>
      </c>
      <c r="E841">
        <f>MEDIAN(D821:D861)</f>
        <v/>
      </c>
      <c r="F841">
        <f>E821</f>
        <v/>
      </c>
      <c r="G841">
        <f>F841-E841</f>
        <v/>
      </c>
      <c r="H841">
        <f>IF(OR(NOT(ISNUMBER(D841)),ABS(D841-E841)&gt;$O$3,AND($O$11=1,B841&lt;$O$12)),1,0)</f>
        <v/>
      </c>
      <c r="I841">
        <f>IF(H841=1,NA(),D841)</f>
        <v/>
      </c>
      <c r="J841">
        <f>IF(AND(ISNUMBER(D841),D841&gt;=$O$4,OR($O$11=0,B841&gt;=$O$12)),1,0)</f>
        <v/>
      </c>
      <c r="K841">
        <f>B841-$O$14</f>
        <v/>
      </c>
    </row>
    <row r="842">
      <c r="A842" t="n">
        <v>2520</v>
      </c>
      <c r="B842" t="n">
        <v>84</v>
      </c>
      <c r="C842" t="inlineStr">
        <is>
          <t>829</t>
        </is>
      </c>
      <c r="D842" t="n">
        <v>8.289999999999999</v>
      </c>
      <c r="E842">
        <f>MEDIAN(D822:D862)</f>
        <v/>
      </c>
      <c r="F842">
        <f>E822</f>
        <v/>
      </c>
      <c r="G842">
        <f>F842-E842</f>
        <v/>
      </c>
      <c r="H842">
        <f>IF(OR(NOT(ISNUMBER(D842)),ABS(D842-E842)&gt;$O$3,AND($O$11=1,B842&lt;$O$12)),1,0)</f>
        <v/>
      </c>
      <c r="I842">
        <f>IF(H842=1,NA(),D842)</f>
        <v/>
      </c>
      <c r="J842">
        <f>IF(AND(ISNUMBER(D842),D842&gt;=$O$4,OR($O$11=0,B842&gt;=$O$12)),1,0)</f>
        <v/>
      </c>
      <c r="K842">
        <f>B842-$O$14</f>
        <v/>
      </c>
    </row>
    <row r="843">
      <c r="A843" t="n">
        <v>2523</v>
      </c>
      <c r="B843" t="n">
        <v>84.09999999999999</v>
      </c>
      <c r="C843" t="inlineStr">
        <is>
          <t>829</t>
        </is>
      </c>
      <c r="D843" t="n">
        <v>8.289999999999999</v>
      </c>
      <c r="E843">
        <f>MEDIAN(D823:D863)</f>
        <v/>
      </c>
      <c r="F843">
        <f>E823</f>
        <v/>
      </c>
      <c r="G843">
        <f>F843-E843</f>
        <v/>
      </c>
      <c r="H843">
        <f>IF(OR(NOT(ISNUMBER(D843)),ABS(D843-E843)&gt;$O$3,AND($O$11=1,B843&lt;$O$12)),1,0)</f>
        <v/>
      </c>
      <c r="I843">
        <f>IF(H843=1,NA(),D843)</f>
        <v/>
      </c>
      <c r="J843">
        <f>IF(AND(ISNUMBER(D843),D843&gt;=$O$4,OR($O$11=0,B843&gt;=$O$12)),1,0)</f>
        <v/>
      </c>
      <c r="K843">
        <f>B843-$O$14</f>
        <v/>
      </c>
    </row>
    <row r="844">
      <c r="A844" t="n">
        <v>2526</v>
      </c>
      <c r="B844" t="n">
        <v>84.2</v>
      </c>
      <c r="C844" t="inlineStr">
        <is>
          <t>829</t>
        </is>
      </c>
      <c r="D844" t="n">
        <v>8.289999999999999</v>
      </c>
      <c r="E844">
        <f>MEDIAN(D824:D864)</f>
        <v/>
      </c>
      <c r="F844">
        <f>E824</f>
        <v/>
      </c>
      <c r="G844">
        <f>F844-E844</f>
        <v/>
      </c>
      <c r="H844">
        <f>IF(OR(NOT(ISNUMBER(D844)),ABS(D844-E844)&gt;$O$3,AND($O$11=1,B844&lt;$O$12)),1,0)</f>
        <v/>
      </c>
      <c r="I844">
        <f>IF(H844=1,NA(),D844)</f>
        <v/>
      </c>
      <c r="J844">
        <f>IF(AND(ISNUMBER(D844),D844&gt;=$O$4,OR($O$11=0,B844&gt;=$O$12)),1,0)</f>
        <v/>
      </c>
      <c r="K844">
        <f>B844-$O$14</f>
        <v/>
      </c>
    </row>
    <row r="845">
      <c r="A845" t="n">
        <v>2529</v>
      </c>
      <c r="B845" t="n">
        <v>84.3</v>
      </c>
      <c r="C845" t="inlineStr">
        <is>
          <t>829</t>
        </is>
      </c>
      <c r="D845" t="n">
        <v>8.289999999999999</v>
      </c>
      <c r="E845">
        <f>MEDIAN(D825:D865)</f>
        <v/>
      </c>
      <c r="F845">
        <f>E825</f>
        <v/>
      </c>
      <c r="G845">
        <f>F845-E845</f>
        <v/>
      </c>
      <c r="H845">
        <f>IF(OR(NOT(ISNUMBER(D845)),ABS(D845-E845)&gt;$O$3,AND($O$11=1,B845&lt;$O$12)),1,0)</f>
        <v/>
      </c>
      <c r="I845">
        <f>IF(H845=1,NA(),D845)</f>
        <v/>
      </c>
      <c r="J845">
        <f>IF(AND(ISNUMBER(D845),D845&gt;=$O$4,OR($O$11=0,B845&gt;=$O$12)),1,0)</f>
        <v/>
      </c>
      <c r="K845">
        <f>B845-$O$14</f>
        <v/>
      </c>
    </row>
    <row r="846">
      <c r="A846" t="n">
        <v>2532</v>
      </c>
      <c r="B846" t="n">
        <v>84.40000000000001</v>
      </c>
      <c r="C846" t="inlineStr">
        <is>
          <t>830</t>
        </is>
      </c>
      <c r="D846" t="n">
        <v>8.300000000000001</v>
      </c>
      <c r="E846">
        <f>MEDIAN(D826:D866)</f>
        <v/>
      </c>
      <c r="F846">
        <f>E826</f>
        <v/>
      </c>
      <c r="G846">
        <f>F846-E846</f>
        <v/>
      </c>
      <c r="H846">
        <f>IF(OR(NOT(ISNUMBER(D846)),ABS(D846-E846)&gt;$O$3,AND($O$11=1,B846&lt;$O$12)),1,0)</f>
        <v/>
      </c>
      <c r="I846">
        <f>IF(H846=1,NA(),D846)</f>
        <v/>
      </c>
      <c r="J846">
        <f>IF(AND(ISNUMBER(D846),D846&gt;=$O$4,OR($O$11=0,B846&gt;=$O$12)),1,0)</f>
        <v/>
      </c>
      <c r="K846">
        <f>B846-$O$14</f>
        <v/>
      </c>
    </row>
    <row r="847">
      <c r="A847" t="n">
        <v>2535</v>
      </c>
      <c r="B847" t="n">
        <v>84.5</v>
      </c>
      <c r="C847" t="inlineStr">
        <is>
          <t>830</t>
        </is>
      </c>
      <c r="D847" t="n">
        <v>8.300000000000001</v>
      </c>
      <c r="E847">
        <f>MEDIAN(D827:D867)</f>
        <v/>
      </c>
      <c r="F847">
        <f>E827</f>
        <v/>
      </c>
      <c r="G847">
        <f>F847-E847</f>
        <v/>
      </c>
      <c r="H847">
        <f>IF(OR(NOT(ISNUMBER(D847)),ABS(D847-E847)&gt;$O$3,AND($O$11=1,B847&lt;$O$12)),1,0)</f>
        <v/>
      </c>
      <c r="I847">
        <f>IF(H847=1,NA(),D847)</f>
        <v/>
      </c>
      <c r="J847">
        <f>IF(AND(ISNUMBER(D847),D847&gt;=$O$4,OR($O$11=0,B847&gt;=$O$12)),1,0)</f>
        <v/>
      </c>
      <c r="K847">
        <f>B847-$O$14</f>
        <v/>
      </c>
    </row>
    <row r="848">
      <c r="A848" t="n">
        <v>2538</v>
      </c>
      <c r="B848" t="n">
        <v>84.59999999999999</v>
      </c>
      <c r="C848" t="inlineStr">
        <is>
          <t>831</t>
        </is>
      </c>
      <c r="D848" t="n">
        <v>8.31</v>
      </c>
      <c r="E848">
        <f>MEDIAN(D828:D868)</f>
        <v/>
      </c>
      <c r="F848">
        <f>E828</f>
        <v/>
      </c>
      <c r="G848">
        <f>F848-E848</f>
        <v/>
      </c>
      <c r="H848">
        <f>IF(OR(NOT(ISNUMBER(D848)),ABS(D848-E848)&gt;$O$3,AND($O$11=1,B848&lt;$O$12)),1,0)</f>
        <v/>
      </c>
      <c r="I848">
        <f>IF(H848=1,NA(),D848)</f>
        <v/>
      </c>
      <c r="J848">
        <f>IF(AND(ISNUMBER(D848),D848&gt;=$O$4,OR($O$11=0,B848&gt;=$O$12)),1,0)</f>
        <v/>
      </c>
      <c r="K848">
        <f>B848-$O$14</f>
        <v/>
      </c>
    </row>
    <row r="849">
      <c r="A849" t="n">
        <v>2541</v>
      </c>
      <c r="B849" t="n">
        <v>84.7</v>
      </c>
      <c r="C849" t="inlineStr">
        <is>
          <t>831</t>
        </is>
      </c>
      <c r="D849" t="n">
        <v>8.31</v>
      </c>
      <c r="E849">
        <f>MEDIAN(D829:D869)</f>
        <v/>
      </c>
      <c r="F849">
        <f>E829</f>
        <v/>
      </c>
      <c r="G849">
        <f>F849-E849</f>
        <v/>
      </c>
      <c r="H849">
        <f>IF(OR(NOT(ISNUMBER(D849)),ABS(D849-E849)&gt;$O$3,AND($O$11=1,B849&lt;$O$12)),1,0)</f>
        <v/>
      </c>
      <c r="I849">
        <f>IF(H849=1,NA(),D849)</f>
        <v/>
      </c>
      <c r="J849">
        <f>IF(AND(ISNUMBER(D849),D849&gt;=$O$4,OR($O$11=0,B849&gt;=$O$12)),1,0)</f>
        <v/>
      </c>
      <c r="K849">
        <f>B849-$O$14</f>
        <v/>
      </c>
    </row>
    <row r="850">
      <c r="A850" t="n">
        <v>2544</v>
      </c>
      <c r="B850" t="n">
        <v>84.8</v>
      </c>
      <c r="C850" t="inlineStr">
        <is>
          <t>83?</t>
        </is>
      </c>
      <c r="E850">
        <f>MEDIAN(D830:D870)</f>
        <v/>
      </c>
      <c r="F850">
        <f>E830</f>
        <v/>
      </c>
      <c r="G850">
        <f>F850-E850</f>
        <v/>
      </c>
      <c r="H850">
        <f>IF(OR(NOT(ISNUMBER(D850)),ABS(D850-E850)&gt;$O$3,AND($O$11=1,B850&lt;$O$12)),1,0)</f>
        <v/>
      </c>
      <c r="I850">
        <f>IF(H850=1,NA(),D850)</f>
        <v/>
      </c>
      <c r="J850">
        <f>IF(AND(ISNUMBER(D850),D850&gt;=$O$4,OR($O$11=0,B850&gt;=$O$12)),1,0)</f>
        <v/>
      </c>
      <c r="K850">
        <f>B850-$O$14</f>
        <v/>
      </c>
    </row>
    <row r="851">
      <c r="A851" t="n">
        <v>2547</v>
      </c>
      <c r="B851" t="n">
        <v>84.90000000000001</v>
      </c>
      <c r="C851" t="inlineStr">
        <is>
          <t>832</t>
        </is>
      </c>
      <c r="D851" t="n">
        <v>8.32</v>
      </c>
      <c r="E851">
        <f>MEDIAN(D831:D871)</f>
        <v/>
      </c>
      <c r="F851">
        <f>E831</f>
        <v/>
      </c>
      <c r="G851">
        <f>F851-E851</f>
        <v/>
      </c>
      <c r="H851">
        <f>IF(OR(NOT(ISNUMBER(D851)),ABS(D851-E851)&gt;$O$3,AND($O$11=1,B851&lt;$O$12)),1,0)</f>
        <v/>
      </c>
      <c r="I851">
        <f>IF(H851=1,NA(),D851)</f>
        <v/>
      </c>
      <c r="J851">
        <f>IF(AND(ISNUMBER(D851),D851&gt;=$O$4,OR($O$11=0,B851&gt;=$O$12)),1,0)</f>
        <v/>
      </c>
      <c r="K851">
        <f>B851-$O$14</f>
        <v/>
      </c>
    </row>
    <row r="852">
      <c r="A852" t="n">
        <v>2550</v>
      </c>
      <c r="B852" t="n">
        <v>85</v>
      </c>
      <c r="C852" t="inlineStr">
        <is>
          <t>832</t>
        </is>
      </c>
      <c r="D852" t="n">
        <v>8.32</v>
      </c>
      <c r="E852">
        <f>MEDIAN(D832:D872)</f>
        <v/>
      </c>
      <c r="F852">
        <f>E832</f>
        <v/>
      </c>
      <c r="G852">
        <f>F852-E852</f>
        <v/>
      </c>
      <c r="H852">
        <f>IF(OR(NOT(ISNUMBER(D852)),ABS(D852-E852)&gt;$O$3,AND($O$11=1,B852&lt;$O$12)),1,0)</f>
        <v/>
      </c>
      <c r="I852">
        <f>IF(H852=1,NA(),D852)</f>
        <v/>
      </c>
      <c r="J852">
        <f>IF(AND(ISNUMBER(D852),D852&gt;=$O$4,OR($O$11=0,B852&gt;=$O$12)),1,0)</f>
        <v/>
      </c>
      <c r="K852">
        <f>B852-$O$14</f>
        <v/>
      </c>
    </row>
    <row r="853">
      <c r="A853" t="n">
        <v>2553</v>
      </c>
      <c r="B853" t="n">
        <v>85.09999999999999</v>
      </c>
      <c r="C853" t="inlineStr">
        <is>
          <t>832</t>
        </is>
      </c>
      <c r="D853" t="n">
        <v>8.32</v>
      </c>
      <c r="E853">
        <f>MEDIAN(D833:D873)</f>
        <v/>
      </c>
      <c r="F853">
        <f>E833</f>
        <v/>
      </c>
      <c r="G853">
        <f>F853-E853</f>
        <v/>
      </c>
      <c r="H853">
        <f>IF(OR(NOT(ISNUMBER(D853)),ABS(D853-E853)&gt;$O$3,AND($O$11=1,B853&lt;$O$12)),1,0)</f>
        <v/>
      </c>
      <c r="I853">
        <f>IF(H853=1,NA(),D853)</f>
        <v/>
      </c>
      <c r="J853">
        <f>IF(AND(ISNUMBER(D853),D853&gt;=$O$4,OR($O$11=0,B853&gt;=$O$12)),1,0)</f>
        <v/>
      </c>
      <c r="K853">
        <f>B853-$O$14</f>
        <v/>
      </c>
    </row>
    <row r="854">
      <c r="A854" t="n">
        <v>2556</v>
      </c>
      <c r="B854" t="n">
        <v>85.2</v>
      </c>
      <c r="C854" t="inlineStr">
        <is>
          <t>832</t>
        </is>
      </c>
      <c r="D854" t="n">
        <v>8.32</v>
      </c>
      <c r="E854">
        <f>MEDIAN(D834:D874)</f>
        <v/>
      </c>
      <c r="F854">
        <f>E834</f>
        <v/>
      </c>
      <c r="G854">
        <f>F854-E854</f>
        <v/>
      </c>
      <c r="H854">
        <f>IF(OR(NOT(ISNUMBER(D854)),ABS(D854-E854)&gt;$O$3,AND($O$11=1,B854&lt;$O$12)),1,0)</f>
        <v/>
      </c>
      <c r="I854">
        <f>IF(H854=1,NA(),D854)</f>
        <v/>
      </c>
      <c r="J854">
        <f>IF(AND(ISNUMBER(D854),D854&gt;=$O$4,OR($O$11=0,B854&gt;=$O$12)),1,0)</f>
        <v/>
      </c>
      <c r="K854">
        <f>B854-$O$14</f>
        <v/>
      </c>
    </row>
    <row r="855">
      <c r="A855" t="n">
        <v>2559</v>
      </c>
      <c r="B855" t="n">
        <v>85.3</v>
      </c>
      <c r="C855" t="inlineStr">
        <is>
          <t>833</t>
        </is>
      </c>
      <c r="D855" t="n">
        <v>8.33</v>
      </c>
      <c r="E855">
        <f>MEDIAN(D835:D875)</f>
        <v/>
      </c>
      <c r="F855">
        <f>E835</f>
        <v/>
      </c>
      <c r="G855">
        <f>F855-E855</f>
        <v/>
      </c>
      <c r="H855">
        <f>IF(OR(NOT(ISNUMBER(D855)),ABS(D855-E855)&gt;$O$3,AND($O$11=1,B855&lt;$O$12)),1,0)</f>
        <v/>
      </c>
      <c r="I855">
        <f>IF(H855=1,NA(),D855)</f>
        <v/>
      </c>
      <c r="J855">
        <f>IF(AND(ISNUMBER(D855),D855&gt;=$O$4,OR($O$11=0,B855&gt;=$O$12)),1,0)</f>
        <v/>
      </c>
      <c r="K855">
        <f>B855-$O$14</f>
        <v/>
      </c>
    </row>
    <row r="856">
      <c r="A856" t="n">
        <v>2562</v>
      </c>
      <c r="B856" t="n">
        <v>85.40000000000001</v>
      </c>
      <c r="C856" t="inlineStr">
        <is>
          <t>833</t>
        </is>
      </c>
      <c r="D856" t="n">
        <v>8.33</v>
      </c>
      <c r="E856">
        <f>MEDIAN(D836:D876)</f>
        <v/>
      </c>
      <c r="F856">
        <f>E836</f>
        <v/>
      </c>
      <c r="G856">
        <f>F856-E856</f>
        <v/>
      </c>
      <c r="H856">
        <f>IF(OR(NOT(ISNUMBER(D856)),ABS(D856-E856)&gt;$O$3,AND($O$11=1,B856&lt;$O$12)),1,0)</f>
        <v/>
      </c>
      <c r="I856">
        <f>IF(H856=1,NA(),D856)</f>
        <v/>
      </c>
      <c r="J856">
        <f>IF(AND(ISNUMBER(D856),D856&gt;=$O$4,OR($O$11=0,B856&gt;=$O$12)),1,0)</f>
        <v/>
      </c>
      <c r="K856">
        <f>B856-$O$14</f>
        <v/>
      </c>
    </row>
    <row r="857">
      <c r="A857" t="n">
        <v>2565</v>
      </c>
      <c r="B857" t="n">
        <v>85.5</v>
      </c>
      <c r="C857" t="inlineStr">
        <is>
          <t>832</t>
        </is>
      </c>
      <c r="D857" t="n">
        <v>8.32</v>
      </c>
      <c r="E857">
        <f>MEDIAN(D837:D877)</f>
        <v/>
      </c>
      <c r="F857">
        <f>E837</f>
        <v/>
      </c>
      <c r="G857">
        <f>F857-E857</f>
        <v/>
      </c>
      <c r="H857">
        <f>IF(OR(NOT(ISNUMBER(D857)),ABS(D857-E857)&gt;$O$3,AND($O$11=1,B857&lt;$O$12)),1,0)</f>
        <v/>
      </c>
      <c r="I857">
        <f>IF(H857=1,NA(),D857)</f>
        <v/>
      </c>
      <c r="J857">
        <f>IF(AND(ISNUMBER(D857),D857&gt;=$O$4,OR($O$11=0,B857&gt;=$O$12)),1,0)</f>
        <v/>
      </c>
      <c r="K857">
        <f>B857-$O$14</f>
        <v/>
      </c>
    </row>
    <row r="858">
      <c r="A858" t="n">
        <v>2568</v>
      </c>
      <c r="B858" t="n">
        <v>85.59999999999999</v>
      </c>
      <c r="C858" t="inlineStr">
        <is>
          <t>832</t>
        </is>
      </c>
      <c r="D858" t="n">
        <v>8.32</v>
      </c>
      <c r="E858">
        <f>MEDIAN(D838:D878)</f>
        <v/>
      </c>
      <c r="F858">
        <f>E838</f>
        <v/>
      </c>
      <c r="G858">
        <f>F858-E858</f>
        <v/>
      </c>
      <c r="H858">
        <f>IF(OR(NOT(ISNUMBER(D858)),ABS(D858-E858)&gt;$O$3,AND($O$11=1,B858&lt;$O$12)),1,0)</f>
        <v/>
      </c>
      <c r="I858">
        <f>IF(H858=1,NA(),D858)</f>
        <v/>
      </c>
      <c r="J858">
        <f>IF(AND(ISNUMBER(D858),D858&gt;=$O$4,OR($O$11=0,B858&gt;=$O$12)),1,0)</f>
        <v/>
      </c>
      <c r="K858">
        <f>B858-$O$14</f>
        <v/>
      </c>
    </row>
    <row r="859">
      <c r="A859" t="n">
        <v>2571</v>
      </c>
      <c r="B859" t="n">
        <v>85.7</v>
      </c>
      <c r="C859" t="inlineStr">
        <is>
          <t>832</t>
        </is>
      </c>
      <c r="D859" t="n">
        <v>8.32</v>
      </c>
      <c r="E859">
        <f>MEDIAN(D839:D879)</f>
        <v/>
      </c>
      <c r="F859">
        <f>E839</f>
        <v/>
      </c>
      <c r="G859">
        <f>F859-E859</f>
        <v/>
      </c>
      <c r="H859">
        <f>IF(OR(NOT(ISNUMBER(D859)),ABS(D859-E859)&gt;$O$3,AND($O$11=1,B859&lt;$O$12)),1,0)</f>
        <v/>
      </c>
      <c r="I859">
        <f>IF(H859=1,NA(),D859)</f>
        <v/>
      </c>
      <c r="J859">
        <f>IF(AND(ISNUMBER(D859),D859&gt;=$O$4,OR($O$11=0,B859&gt;=$O$12)),1,0)</f>
        <v/>
      </c>
      <c r="K859">
        <f>B859-$O$14</f>
        <v/>
      </c>
    </row>
    <row r="860">
      <c r="A860" t="n">
        <v>2574</v>
      </c>
      <c r="B860" t="n">
        <v>85.8</v>
      </c>
      <c r="C860" t="inlineStr">
        <is>
          <t>833</t>
        </is>
      </c>
      <c r="D860" t="n">
        <v>8.33</v>
      </c>
      <c r="E860">
        <f>MEDIAN(D840:D880)</f>
        <v/>
      </c>
      <c r="F860">
        <f>E840</f>
        <v/>
      </c>
      <c r="G860">
        <f>F860-E860</f>
        <v/>
      </c>
      <c r="H860">
        <f>IF(OR(NOT(ISNUMBER(D860)),ABS(D860-E860)&gt;$O$3,AND($O$11=1,B860&lt;$O$12)),1,0)</f>
        <v/>
      </c>
      <c r="I860">
        <f>IF(H860=1,NA(),D860)</f>
        <v/>
      </c>
      <c r="J860">
        <f>IF(AND(ISNUMBER(D860),D860&gt;=$O$4,OR($O$11=0,B860&gt;=$O$12)),1,0)</f>
        <v/>
      </c>
      <c r="K860">
        <f>B860-$O$14</f>
        <v/>
      </c>
    </row>
    <row r="861">
      <c r="A861" t="n">
        <v>2577</v>
      </c>
      <c r="B861" t="n">
        <v>85.90000000000001</v>
      </c>
      <c r="C861" t="inlineStr">
        <is>
          <t>833</t>
        </is>
      </c>
      <c r="D861" t="n">
        <v>8.33</v>
      </c>
      <c r="E861">
        <f>MEDIAN(D841:D881)</f>
        <v/>
      </c>
      <c r="F861">
        <f>E841</f>
        <v/>
      </c>
      <c r="G861">
        <f>F861-E861</f>
        <v/>
      </c>
      <c r="H861">
        <f>IF(OR(NOT(ISNUMBER(D861)),ABS(D861-E861)&gt;$O$3,AND($O$11=1,B861&lt;$O$12)),1,0)</f>
        <v/>
      </c>
      <c r="I861">
        <f>IF(H861=1,NA(),D861)</f>
        <v/>
      </c>
      <c r="J861">
        <f>IF(AND(ISNUMBER(D861),D861&gt;=$O$4,OR($O$11=0,B861&gt;=$O$12)),1,0)</f>
        <v/>
      </c>
      <c r="K861">
        <f>B861-$O$14</f>
        <v/>
      </c>
    </row>
    <row r="862">
      <c r="A862" t="n">
        <v>2580</v>
      </c>
      <c r="B862" t="n">
        <v>86</v>
      </c>
      <c r="C862" t="inlineStr">
        <is>
          <t>833</t>
        </is>
      </c>
      <c r="D862" t="n">
        <v>8.33</v>
      </c>
      <c r="E862">
        <f>MEDIAN(D842:D882)</f>
        <v/>
      </c>
      <c r="F862">
        <f>E842</f>
        <v/>
      </c>
      <c r="G862">
        <f>F862-E862</f>
        <v/>
      </c>
      <c r="H862">
        <f>IF(OR(NOT(ISNUMBER(D862)),ABS(D862-E862)&gt;$O$3,AND($O$11=1,B862&lt;$O$12)),1,0)</f>
        <v/>
      </c>
      <c r="I862">
        <f>IF(H862=1,NA(),D862)</f>
        <v/>
      </c>
      <c r="J862">
        <f>IF(AND(ISNUMBER(D862),D862&gt;=$O$4,OR($O$11=0,B862&gt;=$O$12)),1,0)</f>
        <v/>
      </c>
      <c r="K862">
        <f>B862-$O$14</f>
        <v/>
      </c>
    </row>
    <row r="863">
      <c r="A863" t="n">
        <v>2583</v>
      </c>
      <c r="B863" t="n">
        <v>86.09999999999999</v>
      </c>
      <c r="C863" t="inlineStr">
        <is>
          <t>833</t>
        </is>
      </c>
      <c r="D863" t="n">
        <v>8.33</v>
      </c>
      <c r="E863">
        <f>MEDIAN(D843:D883)</f>
        <v/>
      </c>
      <c r="F863">
        <f>E843</f>
        <v/>
      </c>
      <c r="G863">
        <f>F863-E863</f>
        <v/>
      </c>
      <c r="H863">
        <f>IF(OR(NOT(ISNUMBER(D863)),ABS(D863-E863)&gt;$O$3,AND($O$11=1,B863&lt;$O$12)),1,0)</f>
        <v/>
      </c>
      <c r="I863">
        <f>IF(H863=1,NA(),D863)</f>
        <v/>
      </c>
      <c r="J863">
        <f>IF(AND(ISNUMBER(D863),D863&gt;=$O$4,OR($O$11=0,B863&gt;=$O$12)),1,0)</f>
        <v/>
      </c>
      <c r="K863">
        <f>B863-$O$14</f>
        <v/>
      </c>
    </row>
    <row r="864">
      <c r="A864" t="n">
        <v>2586</v>
      </c>
      <c r="B864" t="n">
        <v>86.2</v>
      </c>
      <c r="C864" t="inlineStr">
        <is>
          <t>833</t>
        </is>
      </c>
      <c r="D864" t="n">
        <v>8.33</v>
      </c>
      <c r="E864">
        <f>MEDIAN(D844:D884)</f>
        <v/>
      </c>
      <c r="F864">
        <f>E844</f>
        <v/>
      </c>
      <c r="G864">
        <f>F864-E864</f>
        <v/>
      </c>
      <c r="H864">
        <f>IF(OR(NOT(ISNUMBER(D864)),ABS(D864-E864)&gt;$O$3,AND($O$11=1,B864&lt;$O$12)),1,0)</f>
        <v/>
      </c>
      <c r="I864">
        <f>IF(H864=1,NA(),D864)</f>
        <v/>
      </c>
      <c r="J864">
        <f>IF(AND(ISNUMBER(D864),D864&gt;=$O$4,OR($O$11=0,B864&gt;=$O$12)),1,0)</f>
        <v/>
      </c>
      <c r="K864">
        <f>B864-$O$14</f>
        <v/>
      </c>
    </row>
    <row r="865">
      <c r="A865" t="n">
        <v>2589</v>
      </c>
      <c r="B865" t="n">
        <v>86.3</v>
      </c>
      <c r="C865" t="inlineStr">
        <is>
          <t>833</t>
        </is>
      </c>
      <c r="D865" t="n">
        <v>8.33</v>
      </c>
      <c r="E865">
        <f>MEDIAN(D845:D885)</f>
        <v/>
      </c>
      <c r="F865">
        <f>E845</f>
        <v/>
      </c>
      <c r="G865">
        <f>F865-E865</f>
        <v/>
      </c>
      <c r="H865">
        <f>IF(OR(NOT(ISNUMBER(D865)),ABS(D865-E865)&gt;$O$3,AND($O$11=1,B865&lt;$O$12)),1,0)</f>
        <v/>
      </c>
      <c r="I865">
        <f>IF(H865=1,NA(),D865)</f>
        <v/>
      </c>
      <c r="J865">
        <f>IF(AND(ISNUMBER(D865),D865&gt;=$O$4,OR($O$11=0,B865&gt;=$O$12)),1,0)</f>
        <v/>
      </c>
      <c r="K865">
        <f>B865-$O$14</f>
        <v/>
      </c>
    </row>
    <row r="866">
      <c r="A866" t="n">
        <v>2592</v>
      </c>
      <c r="B866" t="n">
        <v>86.40000000000001</v>
      </c>
      <c r="C866" t="inlineStr">
        <is>
          <t>833</t>
        </is>
      </c>
      <c r="D866" t="n">
        <v>8.33</v>
      </c>
      <c r="E866">
        <f>MEDIAN(D846:D886)</f>
        <v/>
      </c>
      <c r="F866">
        <f>E846</f>
        <v/>
      </c>
      <c r="G866">
        <f>F866-E866</f>
        <v/>
      </c>
      <c r="H866">
        <f>IF(OR(NOT(ISNUMBER(D866)),ABS(D866-E866)&gt;$O$3,AND($O$11=1,B866&lt;$O$12)),1,0)</f>
        <v/>
      </c>
      <c r="I866">
        <f>IF(H866=1,NA(),D866)</f>
        <v/>
      </c>
      <c r="J866">
        <f>IF(AND(ISNUMBER(D866),D866&gt;=$O$4,OR($O$11=0,B866&gt;=$O$12)),1,0)</f>
        <v/>
      </c>
      <c r="K866">
        <f>B866-$O$14</f>
        <v/>
      </c>
    </row>
    <row r="867">
      <c r="A867" t="n">
        <v>2595</v>
      </c>
      <c r="B867" t="n">
        <v>86.5</v>
      </c>
      <c r="C867" t="inlineStr">
        <is>
          <t>833</t>
        </is>
      </c>
      <c r="D867" t="n">
        <v>8.33</v>
      </c>
      <c r="E867">
        <f>MEDIAN(D847:D887)</f>
        <v/>
      </c>
      <c r="F867">
        <f>E847</f>
        <v/>
      </c>
      <c r="G867">
        <f>F867-E867</f>
        <v/>
      </c>
      <c r="H867">
        <f>IF(OR(NOT(ISNUMBER(D867)),ABS(D867-E867)&gt;$O$3,AND($O$11=1,B867&lt;$O$12)),1,0)</f>
        <v/>
      </c>
      <c r="I867">
        <f>IF(H867=1,NA(),D867)</f>
        <v/>
      </c>
      <c r="J867">
        <f>IF(AND(ISNUMBER(D867),D867&gt;=$O$4,OR($O$11=0,B867&gt;=$O$12)),1,0)</f>
        <v/>
      </c>
      <c r="K867">
        <f>B867-$O$14</f>
        <v/>
      </c>
    </row>
    <row r="868">
      <c r="A868" t="n">
        <v>2598</v>
      </c>
      <c r="B868" t="n">
        <v>86.59999999999999</v>
      </c>
      <c r="C868" t="inlineStr">
        <is>
          <t>833</t>
        </is>
      </c>
      <c r="D868" t="n">
        <v>8.33</v>
      </c>
      <c r="E868">
        <f>MEDIAN(D848:D888)</f>
        <v/>
      </c>
      <c r="F868">
        <f>E848</f>
        <v/>
      </c>
      <c r="G868">
        <f>F868-E868</f>
        <v/>
      </c>
      <c r="H868">
        <f>IF(OR(NOT(ISNUMBER(D868)),ABS(D868-E868)&gt;$O$3,AND($O$11=1,B868&lt;$O$12)),1,0)</f>
        <v/>
      </c>
      <c r="I868">
        <f>IF(H868=1,NA(),D868)</f>
        <v/>
      </c>
      <c r="J868">
        <f>IF(AND(ISNUMBER(D868),D868&gt;=$O$4,OR($O$11=0,B868&gt;=$O$12)),1,0)</f>
        <v/>
      </c>
      <c r="K868">
        <f>B868-$O$14</f>
        <v/>
      </c>
    </row>
    <row r="869">
      <c r="A869" t="n">
        <v>2601</v>
      </c>
      <c r="B869" t="n">
        <v>86.7</v>
      </c>
      <c r="C869" t="inlineStr">
        <is>
          <t>833</t>
        </is>
      </c>
      <c r="D869" t="n">
        <v>8.33</v>
      </c>
      <c r="E869">
        <f>MEDIAN(D849:D889)</f>
        <v/>
      </c>
      <c r="F869">
        <f>E849</f>
        <v/>
      </c>
      <c r="G869">
        <f>F869-E869</f>
        <v/>
      </c>
      <c r="H869">
        <f>IF(OR(NOT(ISNUMBER(D869)),ABS(D869-E869)&gt;$O$3,AND($O$11=1,B869&lt;$O$12)),1,0)</f>
        <v/>
      </c>
      <c r="I869">
        <f>IF(H869=1,NA(),D869)</f>
        <v/>
      </c>
      <c r="J869">
        <f>IF(AND(ISNUMBER(D869),D869&gt;=$O$4,OR($O$11=0,B869&gt;=$O$12)),1,0)</f>
        <v/>
      </c>
      <c r="K869">
        <f>B869-$O$14</f>
        <v/>
      </c>
    </row>
    <row r="870">
      <c r="A870" t="n">
        <v>2604</v>
      </c>
      <c r="B870" t="n">
        <v>86.8</v>
      </c>
      <c r="C870" t="inlineStr">
        <is>
          <t>833</t>
        </is>
      </c>
      <c r="D870" t="n">
        <v>8.33</v>
      </c>
      <c r="E870">
        <f>MEDIAN(D850:D890)</f>
        <v/>
      </c>
      <c r="F870">
        <f>E850</f>
        <v/>
      </c>
      <c r="G870">
        <f>F870-E870</f>
        <v/>
      </c>
      <c r="H870">
        <f>IF(OR(NOT(ISNUMBER(D870)),ABS(D870-E870)&gt;$O$3,AND($O$11=1,B870&lt;$O$12)),1,0)</f>
        <v/>
      </c>
      <c r="I870">
        <f>IF(H870=1,NA(),D870)</f>
        <v/>
      </c>
      <c r="J870">
        <f>IF(AND(ISNUMBER(D870),D870&gt;=$O$4,OR($O$11=0,B870&gt;=$O$12)),1,0)</f>
        <v/>
      </c>
      <c r="K870">
        <f>B870-$O$14</f>
        <v/>
      </c>
    </row>
    <row r="871">
      <c r="A871" t="n">
        <v>2607</v>
      </c>
      <c r="B871" t="n">
        <v>86.90000000000001</v>
      </c>
      <c r="C871" t="inlineStr">
        <is>
          <t>833</t>
        </is>
      </c>
      <c r="D871" t="n">
        <v>8.33</v>
      </c>
      <c r="E871">
        <f>MEDIAN(D851:D891)</f>
        <v/>
      </c>
      <c r="F871">
        <f>E851</f>
        <v/>
      </c>
      <c r="G871">
        <f>F871-E871</f>
        <v/>
      </c>
      <c r="H871">
        <f>IF(OR(NOT(ISNUMBER(D871)),ABS(D871-E871)&gt;$O$3,AND($O$11=1,B871&lt;$O$12)),1,0)</f>
        <v/>
      </c>
      <c r="I871">
        <f>IF(H871=1,NA(),D871)</f>
        <v/>
      </c>
      <c r="J871">
        <f>IF(AND(ISNUMBER(D871),D871&gt;=$O$4,OR($O$11=0,B871&gt;=$O$12)),1,0)</f>
        <v/>
      </c>
      <c r="K871">
        <f>B871-$O$14</f>
        <v/>
      </c>
    </row>
    <row r="872">
      <c r="A872" t="n">
        <v>2610</v>
      </c>
      <c r="B872" t="n">
        <v>87</v>
      </c>
      <c r="C872" t="inlineStr">
        <is>
          <t>833</t>
        </is>
      </c>
      <c r="D872" t="n">
        <v>8.33</v>
      </c>
      <c r="E872">
        <f>MEDIAN(D852:D892)</f>
        <v/>
      </c>
      <c r="F872">
        <f>E852</f>
        <v/>
      </c>
      <c r="G872">
        <f>F872-E872</f>
        <v/>
      </c>
      <c r="H872">
        <f>IF(OR(NOT(ISNUMBER(D872)),ABS(D872-E872)&gt;$O$3,AND($O$11=1,B872&lt;$O$12)),1,0)</f>
        <v/>
      </c>
      <c r="I872">
        <f>IF(H872=1,NA(),D872)</f>
        <v/>
      </c>
      <c r="J872">
        <f>IF(AND(ISNUMBER(D872),D872&gt;=$O$4,OR($O$11=0,B872&gt;=$O$12)),1,0)</f>
        <v/>
      </c>
      <c r="K872">
        <f>B872-$O$14</f>
        <v/>
      </c>
    </row>
    <row r="873">
      <c r="A873" t="n">
        <v>2613</v>
      </c>
      <c r="B873" t="n">
        <v>87.09999999999999</v>
      </c>
      <c r="C873" t="inlineStr">
        <is>
          <t>833</t>
        </is>
      </c>
      <c r="D873" t="n">
        <v>8.33</v>
      </c>
      <c r="E873">
        <f>MEDIAN(D853:D893)</f>
        <v/>
      </c>
      <c r="F873">
        <f>E853</f>
        <v/>
      </c>
      <c r="G873">
        <f>F873-E873</f>
        <v/>
      </c>
      <c r="H873">
        <f>IF(OR(NOT(ISNUMBER(D873)),ABS(D873-E873)&gt;$O$3,AND($O$11=1,B873&lt;$O$12)),1,0)</f>
        <v/>
      </c>
      <c r="I873">
        <f>IF(H873=1,NA(),D873)</f>
        <v/>
      </c>
      <c r="J873">
        <f>IF(AND(ISNUMBER(D873),D873&gt;=$O$4,OR($O$11=0,B873&gt;=$O$12)),1,0)</f>
        <v/>
      </c>
      <c r="K873">
        <f>B873-$O$14</f>
        <v/>
      </c>
    </row>
    <row r="874">
      <c r="A874" t="n">
        <v>2616</v>
      </c>
      <c r="B874" t="n">
        <v>87.2</v>
      </c>
      <c r="C874" t="inlineStr">
        <is>
          <t>833</t>
        </is>
      </c>
      <c r="D874" t="n">
        <v>8.33</v>
      </c>
      <c r="E874">
        <f>MEDIAN(D854:D894)</f>
        <v/>
      </c>
      <c r="F874">
        <f>E854</f>
        <v/>
      </c>
      <c r="G874">
        <f>F874-E874</f>
        <v/>
      </c>
      <c r="H874">
        <f>IF(OR(NOT(ISNUMBER(D874)),ABS(D874-E874)&gt;$O$3,AND($O$11=1,B874&lt;$O$12)),1,0)</f>
        <v/>
      </c>
      <c r="I874">
        <f>IF(H874=1,NA(),D874)</f>
        <v/>
      </c>
      <c r="J874">
        <f>IF(AND(ISNUMBER(D874),D874&gt;=$O$4,OR($O$11=0,B874&gt;=$O$12)),1,0)</f>
        <v/>
      </c>
      <c r="K874">
        <f>B874-$O$14</f>
        <v/>
      </c>
    </row>
    <row r="875">
      <c r="A875" t="n">
        <v>2619</v>
      </c>
      <c r="B875" t="n">
        <v>87.3</v>
      </c>
      <c r="C875" t="inlineStr">
        <is>
          <t>833</t>
        </is>
      </c>
      <c r="D875" t="n">
        <v>8.33</v>
      </c>
      <c r="E875">
        <f>MEDIAN(D855:D895)</f>
        <v/>
      </c>
      <c r="F875">
        <f>E855</f>
        <v/>
      </c>
      <c r="G875">
        <f>F875-E875</f>
        <v/>
      </c>
      <c r="H875">
        <f>IF(OR(NOT(ISNUMBER(D875)),ABS(D875-E875)&gt;$O$3,AND($O$11=1,B875&lt;$O$12)),1,0)</f>
        <v/>
      </c>
      <c r="I875">
        <f>IF(H875=1,NA(),D875)</f>
        <v/>
      </c>
      <c r="J875">
        <f>IF(AND(ISNUMBER(D875),D875&gt;=$O$4,OR($O$11=0,B875&gt;=$O$12)),1,0)</f>
        <v/>
      </c>
      <c r="K875">
        <f>B875-$O$14</f>
        <v/>
      </c>
    </row>
    <row r="876">
      <c r="A876" t="n">
        <v>2622</v>
      </c>
      <c r="B876" t="n">
        <v>87.40000000000001</v>
      </c>
      <c r="C876" t="inlineStr">
        <is>
          <t>839</t>
        </is>
      </c>
      <c r="D876" t="n">
        <v>8.390000000000001</v>
      </c>
      <c r="E876">
        <f>MEDIAN(D856:D896)</f>
        <v/>
      </c>
      <c r="F876">
        <f>E856</f>
        <v/>
      </c>
      <c r="G876">
        <f>F876-E876</f>
        <v/>
      </c>
      <c r="H876">
        <f>IF(OR(NOT(ISNUMBER(D876)),ABS(D876-E876)&gt;$O$3,AND($O$11=1,B876&lt;$O$12)),1,0)</f>
        <v/>
      </c>
      <c r="I876">
        <f>IF(H876=1,NA(),D876)</f>
        <v/>
      </c>
      <c r="J876">
        <f>IF(AND(ISNUMBER(D876),D876&gt;=$O$4,OR($O$11=0,B876&gt;=$O$12)),1,0)</f>
        <v/>
      </c>
      <c r="K876">
        <f>B876-$O$14</f>
        <v/>
      </c>
    </row>
    <row r="877">
      <c r="A877" t="n">
        <v>2625</v>
      </c>
      <c r="B877" t="n">
        <v>87.5</v>
      </c>
      <c r="C877" t="inlineStr">
        <is>
          <t>834</t>
        </is>
      </c>
      <c r="D877" t="n">
        <v>8.34</v>
      </c>
      <c r="E877">
        <f>MEDIAN(D857:D897)</f>
        <v/>
      </c>
      <c r="F877">
        <f>E857</f>
        <v/>
      </c>
      <c r="G877">
        <f>F877-E877</f>
        <v/>
      </c>
      <c r="H877">
        <f>IF(OR(NOT(ISNUMBER(D877)),ABS(D877-E877)&gt;$O$3,AND($O$11=1,B877&lt;$O$12)),1,0)</f>
        <v/>
      </c>
      <c r="I877">
        <f>IF(H877=1,NA(),D877)</f>
        <v/>
      </c>
      <c r="J877">
        <f>IF(AND(ISNUMBER(D877),D877&gt;=$O$4,OR($O$11=0,B877&gt;=$O$12)),1,0)</f>
        <v/>
      </c>
      <c r="K877">
        <f>B877-$O$14</f>
        <v/>
      </c>
    </row>
    <row r="878">
      <c r="A878" t="n">
        <v>2628</v>
      </c>
      <c r="B878" t="n">
        <v>87.59999999999999</v>
      </c>
      <c r="C878" t="inlineStr">
        <is>
          <t>834</t>
        </is>
      </c>
      <c r="D878" t="n">
        <v>8.34</v>
      </c>
      <c r="E878">
        <f>MEDIAN(D858:D898)</f>
        <v/>
      </c>
      <c r="F878">
        <f>E858</f>
        <v/>
      </c>
      <c r="G878">
        <f>F878-E878</f>
        <v/>
      </c>
      <c r="H878">
        <f>IF(OR(NOT(ISNUMBER(D878)),ABS(D878-E878)&gt;$O$3,AND($O$11=1,B878&lt;$O$12)),1,0)</f>
        <v/>
      </c>
      <c r="I878">
        <f>IF(H878=1,NA(),D878)</f>
        <v/>
      </c>
      <c r="J878">
        <f>IF(AND(ISNUMBER(D878),D878&gt;=$O$4,OR($O$11=0,B878&gt;=$O$12)),1,0)</f>
        <v/>
      </c>
      <c r="K878">
        <f>B878-$O$14</f>
        <v/>
      </c>
    </row>
    <row r="879">
      <c r="A879" t="n">
        <v>2631</v>
      </c>
      <c r="B879" t="n">
        <v>87.7</v>
      </c>
      <c r="C879" t="inlineStr">
        <is>
          <t>834</t>
        </is>
      </c>
      <c r="D879" t="n">
        <v>8.34</v>
      </c>
      <c r="E879">
        <f>MEDIAN(D859:D899)</f>
        <v/>
      </c>
      <c r="F879">
        <f>E859</f>
        <v/>
      </c>
      <c r="G879">
        <f>F879-E879</f>
        <v/>
      </c>
      <c r="H879">
        <f>IF(OR(NOT(ISNUMBER(D879)),ABS(D879-E879)&gt;$O$3,AND($O$11=1,B879&lt;$O$12)),1,0)</f>
        <v/>
      </c>
      <c r="I879">
        <f>IF(H879=1,NA(),D879)</f>
        <v/>
      </c>
      <c r="J879">
        <f>IF(AND(ISNUMBER(D879),D879&gt;=$O$4,OR($O$11=0,B879&gt;=$O$12)),1,0)</f>
        <v/>
      </c>
      <c r="K879">
        <f>B879-$O$14</f>
        <v/>
      </c>
    </row>
    <row r="880">
      <c r="A880" t="n">
        <v>2634</v>
      </c>
      <c r="B880" t="n">
        <v>87.8</v>
      </c>
      <c r="C880" t="inlineStr">
        <is>
          <t>839</t>
        </is>
      </c>
      <c r="D880" t="n">
        <v>8.390000000000001</v>
      </c>
      <c r="E880">
        <f>MEDIAN(D860:D900)</f>
        <v/>
      </c>
      <c r="F880">
        <f>E860</f>
        <v/>
      </c>
      <c r="G880">
        <f>F880-E880</f>
        <v/>
      </c>
      <c r="H880">
        <f>IF(OR(NOT(ISNUMBER(D880)),ABS(D880-E880)&gt;$O$3,AND($O$11=1,B880&lt;$O$12)),1,0)</f>
        <v/>
      </c>
      <c r="I880">
        <f>IF(H880=1,NA(),D880)</f>
        <v/>
      </c>
      <c r="J880">
        <f>IF(AND(ISNUMBER(D880),D880&gt;=$O$4,OR($O$11=0,B880&gt;=$O$12)),1,0)</f>
        <v/>
      </c>
      <c r="K880">
        <f>B880-$O$14</f>
        <v/>
      </c>
    </row>
    <row r="881">
      <c r="A881" t="n">
        <v>2637</v>
      </c>
      <c r="B881" t="n">
        <v>87.90000000000001</v>
      </c>
      <c r="C881" t="inlineStr">
        <is>
          <t>835</t>
        </is>
      </c>
      <c r="D881" t="n">
        <v>8.35</v>
      </c>
      <c r="E881">
        <f>MEDIAN(D861:D901)</f>
        <v/>
      </c>
      <c r="F881">
        <f>E861</f>
        <v/>
      </c>
      <c r="G881">
        <f>F881-E881</f>
        <v/>
      </c>
      <c r="H881">
        <f>IF(OR(NOT(ISNUMBER(D881)),ABS(D881-E881)&gt;$O$3,AND($O$11=1,B881&lt;$O$12)),1,0)</f>
        <v/>
      </c>
      <c r="I881">
        <f>IF(H881=1,NA(),D881)</f>
        <v/>
      </c>
      <c r="J881">
        <f>IF(AND(ISNUMBER(D881),D881&gt;=$O$4,OR($O$11=0,B881&gt;=$O$12)),1,0)</f>
        <v/>
      </c>
      <c r="K881">
        <f>B881-$O$14</f>
        <v/>
      </c>
    </row>
    <row r="882">
      <c r="A882" t="n">
        <v>2640</v>
      </c>
      <c r="B882" t="n">
        <v>88</v>
      </c>
      <c r="C882" t="inlineStr">
        <is>
          <t>835</t>
        </is>
      </c>
      <c r="D882" t="n">
        <v>8.35</v>
      </c>
      <c r="E882">
        <f>MEDIAN(D862:D902)</f>
        <v/>
      </c>
      <c r="F882">
        <f>E862</f>
        <v/>
      </c>
      <c r="G882">
        <f>F882-E882</f>
        <v/>
      </c>
      <c r="H882">
        <f>IF(OR(NOT(ISNUMBER(D882)),ABS(D882-E882)&gt;$O$3,AND($O$11=1,B882&lt;$O$12)),1,0)</f>
        <v/>
      </c>
      <c r="I882">
        <f>IF(H882=1,NA(),D882)</f>
        <v/>
      </c>
      <c r="J882">
        <f>IF(AND(ISNUMBER(D882),D882&gt;=$O$4,OR($O$11=0,B882&gt;=$O$12)),1,0)</f>
        <v/>
      </c>
      <c r="K882">
        <f>B882-$O$14</f>
        <v/>
      </c>
    </row>
    <row r="883">
      <c r="A883" t="n">
        <v>2643</v>
      </c>
      <c r="B883" t="n">
        <v>88.09999999999999</v>
      </c>
      <c r="C883" t="inlineStr">
        <is>
          <t>835</t>
        </is>
      </c>
      <c r="D883" t="n">
        <v>8.35</v>
      </c>
      <c r="E883">
        <f>MEDIAN(D863:D903)</f>
        <v/>
      </c>
      <c r="F883">
        <f>E863</f>
        <v/>
      </c>
      <c r="G883">
        <f>F883-E883</f>
        <v/>
      </c>
      <c r="H883">
        <f>IF(OR(NOT(ISNUMBER(D883)),ABS(D883-E883)&gt;$O$3,AND($O$11=1,B883&lt;$O$12)),1,0)</f>
        <v/>
      </c>
      <c r="I883">
        <f>IF(H883=1,NA(),D883)</f>
        <v/>
      </c>
      <c r="J883">
        <f>IF(AND(ISNUMBER(D883),D883&gt;=$O$4,OR($O$11=0,B883&gt;=$O$12)),1,0)</f>
        <v/>
      </c>
      <c r="K883">
        <f>B883-$O$14</f>
        <v/>
      </c>
    </row>
    <row r="884">
      <c r="A884" t="n">
        <v>2646</v>
      </c>
      <c r="B884" t="n">
        <v>88.2</v>
      </c>
      <c r="C884" t="inlineStr">
        <is>
          <t>835</t>
        </is>
      </c>
      <c r="D884" t="n">
        <v>8.35</v>
      </c>
      <c r="E884">
        <f>MEDIAN(D864:D904)</f>
        <v/>
      </c>
      <c r="F884">
        <f>E864</f>
        <v/>
      </c>
      <c r="G884">
        <f>F884-E884</f>
        <v/>
      </c>
      <c r="H884">
        <f>IF(OR(NOT(ISNUMBER(D884)),ABS(D884-E884)&gt;$O$3,AND($O$11=1,B884&lt;$O$12)),1,0)</f>
        <v/>
      </c>
      <c r="I884">
        <f>IF(H884=1,NA(),D884)</f>
        <v/>
      </c>
      <c r="J884">
        <f>IF(AND(ISNUMBER(D884),D884&gt;=$O$4,OR($O$11=0,B884&gt;=$O$12)),1,0)</f>
        <v/>
      </c>
      <c r="K884">
        <f>B884-$O$14</f>
        <v/>
      </c>
    </row>
    <row r="885">
      <c r="A885" t="n">
        <v>2649</v>
      </c>
      <c r="B885" t="n">
        <v>88.3</v>
      </c>
      <c r="C885" t="inlineStr">
        <is>
          <t>835</t>
        </is>
      </c>
      <c r="D885" t="n">
        <v>8.35</v>
      </c>
      <c r="E885">
        <f>MEDIAN(D865:D905)</f>
        <v/>
      </c>
      <c r="F885">
        <f>E865</f>
        <v/>
      </c>
      <c r="G885">
        <f>F885-E885</f>
        <v/>
      </c>
      <c r="H885">
        <f>IF(OR(NOT(ISNUMBER(D885)),ABS(D885-E885)&gt;$O$3,AND($O$11=1,B885&lt;$O$12)),1,0)</f>
        <v/>
      </c>
      <c r="I885">
        <f>IF(H885=1,NA(),D885)</f>
        <v/>
      </c>
      <c r="J885">
        <f>IF(AND(ISNUMBER(D885),D885&gt;=$O$4,OR($O$11=0,B885&gt;=$O$12)),1,0)</f>
        <v/>
      </c>
      <c r="K885">
        <f>B885-$O$14</f>
        <v/>
      </c>
    </row>
    <row r="886">
      <c r="A886" t="n">
        <v>2652</v>
      </c>
      <c r="B886" t="n">
        <v>88.40000000000001</v>
      </c>
      <c r="C886" t="inlineStr">
        <is>
          <t>835</t>
        </is>
      </c>
      <c r="D886" t="n">
        <v>8.35</v>
      </c>
      <c r="E886">
        <f>MEDIAN(D866:D906)</f>
        <v/>
      </c>
      <c r="F886">
        <f>E866</f>
        <v/>
      </c>
      <c r="G886">
        <f>F886-E886</f>
        <v/>
      </c>
      <c r="H886">
        <f>IF(OR(NOT(ISNUMBER(D886)),ABS(D886-E886)&gt;$O$3,AND($O$11=1,B886&lt;$O$12)),1,0)</f>
        <v/>
      </c>
      <c r="I886">
        <f>IF(H886=1,NA(),D886)</f>
        <v/>
      </c>
      <c r="J886">
        <f>IF(AND(ISNUMBER(D886),D886&gt;=$O$4,OR($O$11=0,B886&gt;=$O$12)),1,0)</f>
        <v/>
      </c>
      <c r="K886">
        <f>B886-$O$14</f>
        <v/>
      </c>
    </row>
    <row r="887">
      <c r="A887" t="n">
        <v>2655</v>
      </c>
      <c r="B887" t="n">
        <v>88.5</v>
      </c>
      <c r="C887" t="inlineStr">
        <is>
          <t>836</t>
        </is>
      </c>
      <c r="D887" t="n">
        <v>8.359999999999999</v>
      </c>
      <c r="E887">
        <f>MEDIAN(D867:D907)</f>
        <v/>
      </c>
      <c r="F887">
        <f>E867</f>
        <v/>
      </c>
      <c r="G887">
        <f>F887-E887</f>
        <v/>
      </c>
      <c r="H887">
        <f>IF(OR(NOT(ISNUMBER(D887)),ABS(D887-E887)&gt;$O$3,AND($O$11=1,B887&lt;$O$12)),1,0)</f>
        <v/>
      </c>
      <c r="I887">
        <f>IF(H887=1,NA(),D887)</f>
        <v/>
      </c>
      <c r="J887">
        <f>IF(AND(ISNUMBER(D887),D887&gt;=$O$4,OR($O$11=0,B887&gt;=$O$12)),1,0)</f>
        <v/>
      </c>
      <c r="K887">
        <f>B887-$O$14</f>
        <v/>
      </c>
    </row>
    <row r="888">
      <c r="A888" t="n">
        <v>2658</v>
      </c>
      <c r="B888" t="n">
        <v>88.59999999999999</v>
      </c>
      <c r="C888" t="inlineStr">
        <is>
          <t>836</t>
        </is>
      </c>
      <c r="D888" t="n">
        <v>8.359999999999999</v>
      </c>
      <c r="E888">
        <f>MEDIAN(D868:D908)</f>
        <v/>
      </c>
      <c r="F888">
        <f>E868</f>
        <v/>
      </c>
      <c r="G888">
        <f>F888-E888</f>
        <v/>
      </c>
      <c r="H888">
        <f>IF(OR(NOT(ISNUMBER(D888)),ABS(D888-E888)&gt;$O$3,AND($O$11=1,B888&lt;$O$12)),1,0)</f>
        <v/>
      </c>
      <c r="I888">
        <f>IF(H888=1,NA(),D888)</f>
        <v/>
      </c>
      <c r="J888">
        <f>IF(AND(ISNUMBER(D888),D888&gt;=$O$4,OR($O$11=0,B888&gt;=$O$12)),1,0)</f>
        <v/>
      </c>
      <c r="K888">
        <f>B888-$O$14</f>
        <v/>
      </c>
    </row>
    <row r="889">
      <c r="A889" t="n">
        <v>2661</v>
      </c>
      <c r="B889" t="n">
        <v>88.7</v>
      </c>
      <c r="C889" t="inlineStr">
        <is>
          <t>836</t>
        </is>
      </c>
      <c r="D889" t="n">
        <v>8.359999999999999</v>
      </c>
      <c r="E889">
        <f>MEDIAN(D869:D909)</f>
        <v/>
      </c>
      <c r="F889">
        <f>E869</f>
        <v/>
      </c>
      <c r="G889">
        <f>F889-E889</f>
        <v/>
      </c>
      <c r="H889">
        <f>IF(OR(NOT(ISNUMBER(D889)),ABS(D889-E889)&gt;$O$3,AND($O$11=1,B889&lt;$O$12)),1,0)</f>
        <v/>
      </c>
      <c r="I889">
        <f>IF(H889=1,NA(),D889)</f>
        <v/>
      </c>
      <c r="J889">
        <f>IF(AND(ISNUMBER(D889),D889&gt;=$O$4,OR($O$11=0,B889&gt;=$O$12)),1,0)</f>
        <v/>
      </c>
      <c r="K889">
        <f>B889-$O$14</f>
        <v/>
      </c>
    </row>
    <row r="890">
      <c r="A890" t="n">
        <v>2664</v>
      </c>
      <c r="B890" t="n">
        <v>88.8</v>
      </c>
      <c r="C890" t="inlineStr">
        <is>
          <t>839</t>
        </is>
      </c>
      <c r="D890" t="n">
        <v>8.390000000000001</v>
      </c>
      <c r="E890">
        <f>MEDIAN(D870:D910)</f>
        <v/>
      </c>
      <c r="F890">
        <f>E870</f>
        <v/>
      </c>
      <c r="G890">
        <f>F890-E890</f>
        <v/>
      </c>
      <c r="H890">
        <f>IF(OR(NOT(ISNUMBER(D890)),ABS(D890-E890)&gt;$O$3,AND($O$11=1,B890&lt;$O$12)),1,0)</f>
        <v/>
      </c>
      <c r="I890">
        <f>IF(H890=1,NA(),D890)</f>
        <v/>
      </c>
      <c r="J890">
        <f>IF(AND(ISNUMBER(D890),D890&gt;=$O$4,OR($O$11=0,B890&gt;=$O$12)),1,0)</f>
        <v/>
      </c>
      <c r="K890">
        <f>B890-$O$14</f>
        <v/>
      </c>
    </row>
    <row r="891">
      <c r="A891" t="n">
        <v>2667</v>
      </c>
      <c r="B891" t="n">
        <v>88.90000000000001</v>
      </c>
      <c r="C891" t="inlineStr">
        <is>
          <t>839</t>
        </is>
      </c>
      <c r="D891" t="n">
        <v>8.390000000000001</v>
      </c>
      <c r="E891">
        <f>MEDIAN(D871:D911)</f>
        <v/>
      </c>
      <c r="F891">
        <f>E871</f>
        <v/>
      </c>
      <c r="G891">
        <f>F891-E891</f>
        <v/>
      </c>
      <c r="H891">
        <f>IF(OR(NOT(ISNUMBER(D891)),ABS(D891-E891)&gt;$O$3,AND($O$11=1,B891&lt;$O$12)),1,0)</f>
        <v/>
      </c>
      <c r="I891">
        <f>IF(H891=1,NA(),D891)</f>
        <v/>
      </c>
      <c r="J891">
        <f>IF(AND(ISNUMBER(D891),D891&gt;=$O$4,OR($O$11=0,B891&gt;=$O$12)),1,0)</f>
        <v/>
      </c>
      <c r="K891">
        <f>B891-$O$14</f>
        <v/>
      </c>
    </row>
    <row r="892">
      <c r="A892" t="n">
        <v>2670</v>
      </c>
      <c r="B892" t="n">
        <v>89</v>
      </c>
      <c r="C892" t="inlineStr">
        <is>
          <t>839</t>
        </is>
      </c>
      <c r="D892" t="n">
        <v>8.390000000000001</v>
      </c>
      <c r="E892">
        <f>MEDIAN(D872:D912)</f>
        <v/>
      </c>
      <c r="F892">
        <f>E872</f>
        <v/>
      </c>
      <c r="G892">
        <f>F892-E892</f>
        <v/>
      </c>
      <c r="H892">
        <f>IF(OR(NOT(ISNUMBER(D892)),ABS(D892-E892)&gt;$O$3,AND($O$11=1,B892&lt;$O$12)),1,0)</f>
        <v/>
      </c>
      <c r="I892">
        <f>IF(H892=1,NA(),D892)</f>
        <v/>
      </c>
      <c r="J892">
        <f>IF(AND(ISNUMBER(D892),D892&gt;=$O$4,OR($O$11=0,B892&gt;=$O$12)),1,0)</f>
        <v/>
      </c>
      <c r="K892">
        <f>B892-$O$14</f>
        <v/>
      </c>
    </row>
    <row r="893">
      <c r="A893" t="n">
        <v>2673</v>
      </c>
      <c r="B893" t="n">
        <v>89.09999999999999</v>
      </c>
      <c r="C893" t="inlineStr">
        <is>
          <t>839</t>
        </is>
      </c>
      <c r="D893" t="n">
        <v>8.390000000000001</v>
      </c>
      <c r="E893">
        <f>MEDIAN(D873:D913)</f>
        <v/>
      </c>
      <c r="F893">
        <f>E873</f>
        <v/>
      </c>
      <c r="G893">
        <f>F893-E893</f>
        <v/>
      </c>
      <c r="H893">
        <f>IF(OR(NOT(ISNUMBER(D893)),ABS(D893-E893)&gt;$O$3,AND($O$11=1,B893&lt;$O$12)),1,0)</f>
        <v/>
      </c>
      <c r="I893">
        <f>IF(H893=1,NA(),D893)</f>
        <v/>
      </c>
      <c r="J893">
        <f>IF(AND(ISNUMBER(D893),D893&gt;=$O$4,OR($O$11=0,B893&gt;=$O$12)),1,0)</f>
        <v/>
      </c>
      <c r="K893">
        <f>B893-$O$14</f>
        <v/>
      </c>
    </row>
    <row r="894">
      <c r="A894" t="n">
        <v>2676</v>
      </c>
      <c r="B894" t="n">
        <v>89.2</v>
      </c>
      <c r="C894" t="inlineStr">
        <is>
          <t>839</t>
        </is>
      </c>
      <c r="D894" t="n">
        <v>8.390000000000001</v>
      </c>
      <c r="E894">
        <f>MEDIAN(D874:D914)</f>
        <v/>
      </c>
      <c r="F894">
        <f>E874</f>
        <v/>
      </c>
      <c r="G894">
        <f>F894-E894</f>
        <v/>
      </c>
      <c r="H894">
        <f>IF(OR(NOT(ISNUMBER(D894)),ABS(D894-E894)&gt;$O$3,AND($O$11=1,B894&lt;$O$12)),1,0)</f>
        <v/>
      </c>
      <c r="I894">
        <f>IF(H894=1,NA(),D894)</f>
        <v/>
      </c>
      <c r="J894">
        <f>IF(AND(ISNUMBER(D894),D894&gt;=$O$4,OR($O$11=0,B894&gt;=$O$12)),1,0)</f>
        <v/>
      </c>
      <c r="K894">
        <f>B894-$O$14</f>
        <v/>
      </c>
    </row>
    <row r="895">
      <c r="A895" t="n">
        <v>2679</v>
      </c>
      <c r="B895" t="n">
        <v>89.3</v>
      </c>
      <c r="C895" t="inlineStr">
        <is>
          <t>839</t>
        </is>
      </c>
      <c r="D895" t="n">
        <v>8.390000000000001</v>
      </c>
      <c r="E895">
        <f>MEDIAN(D875:D915)</f>
        <v/>
      </c>
      <c r="F895">
        <f>E875</f>
        <v/>
      </c>
      <c r="G895">
        <f>F895-E895</f>
        <v/>
      </c>
      <c r="H895">
        <f>IF(OR(NOT(ISNUMBER(D895)),ABS(D895-E895)&gt;$O$3,AND($O$11=1,B895&lt;$O$12)),1,0)</f>
        <v/>
      </c>
      <c r="I895">
        <f>IF(H895=1,NA(),D895)</f>
        <v/>
      </c>
      <c r="J895">
        <f>IF(AND(ISNUMBER(D895),D895&gt;=$O$4,OR($O$11=0,B895&gt;=$O$12)),1,0)</f>
        <v/>
      </c>
      <c r="K895">
        <f>B895-$O$14</f>
        <v/>
      </c>
    </row>
    <row r="896">
      <c r="A896" t="n">
        <v>2682</v>
      </c>
      <c r="B896" t="n">
        <v>89.40000000000001</v>
      </c>
      <c r="C896" t="inlineStr">
        <is>
          <t>839</t>
        </is>
      </c>
      <c r="D896" t="n">
        <v>8.390000000000001</v>
      </c>
      <c r="E896">
        <f>MEDIAN(D876:D916)</f>
        <v/>
      </c>
      <c r="F896">
        <f>E876</f>
        <v/>
      </c>
      <c r="G896">
        <f>F896-E896</f>
        <v/>
      </c>
      <c r="H896">
        <f>IF(OR(NOT(ISNUMBER(D896)),ABS(D896-E896)&gt;$O$3,AND($O$11=1,B896&lt;$O$12)),1,0)</f>
        <v/>
      </c>
      <c r="I896">
        <f>IF(H896=1,NA(),D896)</f>
        <v/>
      </c>
      <c r="J896">
        <f>IF(AND(ISNUMBER(D896),D896&gt;=$O$4,OR($O$11=0,B896&gt;=$O$12)),1,0)</f>
        <v/>
      </c>
      <c r="K896">
        <f>B896-$O$14</f>
        <v/>
      </c>
    </row>
    <row r="897">
      <c r="A897" t="n">
        <v>2685</v>
      </c>
      <c r="B897" t="n">
        <v>89.5</v>
      </c>
      <c r="C897" t="inlineStr">
        <is>
          <t>839</t>
        </is>
      </c>
      <c r="D897" t="n">
        <v>8.390000000000001</v>
      </c>
      <c r="E897">
        <f>MEDIAN(D877:D917)</f>
        <v/>
      </c>
      <c r="F897">
        <f>E877</f>
        <v/>
      </c>
      <c r="G897">
        <f>F897-E897</f>
        <v/>
      </c>
      <c r="H897">
        <f>IF(OR(NOT(ISNUMBER(D897)),ABS(D897-E897)&gt;$O$3,AND($O$11=1,B897&lt;$O$12)),1,0)</f>
        <v/>
      </c>
      <c r="I897">
        <f>IF(H897=1,NA(),D897)</f>
        <v/>
      </c>
      <c r="J897">
        <f>IF(AND(ISNUMBER(D897),D897&gt;=$O$4,OR($O$11=0,B897&gt;=$O$12)),1,0)</f>
        <v/>
      </c>
      <c r="K897">
        <f>B897-$O$14</f>
        <v/>
      </c>
    </row>
    <row r="898">
      <c r="A898" t="n">
        <v>2688</v>
      </c>
      <c r="B898" t="n">
        <v>89.59999999999999</v>
      </c>
      <c r="C898" t="inlineStr">
        <is>
          <t>839</t>
        </is>
      </c>
      <c r="D898" t="n">
        <v>8.390000000000001</v>
      </c>
      <c r="E898">
        <f>MEDIAN(D878:D918)</f>
        <v/>
      </c>
      <c r="F898">
        <f>E878</f>
        <v/>
      </c>
      <c r="G898">
        <f>F898-E898</f>
        <v/>
      </c>
      <c r="H898">
        <f>IF(OR(NOT(ISNUMBER(D898)),ABS(D898-E898)&gt;$O$3,AND($O$11=1,B898&lt;$O$12)),1,0)</f>
        <v/>
      </c>
      <c r="I898">
        <f>IF(H898=1,NA(),D898)</f>
        <v/>
      </c>
      <c r="J898">
        <f>IF(AND(ISNUMBER(D898),D898&gt;=$O$4,OR($O$11=0,B898&gt;=$O$12)),1,0)</f>
        <v/>
      </c>
      <c r="K898">
        <f>B898-$O$14</f>
        <v/>
      </c>
    </row>
    <row r="899">
      <c r="A899" t="n">
        <v>2691</v>
      </c>
      <c r="B899" t="n">
        <v>89.7</v>
      </c>
      <c r="C899" t="inlineStr">
        <is>
          <t>839</t>
        </is>
      </c>
      <c r="D899" t="n">
        <v>8.390000000000001</v>
      </c>
      <c r="E899">
        <f>MEDIAN(D879:D919)</f>
        <v/>
      </c>
      <c r="F899">
        <f>E879</f>
        <v/>
      </c>
      <c r="G899">
        <f>F899-E899</f>
        <v/>
      </c>
      <c r="H899">
        <f>IF(OR(NOT(ISNUMBER(D899)),ABS(D899-E899)&gt;$O$3,AND($O$11=1,B899&lt;$O$12)),1,0)</f>
        <v/>
      </c>
      <c r="I899">
        <f>IF(H899=1,NA(),D899)</f>
        <v/>
      </c>
      <c r="J899">
        <f>IF(AND(ISNUMBER(D899),D899&gt;=$O$4,OR($O$11=0,B899&gt;=$O$12)),1,0)</f>
        <v/>
      </c>
      <c r="K899">
        <f>B899-$O$14</f>
        <v/>
      </c>
    </row>
    <row r="900">
      <c r="A900" t="n">
        <v>2694</v>
      </c>
      <c r="B900" t="n">
        <v>89.8</v>
      </c>
      <c r="C900" t="inlineStr">
        <is>
          <t>839</t>
        </is>
      </c>
      <c r="D900" t="n">
        <v>8.390000000000001</v>
      </c>
      <c r="E900">
        <f>MEDIAN(D880:D920)</f>
        <v/>
      </c>
      <c r="F900">
        <f>E880</f>
        <v/>
      </c>
      <c r="G900">
        <f>F900-E900</f>
        <v/>
      </c>
      <c r="H900">
        <f>IF(OR(NOT(ISNUMBER(D900)),ABS(D900-E900)&gt;$O$3,AND($O$11=1,B900&lt;$O$12)),1,0)</f>
        <v/>
      </c>
      <c r="I900">
        <f>IF(H900=1,NA(),D900)</f>
        <v/>
      </c>
      <c r="J900">
        <f>IF(AND(ISNUMBER(D900),D900&gt;=$O$4,OR($O$11=0,B900&gt;=$O$12)),1,0)</f>
        <v/>
      </c>
      <c r="K900">
        <f>B900-$O$14</f>
        <v/>
      </c>
    </row>
    <row r="901">
      <c r="A901" t="n">
        <v>2697</v>
      </c>
      <c r="B901" t="n">
        <v>89.90000000000001</v>
      </c>
      <c r="C901" t="inlineStr">
        <is>
          <t>838</t>
        </is>
      </c>
      <c r="D901" t="n">
        <v>8.380000000000001</v>
      </c>
      <c r="E901">
        <f>MEDIAN(D881:D921)</f>
        <v/>
      </c>
      <c r="F901">
        <f>E881</f>
        <v/>
      </c>
      <c r="G901">
        <f>F901-E901</f>
        <v/>
      </c>
      <c r="H901">
        <f>IF(OR(NOT(ISNUMBER(D901)),ABS(D901-E901)&gt;$O$3,AND($O$11=1,B901&lt;$O$12)),1,0)</f>
        <v/>
      </c>
      <c r="I901">
        <f>IF(H901=1,NA(),D901)</f>
        <v/>
      </c>
      <c r="J901">
        <f>IF(AND(ISNUMBER(D901),D901&gt;=$O$4,OR($O$11=0,B901&gt;=$O$12)),1,0)</f>
        <v/>
      </c>
      <c r="K901">
        <f>B901-$O$14</f>
        <v/>
      </c>
    </row>
    <row r="902">
      <c r="A902" t="n">
        <v>2700</v>
      </c>
      <c r="B902" t="n">
        <v>90</v>
      </c>
      <c r="C902" t="inlineStr">
        <is>
          <t>838</t>
        </is>
      </c>
      <c r="D902" t="n">
        <v>8.380000000000001</v>
      </c>
      <c r="E902">
        <f>MEDIAN(D882:D922)</f>
        <v/>
      </c>
      <c r="F902">
        <f>E882</f>
        <v/>
      </c>
      <c r="G902">
        <f>F902-E902</f>
        <v/>
      </c>
      <c r="H902">
        <f>IF(OR(NOT(ISNUMBER(D902)),ABS(D902-E902)&gt;$O$3,AND($O$11=1,B902&lt;$O$12)),1,0)</f>
        <v/>
      </c>
      <c r="I902">
        <f>IF(H902=1,NA(),D902)</f>
        <v/>
      </c>
      <c r="J902">
        <f>IF(AND(ISNUMBER(D902),D902&gt;=$O$4,OR($O$11=0,B902&gt;=$O$12)),1,0)</f>
        <v/>
      </c>
      <c r="K902">
        <f>B902-$O$14</f>
        <v/>
      </c>
    </row>
    <row r="903">
      <c r="A903" t="n">
        <v>2703</v>
      </c>
      <c r="B903" t="n">
        <v>90.09999999999999</v>
      </c>
      <c r="C903" t="inlineStr">
        <is>
          <t>838</t>
        </is>
      </c>
      <c r="D903" t="n">
        <v>8.380000000000001</v>
      </c>
      <c r="E903">
        <f>MEDIAN(D883:D923)</f>
        <v/>
      </c>
      <c r="F903">
        <f>E883</f>
        <v/>
      </c>
      <c r="G903">
        <f>F903-E903</f>
        <v/>
      </c>
      <c r="H903">
        <f>IF(OR(NOT(ISNUMBER(D903)),ABS(D903-E903)&gt;$O$3,AND($O$11=1,B903&lt;$O$12)),1,0)</f>
        <v/>
      </c>
      <c r="I903">
        <f>IF(H903=1,NA(),D903)</f>
        <v/>
      </c>
      <c r="J903">
        <f>IF(AND(ISNUMBER(D903),D903&gt;=$O$4,OR($O$11=0,B903&gt;=$O$12)),1,0)</f>
        <v/>
      </c>
      <c r="K903">
        <f>B903-$O$14</f>
        <v/>
      </c>
    </row>
    <row r="904">
      <c r="A904" t="n">
        <v>2706</v>
      </c>
      <c r="B904" t="n">
        <v>90.2</v>
      </c>
      <c r="C904" t="inlineStr">
        <is>
          <t>838</t>
        </is>
      </c>
      <c r="D904" t="n">
        <v>8.380000000000001</v>
      </c>
      <c r="E904">
        <f>MEDIAN(D884:D924)</f>
        <v/>
      </c>
      <c r="F904">
        <f>E884</f>
        <v/>
      </c>
      <c r="G904">
        <f>F904-E904</f>
        <v/>
      </c>
      <c r="H904">
        <f>IF(OR(NOT(ISNUMBER(D904)),ABS(D904-E904)&gt;$O$3,AND($O$11=1,B904&lt;$O$12)),1,0)</f>
        <v/>
      </c>
      <c r="I904">
        <f>IF(H904=1,NA(),D904)</f>
        <v/>
      </c>
      <c r="J904">
        <f>IF(AND(ISNUMBER(D904),D904&gt;=$O$4,OR($O$11=0,B904&gt;=$O$12)),1,0)</f>
        <v/>
      </c>
      <c r="K904">
        <f>B904-$O$14</f>
        <v/>
      </c>
    </row>
    <row r="905">
      <c r="A905" t="n">
        <v>2709</v>
      </c>
      <c r="B905" t="n">
        <v>90.3</v>
      </c>
      <c r="C905" t="inlineStr">
        <is>
          <t>838</t>
        </is>
      </c>
      <c r="D905" t="n">
        <v>8.380000000000001</v>
      </c>
      <c r="E905">
        <f>MEDIAN(D885:D925)</f>
        <v/>
      </c>
      <c r="F905">
        <f>E885</f>
        <v/>
      </c>
      <c r="G905">
        <f>F905-E905</f>
        <v/>
      </c>
      <c r="H905">
        <f>IF(OR(NOT(ISNUMBER(D905)),ABS(D905-E905)&gt;$O$3,AND($O$11=1,B905&lt;$O$12)),1,0)</f>
        <v/>
      </c>
      <c r="I905">
        <f>IF(H905=1,NA(),D905)</f>
        <v/>
      </c>
      <c r="J905">
        <f>IF(AND(ISNUMBER(D905),D905&gt;=$O$4,OR($O$11=0,B905&gt;=$O$12)),1,0)</f>
        <v/>
      </c>
      <c r="K905">
        <f>B905-$O$14</f>
        <v/>
      </c>
    </row>
    <row r="906">
      <c r="A906" t="n">
        <v>2712</v>
      </c>
      <c r="B906" t="n">
        <v>90.40000000000001</v>
      </c>
      <c r="C906" t="inlineStr">
        <is>
          <t>838</t>
        </is>
      </c>
      <c r="D906" t="n">
        <v>8.380000000000001</v>
      </c>
      <c r="E906">
        <f>MEDIAN(D886:D926)</f>
        <v/>
      </c>
      <c r="F906">
        <f>E886</f>
        <v/>
      </c>
      <c r="G906">
        <f>F906-E906</f>
        <v/>
      </c>
      <c r="H906">
        <f>IF(OR(NOT(ISNUMBER(D906)),ABS(D906-E906)&gt;$O$3,AND($O$11=1,B906&lt;$O$12)),1,0)</f>
        <v/>
      </c>
      <c r="I906">
        <f>IF(H906=1,NA(),D906)</f>
        <v/>
      </c>
      <c r="J906">
        <f>IF(AND(ISNUMBER(D906),D906&gt;=$O$4,OR($O$11=0,B906&gt;=$O$12)),1,0)</f>
        <v/>
      </c>
      <c r="K906">
        <f>B906-$O$14</f>
        <v/>
      </c>
    </row>
    <row r="907">
      <c r="A907" t="n">
        <v>2715</v>
      </c>
      <c r="B907" t="n">
        <v>90.5</v>
      </c>
      <c r="C907" t="inlineStr">
        <is>
          <t>838</t>
        </is>
      </c>
      <c r="D907" t="n">
        <v>8.380000000000001</v>
      </c>
      <c r="E907">
        <f>MEDIAN(D887:D927)</f>
        <v/>
      </c>
      <c r="F907">
        <f>E887</f>
        <v/>
      </c>
      <c r="G907">
        <f>F907-E907</f>
        <v/>
      </c>
      <c r="H907">
        <f>IF(OR(NOT(ISNUMBER(D907)),ABS(D907-E907)&gt;$O$3,AND($O$11=1,B907&lt;$O$12)),1,0)</f>
        <v/>
      </c>
      <c r="I907">
        <f>IF(H907=1,NA(),D907)</f>
        <v/>
      </c>
      <c r="J907">
        <f>IF(AND(ISNUMBER(D907),D907&gt;=$O$4,OR($O$11=0,B907&gt;=$O$12)),1,0)</f>
        <v/>
      </c>
      <c r="K907">
        <f>B907-$O$14</f>
        <v/>
      </c>
    </row>
    <row r="908">
      <c r="A908" t="n">
        <v>2718</v>
      </c>
      <c r="B908" t="n">
        <v>90.59999999999999</v>
      </c>
      <c r="C908" t="inlineStr">
        <is>
          <t>838</t>
        </is>
      </c>
      <c r="D908" t="n">
        <v>8.380000000000001</v>
      </c>
      <c r="E908">
        <f>MEDIAN(D888:D928)</f>
        <v/>
      </c>
      <c r="F908">
        <f>E888</f>
        <v/>
      </c>
      <c r="G908">
        <f>F908-E908</f>
        <v/>
      </c>
      <c r="H908">
        <f>IF(OR(NOT(ISNUMBER(D908)),ABS(D908-E908)&gt;$O$3,AND($O$11=1,B908&lt;$O$12)),1,0)</f>
        <v/>
      </c>
      <c r="I908">
        <f>IF(H908=1,NA(),D908)</f>
        <v/>
      </c>
      <c r="J908">
        <f>IF(AND(ISNUMBER(D908),D908&gt;=$O$4,OR($O$11=0,B908&gt;=$O$12)),1,0)</f>
        <v/>
      </c>
      <c r="K908">
        <f>B908-$O$14</f>
        <v/>
      </c>
    </row>
    <row r="909">
      <c r="A909" t="n">
        <v>2721</v>
      </c>
      <c r="B909" t="n">
        <v>90.7</v>
      </c>
      <c r="C909" t="inlineStr">
        <is>
          <t>838</t>
        </is>
      </c>
      <c r="D909" t="n">
        <v>8.380000000000001</v>
      </c>
      <c r="E909">
        <f>MEDIAN(D889:D929)</f>
        <v/>
      </c>
      <c r="F909">
        <f>E889</f>
        <v/>
      </c>
      <c r="G909">
        <f>F909-E909</f>
        <v/>
      </c>
      <c r="H909">
        <f>IF(OR(NOT(ISNUMBER(D909)),ABS(D909-E909)&gt;$O$3,AND($O$11=1,B909&lt;$O$12)),1,0)</f>
        <v/>
      </c>
      <c r="I909">
        <f>IF(H909=1,NA(),D909)</f>
        <v/>
      </c>
      <c r="J909">
        <f>IF(AND(ISNUMBER(D909),D909&gt;=$O$4,OR($O$11=0,B909&gt;=$O$12)),1,0)</f>
        <v/>
      </c>
      <c r="K909">
        <f>B909-$O$14</f>
        <v/>
      </c>
    </row>
    <row r="910">
      <c r="A910" t="n">
        <v>2724</v>
      </c>
      <c r="B910" t="n">
        <v>90.8</v>
      </c>
      <c r="C910" t="inlineStr">
        <is>
          <t>838</t>
        </is>
      </c>
      <c r="D910" t="n">
        <v>8.380000000000001</v>
      </c>
      <c r="E910">
        <f>MEDIAN(D890:D930)</f>
        <v/>
      </c>
      <c r="F910">
        <f>E890</f>
        <v/>
      </c>
      <c r="G910">
        <f>F910-E910</f>
        <v/>
      </c>
      <c r="H910">
        <f>IF(OR(NOT(ISNUMBER(D910)),ABS(D910-E910)&gt;$O$3,AND($O$11=1,B910&lt;$O$12)),1,0)</f>
        <v/>
      </c>
      <c r="I910">
        <f>IF(H910=1,NA(),D910)</f>
        <v/>
      </c>
      <c r="J910">
        <f>IF(AND(ISNUMBER(D910),D910&gt;=$O$4,OR($O$11=0,B910&gt;=$O$12)),1,0)</f>
        <v/>
      </c>
      <c r="K910">
        <f>B910-$O$14</f>
        <v/>
      </c>
    </row>
    <row r="911">
      <c r="A911" t="n">
        <v>2727</v>
      </c>
      <c r="B911" t="n">
        <v>90.90000000000001</v>
      </c>
      <c r="C911" t="inlineStr">
        <is>
          <t>838</t>
        </is>
      </c>
      <c r="D911" t="n">
        <v>8.380000000000001</v>
      </c>
      <c r="E911">
        <f>MEDIAN(D891:D931)</f>
        <v/>
      </c>
      <c r="F911">
        <f>E891</f>
        <v/>
      </c>
      <c r="G911">
        <f>F911-E911</f>
        <v/>
      </c>
      <c r="H911">
        <f>IF(OR(NOT(ISNUMBER(D911)),ABS(D911-E911)&gt;$O$3,AND($O$11=1,B911&lt;$O$12)),1,0)</f>
        <v/>
      </c>
      <c r="I911">
        <f>IF(H911=1,NA(),D911)</f>
        <v/>
      </c>
      <c r="J911">
        <f>IF(AND(ISNUMBER(D911),D911&gt;=$O$4,OR($O$11=0,B911&gt;=$O$12)),1,0)</f>
        <v/>
      </c>
      <c r="K911">
        <f>B911-$O$14</f>
        <v/>
      </c>
    </row>
    <row r="912">
      <c r="A912" t="n">
        <v>2730</v>
      </c>
      <c r="B912" t="n">
        <v>91</v>
      </c>
      <c r="C912" t="inlineStr">
        <is>
          <t>838</t>
        </is>
      </c>
      <c r="D912" t="n">
        <v>8.380000000000001</v>
      </c>
      <c r="E912">
        <f>MEDIAN(D892:D932)</f>
        <v/>
      </c>
      <c r="F912">
        <f>E892</f>
        <v/>
      </c>
      <c r="G912">
        <f>F912-E912</f>
        <v/>
      </c>
      <c r="H912">
        <f>IF(OR(NOT(ISNUMBER(D912)),ABS(D912-E912)&gt;$O$3,AND($O$11=1,B912&lt;$O$12)),1,0)</f>
        <v/>
      </c>
      <c r="I912">
        <f>IF(H912=1,NA(),D912)</f>
        <v/>
      </c>
      <c r="J912">
        <f>IF(AND(ISNUMBER(D912),D912&gt;=$O$4,OR($O$11=0,B912&gt;=$O$12)),1,0)</f>
        <v/>
      </c>
      <c r="K912">
        <f>B912-$O$14</f>
        <v/>
      </c>
    </row>
    <row r="913">
      <c r="A913" t="n">
        <v>2733</v>
      </c>
      <c r="B913" t="n">
        <v>91.09999999999999</v>
      </c>
      <c r="C913" t="inlineStr">
        <is>
          <t>838</t>
        </is>
      </c>
      <c r="D913" t="n">
        <v>8.380000000000001</v>
      </c>
      <c r="E913">
        <f>MEDIAN(D893:D933)</f>
        <v/>
      </c>
      <c r="F913">
        <f>E893</f>
        <v/>
      </c>
      <c r="G913">
        <f>F913-E913</f>
        <v/>
      </c>
      <c r="H913">
        <f>IF(OR(NOT(ISNUMBER(D913)),ABS(D913-E913)&gt;$O$3,AND($O$11=1,B913&lt;$O$12)),1,0)</f>
        <v/>
      </c>
      <c r="I913">
        <f>IF(H913=1,NA(),D913)</f>
        <v/>
      </c>
      <c r="J913">
        <f>IF(AND(ISNUMBER(D913),D913&gt;=$O$4,OR($O$11=0,B913&gt;=$O$12)),1,0)</f>
        <v/>
      </c>
      <c r="K913">
        <f>B913-$O$14</f>
        <v/>
      </c>
    </row>
    <row r="914">
      <c r="A914" t="n">
        <v>2736</v>
      </c>
      <c r="B914" t="n">
        <v>91.2</v>
      </c>
      <c r="C914" t="inlineStr">
        <is>
          <t>839</t>
        </is>
      </c>
      <c r="D914" t="n">
        <v>8.390000000000001</v>
      </c>
      <c r="E914">
        <f>MEDIAN(D894:D934)</f>
        <v/>
      </c>
      <c r="F914">
        <f>E894</f>
        <v/>
      </c>
      <c r="G914">
        <f>F914-E914</f>
        <v/>
      </c>
      <c r="H914">
        <f>IF(OR(NOT(ISNUMBER(D914)),ABS(D914-E914)&gt;$O$3,AND($O$11=1,B914&lt;$O$12)),1,0)</f>
        <v/>
      </c>
      <c r="I914">
        <f>IF(H914=1,NA(),D914)</f>
        <v/>
      </c>
      <c r="J914">
        <f>IF(AND(ISNUMBER(D914),D914&gt;=$O$4,OR($O$11=0,B914&gt;=$O$12)),1,0)</f>
        <v/>
      </c>
      <c r="K914">
        <f>B914-$O$14</f>
        <v/>
      </c>
    </row>
    <row r="915">
      <c r="A915" t="n">
        <v>2739</v>
      </c>
      <c r="B915" t="n">
        <v>91.3</v>
      </c>
      <c r="C915" t="inlineStr">
        <is>
          <t>839</t>
        </is>
      </c>
      <c r="D915" t="n">
        <v>8.390000000000001</v>
      </c>
      <c r="E915">
        <f>MEDIAN(D895:D935)</f>
        <v/>
      </c>
      <c r="F915">
        <f>E895</f>
        <v/>
      </c>
      <c r="G915">
        <f>F915-E915</f>
        <v/>
      </c>
      <c r="H915">
        <f>IF(OR(NOT(ISNUMBER(D915)),ABS(D915-E915)&gt;$O$3,AND($O$11=1,B915&lt;$O$12)),1,0)</f>
        <v/>
      </c>
      <c r="I915">
        <f>IF(H915=1,NA(),D915)</f>
        <v/>
      </c>
      <c r="J915">
        <f>IF(AND(ISNUMBER(D915),D915&gt;=$O$4,OR($O$11=0,B915&gt;=$O$12)),1,0)</f>
        <v/>
      </c>
      <c r="K915">
        <f>B915-$O$14</f>
        <v/>
      </c>
    </row>
    <row r="916">
      <c r="A916" t="n">
        <v>2742</v>
      </c>
      <c r="B916" t="n">
        <v>91.40000000000001</v>
      </c>
      <c r="C916" t="inlineStr">
        <is>
          <t>839</t>
        </is>
      </c>
      <c r="D916" t="n">
        <v>8.390000000000001</v>
      </c>
      <c r="E916">
        <f>MEDIAN(D896:D936)</f>
        <v/>
      </c>
      <c r="F916">
        <f>E896</f>
        <v/>
      </c>
      <c r="G916">
        <f>F916-E916</f>
        <v/>
      </c>
      <c r="H916">
        <f>IF(OR(NOT(ISNUMBER(D916)),ABS(D916-E916)&gt;$O$3,AND($O$11=1,B916&lt;$O$12)),1,0)</f>
        <v/>
      </c>
      <c r="I916">
        <f>IF(H916=1,NA(),D916)</f>
        <v/>
      </c>
      <c r="J916">
        <f>IF(AND(ISNUMBER(D916),D916&gt;=$O$4,OR($O$11=0,B916&gt;=$O$12)),1,0)</f>
        <v/>
      </c>
      <c r="K916">
        <f>B916-$O$14</f>
        <v/>
      </c>
    </row>
    <row r="917">
      <c r="A917" t="n">
        <v>2745</v>
      </c>
      <c r="B917" t="n">
        <v>91.5</v>
      </c>
      <c r="C917" t="inlineStr">
        <is>
          <t>839</t>
        </is>
      </c>
      <c r="D917" t="n">
        <v>8.390000000000001</v>
      </c>
      <c r="E917">
        <f>MEDIAN(D897:D937)</f>
        <v/>
      </c>
      <c r="F917">
        <f>E897</f>
        <v/>
      </c>
      <c r="G917">
        <f>F917-E917</f>
        <v/>
      </c>
      <c r="H917">
        <f>IF(OR(NOT(ISNUMBER(D917)),ABS(D917-E917)&gt;$O$3,AND($O$11=1,B917&lt;$O$12)),1,0)</f>
        <v/>
      </c>
      <c r="I917">
        <f>IF(H917=1,NA(),D917)</f>
        <v/>
      </c>
      <c r="J917">
        <f>IF(AND(ISNUMBER(D917),D917&gt;=$O$4,OR($O$11=0,B917&gt;=$O$12)),1,0)</f>
        <v/>
      </c>
      <c r="K917">
        <f>B917-$O$14</f>
        <v/>
      </c>
    </row>
    <row r="918">
      <c r="A918" t="n">
        <v>2748</v>
      </c>
      <c r="B918" t="n">
        <v>91.59999999999999</v>
      </c>
      <c r="C918" t="inlineStr">
        <is>
          <t>840</t>
        </is>
      </c>
      <c r="D918" t="n">
        <v>8.4</v>
      </c>
      <c r="E918">
        <f>MEDIAN(D898:D938)</f>
        <v/>
      </c>
      <c r="F918">
        <f>E898</f>
        <v/>
      </c>
      <c r="G918">
        <f>F918-E918</f>
        <v/>
      </c>
      <c r="H918">
        <f>IF(OR(NOT(ISNUMBER(D918)),ABS(D918-E918)&gt;$O$3,AND($O$11=1,B918&lt;$O$12)),1,0)</f>
        <v/>
      </c>
      <c r="I918">
        <f>IF(H918=1,NA(),D918)</f>
        <v/>
      </c>
      <c r="J918">
        <f>IF(AND(ISNUMBER(D918),D918&gt;=$O$4,OR($O$11=0,B918&gt;=$O$12)),1,0)</f>
        <v/>
      </c>
      <c r="K918">
        <f>B918-$O$14</f>
        <v/>
      </c>
    </row>
    <row r="919">
      <c r="A919" t="n">
        <v>2751</v>
      </c>
      <c r="B919" t="n">
        <v>91.7</v>
      </c>
      <c r="C919" t="inlineStr">
        <is>
          <t>840</t>
        </is>
      </c>
      <c r="D919" t="n">
        <v>8.4</v>
      </c>
      <c r="E919">
        <f>MEDIAN(D899:D939)</f>
        <v/>
      </c>
      <c r="F919">
        <f>E899</f>
        <v/>
      </c>
      <c r="G919">
        <f>F919-E919</f>
        <v/>
      </c>
      <c r="H919">
        <f>IF(OR(NOT(ISNUMBER(D919)),ABS(D919-E919)&gt;$O$3,AND($O$11=1,B919&lt;$O$12)),1,0)</f>
        <v/>
      </c>
      <c r="I919">
        <f>IF(H919=1,NA(),D919)</f>
        <v/>
      </c>
      <c r="J919">
        <f>IF(AND(ISNUMBER(D919),D919&gt;=$O$4,OR($O$11=0,B919&gt;=$O$12)),1,0)</f>
        <v/>
      </c>
      <c r="K919">
        <f>B919-$O$14</f>
        <v/>
      </c>
    </row>
    <row r="920">
      <c r="A920" t="n">
        <v>2754</v>
      </c>
      <c r="B920" t="n">
        <v>91.8</v>
      </c>
      <c r="C920" t="inlineStr">
        <is>
          <t>840</t>
        </is>
      </c>
      <c r="D920" t="n">
        <v>8.4</v>
      </c>
      <c r="E920">
        <f>MEDIAN(D900:D940)</f>
        <v/>
      </c>
      <c r="F920">
        <f>E900</f>
        <v/>
      </c>
      <c r="G920">
        <f>F920-E920</f>
        <v/>
      </c>
      <c r="H920">
        <f>IF(OR(NOT(ISNUMBER(D920)),ABS(D920-E920)&gt;$O$3,AND($O$11=1,B920&lt;$O$12)),1,0)</f>
        <v/>
      </c>
      <c r="I920">
        <f>IF(H920=1,NA(),D920)</f>
        <v/>
      </c>
      <c r="J920">
        <f>IF(AND(ISNUMBER(D920),D920&gt;=$O$4,OR($O$11=0,B920&gt;=$O$12)),1,0)</f>
        <v/>
      </c>
      <c r="K920">
        <f>B920-$O$14</f>
        <v/>
      </c>
    </row>
    <row r="921">
      <c r="A921" t="n">
        <v>2757</v>
      </c>
      <c r="B921" t="n">
        <v>91.90000000000001</v>
      </c>
      <c r="C921" t="inlineStr">
        <is>
          <t>841</t>
        </is>
      </c>
      <c r="D921" t="n">
        <v>8.41</v>
      </c>
      <c r="E921">
        <f>MEDIAN(D901:D941)</f>
        <v/>
      </c>
      <c r="F921">
        <f>E901</f>
        <v/>
      </c>
      <c r="G921">
        <f>F921-E921</f>
        <v/>
      </c>
      <c r="H921">
        <f>IF(OR(NOT(ISNUMBER(D921)),ABS(D921-E921)&gt;$O$3,AND($O$11=1,B921&lt;$O$12)),1,0)</f>
        <v/>
      </c>
      <c r="I921">
        <f>IF(H921=1,NA(),D921)</f>
        <v/>
      </c>
      <c r="J921">
        <f>IF(AND(ISNUMBER(D921),D921&gt;=$O$4,OR($O$11=0,B921&gt;=$O$12)),1,0)</f>
        <v/>
      </c>
      <c r="K921">
        <f>B921-$O$14</f>
        <v/>
      </c>
    </row>
    <row r="922">
      <c r="A922" t="n">
        <v>2760</v>
      </c>
      <c r="B922" t="n">
        <v>92</v>
      </c>
      <c r="C922" t="inlineStr">
        <is>
          <t>841</t>
        </is>
      </c>
      <c r="D922" t="n">
        <v>8.41</v>
      </c>
      <c r="E922">
        <f>MEDIAN(D902:D942)</f>
        <v/>
      </c>
      <c r="F922">
        <f>E902</f>
        <v/>
      </c>
      <c r="G922">
        <f>F922-E922</f>
        <v/>
      </c>
      <c r="H922">
        <f>IF(OR(NOT(ISNUMBER(D922)),ABS(D922-E922)&gt;$O$3,AND($O$11=1,B922&lt;$O$12)),1,0)</f>
        <v/>
      </c>
      <c r="I922">
        <f>IF(H922=1,NA(),D922)</f>
        <v/>
      </c>
      <c r="J922">
        <f>IF(AND(ISNUMBER(D922),D922&gt;=$O$4,OR($O$11=0,B922&gt;=$O$12)),1,0)</f>
        <v/>
      </c>
      <c r="K922">
        <f>B922-$O$14</f>
        <v/>
      </c>
    </row>
    <row r="923">
      <c r="A923" t="n">
        <v>2763</v>
      </c>
      <c r="B923" t="n">
        <v>92.09999999999999</v>
      </c>
      <c r="C923" t="inlineStr">
        <is>
          <t>841</t>
        </is>
      </c>
      <c r="D923" t="n">
        <v>8.41</v>
      </c>
      <c r="E923">
        <f>MEDIAN(D903:D943)</f>
        <v/>
      </c>
      <c r="F923">
        <f>E903</f>
        <v/>
      </c>
      <c r="G923">
        <f>F923-E923</f>
        <v/>
      </c>
      <c r="H923">
        <f>IF(OR(NOT(ISNUMBER(D923)),ABS(D923-E923)&gt;$O$3,AND($O$11=1,B923&lt;$O$12)),1,0)</f>
        <v/>
      </c>
      <c r="I923">
        <f>IF(H923=1,NA(),D923)</f>
        <v/>
      </c>
      <c r="J923">
        <f>IF(AND(ISNUMBER(D923),D923&gt;=$O$4,OR($O$11=0,B923&gt;=$O$12)),1,0)</f>
        <v/>
      </c>
      <c r="K923">
        <f>B923-$O$14</f>
        <v/>
      </c>
    </row>
    <row r="924">
      <c r="A924" t="n">
        <v>2766</v>
      </c>
      <c r="B924" t="n">
        <v>92.2</v>
      </c>
      <c r="C924" t="inlineStr">
        <is>
          <t>841</t>
        </is>
      </c>
      <c r="D924" t="n">
        <v>8.41</v>
      </c>
      <c r="E924">
        <f>MEDIAN(D904:D944)</f>
        <v/>
      </c>
      <c r="F924">
        <f>E904</f>
        <v/>
      </c>
      <c r="G924">
        <f>F924-E924</f>
        <v/>
      </c>
      <c r="H924">
        <f>IF(OR(NOT(ISNUMBER(D924)),ABS(D924-E924)&gt;$O$3,AND($O$11=1,B924&lt;$O$12)),1,0)</f>
        <v/>
      </c>
      <c r="I924">
        <f>IF(H924=1,NA(),D924)</f>
        <v/>
      </c>
      <c r="J924">
        <f>IF(AND(ISNUMBER(D924),D924&gt;=$O$4,OR($O$11=0,B924&gt;=$O$12)),1,0)</f>
        <v/>
      </c>
      <c r="K924">
        <f>B924-$O$14</f>
        <v/>
      </c>
    </row>
    <row r="925">
      <c r="A925" t="n">
        <v>2769</v>
      </c>
      <c r="B925" t="n">
        <v>92.3</v>
      </c>
      <c r="C925" t="inlineStr">
        <is>
          <t>841</t>
        </is>
      </c>
      <c r="D925" t="n">
        <v>8.41</v>
      </c>
      <c r="E925">
        <f>MEDIAN(D905:D945)</f>
        <v/>
      </c>
      <c r="F925">
        <f>E905</f>
        <v/>
      </c>
      <c r="G925">
        <f>F925-E925</f>
        <v/>
      </c>
      <c r="H925">
        <f>IF(OR(NOT(ISNUMBER(D925)),ABS(D925-E925)&gt;$O$3,AND($O$11=1,B925&lt;$O$12)),1,0)</f>
        <v/>
      </c>
      <c r="I925">
        <f>IF(H925=1,NA(),D925)</f>
        <v/>
      </c>
      <c r="J925">
        <f>IF(AND(ISNUMBER(D925),D925&gt;=$O$4,OR($O$11=0,B925&gt;=$O$12)),1,0)</f>
        <v/>
      </c>
      <c r="K925">
        <f>B925-$O$14</f>
        <v/>
      </c>
    </row>
    <row r="926">
      <c r="A926" t="n">
        <v>2772</v>
      </c>
      <c r="B926" t="n">
        <v>92.40000000000001</v>
      </c>
      <c r="C926" t="inlineStr">
        <is>
          <t>841</t>
        </is>
      </c>
      <c r="D926" t="n">
        <v>8.41</v>
      </c>
      <c r="E926">
        <f>MEDIAN(D906:D946)</f>
        <v/>
      </c>
      <c r="F926">
        <f>E906</f>
        <v/>
      </c>
      <c r="G926">
        <f>F926-E926</f>
        <v/>
      </c>
      <c r="H926">
        <f>IF(OR(NOT(ISNUMBER(D926)),ABS(D926-E926)&gt;$O$3,AND($O$11=1,B926&lt;$O$12)),1,0)</f>
        <v/>
      </c>
      <c r="I926">
        <f>IF(H926=1,NA(),D926)</f>
        <v/>
      </c>
      <c r="J926">
        <f>IF(AND(ISNUMBER(D926),D926&gt;=$O$4,OR($O$11=0,B926&gt;=$O$12)),1,0)</f>
        <v/>
      </c>
      <c r="K926">
        <f>B926-$O$14</f>
        <v/>
      </c>
    </row>
    <row r="927">
      <c r="A927" t="n">
        <v>2775</v>
      </c>
      <c r="B927" t="n">
        <v>92.5</v>
      </c>
      <c r="C927" t="inlineStr">
        <is>
          <t>841</t>
        </is>
      </c>
      <c r="D927" t="n">
        <v>8.41</v>
      </c>
      <c r="E927">
        <f>MEDIAN(D907:D947)</f>
        <v/>
      </c>
      <c r="F927">
        <f>E907</f>
        <v/>
      </c>
      <c r="G927">
        <f>F927-E927</f>
        <v/>
      </c>
      <c r="H927">
        <f>IF(OR(NOT(ISNUMBER(D927)),ABS(D927-E927)&gt;$O$3,AND($O$11=1,B927&lt;$O$12)),1,0)</f>
        <v/>
      </c>
      <c r="I927">
        <f>IF(H927=1,NA(),D927)</f>
        <v/>
      </c>
      <c r="J927">
        <f>IF(AND(ISNUMBER(D927),D927&gt;=$O$4,OR($O$11=0,B927&gt;=$O$12)),1,0)</f>
        <v/>
      </c>
      <c r="K927">
        <f>B927-$O$14</f>
        <v/>
      </c>
    </row>
    <row r="928">
      <c r="A928" t="n">
        <v>2778</v>
      </c>
      <c r="B928" t="n">
        <v>92.59999999999999</v>
      </c>
      <c r="C928" t="inlineStr">
        <is>
          <t>841</t>
        </is>
      </c>
      <c r="D928" t="n">
        <v>8.41</v>
      </c>
      <c r="E928">
        <f>MEDIAN(D908:D948)</f>
        <v/>
      </c>
      <c r="F928">
        <f>E908</f>
        <v/>
      </c>
      <c r="G928">
        <f>F928-E928</f>
        <v/>
      </c>
      <c r="H928">
        <f>IF(OR(NOT(ISNUMBER(D928)),ABS(D928-E928)&gt;$O$3,AND($O$11=1,B928&lt;$O$12)),1,0)</f>
        <v/>
      </c>
      <c r="I928">
        <f>IF(H928=1,NA(),D928)</f>
        <v/>
      </c>
      <c r="J928">
        <f>IF(AND(ISNUMBER(D928),D928&gt;=$O$4,OR($O$11=0,B928&gt;=$O$12)),1,0)</f>
        <v/>
      </c>
      <c r="K928">
        <f>B928-$O$14</f>
        <v/>
      </c>
    </row>
    <row r="929">
      <c r="A929" t="n">
        <v>2781</v>
      </c>
      <c r="B929" t="n">
        <v>92.7</v>
      </c>
      <c r="C929" t="inlineStr">
        <is>
          <t>842</t>
        </is>
      </c>
      <c r="D929" t="n">
        <v>8.42</v>
      </c>
      <c r="E929">
        <f>MEDIAN(D909:D949)</f>
        <v/>
      </c>
      <c r="F929">
        <f>E909</f>
        <v/>
      </c>
      <c r="G929">
        <f>F929-E929</f>
        <v/>
      </c>
      <c r="H929">
        <f>IF(OR(NOT(ISNUMBER(D929)),ABS(D929-E929)&gt;$O$3,AND($O$11=1,B929&lt;$O$12)),1,0)</f>
        <v/>
      </c>
      <c r="I929">
        <f>IF(H929=1,NA(),D929)</f>
        <v/>
      </c>
      <c r="J929">
        <f>IF(AND(ISNUMBER(D929),D929&gt;=$O$4,OR($O$11=0,B929&gt;=$O$12)),1,0)</f>
        <v/>
      </c>
      <c r="K929">
        <f>B929-$O$14</f>
        <v/>
      </c>
    </row>
    <row r="930">
      <c r="A930" t="n">
        <v>2784</v>
      </c>
      <c r="B930" t="n">
        <v>92.8</v>
      </c>
      <c r="C930" t="inlineStr">
        <is>
          <t>842</t>
        </is>
      </c>
      <c r="D930" t="n">
        <v>8.42</v>
      </c>
      <c r="E930">
        <f>MEDIAN(D910:D950)</f>
        <v/>
      </c>
      <c r="F930">
        <f>E910</f>
        <v/>
      </c>
      <c r="G930">
        <f>F930-E930</f>
        <v/>
      </c>
      <c r="H930">
        <f>IF(OR(NOT(ISNUMBER(D930)),ABS(D930-E930)&gt;$O$3,AND($O$11=1,B930&lt;$O$12)),1,0)</f>
        <v/>
      </c>
      <c r="I930">
        <f>IF(H930=1,NA(),D930)</f>
        <v/>
      </c>
      <c r="J930">
        <f>IF(AND(ISNUMBER(D930),D930&gt;=$O$4,OR($O$11=0,B930&gt;=$O$12)),1,0)</f>
        <v/>
      </c>
      <c r="K930">
        <f>B930-$O$14</f>
        <v/>
      </c>
    </row>
    <row r="931">
      <c r="A931" t="n">
        <v>2787</v>
      </c>
      <c r="B931" t="n">
        <v>92.90000000000001</v>
      </c>
      <c r="C931" t="inlineStr">
        <is>
          <t>842</t>
        </is>
      </c>
      <c r="D931" t="n">
        <v>8.42</v>
      </c>
      <c r="E931">
        <f>MEDIAN(D911:D951)</f>
        <v/>
      </c>
      <c r="F931">
        <f>E911</f>
        <v/>
      </c>
      <c r="G931">
        <f>F931-E931</f>
        <v/>
      </c>
      <c r="H931">
        <f>IF(OR(NOT(ISNUMBER(D931)),ABS(D931-E931)&gt;$O$3,AND($O$11=1,B931&lt;$O$12)),1,0)</f>
        <v/>
      </c>
      <c r="I931">
        <f>IF(H931=1,NA(),D931)</f>
        <v/>
      </c>
      <c r="J931">
        <f>IF(AND(ISNUMBER(D931),D931&gt;=$O$4,OR($O$11=0,B931&gt;=$O$12)),1,0)</f>
        <v/>
      </c>
      <c r="K931">
        <f>B931-$O$14</f>
        <v/>
      </c>
    </row>
    <row r="932">
      <c r="A932" t="n">
        <v>2790</v>
      </c>
      <c r="B932" t="n">
        <v>93</v>
      </c>
      <c r="C932" t="inlineStr">
        <is>
          <t>842</t>
        </is>
      </c>
      <c r="D932" t="n">
        <v>8.42</v>
      </c>
      <c r="E932">
        <f>MEDIAN(D912:D952)</f>
        <v/>
      </c>
      <c r="F932">
        <f>E912</f>
        <v/>
      </c>
      <c r="G932">
        <f>F932-E932</f>
        <v/>
      </c>
      <c r="H932">
        <f>IF(OR(NOT(ISNUMBER(D932)),ABS(D932-E932)&gt;$O$3,AND($O$11=1,B932&lt;$O$12)),1,0)</f>
        <v/>
      </c>
      <c r="I932">
        <f>IF(H932=1,NA(),D932)</f>
        <v/>
      </c>
      <c r="J932">
        <f>IF(AND(ISNUMBER(D932),D932&gt;=$O$4,OR($O$11=0,B932&gt;=$O$12)),1,0)</f>
        <v/>
      </c>
      <c r="K932">
        <f>B932-$O$14</f>
        <v/>
      </c>
    </row>
    <row r="933">
      <c r="A933" t="n">
        <v>2793</v>
      </c>
      <c r="B933" t="n">
        <v>93.09999999999999</v>
      </c>
      <c r="C933" t="inlineStr">
        <is>
          <t>843</t>
        </is>
      </c>
      <c r="D933" t="n">
        <v>8.43</v>
      </c>
      <c r="E933">
        <f>MEDIAN(D913:D953)</f>
        <v/>
      </c>
      <c r="F933">
        <f>E913</f>
        <v/>
      </c>
      <c r="G933">
        <f>F933-E933</f>
        <v/>
      </c>
      <c r="H933">
        <f>IF(OR(NOT(ISNUMBER(D933)),ABS(D933-E933)&gt;$O$3,AND($O$11=1,B933&lt;$O$12)),1,0)</f>
        <v/>
      </c>
      <c r="I933">
        <f>IF(H933=1,NA(),D933)</f>
        <v/>
      </c>
      <c r="J933">
        <f>IF(AND(ISNUMBER(D933),D933&gt;=$O$4,OR($O$11=0,B933&gt;=$O$12)),1,0)</f>
        <v/>
      </c>
      <c r="K933">
        <f>B933-$O$14</f>
        <v/>
      </c>
    </row>
    <row r="934">
      <c r="A934" t="n">
        <v>2796</v>
      </c>
      <c r="B934" t="n">
        <v>93.2</v>
      </c>
      <c r="C934" t="inlineStr">
        <is>
          <t>843</t>
        </is>
      </c>
      <c r="D934" t="n">
        <v>8.43</v>
      </c>
      <c r="E934">
        <f>MEDIAN(D914:D954)</f>
        <v/>
      </c>
      <c r="F934">
        <f>E914</f>
        <v/>
      </c>
      <c r="G934">
        <f>F934-E934</f>
        <v/>
      </c>
      <c r="H934">
        <f>IF(OR(NOT(ISNUMBER(D934)),ABS(D934-E934)&gt;$O$3,AND($O$11=1,B934&lt;$O$12)),1,0)</f>
        <v/>
      </c>
      <c r="I934">
        <f>IF(H934=1,NA(),D934)</f>
        <v/>
      </c>
      <c r="J934">
        <f>IF(AND(ISNUMBER(D934),D934&gt;=$O$4,OR($O$11=0,B934&gt;=$O$12)),1,0)</f>
        <v/>
      </c>
      <c r="K934">
        <f>B934-$O$14</f>
        <v/>
      </c>
    </row>
    <row r="935">
      <c r="A935" t="n">
        <v>2799</v>
      </c>
      <c r="B935" t="n">
        <v>93.3</v>
      </c>
      <c r="C935" t="inlineStr">
        <is>
          <t>843</t>
        </is>
      </c>
      <c r="D935" t="n">
        <v>8.43</v>
      </c>
      <c r="E935">
        <f>MEDIAN(D915:D955)</f>
        <v/>
      </c>
      <c r="F935">
        <f>E915</f>
        <v/>
      </c>
      <c r="G935">
        <f>F935-E935</f>
        <v/>
      </c>
      <c r="H935">
        <f>IF(OR(NOT(ISNUMBER(D935)),ABS(D935-E935)&gt;$O$3,AND($O$11=1,B935&lt;$O$12)),1,0)</f>
        <v/>
      </c>
      <c r="I935">
        <f>IF(H935=1,NA(),D935)</f>
        <v/>
      </c>
      <c r="J935">
        <f>IF(AND(ISNUMBER(D935),D935&gt;=$O$4,OR($O$11=0,B935&gt;=$O$12)),1,0)</f>
        <v/>
      </c>
      <c r="K935">
        <f>B935-$O$14</f>
        <v/>
      </c>
    </row>
    <row r="936">
      <c r="A936" t="n">
        <v>2802</v>
      </c>
      <c r="B936" t="n">
        <v>93.40000000000001</v>
      </c>
      <c r="C936" t="inlineStr">
        <is>
          <t>843</t>
        </is>
      </c>
      <c r="D936" t="n">
        <v>8.43</v>
      </c>
      <c r="E936">
        <f>MEDIAN(D916:D956)</f>
        <v/>
      </c>
      <c r="F936">
        <f>E916</f>
        <v/>
      </c>
      <c r="G936">
        <f>F936-E936</f>
        <v/>
      </c>
      <c r="H936">
        <f>IF(OR(NOT(ISNUMBER(D936)),ABS(D936-E936)&gt;$O$3,AND($O$11=1,B936&lt;$O$12)),1,0)</f>
        <v/>
      </c>
      <c r="I936">
        <f>IF(H936=1,NA(),D936)</f>
        <v/>
      </c>
      <c r="J936">
        <f>IF(AND(ISNUMBER(D936),D936&gt;=$O$4,OR($O$11=0,B936&gt;=$O$12)),1,0)</f>
        <v/>
      </c>
      <c r="K936">
        <f>B936-$O$14</f>
        <v/>
      </c>
    </row>
    <row r="937">
      <c r="A937" t="n">
        <v>2805</v>
      </c>
      <c r="B937" t="n">
        <v>93.5</v>
      </c>
      <c r="C937" t="inlineStr">
        <is>
          <t>843</t>
        </is>
      </c>
      <c r="D937" t="n">
        <v>8.43</v>
      </c>
      <c r="E937">
        <f>MEDIAN(D917:D957)</f>
        <v/>
      </c>
      <c r="F937">
        <f>E917</f>
        <v/>
      </c>
      <c r="G937">
        <f>F937-E937</f>
        <v/>
      </c>
      <c r="H937">
        <f>IF(OR(NOT(ISNUMBER(D937)),ABS(D937-E937)&gt;$O$3,AND($O$11=1,B937&lt;$O$12)),1,0)</f>
        <v/>
      </c>
      <c r="I937">
        <f>IF(H937=1,NA(),D937)</f>
        <v/>
      </c>
      <c r="J937">
        <f>IF(AND(ISNUMBER(D937),D937&gt;=$O$4,OR($O$11=0,B937&gt;=$O$12)),1,0)</f>
        <v/>
      </c>
      <c r="K937">
        <f>B937-$O$14</f>
        <v/>
      </c>
    </row>
    <row r="938">
      <c r="A938" t="n">
        <v>2808</v>
      </c>
      <c r="B938" t="n">
        <v>93.59999999999999</v>
      </c>
      <c r="C938" t="inlineStr">
        <is>
          <t>843</t>
        </is>
      </c>
      <c r="D938" t="n">
        <v>8.43</v>
      </c>
      <c r="E938">
        <f>MEDIAN(D918:D958)</f>
        <v/>
      </c>
      <c r="F938">
        <f>E918</f>
        <v/>
      </c>
      <c r="G938">
        <f>F938-E938</f>
        <v/>
      </c>
      <c r="H938">
        <f>IF(OR(NOT(ISNUMBER(D938)),ABS(D938-E938)&gt;$O$3,AND($O$11=1,B938&lt;$O$12)),1,0)</f>
        <v/>
      </c>
      <c r="I938">
        <f>IF(H938=1,NA(),D938)</f>
        <v/>
      </c>
      <c r="J938">
        <f>IF(AND(ISNUMBER(D938),D938&gt;=$O$4,OR($O$11=0,B938&gt;=$O$12)),1,0)</f>
        <v/>
      </c>
      <c r="K938">
        <f>B938-$O$14</f>
        <v/>
      </c>
    </row>
    <row r="939">
      <c r="A939" t="n">
        <v>2811</v>
      </c>
      <c r="B939" t="n">
        <v>93.7</v>
      </c>
      <c r="C939" t="inlineStr">
        <is>
          <t>843</t>
        </is>
      </c>
      <c r="D939" t="n">
        <v>8.43</v>
      </c>
      <c r="E939">
        <f>MEDIAN(D919:D959)</f>
        <v/>
      </c>
      <c r="F939">
        <f>E919</f>
        <v/>
      </c>
      <c r="G939">
        <f>F939-E939</f>
        <v/>
      </c>
      <c r="H939">
        <f>IF(OR(NOT(ISNUMBER(D939)),ABS(D939-E939)&gt;$O$3,AND($O$11=1,B939&lt;$O$12)),1,0)</f>
        <v/>
      </c>
      <c r="I939">
        <f>IF(H939=1,NA(),D939)</f>
        <v/>
      </c>
      <c r="J939">
        <f>IF(AND(ISNUMBER(D939),D939&gt;=$O$4,OR($O$11=0,B939&gt;=$O$12)),1,0)</f>
        <v/>
      </c>
      <c r="K939">
        <f>B939-$O$14</f>
        <v/>
      </c>
    </row>
    <row r="940">
      <c r="A940" t="n">
        <v>2814</v>
      </c>
      <c r="B940" t="n">
        <v>93.8</v>
      </c>
      <c r="C940" t="inlineStr">
        <is>
          <t>843</t>
        </is>
      </c>
      <c r="D940" t="n">
        <v>8.43</v>
      </c>
      <c r="E940">
        <f>MEDIAN(D920:D960)</f>
        <v/>
      </c>
      <c r="F940">
        <f>E920</f>
        <v/>
      </c>
      <c r="G940">
        <f>F940-E940</f>
        <v/>
      </c>
      <c r="H940">
        <f>IF(OR(NOT(ISNUMBER(D940)),ABS(D940-E940)&gt;$O$3,AND($O$11=1,B940&lt;$O$12)),1,0)</f>
        <v/>
      </c>
      <c r="I940">
        <f>IF(H940=1,NA(),D940)</f>
        <v/>
      </c>
      <c r="J940">
        <f>IF(AND(ISNUMBER(D940),D940&gt;=$O$4,OR($O$11=0,B940&gt;=$O$12)),1,0)</f>
        <v/>
      </c>
      <c r="K940">
        <f>B940-$O$14</f>
        <v/>
      </c>
    </row>
    <row r="941">
      <c r="A941" t="n">
        <v>2817</v>
      </c>
      <c r="B941" t="n">
        <v>93.90000000000001</v>
      </c>
      <c r="C941" t="inlineStr">
        <is>
          <t>843</t>
        </is>
      </c>
      <c r="D941" t="n">
        <v>8.43</v>
      </c>
      <c r="E941">
        <f>MEDIAN(D921:D961)</f>
        <v/>
      </c>
      <c r="F941">
        <f>E921</f>
        <v/>
      </c>
      <c r="G941">
        <f>F941-E941</f>
        <v/>
      </c>
      <c r="H941">
        <f>IF(OR(NOT(ISNUMBER(D941)),ABS(D941-E941)&gt;$O$3,AND($O$11=1,B941&lt;$O$12)),1,0)</f>
        <v/>
      </c>
      <c r="I941">
        <f>IF(H941=1,NA(),D941)</f>
        <v/>
      </c>
      <c r="J941">
        <f>IF(AND(ISNUMBER(D941),D941&gt;=$O$4,OR($O$11=0,B941&gt;=$O$12)),1,0)</f>
        <v/>
      </c>
      <c r="K941">
        <f>B941-$O$14</f>
        <v/>
      </c>
    </row>
    <row r="942">
      <c r="A942" t="n">
        <v>2820</v>
      </c>
      <c r="B942" t="n">
        <v>94</v>
      </c>
      <c r="C942" t="inlineStr">
        <is>
          <t>843</t>
        </is>
      </c>
      <c r="D942" t="n">
        <v>8.43</v>
      </c>
      <c r="E942">
        <f>MEDIAN(D922:D962)</f>
        <v/>
      </c>
      <c r="F942">
        <f>E922</f>
        <v/>
      </c>
      <c r="G942">
        <f>F942-E942</f>
        <v/>
      </c>
      <c r="H942">
        <f>IF(OR(NOT(ISNUMBER(D942)),ABS(D942-E942)&gt;$O$3,AND($O$11=1,B942&lt;$O$12)),1,0)</f>
        <v/>
      </c>
      <c r="I942">
        <f>IF(H942=1,NA(),D942)</f>
        <v/>
      </c>
      <c r="J942">
        <f>IF(AND(ISNUMBER(D942),D942&gt;=$O$4,OR($O$11=0,B942&gt;=$O$12)),1,0)</f>
        <v/>
      </c>
      <c r="K942">
        <f>B942-$O$14</f>
        <v/>
      </c>
    </row>
    <row r="943">
      <c r="A943" t="n">
        <v>2823</v>
      </c>
      <c r="B943" t="n">
        <v>94.09999999999999</v>
      </c>
      <c r="C943" t="inlineStr">
        <is>
          <t>843</t>
        </is>
      </c>
      <c r="D943" t="n">
        <v>8.43</v>
      </c>
      <c r="E943">
        <f>MEDIAN(D923:D963)</f>
        <v/>
      </c>
      <c r="F943">
        <f>E923</f>
        <v/>
      </c>
      <c r="G943">
        <f>F943-E943</f>
        <v/>
      </c>
      <c r="H943">
        <f>IF(OR(NOT(ISNUMBER(D943)),ABS(D943-E943)&gt;$O$3,AND($O$11=1,B943&lt;$O$12)),1,0)</f>
        <v/>
      </c>
      <c r="I943">
        <f>IF(H943=1,NA(),D943)</f>
        <v/>
      </c>
      <c r="J943">
        <f>IF(AND(ISNUMBER(D943),D943&gt;=$O$4,OR($O$11=0,B943&gt;=$O$12)),1,0)</f>
        <v/>
      </c>
      <c r="K943">
        <f>B943-$O$14</f>
        <v/>
      </c>
    </row>
    <row r="944">
      <c r="A944" t="n">
        <v>2826</v>
      </c>
      <c r="B944" t="n">
        <v>94.2</v>
      </c>
      <c r="C944" t="inlineStr">
        <is>
          <t>843</t>
        </is>
      </c>
      <c r="D944" t="n">
        <v>8.43</v>
      </c>
      <c r="E944">
        <f>MEDIAN(D924:D964)</f>
        <v/>
      </c>
      <c r="F944">
        <f>E924</f>
        <v/>
      </c>
      <c r="G944">
        <f>F944-E944</f>
        <v/>
      </c>
      <c r="H944">
        <f>IF(OR(NOT(ISNUMBER(D944)),ABS(D944-E944)&gt;$O$3,AND($O$11=1,B944&lt;$O$12)),1,0)</f>
        <v/>
      </c>
      <c r="I944">
        <f>IF(H944=1,NA(),D944)</f>
        <v/>
      </c>
      <c r="J944">
        <f>IF(AND(ISNUMBER(D944),D944&gt;=$O$4,OR($O$11=0,B944&gt;=$O$12)),1,0)</f>
        <v/>
      </c>
      <c r="K944">
        <f>B944-$O$14</f>
        <v/>
      </c>
    </row>
    <row r="945">
      <c r="A945" t="n">
        <v>2829</v>
      </c>
      <c r="B945" t="n">
        <v>94.3</v>
      </c>
      <c r="C945" t="inlineStr">
        <is>
          <t>843</t>
        </is>
      </c>
      <c r="D945" t="n">
        <v>8.43</v>
      </c>
      <c r="E945">
        <f>MEDIAN(D925:D965)</f>
        <v/>
      </c>
      <c r="F945">
        <f>E925</f>
        <v/>
      </c>
      <c r="G945">
        <f>F945-E945</f>
        <v/>
      </c>
      <c r="H945">
        <f>IF(OR(NOT(ISNUMBER(D945)),ABS(D945-E945)&gt;$O$3,AND($O$11=1,B945&lt;$O$12)),1,0)</f>
        <v/>
      </c>
      <c r="I945">
        <f>IF(H945=1,NA(),D945)</f>
        <v/>
      </c>
      <c r="J945">
        <f>IF(AND(ISNUMBER(D945),D945&gt;=$O$4,OR($O$11=0,B945&gt;=$O$12)),1,0)</f>
        <v/>
      </c>
      <c r="K945">
        <f>B945-$O$14</f>
        <v/>
      </c>
    </row>
    <row r="946">
      <c r="A946" t="n">
        <v>2832</v>
      </c>
      <c r="B946" t="n">
        <v>94.40000000000001</v>
      </c>
      <c r="C946" t="inlineStr">
        <is>
          <t>843</t>
        </is>
      </c>
      <c r="D946" t="n">
        <v>8.43</v>
      </c>
      <c r="E946">
        <f>MEDIAN(D926:D966)</f>
        <v/>
      </c>
      <c r="F946">
        <f>E926</f>
        <v/>
      </c>
      <c r="G946">
        <f>F946-E946</f>
        <v/>
      </c>
      <c r="H946">
        <f>IF(OR(NOT(ISNUMBER(D946)),ABS(D946-E946)&gt;$O$3,AND($O$11=1,B946&lt;$O$12)),1,0)</f>
        <v/>
      </c>
      <c r="I946">
        <f>IF(H946=1,NA(),D946)</f>
        <v/>
      </c>
      <c r="J946">
        <f>IF(AND(ISNUMBER(D946),D946&gt;=$O$4,OR($O$11=0,B946&gt;=$O$12)),1,0)</f>
        <v/>
      </c>
      <c r="K946">
        <f>B946-$O$14</f>
        <v/>
      </c>
    </row>
    <row r="947">
      <c r="A947" t="n">
        <v>2835</v>
      </c>
      <c r="B947" t="n">
        <v>94.5</v>
      </c>
      <c r="C947" t="inlineStr">
        <is>
          <t>843</t>
        </is>
      </c>
      <c r="D947" t="n">
        <v>8.43</v>
      </c>
      <c r="E947">
        <f>MEDIAN(D927:D967)</f>
        <v/>
      </c>
      <c r="F947">
        <f>E927</f>
        <v/>
      </c>
      <c r="G947">
        <f>F947-E947</f>
        <v/>
      </c>
      <c r="H947">
        <f>IF(OR(NOT(ISNUMBER(D947)),ABS(D947-E947)&gt;$O$3,AND($O$11=1,B947&lt;$O$12)),1,0)</f>
        <v/>
      </c>
      <c r="I947">
        <f>IF(H947=1,NA(),D947)</f>
        <v/>
      </c>
      <c r="J947">
        <f>IF(AND(ISNUMBER(D947),D947&gt;=$O$4,OR($O$11=0,B947&gt;=$O$12)),1,0)</f>
        <v/>
      </c>
      <c r="K947">
        <f>B947-$O$14</f>
        <v/>
      </c>
    </row>
    <row r="948">
      <c r="A948" t="n">
        <v>2838</v>
      </c>
      <c r="B948" t="n">
        <v>94.59999999999999</v>
      </c>
      <c r="C948" t="inlineStr">
        <is>
          <t>843</t>
        </is>
      </c>
      <c r="D948" t="n">
        <v>8.43</v>
      </c>
      <c r="E948">
        <f>MEDIAN(D928:D968)</f>
        <v/>
      </c>
      <c r="F948">
        <f>E928</f>
        <v/>
      </c>
      <c r="G948">
        <f>F948-E948</f>
        <v/>
      </c>
      <c r="H948">
        <f>IF(OR(NOT(ISNUMBER(D948)),ABS(D948-E948)&gt;$O$3,AND($O$11=1,B948&lt;$O$12)),1,0)</f>
        <v/>
      </c>
      <c r="I948">
        <f>IF(H948=1,NA(),D948)</f>
        <v/>
      </c>
      <c r="J948">
        <f>IF(AND(ISNUMBER(D948),D948&gt;=$O$4,OR($O$11=0,B948&gt;=$O$12)),1,0)</f>
        <v/>
      </c>
      <c r="K948">
        <f>B948-$O$14</f>
        <v/>
      </c>
    </row>
    <row r="949">
      <c r="A949" t="n">
        <v>2841</v>
      </c>
      <c r="B949" t="n">
        <v>94.7</v>
      </c>
      <c r="C949" t="inlineStr">
        <is>
          <t>843</t>
        </is>
      </c>
      <c r="D949" t="n">
        <v>8.43</v>
      </c>
      <c r="E949">
        <f>MEDIAN(D929:D969)</f>
        <v/>
      </c>
      <c r="F949">
        <f>E929</f>
        <v/>
      </c>
      <c r="G949">
        <f>F949-E949</f>
        <v/>
      </c>
      <c r="H949">
        <f>IF(OR(NOT(ISNUMBER(D949)),ABS(D949-E949)&gt;$O$3,AND($O$11=1,B949&lt;$O$12)),1,0)</f>
        <v/>
      </c>
      <c r="I949">
        <f>IF(H949=1,NA(),D949)</f>
        <v/>
      </c>
      <c r="J949">
        <f>IF(AND(ISNUMBER(D949),D949&gt;=$O$4,OR($O$11=0,B949&gt;=$O$12)),1,0)</f>
        <v/>
      </c>
      <c r="K949">
        <f>B949-$O$14</f>
        <v/>
      </c>
    </row>
    <row r="950">
      <c r="A950" t="n">
        <v>2844</v>
      </c>
      <c r="B950" t="n">
        <v>94.8</v>
      </c>
      <c r="C950" t="inlineStr">
        <is>
          <t>843</t>
        </is>
      </c>
      <c r="D950" t="n">
        <v>8.43</v>
      </c>
      <c r="E950">
        <f>MEDIAN(D930:D970)</f>
        <v/>
      </c>
      <c r="F950">
        <f>E930</f>
        <v/>
      </c>
      <c r="G950">
        <f>F950-E950</f>
        <v/>
      </c>
      <c r="H950">
        <f>IF(OR(NOT(ISNUMBER(D950)),ABS(D950-E950)&gt;$O$3,AND($O$11=1,B950&lt;$O$12)),1,0)</f>
        <v/>
      </c>
      <c r="I950">
        <f>IF(H950=1,NA(),D950)</f>
        <v/>
      </c>
      <c r="J950">
        <f>IF(AND(ISNUMBER(D950),D950&gt;=$O$4,OR($O$11=0,B950&gt;=$O$12)),1,0)</f>
        <v/>
      </c>
      <c r="K950">
        <f>B950-$O$14</f>
        <v/>
      </c>
    </row>
    <row r="951">
      <c r="A951" t="n">
        <v>2847</v>
      </c>
      <c r="B951" t="n">
        <v>94.90000000000001</v>
      </c>
      <c r="C951" t="inlineStr">
        <is>
          <t>843</t>
        </is>
      </c>
      <c r="D951" t="n">
        <v>8.43</v>
      </c>
      <c r="E951">
        <f>MEDIAN(D931:D971)</f>
        <v/>
      </c>
      <c r="F951">
        <f>E931</f>
        <v/>
      </c>
      <c r="G951">
        <f>F951-E951</f>
        <v/>
      </c>
      <c r="H951">
        <f>IF(OR(NOT(ISNUMBER(D951)),ABS(D951-E951)&gt;$O$3,AND($O$11=1,B951&lt;$O$12)),1,0)</f>
        <v/>
      </c>
      <c r="I951">
        <f>IF(H951=1,NA(),D951)</f>
        <v/>
      </c>
      <c r="J951">
        <f>IF(AND(ISNUMBER(D951),D951&gt;=$O$4,OR($O$11=0,B951&gt;=$O$12)),1,0)</f>
        <v/>
      </c>
      <c r="K951">
        <f>B951-$O$14</f>
        <v/>
      </c>
    </row>
    <row r="952">
      <c r="A952" t="n">
        <v>2850</v>
      </c>
      <c r="B952" t="n">
        <v>95</v>
      </c>
      <c r="C952" t="inlineStr">
        <is>
          <t>843</t>
        </is>
      </c>
      <c r="D952" t="n">
        <v>8.43</v>
      </c>
      <c r="E952">
        <f>MEDIAN(D932:D972)</f>
        <v/>
      </c>
      <c r="F952">
        <f>E932</f>
        <v/>
      </c>
      <c r="G952">
        <f>F952-E952</f>
        <v/>
      </c>
      <c r="H952">
        <f>IF(OR(NOT(ISNUMBER(D952)),ABS(D952-E952)&gt;$O$3,AND($O$11=1,B952&lt;$O$12)),1,0)</f>
        <v/>
      </c>
      <c r="I952">
        <f>IF(H952=1,NA(),D952)</f>
        <v/>
      </c>
      <c r="J952">
        <f>IF(AND(ISNUMBER(D952),D952&gt;=$O$4,OR($O$11=0,B952&gt;=$O$12)),1,0)</f>
        <v/>
      </c>
      <c r="K952">
        <f>B952-$O$14</f>
        <v/>
      </c>
    </row>
    <row r="953">
      <c r="A953" t="n">
        <v>2853</v>
      </c>
      <c r="B953" t="n">
        <v>95.09999999999999</v>
      </c>
      <c r="C953" t="inlineStr">
        <is>
          <t>843</t>
        </is>
      </c>
      <c r="D953" t="n">
        <v>8.43</v>
      </c>
      <c r="E953">
        <f>MEDIAN(D933:D973)</f>
        <v/>
      </c>
      <c r="F953">
        <f>E933</f>
        <v/>
      </c>
      <c r="G953">
        <f>F953-E953</f>
        <v/>
      </c>
      <c r="H953">
        <f>IF(OR(NOT(ISNUMBER(D953)),ABS(D953-E953)&gt;$O$3,AND($O$11=1,B953&lt;$O$12)),1,0)</f>
        <v/>
      </c>
      <c r="I953">
        <f>IF(H953=1,NA(),D953)</f>
        <v/>
      </c>
      <c r="J953">
        <f>IF(AND(ISNUMBER(D953),D953&gt;=$O$4,OR($O$11=0,B953&gt;=$O$12)),1,0)</f>
        <v/>
      </c>
      <c r="K953">
        <f>B953-$O$14</f>
        <v/>
      </c>
    </row>
    <row r="954">
      <c r="A954" t="n">
        <v>2856</v>
      </c>
      <c r="B954" t="n">
        <v>95.2</v>
      </c>
      <c r="C954" t="inlineStr">
        <is>
          <t>843</t>
        </is>
      </c>
      <c r="D954" t="n">
        <v>8.43</v>
      </c>
      <c r="E954">
        <f>MEDIAN(D934:D974)</f>
        <v/>
      </c>
      <c r="F954">
        <f>E934</f>
        <v/>
      </c>
      <c r="G954">
        <f>F954-E954</f>
        <v/>
      </c>
      <c r="H954">
        <f>IF(OR(NOT(ISNUMBER(D954)),ABS(D954-E954)&gt;$O$3,AND($O$11=1,B954&lt;$O$12)),1,0)</f>
        <v/>
      </c>
      <c r="I954">
        <f>IF(H954=1,NA(),D954)</f>
        <v/>
      </c>
      <c r="J954">
        <f>IF(AND(ISNUMBER(D954),D954&gt;=$O$4,OR($O$11=0,B954&gt;=$O$12)),1,0)</f>
        <v/>
      </c>
      <c r="K954">
        <f>B954-$O$14</f>
        <v/>
      </c>
    </row>
    <row r="955">
      <c r="A955" t="n">
        <v>2859</v>
      </c>
      <c r="B955" t="n">
        <v>95.3</v>
      </c>
      <c r="C955" t="inlineStr">
        <is>
          <t>843</t>
        </is>
      </c>
      <c r="D955" t="n">
        <v>8.43</v>
      </c>
      <c r="E955">
        <f>MEDIAN(D935:D975)</f>
        <v/>
      </c>
      <c r="F955">
        <f>E935</f>
        <v/>
      </c>
      <c r="G955">
        <f>F955-E955</f>
        <v/>
      </c>
      <c r="H955">
        <f>IF(OR(NOT(ISNUMBER(D955)),ABS(D955-E955)&gt;$O$3,AND($O$11=1,B955&lt;$O$12)),1,0)</f>
        <v/>
      </c>
      <c r="I955">
        <f>IF(H955=1,NA(),D955)</f>
        <v/>
      </c>
      <c r="J955">
        <f>IF(AND(ISNUMBER(D955),D955&gt;=$O$4,OR($O$11=0,B955&gt;=$O$12)),1,0)</f>
        <v/>
      </c>
      <c r="K955">
        <f>B955-$O$14</f>
        <v/>
      </c>
    </row>
    <row r="956">
      <c r="A956" t="n">
        <v>2862</v>
      </c>
      <c r="B956" t="n">
        <v>95.40000000000001</v>
      </c>
      <c r="C956" t="inlineStr">
        <is>
          <t>843</t>
        </is>
      </c>
      <c r="D956" t="n">
        <v>8.43</v>
      </c>
      <c r="E956">
        <f>MEDIAN(D936:D976)</f>
        <v/>
      </c>
      <c r="F956">
        <f>E936</f>
        <v/>
      </c>
      <c r="G956">
        <f>F956-E956</f>
        <v/>
      </c>
      <c r="H956">
        <f>IF(OR(NOT(ISNUMBER(D956)),ABS(D956-E956)&gt;$O$3,AND($O$11=1,B956&lt;$O$12)),1,0)</f>
        <v/>
      </c>
      <c r="I956">
        <f>IF(H956=1,NA(),D956)</f>
        <v/>
      </c>
      <c r="J956">
        <f>IF(AND(ISNUMBER(D956),D956&gt;=$O$4,OR($O$11=0,B956&gt;=$O$12)),1,0)</f>
        <v/>
      </c>
      <c r="K956">
        <f>B956-$O$14</f>
        <v/>
      </c>
    </row>
    <row r="957">
      <c r="A957" t="n">
        <v>2865</v>
      </c>
      <c r="B957" t="n">
        <v>95.5</v>
      </c>
      <c r="C957" t="inlineStr">
        <is>
          <t>843</t>
        </is>
      </c>
      <c r="D957" t="n">
        <v>8.43</v>
      </c>
      <c r="E957">
        <f>MEDIAN(D937:D977)</f>
        <v/>
      </c>
      <c r="F957">
        <f>E937</f>
        <v/>
      </c>
      <c r="G957">
        <f>F957-E957</f>
        <v/>
      </c>
      <c r="H957">
        <f>IF(OR(NOT(ISNUMBER(D957)),ABS(D957-E957)&gt;$O$3,AND($O$11=1,B957&lt;$O$12)),1,0)</f>
        <v/>
      </c>
      <c r="I957">
        <f>IF(H957=1,NA(),D957)</f>
        <v/>
      </c>
      <c r="J957">
        <f>IF(AND(ISNUMBER(D957),D957&gt;=$O$4,OR($O$11=0,B957&gt;=$O$12)),1,0)</f>
        <v/>
      </c>
      <c r="K957">
        <f>B957-$O$14</f>
        <v/>
      </c>
    </row>
    <row r="958">
      <c r="A958" t="n">
        <v>2868</v>
      </c>
      <c r="B958" t="n">
        <v>95.59999999999999</v>
      </c>
      <c r="C958" t="inlineStr">
        <is>
          <t>843</t>
        </is>
      </c>
      <c r="D958" t="n">
        <v>8.43</v>
      </c>
      <c r="E958">
        <f>MEDIAN(D938:D978)</f>
        <v/>
      </c>
      <c r="F958">
        <f>E938</f>
        <v/>
      </c>
      <c r="G958">
        <f>F958-E958</f>
        <v/>
      </c>
      <c r="H958">
        <f>IF(OR(NOT(ISNUMBER(D958)),ABS(D958-E958)&gt;$O$3,AND($O$11=1,B958&lt;$O$12)),1,0)</f>
        <v/>
      </c>
      <c r="I958">
        <f>IF(H958=1,NA(),D958)</f>
        <v/>
      </c>
      <c r="J958">
        <f>IF(AND(ISNUMBER(D958),D958&gt;=$O$4,OR($O$11=0,B958&gt;=$O$12)),1,0)</f>
        <v/>
      </c>
      <c r="K958">
        <f>B958-$O$14</f>
        <v/>
      </c>
    </row>
    <row r="959">
      <c r="A959" t="n">
        <v>2871</v>
      </c>
      <c r="B959" t="n">
        <v>95.7</v>
      </c>
      <c r="C959" t="inlineStr">
        <is>
          <t>843</t>
        </is>
      </c>
      <c r="D959" t="n">
        <v>8.43</v>
      </c>
      <c r="E959">
        <f>MEDIAN(D939:D979)</f>
        <v/>
      </c>
      <c r="F959">
        <f>E939</f>
        <v/>
      </c>
      <c r="G959">
        <f>F959-E959</f>
        <v/>
      </c>
      <c r="H959">
        <f>IF(OR(NOT(ISNUMBER(D959)),ABS(D959-E959)&gt;$O$3,AND($O$11=1,B959&lt;$O$12)),1,0)</f>
        <v/>
      </c>
      <c r="I959">
        <f>IF(H959=1,NA(),D959)</f>
        <v/>
      </c>
      <c r="J959">
        <f>IF(AND(ISNUMBER(D959),D959&gt;=$O$4,OR($O$11=0,B959&gt;=$O$12)),1,0)</f>
        <v/>
      </c>
      <c r="K959">
        <f>B959-$O$14</f>
        <v/>
      </c>
    </row>
    <row r="960">
      <c r="A960" t="n">
        <v>2874</v>
      </c>
      <c r="B960" t="n">
        <v>95.8</v>
      </c>
      <c r="C960" t="inlineStr">
        <is>
          <t>843</t>
        </is>
      </c>
      <c r="D960" t="n">
        <v>8.43</v>
      </c>
      <c r="E960">
        <f>MEDIAN(D940:D980)</f>
        <v/>
      </c>
      <c r="F960">
        <f>E940</f>
        <v/>
      </c>
      <c r="G960">
        <f>F960-E960</f>
        <v/>
      </c>
      <c r="H960">
        <f>IF(OR(NOT(ISNUMBER(D960)),ABS(D960-E960)&gt;$O$3,AND($O$11=1,B960&lt;$O$12)),1,0)</f>
        <v/>
      </c>
      <c r="I960">
        <f>IF(H960=1,NA(),D960)</f>
        <v/>
      </c>
      <c r="J960">
        <f>IF(AND(ISNUMBER(D960),D960&gt;=$O$4,OR($O$11=0,B960&gt;=$O$12)),1,0)</f>
        <v/>
      </c>
      <c r="K960">
        <f>B960-$O$14</f>
        <v/>
      </c>
    </row>
    <row r="961">
      <c r="A961" t="n">
        <v>2877</v>
      </c>
      <c r="B961" t="n">
        <v>95.90000000000001</v>
      </c>
      <c r="C961" t="inlineStr">
        <is>
          <t>843</t>
        </is>
      </c>
      <c r="D961" t="n">
        <v>8.43</v>
      </c>
      <c r="E961">
        <f>MEDIAN(D941:D981)</f>
        <v/>
      </c>
      <c r="F961">
        <f>E941</f>
        <v/>
      </c>
      <c r="G961">
        <f>F961-E961</f>
        <v/>
      </c>
      <c r="H961">
        <f>IF(OR(NOT(ISNUMBER(D961)),ABS(D961-E961)&gt;$O$3,AND($O$11=1,B961&lt;$O$12)),1,0)</f>
        <v/>
      </c>
      <c r="I961">
        <f>IF(H961=1,NA(),D961)</f>
        <v/>
      </c>
      <c r="J961">
        <f>IF(AND(ISNUMBER(D961),D961&gt;=$O$4,OR($O$11=0,B961&gt;=$O$12)),1,0)</f>
        <v/>
      </c>
      <c r="K961">
        <f>B961-$O$14</f>
        <v/>
      </c>
    </row>
    <row r="962">
      <c r="A962" t="n">
        <v>2880</v>
      </c>
      <c r="B962" t="n">
        <v>96</v>
      </c>
      <c r="C962" t="inlineStr">
        <is>
          <t>843</t>
        </is>
      </c>
      <c r="D962" t="n">
        <v>8.43</v>
      </c>
      <c r="E962">
        <f>MEDIAN(D942:D982)</f>
        <v/>
      </c>
      <c r="F962">
        <f>E942</f>
        <v/>
      </c>
      <c r="G962">
        <f>F962-E962</f>
        <v/>
      </c>
      <c r="H962">
        <f>IF(OR(NOT(ISNUMBER(D962)),ABS(D962-E962)&gt;$O$3,AND($O$11=1,B962&lt;$O$12)),1,0)</f>
        <v/>
      </c>
      <c r="I962">
        <f>IF(H962=1,NA(),D962)</f>
        <v/>
      </c>
      <c r="J962">
        <f>IF(AND(ISNUMBER(D962),D962&gt;=$O$4,OR($O$11=0,B962&gt;=$O$12)),1,0)</f>
        <v/>
      </c>
      <c r="K962">
        <f>B962-$O$14</f>
        <v/>
      </c>
    </row>
    <row r="963">
      <c r="A963" t="n">
        <v>2883</v>
      </c>
      <c r="B963" t="n">
        <v>96.09999999999999</v>
      </c>
      <c r="C963" t="inlineStr">
        <is>
          <t>843</t>
        </is>
      </c>
      <c r="D963" t="n">
        <v>8.43</v>
      </c>
      <c r="E963">
        <f>MEDIAN(D943:D983)</f>
        <v/>
      </c>
      <c r="F963">
        <f>E943</f>
        <v/>
      </c>
      <c r="G963">
        <f>F963-E963</f>
        <v/>
      </c>
      <c r="H963">
        <f>IF(OR(NOT(ISNUMBER(D963)),ABS(D963-E963)&gt;$O$3,AND($O$11=1,B963&lt;$O$12)),1,0)</f>
        <v/>
      </c>
      <c r="I963">
        <f>IF(H963=1,NA(),D963)</f>
        <v/>
      </c>
      <c r="J963">
        <f>IF(AND(ISNUMBER(D963),D963&gt;=$O$4,OR($O$11=0,B963&gt;=$O$12)),1,0)</f>
        <v/>
      </c>
      <c r="K963">
        <f>B963-$O$14</f>
        <v/>
      </c>
    </row>
    <row r="964">
      <c r="A964" t="n">
        <v>2886</v>
      </c>
      <c r="B964" t="n">
        <v>96.2</v>
      </c>
      <c r="C964" t="inlineStr">
        <is>
          <t>844</t>
        </is>
      </c>
      <c r="D964" t="n">
        <v>8.44</v>
      </c>
      <c r="E964">
        <f>MEDIAN(D944:D984)</f>
        <v/>
      </c>
      <c r="F964">
        <f>E944</f>
        <v/>
      </c>
      <c r="G964">
        <f>F964-E964</f>
        <v/>
      </c>
      <c r="H964">
        <f>IF(OR(NOT(ISNUMBER(D964)),ABS(D964-E964)&gt;$O$3,AND($O$11=1,B964&lt;$O$12)),1,0)</f>
        <v/>
      </c>
      <c r="I964">
        <f>IF(H964=1,NA(),D964)</f>
        <v/>
      </c>
      <c r="J964">
        <f>IF(AND(ISNUMBER(D964),D964&gt;=$O$4,OR($O$11=0,B964&gt;=$O$12)),1,0)</f>
        <v/>
      </c>
      <c r="K964">
        <f>B964-$O$14</f>
        <v/>
      </c>
    </row>
    <row r="965">
      <c r="A965" t="n">
        <v>2889</v>
      </c>
      <c r="B965" t="n">
        <v>96.3</v>
      </c>
      <c r="C965" t="inlineStr">
        <is>
          <t>844</t>
        </is>
      </c>
      <c r="D965" t="n">
        <v>8.44</v>
      </c>
      <c r="E965">
        <f>MEDIAN(D945:D985)</f>
        <v/>
      </c>
      <c r="F965">
        <f>E945</f>
        <v/>
      </c>
      <c r="G965">
        <f>F965-E965</f>
        <v/>
      </c>
      <c r="H965">
        <f>IF(OR(NOT(ISNUMBER(D965)),ABS(D965-E965)&gt;$O$3,AND($O$11=1,B965&lt;$O$12)),1,0)</f>
        <v/>
      </c>
      <c r="I965">
        <f>IF(H965=1,NA(),D965)</f>
        <v/>
      </c>
      <c r="J965">
        <f>IF(AND(ISNUMBER(D965),D965&gt;=$O$4,OR($O$11=0,B965&gt;=$O$12)),1,0)</f>
        <v/>
      </c>
      <c r="K965">
        <f>B965-$O$14</f>
        <v/>
      </c>
    </row>
    <row r="966">
      <c r="A966" t="n">
        <v>2892</v>
      </c>
      <c r="B966" t="n">
        <v>96.40000000000001</v>
      </c>
      <c r="C966" t="inlineStr">
        <is>
          <t>844</t>
        </is>
      </c>
      <c r="D966" t="n">
        <v>8.44</v>
      </c>
      <c r="E966">
        <f>MEDIAN(D946:D986)</f>
        <v/>
      </c>
      <c r="F966">
        <f>E946</f>
        <v/>
      </c>
      <c r="G966">
        <f>F966-E966</f>
        <v/>
      </c>
      <c r="H966">
        <f>IF(OR(NOT(ISNUMBER(D966)),ABS(D966-E966)&gt;$O$3,AND($O$11=1,B966&lt;$O$12)),1,0)</f>
        <v/>
      </c>
      <c r="I966">
        <f>IF(H966=1,NA(),D966)</f>
        <v/>
      </c>
      <c r="J966">
        <f>IF(AND(ISNUMBER(D966),D966&gt;=$O$4,OR($O$11=0,B966&gt;=$O$12)),1,0)</f>
        <v/>
      </c>
      <c r="K966">
        <f>B966-$O$14</f>
        <v/>
      </c>
    </row>
    <row r="967">
      <c r="A967" t="n">
        <v>2895</v>
      </c>
      <c r="B967" t="n">
        <v>96.5</v>
      </c>
      <c r="C967" t="inlineStr">
        <is>
          <t>844</t>
        </is>
      </c>
      <c r="D967" t="n">
        <v>8.44</v>
      </c>
      <c r="E967">
        <f>MEDIAN(D947:D987)</f>
        <v/>
      </c>
      <c r="F967">
        <f>E947</f>
        <v/>
      </c>
      <c r="G967">
        <f>F967-E967</f>
        <v/>
      </c>
      <c r="H967">
        <f>IF(OR(NOT(ISNUMBER(D967)),ABS(D967-E967)&gt;$O$3,AND($O$11=1,B967&lt;$O$12)),1,0)</f>
        <v/>
      </c>
      <c r="I967">
        <f>IF(H967=1,NA(),D967)</f>
        <v/>
      </c>
      <c r="J967">
        <f>IF(AND(ISNUMBER(D967),D967&gt;=$O$4,OR($O$11=0,B967&gt;=$O$12)),1,0)</f>
        <v/>
      </c>
      <c r="K967">
        <f>B967-$O$14</f>
        <v/>
      </c>
    </row>
    <row r="968">
      <c r="A968" t="n">
        <v>2898</v>
      </c>
      <c r="B968" t="n">
        <v>96.59999999999999</v>
      </c>
      <c r="C968" t="inlineStr">
        <is>
          <t>844</t>
        </is>
      </c>
      <c r="D968" t="n">
        <v>8.44</v>
      </c>
      <c r="E968">
        <f>MEDIAN(D948:D988)</f>
        <v/>
      </c>
      <c r="F968">
        <f>E948</f>
        <v/>
      </c>
      <c r="G968">
        <f>F968-E968</f>
        <v/>
      </c>
      <c r="H968">
        <f>IF(OR(NOT(ISNUMBER(D968)),ABS(D968-E968)&gt;$O$3,AND($O$11=1,B968&lt;$O$12)),1,0)</f>
        <v/>
      </c>
      <c r="I968">
        <f>IF(H968=1,NA(),D968)</f>
        <v/>
      </c>
      <c r="J968">
        <f>IF(AND(ISNUMBER(D968),D968&gt;=$O$4,OR($O$11=0,B968&gt;=$O$12)),1,0)</f>
        <v/>
      </c>
      <c r="K968">
        <f>B968-$O$14</f>
        <v/>
      </c>
    </row>
    <row r="969">
      <c r="A969" t="n">
        <v>2901</v>
      </c>
      <c r="B969" t="n">
        <v>96.7</v>
      </c>
      <c r="C969" t="inlineStr">
        <is>
          <t>845</t>
        </is>
      </c>
      <c r="D969" t="n">
        <v>8.449999999999999</v>
      </c>
      <c r="E969">
        <f>MEDIAN(D949:D989)</f>
        <v/>
      </c>
      <c r="F969">
        <f>E949</f>
        <v/>
      </c>
      <c r="G969">
        <f>F969-E969</f>
        <v/>
      </c>
      <c r="H969">
        <f>IF(OR(NOT(ISNUMBER(D969)),ABS(D969-E969)&gt;$O$3,AND($O$11=1,B969&lt;$O$12)),1,0)</f>
        <v/>
      </c>
      <c r="I969">
        <f>IF(H969=1,NA(),D969)</f>
        <v/>
      </c>
      <c r="J969">
        <f>IF(AND(ISNUMBER(D969),D969&gt;=$O$4,OR($O$11=0,B969&gt;=$O$12)),1,0)</f>
        <v/>
      </c>
      <c r="K969">
        <f>B969-$O$14</f>
        <v/>
      </c>
    </row>
    <row r="970">
      <c r="A970" t="n">
        <v>2904</v>
      </c>
      <c r="B970" t="n">
        <v>96.8</v>
      </c>
      <c r="C970" t="inlineStr">
        <is>
          <t>845</t>
        </is>
      </c>
      <c r="D970" t="n">
        <v>8.449999999999999</v>
      </c>
      <c r="E970">
        <f>MEDIAN(D950:D990)</f>
        <v/>
      </c>
      <c r="F970">
        <f>E950</f>
        <v/>
      </c>
      <c r="G970">
        <f>F970-E970</f>
        <v/>
      </c>
      <c r="H970">
        <f>IF(OR(NOT(ISNUMBER(D970)),ABS(D970-E970)&gt;$O$3,AND($O$11=1,B970&lt;$O$12)),1,0)</f>
        <v/>
      </c>
      <c r="I970">
        <f>IF(H970=1,NA(),D970)</f>
        <v/>
      </c>
      <c r="J970">
        <f>IF(AND(ISNUMBER(D970),D970&gt;=$O$4,OR($O$11=0,B970&gt;=$O$12)),1,0)</f>
        <v/>
      </c>
      <c r="K970">
        <f>B970-$O$14</f>
        <v/>
      </c>
    </row>
    <row r="971">
      <c r="A971" t="n">
        <v>2907</v>
      </c>
      <c r="B971" t="n">
        <v>96.90000000000001</v>
      </c>
      <c r="C971" t="inlineStr">
        <is>
          <t>845</t>
        </is>
      </c>
      <c r="D971" t="n">
        <v>8.449999999999999</v>
      </c>
      <c r="E971">
        <f>MEDIAN(D951:D991)</f>
        <v/>
      </c>
      <c r="F971">
        <f>E951</f>
        <v/>
      </c>
      <c r="G971">
        <f>F971-E971</f>
        <v/>
      </c>
      <c r="H971">
        <f>IF(OR(NOT(ISNUMBER(D971)),ABS(D971-E971)&gt;$O$3,AND($O$11=1,B971&lt;$O$12)),1,0)</f>
        <v/>
      </c>
      <c r="I971">
        <f>IF(H971=1,NA(),D971)</f>
        <v/>
      </c>
      <c r="J971">
        <f>IF(AND(ISNUMBER(D971),D971&gt;=$O$4,OR($O$11=0,B971&gt;=$O$12)),1,0)</f>
        <v/>
      </c>
      <c r="K971">
        <f>B971-$O$14</f>
        <v/>
      </c>
    </row>
    <row r="972">
      <c r="A972" t="n">
        <v>2910</v>
      </c>
      <c r="B972" t="n">
        <v>97</v>
      </c>
      <c r="C972" t="inlineStr">
        <is>
          <t>847</t>
        </is>
      </c>
      <c r="D972" t="n">
        <v>8.470000000000001</v>
      </c>
      <c r="E972">
        <f>MEDIAN(D952:D992)</f>
        <v/>
      </c>
      <c r="F972">
        <f>E952</f>
        <v/>
      </c>
      <c r="G972">
        <f>F972-E972</f>
        <v/>
      </c>
      <c r="H972">
        <f>IF(OR(NOT(ISNUMBER(D972)),ABS(D972-E972)&gt;$O$3,AND($O$11=1,B972&lt;$O$12)),1,0)</f>
        <v/>
      </c>
      <c r="I972">
        <f>IF(H972=1,NA(),D972)</f>
        <v/>
      </c>
      <c r="J972">
        <f>IF(AND(ISNUMBER(D972),D972&gt;=$O$4,OR($O$11=0,B972&gt;=$O$12)),1,0)</f>
        <v/>
      </c>
      <c r="K972">
        <f>B972-$O$14</f>
        <v/>
      </c>
    </row>
    <row r="973">
      <c r="A973" t="n">
        <v>2913</v>
      </c>
      <c r="B973" t="n">
        <v>97.09999999999999</v>
      </c>
      <c r="C973" t="inlineStr">
        <is>
          <t>847</t>
        </is>
      </c>
      <c r="D973" t="n">
        <v>8.470000000000001</v>
      </c>
      <c r="E973">
        <f>MEDIAN(D953:D993)</f>
        <v/>
      </c>
      <c r="F973">
        <f>E953</f>
        <v/>
      </c>
      <c r="G973">
        <f>F973-E973</f>
        <v/>
      </c>
      <c r="H973">
        <f>IF(OR(NOT(ISNUMBER(D973)),ABS(D973-E973)&gt;$O$3,AND($O$11=1,B973&lt;$O$12)),1,0)</f>
        <v/>
      </c>
      <c r="I973">
        <f>IF(H973=1,NA(),D973)</f>
        <v/>
      </c>
      <c r="J973">
        <f>IF(AND(ISNUMBER(D973),D973&gt;=$O$4,OR($O$11=0,B973&gt;=$O$12)),1,0)</f>
        <v/>
      </c>
      <c r="K973">
        <f>B973-$O$14</f>
        <v/>
      </c>
    </row>
    <row r="974">
      <c r="A974" t="n">
        <v>2916</v>
      </c>
      <c r="B974" t="n">
        <v>97.2</v>
      </c>
      <c r="C974" t="inlineStr">
        <is>
          <t>847</t>
        </is>
      </c>
      <c r="D974" t="n">
        <v>8.470000000000001</v>
      </c>
      <c r="E974">
        <f>MEDIAN(D954:D994)</f>
        <v/>
      </c>
      <c r="F974">
        <f>E954</f>
        <v/>
      </c>
      <c r="G974">
        <f>F974-E974</f>
        <v/>
      </c>
      <c r="H974">
        <f>IF(OR(NOT(ISNUMBER(D974)),ABS(D974-E974)&gt;$O$3,AND($O$11=1,B974&lt;$O$12)),1,0)</f>
        <v/>
      </c>
      <c r="I974">
        <f>IF(H974=1,NA(),D974)</f>
        <v/>
      </c>
      <c r="J974">
        <f>IF(AND(ISNUMBER(D974),D974&gt;=$O$4,OR($O$11=0,B974&gt;=$O$12)),1,0)</f>
        <v/>
      </c>
      <c r="K974">
        <f>B974-$O$14</f>
        <v/>
      </c>
    </row>
    <row r="975">
      <c r="A975" t="n">
        <v>2919</v>
      </c>
      <c r="B975" t="n">
        <v>97.3</v>
      </c>
      <c r="C975" t="inlineStr">
        <is>
          <t>847</t>
        </is>
      </c>
      <c r="D975" t="n">
        <v>8.470000000000001</v>
      </c>
      <c r="E975">
        <f>MEDIAN(D955:D995)</f>
        <v/>
      </c>
      <c r="F975">
        <f>E955</f>
        <v/>
      </c>
      <c r="G975">
        <f>F975-E975</f>
        <v/>
      </c>
      <c r="H975">
        <f>IF(OR(NOT(ISNUMBER(D975)),ABS(D975-E975)&gt;$O$3,AND($O$11=1,B975&lt;$O$12)),1,0)</f>
        <v/>
      </c>
      <c r="I975">
        <f>IF(H975=1,NA(),D975)</f>
        <v/>
      </c>
      <c r="J975">
        <f>IF(AND(ISNUMBER(D975),D975&gt;=$O$4,OR($O$11=0,B975&gt;=$O$12)),1,0)</f>
        <v/>
      </c>
      <c r="K975">
        <f>B975-$O$14</f>
        <v/>
      </c>
    </row>
    <row r="976">
      <c r="A976" t="n">
        <v>2922</v>
      </c>
      <c r="B976" t="n">
        <v>97.40000000000001</v>
      </c>
      <c r="C976" t="inlineStr">
        <is>
          <t>847</t>
        </is>
      </c>
      <c r="D976" t="n">
        <v>8.470000000000001</v>
      </c>
      <c r="E976">
        <f>MEDIAN(D956:D996)</f>
        <v/>
      </c>
      <c r="F976">
        <f>E956</f>
        <v/>
      </c>
      <c r="G976">
        <f>F976-E976</f>
        <v/>
      </c>
      <c r="H976">
        <f>IF(OR(NOT(ISNUMBER(D976)),ABS(D976-E976)&gt;$O$3,AND($O$11=1,B976&lt;$O$12)),1,0)</f>
        <v/>
      </c>
      <c r="I976">
        <f>IF(H976=1,NA(),D976)</f>
        <v/>
      </c>
      <c r="J976">
        <f>IF(AND(ISNUMBER(D976),D976&gt;=$O$4,OR($O$11=0,B976&gt;=$O$12)),1,0)</f>
        <v/>
      </c>
      <c r="K976">
        <f>B976-$O$14</f>
        <v/>
      </c>
    </row>
    <row r="977">
      <c r="A977" t="n">
        <v>2925</v>
      </c>
      <c r="B977" t="n">
        <v>97.5</v>
      </c>
      <c r="C977" t="inlineStr">
        <is>
          <t>847</t>
        </is>
      </c>
      <c r="D977" t="n">
        <v>8.470000000000001</v>
      </c>
      <c r="E977">
        <f>MEDIAN(D957:D997)</f>
        <v/>
      </c>
      <c r="F977">
        <f>E957</f>
        <v/>
      </c>
      <c r="G977">
        <f>F977-E977</f>
        <v/>
      </c>
      <c r="H977">
        <f>IF(OR(NOT(ISNUMBER(D977)),ABS(D977-E977)&gt;$O$3,AND($O$11=1,B977&lt;$O$12)),1,0)</f>
        <v/>
      </c>
      <c r="I977">
        <f>IF(H977=1,NA(),D977)</f>
        <v/>
      </c>
      <c r="J977">
        <f>IF(AND(ISNUMBER(D977),D977&gt;=$O$4,OR($O$11=0,B977&gt;=$O$12)),1,0)</f>
        <v/>
      </c>
      <c r="K977">
        <f>B977-$O$14</f>
        <v/>
      </c>
    </row>
    <row r="978">
      <c r="A978" t="n">
        <v>2928</v>
      </c>
      <c r="B978" t="n">
        <v>97.59999999999999</v>
      </c>
      <c r="C978" t="inlineStr">
        <is>
          <t>847</t>
        </is>
      </c>
      <c r="D978" t="n">
        <v>8.470000000000001</v>
      </c>
      <c r="E978">
        <f>MEDIAN(D958:D998)</f>
        <v/>
      </c>
      <c r="F978">
        <f>E958</f>
        <v/>
      </c>
      <c r="G978">
        <f>F978-E978</f>
        <v/>
      </c>
      <c r="H978">
        <f>IF(OR(NOT(ISNUMBER(D978)),ABS(D978-E978)&gt;$O$3,AND($O$11=1,B978&lt;$O$12)),1,0)</f>
        <v/>
      </c>
      <c r="I978">
        <f>IF(H978=1,NA(),D978)</f>
        <v/>
      </c>
      <c r="J978">
        <f>IF(AND(ISNUMBER(D978),D978&gt;=$O$4,OR($O$11=0,B978&gt;=$O$12)),1,0)</f>
        <v/>
      </c>
      <c r="K978">
        <f>B978-$O$14</f>
        <v/>
      </c>
    </row>
    <row r="979">
      <c r="A979" t="n">
        <v>2931</v>
      </c>
      <c r="B979" t="n">
        <v>97.7</v>
      </c>
      <c r="C979" t="inlineStr">
        <is>
          <t>847</t>
        </is>
      </c>
      <c r="D979" t="n">
        <v>8.470000000000001</v>
      </c>
      <c r="E979">
        <f>MEDIAN(D959:D999)</f>
        <v/>
      </c>
      <c r="F979">
        <f>E959</f>
        <v/>
      </c>
      <c r="G979">
        <f>F979-E979</f>
        <v/>
      </c>
      <c r="H979">
        <f>IF(OR(NOT(ISNUMBER(D979)),ABS(D979-E979)&gt;$O$3,AND($O$11=1,B979&lt;$O$12)),1,0)</f>
        <v/>
      </c>
      <c r="I979">
        <f>IF(H979=1,NA(),D979)</f>
        <v/>
      </c>
      <c r="J979">
        <f>IF(AND(ISNUMBER(D979),D979&gt;=$O$4,OR($O$11=0,B979&gt;=$O$12)),1,0)</f>
        <v/>
      </c>
      <c r="K979">
        <f>B979-$O$14</f>
        <v/>
      </c>
    </row>
    <row r="980">
      <c r="A980" t="n">
        <v>2934</v>
      </c>
      <c r="B980" t="n">
        <v>97.8</v>
      </c>
      <c r="C980" t="inlineStr">
        <is>
          <t>847</t>
        </is>
      </c>
      <c r="D980" t="n">
        <v>8.470000000000001</v>
      </c>
      <c r="E980">
        <f>MEDIAN(D960:D1000)</f>
        <v/>
      </c>
      <c r="F980">
        <f>E960</f>
        <v/>
      </c>
      <c r="G980">
        <f>F980-E980</f>
        <v/>
      </c>
      <c r="H980">
        <f>IF(OR(NOT(ISNUMBER(D980)),ABS(D980-E980)&gt;$O$3,AND($O$11=1,B980&lt;$O$12)),1,0)</f>
        <v/>
      </c>
      <c r="I980">
        <f>IF(H980=1,NA(),D980)</f>
        <v/>
      </c>
      <c r="J980">
        <f>IF(AND(ISNUMBER(D980),D980&gt;=$O$4,OR($O$11=0,B980&gt;=$O$12)),1,0)</f>
        <v/>
      </c>
      <c r="K980">
        <f>B980-$O$14</f>
        <v/>
      </c>
    </row>
    <row r="981">
      <c r="A981" t="n">
        <v>2937</v>
      </c>
      <c r="B981" t="n">
        <v>97.90000000000001</v>
      </c>
      <c r="C981" t="inlineStr">
        <is>
          <t>847</t>
        </is>
      </c>
      <c r="D981" t="n">
        <v>8.470000000000001</v>
      </c>
      <c r="E981">
        <f>MEDIAN(D961:D1001)</f>
        <v/>
      </c>
      <c r="F981">
        <f>E961</f>
        <v/>
      </c>
      <c r="G981">
        <f>F981-E981</f>
        <v/>
      </c>
      <c r="H981">
        <f>IF(OR(NOT(ISNUMBER(D981)),ABS(D981-E981)&gt;$O$3,AND($O$11=1,B981&lt;$O$12)),1,0)</f>
        <v/>
      </c>
      <c r="I981">
        <f>IF(H981=1,NA(),D981)</f>
        <v/>
      </c>
      <c r="J981">
        <f>IF(AND(ISNUMBER(D981),D981&gt;=$O$4,OR($O$11=0,B981&gt;=$O$12)),1,0)</f>
        <v/>
      </c>
      <c r="K981">
        <f>B981-$O$14</f>
        <v/>
      </c>
    </row>
    <row r="982">
      <c r="A982" t="n">
        <v>2940</v>
      </c>
      <c r="B982" t="n">
        <v>98</v>
      </c>
      <c r="C982" t="inlineStr">
        <is>
          <t>847</t>
        </is>
      </c>
      <c r="D982" t="n">
        <v>8.470000000000001</v>
      </c>
      <c r="E982">
        <f>MEDIAN(D962:D1002)</f>
        <v/>
      </c>
      <c r="F982">
        <f>E962</f>
        <v/>
      </c>
      <c r="G982">
        <f>F982-E982</f>
        <v/>
      </c>
      <c r="H982">
        <f>IF(OR(NOT(ISNUMBER(D982)),ABS(D982-E982)&gt;$O$3,AND($O$11=1,B982&lt;$O$12)),1,0)</f>
        <v/>
      </c>
      <c r="I982">
        <f>IF(H982=1,NA(),D982)</f>
        <v/>
      </c>
      <c r="J982">
        <f>IF(AND(ISNUMBER(D982),D982&gt;=$O$4,OR($O$11=0,B982&gt;=$O$12)),1,0)</f>
        <v/>
      </c>
      <c r="K982">
        <f>B982-$O$14</f>
        <v/>
      </c>
    </row>
    <row r="983">
      <c r="A983" t="n">
        <v>2943</v>
      </c>
      <c r="B983" t="n">
        <v>98.09999999999999</v>
      </c>
      <c r="C983" t="inlineStr">
        <is>
          <t>847</t>
        </is>
      </c>
      <c r="D983" t="n">
        <v>8.470000000000001</v>
      </c>
      <c r="E983">
        <f>MEDIAN(D963:D1003)</f>
        <v/>
      </c>
      <c r="F983">
        <f>E963</f>
        <v/>
      </c>
      <c r="G983">
        <f>F983-E983</f>
        <v/>
      </c>
      <c r="H983">
        <f>IF(OR(NOT(ISNUMBER(D983)),ABS(D983-E983)&gt;$O$3,AND($O$11=1,B983&lt;$O$12)),1,0)</f>
        <v/>
      </c>
      <c r="I983">
        <f>IF(H983=1,NA(),D983)</f>
        <v/>
      </c>
      <c r="J983">
        <f>IF(AND(ISNUMBER(D983),D983&gt;=$O$4,OR($O$11=0,B983&gt;=$O$12)),1,0)</f>
        <v/>
      </c>
      <c r="K983">
        <f>B983-$O$14</f>
        <v/>
      </c>
    </row>
    <row r="984">
      <c r="A984" t="n">
        <v>2946</v>
      </c>
      <c r="B984" t="n">
        <v>98.2</v>
      </c>
      <c r="C984" t="inlineStr">
        <is>
          <t>847</t>
        </is>
      </c>
      <c r="D984" t="n">
        <v>8.470000000000001</v>
      </c>
      <c r="E984">
        <f>MEDIAN(D964:D1004)</f>
        <v/>
      </c>
      <c r="F984">
        <f>E964</f>
        <v/>
      </c>
      <c r="G984">
        <f>F984-E984</f>
        <v/>
      </c>
      <c r="H984">
        <f>IF(OR(NOT(ISNUMBER(D984)),ABS(D984-E984)&gt;$O$3,AND($O$11=1,B984&lt;$O$12)),1,0)</f>
        <v/>
      </c>
      <c r="I984">
        <f>IF(H984=1,NA(),D984)</f>
        <v/>
      </c>
      <c r="J984">
        <f>IF(AND(ISNUMBER(D984),D984&gt;=$O$4,OR($O$11=0,B984&gt;=$O$12)),1,0)</f>
        <v/>
      </c>
      <c r="K984">
        <f>B984-$O$14</f>
        <v/>
      </c>
    </row>
    <row r="985">
      <c r="A985" t="n">
        <v>2949</v>
      </c>
      <c r="B985" t="n">
        <v>98.3</v>
      </c>
      <c r="C985" t="inlineStr">
        <is>
          <t>847</t>
        </is>
      </c>
      <c r="D985" t="n">
        <v>8.470000000000001</v>
      </c>
      <c r="E985">
        <f>MEDIAN(D965:D1005)</f>
        <v/>
      </c>
      <c r="F985">
        <f>E965</f>
        <v/>
      </c>
      <c r="G985">
        <f>F985-E985</f>
        <v/>
      </c>
      <c r="H985">
        <f>IF(OR(NOT(ISNUMBER(D985)),ABS(D985-E985)&gt;$O$3,AND($O$11=1,B985&lt;$O$12)),1,0)</f>
        <v/>
      </c>
      <c r="I985">
        <f>IF(H985=1,NA(),D985)</f>
        <v/>
      </c>
      <c r="J985">
        <f>IF(AND(ISNUMBER(D985),D985&gt;=$O$4,OR($O$11=0,B985&gt;=$O$12)),1,0)</f>
        <v/>
      </c>
      <c r="K985">
        <f>B985-$O$14</f>
        <v/>
      </c>
    </row>
    <row r="986">
      <c r="A986" t="n">
        <v>2952</v>
      </c>
      <c r="B986" t="n">
        <v>98.40000000000001</v>
      </c>
      <c r="C986" t="inlineStr">
        <is>
          <t>847</t>
        </is>
      </c>
      <c r="D986" t="n">
        <v>8.470000000000001</v>
      </c>
      <c r="E986">
        <f>MEDIAN(D966:D1006)</f>
        <v/>
      </c>
      <c r="F986">
        <f>E966</f>
        <v/>
      </c>
      <c r="G986">
        <f>F986-E986</f>
        <v/>
      </c>
      <c r="H986">
        <f>IF(OR(NOT(ISNUMBER(D986)),ABS(D986-E986)&gt;$O$3,AND($O$11=1,B986&lt;$O$12)),1,0)</f>
        <v/>
      </c>
      <c r="I986">
        <f>IF(H986=1,NA(),D986)</f>
        <v/>
      </c>
      <c r="J986">
        <f>IF(AND(ISNUMBER(D986),D986&gt;=$O$4,OR($O$11=0,B986&gt;=$O$12)),1,0)</f>
        <v/>
      </c>
      <c r="K986">
        <f>B986-$O$14</f>
        <v/>
      </c>
    </row>
    <row r="987">
      <c r="A987" t="n">
        <v>2955</v>
      </c>
      <c r="B987" t="n">
        <v>98.5</v>
      </c>
      <c r="C987" t="inlineStr">
        <is>
          <t>847</t>
        </is>
      </c>
      <c r="D987" t="n">
        <v>8.470000000000001</v>
      </c>
      <c r="E987">
        <f>MEDIAN(D967:D1007)</f>
        <v/>
      </c>
      <c r="F987">
        <f>E967</f>
        <v/>
      </c>
      <c r="G987">
        <f>F987-E987</f>
        <v/>
      </c>
      <c r="H987">
        <f>IF(OR(NOT(ISNUMBER(D987)),ABS(D987-E987)&gt;$O$3,AND($O$11=1,B987&lt;$O$12)),1,0)</f>
        <v/>
      </c>
      <c r="I987">
        <f>IF(H987=1,NA(),D987)</f>
        <v/>
      </c>
      <c r="J987">
        <f>IF(AND(ISNUMBER(D987),D987&gt;=$O$4,OR($O$11=0,B987&gt;=$O$12)),1,0)</f>
        <v/>
      </c>
      <c r="K987">
        <f>B987-$O$14</f>
        <v/>
      </c>
    </row>
    <row r="988">
      <c r="A988" t="n">
        <v>2958</v>
      </c>
      <c r="B988" t="n">
        <v>98.59999999999999</v>
      </c>
      <c r="C988" t="inlineStr">
        <is>
          <t>847</t>
        </is>
      </c>
      <c r="D988" t="n">
        <v>8.470000000000001</v>
      </c>
      <c r="E988">
        <f>MEDIAN(D968:D1008)</f>
        <v/>
      </c>
      <c r="F988">
        <f>E968</f>
        <v/>
      </c>
      <c r="G988">
        <f>F988-E988</f>
        <v/>
      </c>
      <c r="H988">
        <f>IF(OR(NOT(ISNUMBER(D988)),ABS(D988-E988)&gt;$O$3,AND($O$11=1,B988&lt;$O$12)),1,0)</f>
        <v/>
      </c>
      <c r="I988">
        <f>IF(H988=1,NA(),D988)</f>
        <v/>
      </c>
      <c r="J988">
        <f>IF(AND(ISNUMBER(D988),D988&gt;=$O$4,OR($O$11=0,B988&gt;=$O$12)),1,0)</f>
        <v/>
      </c>
      <c r="K988">
        <f>B988-$O$14</f>
        <v/>
      </c>
    </row>
    <row r="989">
      <c r="A989" t="n">
        <v>2961</v>
      </c>
      <c r="B989" t="n">
        <v>98.7</v>
      </c>
      <c r="C989" t="inlineStr">
        <is>
          <t>847</t>
        </is>
      </c>
      <c r="D989" t="n">
        <v>8.470000000000001</v>
      </c>
      <c r="E989">
        <f>MEDIAN(D969:D1009)</f>
        <v/>
      </c>
      <c r="F989">
        <f>E969</f>
        <v/>
      </c>
      <c r="G989">
        <f>F989-E989</f>
        <v/>
      </c>
      <c r="H989">
        <f>IF(OR(NOT(ISNUMBER(D989)),ABS(D989-E989)&gt;$O$3,AND($O$11=1,B989&lt;$O$12)),1,0)</f>
        <v/>
      </c>
      <c r="I989">
        <f>IF(H989=1,NA(),D989)</f>
        <v/>
      </c>
      <c r="J989">
        <f>IF(AND(ISNUMBER(D989),D989&gt;=$O$4,OR($O$11=0,B989&gt;=$O$12)),1,0)</f>
        <v/>
      </c>
      <c r="K989">
        <f>B989-$O$14</f>
        <v/>
      </c>
    </row>
    <row r="990">
      <c r="A990" t="n">
        <v>2964</v>
      </c>
      <c r="B990" t="n">
        <v>98.8</v>
      </c>
      <c r="C990" t="inlineStr">
        <is>
          <t>847</t>
        </is>
      </c>
      <c r="D990" t="n">
        <v>8.470000000000001</v>
      </c>
      <c r="E990">
        <f>MEDIAN(D970:D1010)</f>
        <v/>
      </c>
      <c r="F990">
        <f>E970</f>
        <v/>
      </c>
      <c r="G990">
        <f>F990-E990</f>
        <v/>
      </c>
      <c r="H990">
        <f>IF(OR(NOT(ISNUMBER(D990)),ABS(D990-E990)&gt;$O$3,AND($O$11=1,B990&lt;$O$12)),1,0)</f>
        <v/>
      </c>
      <c r="I990">
        <f>IF(H990=1,NA(),D990)</f>
        <v/>
      </c>
      <c r="J990">
        <f>IF(AND(ISNUMBER(D990),D990&gt;=$O$4,OR($O$11=0,B990&gt;=$O$12)),1,0)</f>
        <v/>
      </c>
      <c r="K990">
        <f>B990-$O$14</f>
        <v/>
      </c>
    </row>
    <row r="991">
      <c r="A991" t="n">
        <v>2967</v>
      </c>
      <c r="B991" t="n">
        <v>98.90000000000001</v>
      </c>
      <c r="C991" t="inlineStr">
        <is>
          <t>847</t>
        </is>
      </c>
      <c r="D991" t="n">
        <v>8.470000000000001</v>
      </c>
      <c r="E991">
        <f>MEDIAN(D971:D1011)</f>
        <v/>
      </c>
      <c r="F991">
        <f>E971</f>
        <v/>
      </c>
      <c r="G991">
        <f>F991-E991</f>
        <v/>
      </c>
      <c r="H991">
        <f>IF(OR(NOT(ISNUMBER(D991)),ABS(D991-E991)&gt;$O$3,AND($O$11=1,B991&lt;$O$12)),1,0)</f>
        <v/>
      </c>
      <c r="I991">
        <f>IF(H991=1,NA(),D991)</f>
        <v/>
      </c>
      <c r="J991">
        <f>IF(AND(ISNUMBER(D991),D991&gt;=$O$4,OR($O$11=0,B991&gt;=$O$12)),1,0)</f>
        <v/>
      </c>
      <c r="K991">
        <f>B991-$O$14</f>
        <v/>
      </c>
    </row>
    <row r="992">
      <c r="A992" t="n">
        <v>2970</v>
      </c>
      <c r="B992" t="n">
        <v>99</v>
      </c>
      <c r="C992" t="inlineStr">
        <is>
          <t>847</t>
        </is>
      </c>
      <c r="D992" t="n">
        <v>8.470000000000001</v>
      </c>
      <c r="E992">
        <f>MEDIAN(D972:D1012)</f>
        <v/>
      </c>
      <c r="F992">
        <f>E972</f>
        <v/>
      </c>
      <c r="G992">
        <f>F992-E992</f>
        <v/>
      </c>
      <c r="H992">
        <f>IF(OR(NOT(ISNUMBER(D992)),ABS(D992-E992)&gt;$O$3,AND($O$11=1,B992&lt;$O$12)),1,0)</f>
        <v/>
      </c>
      <c r="I992">
        <f>IF(H992=1,NA(),D992)</f>
        <v/>
      </c>
      <c r="J992">
        <f>IF(AND(ISNUMBER(D992),D992&gt;=$O$4,OR($O$11=0,B992&gt;=$O$12)),1,0)</f>
        <v/>
      </c>
      <c r="K992">
        <f>B992-$O$14</f>
        <v/>
      </c>
    </row>
    <row r="993">
      <c r="A993" t="n">
        <v>2973</v>
      </c>
      <c r="B993" t="n">
        <v>99.09999999999999</v>
      </c>
      <c r="C993" t="inlineStr">
        <is>
          <t>847</t>
        </is>
      </c>
      <c r="D993" t="n">
        <v>8.470000000000001</v>
      </c>
      <c r="E993">
        <f>MEDIAN(D973:D1013)</f>
        <v/>
      </c>
      <c r="F993">
        <f>E973</f>
        <v/>
      </c>
      <c r="G993">
        <f>F993-E993</f>
        <v/>
      </c>
      <c r="H993">
        <f>IF(OR(NOT(ISNUMBER(D993)),ABS(D993-E993)&gt;$O$3,AND($O$11=1,B993&lt;$O$12)),1,0)</f>
        <v/>
      </c>
      <c r="I993">
        <f>IF(H993=1,NA(),D993)</f>
        <v/>
      </c>
      <c r="J993">
        <f>IF(AND(ISNUMBER(D993),D993&gt;=$O$4,OR($O$11=0,B993&gt;=$O$12)),1,0)</f>
        <v/>
      </c>
      <c r="K993">
        <f>B993-$O$14</f>
        <v/>
      </c>
    </row>
    <row r="994">
      <c r="A994" t="n">
        <v>2976</v>
      </c>
      <c r="B994" t="n">
        <v>99.2</v>
      </c>
      <c r="C994" t="inlineStr">
        <is>
          <t>847</t>
        </is>
      </c>
      <c r="D994" t="n">
        <v>8.470000000000001</v>
      </c>
      <c r="E994">
        <f>MEDIAN(D974:D1014)</f>
        <v/>
      </c>
      <c r="F994">
        <f>E974</f>
        <v/>
      </c>
      <c r="G994">
        <f>F994-E994</f>
        <v/>
      </c>
      <c r="H994">
        <f>IF(OR(NOT(ISNUMBER(D994)),ABS(D994-E994)&gt;$O$3,AND($O$11=1,B994&lt;$O$12)),1,0)</f>
        <v/>
      </c>
      <c r="I994">
        <f>IF(H994=1,NA(),D994)</f>
        <v/>
      </c>
      <c r="J994">
        <f>IF(AND(ISNUMBER(D994),D994&gt;=$O$4,OR($O$11=0,B994&gt;=$O$12)),1,0)</f>
        <v/>
      </c>
      <c r="K994">
        <f>B994-$O$14</f>
        <v/>
      </c>
    </row>
    <row r="995">
      <c r="A995" t="n">
        <v>2979</v>
      </c>
      <c r="B995" t="n">
        <v>99.3</v>
      </c>
      <c r="C995" t="inlineStr">
        <is>
          <t>847</t>
        </is>
      </c>
      <c r="D995" t="n">
        <v>8.470000000000001</v>
      </c>
      <c r="E995">
        <f>MEDIAN(D975:D1015)</f>
        <v/>
      </c>
      <c r="F995">
        <f>E975</f>
        <v/>
      </c>
      <c r="G995">
        <f>F995-E995</f>
        <v/>
      </c>
      <c r="H995">
        <f>IF(OR(NOT(ISNUMBER(D995)),ABS(D995-E995)&gt;$O$3,AND($O$11=1,B995&lt;$O$12)),1,0)</f>
        <v/>
      </c>
      <c r="I995">
        <f>IF(H995=1,NA(),D995)</f>
        <v/>
      </c>
      <c r="J995">
        <f>IF(AND(ISNUMBER(D995),D995&gt;=$O$4,OR($O$11=0,B995&gt;=$O$12)),1,0)</f>
        <v/>
      </c>
      <c r="K995">
        <f>B995-$O$14</f>
        <v/>
      </c>
    </row>
    <row r="996">
      <c r="A996" t="n">
        <v>2982</v>
      </c>
      <c r="B996" t="n">
        <v>99.40000000000001</v>
      </c>
      <c r="C996" t="inlineStr">
        <is>
          <t>847</t>
        </is>
      </c>
      <c r="D996" t="n">
        <v>8.470000000000001</v>
      </c>
      <c r="E996">
        <f>MEDIAN(D976:D1016)</f>
        <v/>
      </c>
      <c r="F996">
        <f>E976</f>
        <v/>
      </c>
      <c r="G996">
        <f>F996-E996</f>
        <v/>
      </c>
      <c r="H996">
        <f>IF(OR(NOT(ISNUMBER(D996)),ABS(D996-E996)&gt;$O$3,AND($O$11=1,B996&lt;$O$12)),1,0)</f>
        <v/>
      </c>
      <c r="I996">
        <f>IF(H996=1,NA(),D996)</f>
        <v/>
      </c>
      <c r="J996">
        <f>IF(AND(ISNUMBER(D996),D996&gt;=$O$4,OR($O$11=0,B996&gt;=$O$12)),1,0)</f>
        <v/>
      </c>
      <c r="K996">
        <f>B996-$O$14</f>
        <v/>
      </c>
    </row>
    <row r="997">
      <c r="A997" t="n">
        <v>2985</v>
      </c>
      <c r="B997" t="n">
        <v>99.5</v>
      </c>
      <c r="C997" t="inlineStr">
        <is>
          <t>847</t>
        </is>
      </c>
      <c r="D997" t="n">
        <v>8.470000000000001</v>
      </c>
      <c r="E997">
        <f>MEDIAN(D977:D1017)</f>
        <v/>
      </c>
      <c r="F997">
        <f>E977</f>
        <v/>
      </c>
      <c r="G997">
        <f>F997-E997</f>
        <v/>
      </c>
      <c r="H997">
        <f>IF(OR(NOT(ISNUMBER(D997)),ABS(D997-E997)&gt;$O$3,AND($O$11=1,B997&lt;$O$12)),1,0)</f>
        <v/>
      </c>
      <c r="I997">
        <f>IF(H997=1,NA(),D997)</f>
        <v/>
      </c>
      <c r="J997">
        <f>IF(AND(ISNUMBER(D997),D997&gt;=$O$4,OR($O$11=0,B997&gt;=$O$12)),1,0)</f>
        <v/>
      </c>
      <c r="K997">
        <f>B997-$O$14</f>
        <v/>
      </c>
    </row>
    <row r="998">
      <c r="A998" t="n">
        <v>2988</v>
      </c>
      <c r="B998" t="n">
        <v>99.59999999999999</v>
      </c>
      <c r="C998" t="inlineStr">
        <is>
          <t>847</t>
        </is>
      </c>
      <c r="D998" t="n">
        <v>8.470000000000001</v>
      </c>
      <c r="E998">
        <f>MEDIAN(D978:D1018)</f>
        <v/>
      </c>
      <c r="F998">
        <f>E978</f>
        <v/>
      </c>
      <c r="G998">
        <f>F998-E998</f>
        <v/>
      </c>
      <c r="H998">
        <f>IF(OR(NOT(ISNUMBER(D998)),ABS(D998-E998)&gt;$O$3,AND($O$11=1,B998&lt;$O$12)),1,0)</f>
        <v/>
      </c>
      <c r="I998">
        <f>IF(H998=1,NA(),D998)</f>
        <v/>
      </c>
      <c r="J998">
        <f>IF(AND(ISNUMBER(D998),D998&gt;=$O$4,OR($O$11=0,B998&gt;=$O$12)),1,0)</f>
        <v/>
      </c>
      <c r="K998">
        <f>B998-$O$14</f>
        <v/>
      </c>
    </row>
    <row r="999">
      <c r="A999" t="n">
        <v>2991</v>
      </c>
      <c r="B999" t="n">
        <v>99.7</v>
      </c>
      <c r="C999" t="inlineStr">
        <is>
          <t>847</t>
        </is>
      </c>
      <c r="D999" t="n">
        <v>8.470000000000001</v>
      </c>
      <c r="E999">
        <f>MEDIAN(D979:D1019)</f>
        <v/>
      </c>
      <c r="F999">
        <f>E979</f>
        <v/>
      </c>
      <c r="G999">
        <f>F999-E999</f>
        <v/>
      </c>
      <c r="H999">
        <f>IF(OR(NOT(ISNUMBER(D999)),ABS(D999-E999)&gt;$O$3,AND($O$11=1,B999&lt;$O$12)),1,0)</f>
        <v/>
      </c>
      <c r="I999">
        <f>IF(H999=1,NA(),D999)</f>
        <v/>
      </c>
      <c r="J999">
        <f>IF(AND(ISNUMBER(D999),D999&gt;=$O$4,OR($O$11=0,B999&gt;=$O$12)),1,0)</f>
        <v/>
      </c>
      <c r="K999">
        <f>B999-$O$14</f>
        <v/>
      </c>
    </row>
    <row r="1000">
      <c r="A1000" t="n">
        <v>2994</v>
      </c>
      <c r="B1000" t="n">
        <v>99.8</v>
      </c>
      <c r="C1000" t="inlineStr">
        <is>
          <t>847</t>
        </is>
      </c>
      <c r="D1000" t="n">
        <v>8.470000000000001</v>
      </c>
      <c r="E1000">
        <f>MEDIAN(D980:D1020)</f>
        <v/>
      </c>
      <c r="F1000">
        <f>E980</f>
        <v/>
      </c>
      <c r="G1000">
        <f>F1000-E1000</f>
        <v/>
      </c>
      <c r="H1000">
        <f>IF(OR(NOT(ISNUMBER(D1000)),ABS(D1000-E1000)&gt;$O$3,AND($O$11=1,B1000&lt;$O$12)),1,0)</f>
        <v/>
      </c>
      <c r="I1000">
        <f>IF(H1000=1,NA(),D1000)</f>
        <v/>
      </c>
      <c r="J1000">
        <f>IF(AND(ISNUMBER(D1000),D1000&gt;=$O$4,OR($O$11=0,B1000&gt;=$O$12)),1,0)</f>
        <v/>
      </c>
      <c r="K1000">
        <f>B1000-$O$14</f>
        <v/>
      </c>
    </row>
    <row r="1001">
      <c r="A1001" t="n">
        <v>2997</v>
      </c>
      <c r="B1001" t="n">
        <v>99.90000000000001</v>
      </c>
      <c r="C1001" t="inlineStr">
        <is>
          <t>848</t>
        </is>
      </c>
      <c r="D1001" t="n">
        <v>8.48</v>
      </c>
      <c r="E1001">
        <f>MEDIAN(D981:D1021)</f>
        <v/>
      </c>
      <c r="F1001">
        <f>E981</f>
        <v/>
      </c>
      <c r="G1001">
        <f>F1001-E1001</f>
        <v/>
      </c>
      <c r="H1001">
        <f>IF(OR(NOT(ISNUMBER(D1001)),ABS(D1001-E1001)&gt;$O$3,AND($O$11=1,B1001&lt;$O$12)),1,0)</f>
        <v/>
      </c>
      <c r="I1001">
        <f>IF(H1001=1,NA(),D1001)</f>
        <v/>
      </c>
      <c r="J1001">
        <f>IF(AND(ISNUMBER(D1001),D1001&gt;=$O$4,OR($O$11=0,B1001&gt;=$O$12)),1,0)</f>
        <v/>
      </c>
      <c r="K1001">
        <f>B1001-$O$14</f>
        <v/>
      </c>
    </row>
    <row r="1002">
      <c r="A1002" t="n">
        <v>3000</v>
      </c>
      <c r="B1002" t="n">
        <v>100</v>
      </c>
      <c r="C1002" t="inlineStr">
        <is>
          <t>848</t>
        </is>
      </c>
      <c r="D1002" t="n">
        <v>8.48</v>
      </c>
      <c r="E1002">
        <f>MEDIAN(D982:D1022)</f>
        <v/>
      </c>
      <c r="F1002">
        <f>E982</f>
        <v/>
      </c>
      <c r="G1002">
        <f>F1002-E1002</f>
        <v/>
      </c>
      <c r="H1002">
        <f>IF(OR(NOT(ISNUMBER(D1002)),ABS(D1002-E1002)&gt;$O$3,AND($O$11=1,B1002&lt;$O$12)),1,0)</f>
        <v/>
      </c>
      <c r="I1002">
        <f>IF(H1002=1,NA(),D1002)</f>
        <v/>
      </c>
      <c r="J1002">
        <f>IF(AND(ISNUMBER(D1002),D1002&gt;=$O$4,OR($O$11=0,B1002&gt;=$O$12)),1,0)</f>
        <v/>
      </c>
      <c r="K1002">
        <f>B1002-$O$14</f>
        <v/>
      </c>
    </row>
    <row r="1003">
      <c r="A1003" t="n">
        <v>3003</v>
      </c>
      <c r="B1003" t="n">
        <v>100.1</v>
      </c>
      <c r="C1003" t="inlineStr">
        <is>
          <t>848</t>
        </is>
      </c>
      <c r="D1003" t="n">
        <v>8.48</v>
      </c>
      <c r="E1003">
        <f>MEDIAN(D983:D1023)</f>
        <v/>
      </c>
      <c r="F1003">
        <f>E983</f>
        <v/>
      </c>
      <c r="G1003">
        <f>F1003-E1003</f>
        <v/>
      </c>
      <c r="H1003">
        <f>IF(OR(NOT(ISNUMBER(D1003)),ABS(D1003-E1003)&gt;$O$3,AND($O$11=1,B1003&lt;$O$12)),1,0)</f>
        <v/>
      </c>
      <c r="I1003">
        <f>IF(H1003=1,NA(),D1003)</f>
        <v/>
      </c>
      <c r="J1003">
        <f>IF(AND(ISNUMBER(D1003),D1003&gt;=$O$4,OR($O$11=0,B1003&gt;=$O$12)),1,0)</f>
        <v/>
      </c>
      <c r="K1003">
        <f>B1003-$O$14</f>
        <v/>
      </c>
    </row>
    <row r="1004">
      <c r="A1004" t="n">
        <v>3006</v>
      </c>
      <c r="B1004" t="n">
        <v>100.2</v>
      </c>
      <c r="C1004" t="inlineStr">
        <is>
          <t>849</t>
        </is>
      </c>
      <c r="D1004" t="n">
        <v>8.49</v>
      </c>
      <c r="E1004">
        <f>MEDIAN(D984:D1024)</f>
        <v/>
      </c>
      <c r="F1004">
        <f>E984</f>
        <v/>
      </c>
      <c r="G1004">
        <f>F1004-E1004</f>
        <v/>
      </c>
      <c r="H1004">
        <f>IF(OR(NOT(ISNUMBER(D1004)),ABS(D1004-E1004)&gt;$O$3,AND($O$11=1,B1004&lt;$O$12)),1,0)</f>
        <v/>
      </c>
      <c r="I1004">
        <f>IF(H1004=1,NA(),D1004)</f>
        <v/>
      </c>
      <c r="J1004">
        <f>IF(AND(ISNUMBER(D1004),D1004&gt;=$O$4,OR($O$11=0,B1004&gt;=$O$12)),1,0)</f>
        <v/>
      </c>
      <c r="K1004">
        <f>B1004-$O$14</f>
        <v/>
      </c>
    </row>
    <row r="1005">
      <c r="A1005" t="n">
        <v>3009</v>
      </c>
      <c r="B1005" t="n">
        <v>100.3</v>
      </c>
      <c r="C1005" t="inlineStr">
        <is>
          <t>848</t>
        </is>
      </c>
      <c r="D1005" t="n">
        <v>8.48</v>
      </c>
      <c r="E1005">
        <f>MEDIAN(D985:D1025)</f>
        <v/>
      </c>
      <c r="F1005">
        <f>E985</f>
        <v/>
      </c>
      <c r="G1005">
        <f>F1005-E1005</f>
        <v/>
      </c>
      <c r="H1005">
        <f>IF(OR(NOT(ISNUMBER(D1005)),ABS(D1005-E1005)&gt;$O$3,AND($O$11=1,B1005&lt;$O$12)),1,0)</f>
        <v/>
      </c>
      <c r="I1005">
        <f>IF(H1005=1,NA(),D1005)</f>
        <v/>
      </c>
      <c r="J1005">
        <f>IF(AND(ISNUMBER(D1005),D1005&gt;=$O$4,OR($O$11=0,B1005&gt;=$O$12)),1,0)</f>
        <v/>
      </c>
      <c r="K1005">
        <f>B1005-$O$14</f>
        <v/>
      </c>
    </row>
    <row r="1006">
      <c r="A1006" t="n">
        <v>3012</v>
      </c>
      <c r="B1006" t="n">
        <v>100.4</v>
      </c>
      <c r="C1006" t="inlineStr">
        <is>
          <t>898</t>
        </is>
      </c>
      <c r="D1006" t="n">
        <v>8.98</v>
      </c>
      <c r="E1006">
        <f>MEDIAN(D986:D1026)</f>
        <v/>
      </c>
      <c r="F1006">
        <f>E986</f>
        <v/>
      </c>
      <c r="G1006">
        <f>F1006-E1006</f>
        <v/>
      </c>
      <c r="H1006">
        <f>IF(OR(NOT(ISNUMBER(D1006)),ABS(D1006-E1006)&gt;$O$3,AND($O$11=1,B1006&lt;$O$12)),1,0)</f>
        <v/>
      </c>
      <c r="I1006">
        <f>IF(H1006=1,NA(),D1006)</f>
        <v/>
      </c>
      <c r="J1006">
        <f>IF(AND(ISNUMBER(D1006),D1006&gt;=$O$4,OR($O$11=0,B1006&gt;=$O$12)),1,0)</f>
        <v/>
      </c>
      <c r="K1006">
        <f>B1006-$O$14</f>
        <v/>
      </c>
    </row>
    <row r="1007">
      <c r="A1007" t="n">
        <v>3015</v>
      </c>
      <c r="B1007" t="n">
        <v>100.5</v>
      </c>
      <c r="C1007" t="inlineStr">
        <is>
          <t>849</t>
        </is>
      </c>
      <c r="D1007" t="n">
        <v>8.49</v>
      </c>
      <c r="E1007">
        <f>MEDIAN(D987:D1027)</f>
        <v/>
      </c>
      <c r="F1007">
        <f>E987</f>
        <v/>
      </c>
      <c r="G1007">
        <f>F1007-E1007</f>
        <v/>
      </c>
      <c r="H1007">
        <f>IF(OR(NOT(ISNUMBER(D1007)),ABS(D1007-E1007)&gt;$O$3,AND($O$11=1,B1007&lt;$O$12)),1,0)</f>
        <v/>
      </c>
      <c r="I1007">
        <f>IF(H1007=1,NA(),D1007)</f>
        <v/>
      </c>
      <c r="J1007">
        <f>IF(AND(ISNUMBER(D1007),D1007&gt;=$O$4,OR($O$11=0,B1007&gt;=$O$12)),1,0)</f>
        <v/>
      </c>
      <c r="K1007">
        <f>B1007-$O$14</f>
        <v/>
      </c>
    </row>
    <row r="1008">
      <c r="A1008" t="n">
        <v>3018</v>
      </c>
      <c r="B1008" t="n">
        <v>100.6</v>
      </c>
      <c r="C1008" t="inlineStr">
        <is>
          <t>848</t>
        </is>
      </c>
      <c r="D1008" t="n">
        <v>8.48</v>
      </c>
      <c r="E1008">
        <f>MEDIAN(D988:D1028)</f>
        <v/>
      </c>
      <c r="F1008">
        <f>E988</f>
        <v/>
      </c>
      <c r="G1008">
        <f>F1008-E1008</f>
        <v/>
      </c>
      <c r="H1008">
        <f>IF(OR(NOT(ISNUMBER(D1008)),ABS(D1008-E1008)&gt;$O$3,AND($O$11=1,B1008&lt;$O$12)),1,0)</f>
        <v/>
      </c>
      <c r="I1008">
        <f>IF(H1008=1,NA(),D1008)</f>
        <v/>
      </c>
      <c r="J1008">
        <f>IF(AND(ISNUMBER(D1008),D1008&gt;=$O$4,OR($O$11=0,B1008&gt;=$O$12)),1,0)</f>
        <v/>
      </c>
      <c r="K1008">
        <f>B1008-$O$14</f>
        <v/>
      </c>
    </row>
    <row r="1009">
      <c r="A1009" t="n">
        <v>3021</v>
      </c>
      <c r="B1009" t="n">
        <v>100.7</v>
      </c>
      <c r="C1009" t="inlineStr">
        <is>
          <t>850</t>
        </is>
      </c>
      <c r="D1009" t="n">
        <v>8.5</v>
      </c>
      <c r="E1009">
        <f>MEDIAN(D989:D1029)</f>
        <v/>
      </c>
      <c r="F1009">
        <f>E989</f>
        <v/>
      </c>
      <c r="G1009">
        <f>F1009-E1009</f>
        <v/>
      </c>
      <c r="H1009">
        <f>IF(OR(NOT(ISNUMBER(D1009)),ABS(D1009-E1009)&gt;$O$3,AND($O$11=1,B1009&lt;$O$12)),1,0)</f>
        <v/>
      </c>
      <c r="I1009">
        <f>IF(H1009=1,NA(),D1009)</f>
        <v/>
      </c>
      <c r="J1009">
        <f>IF(AND(ISNUMBER(D1009),D1009&gt;=$O$4,OR($O$11=0,B1009&gt;=$O$12)),1,0)</f>
        <v/>
      </c>
      <c r="K1009">
        <f>B1009-$O$14</f>
        <v/>
      </c>
    </row>
    <row r="1010">
      <c r="A1010" t="n">
        <v>3024</v>
      </c>
      <c r="B1010" t="n">
        <v>100.8</v>
      </c>
      <c r="C1010" t="inlineStr">
        <is>
          <t>850</t>
        </is>
      </c>
      <c r="D1010" t="n">
        <v>8.5</v>
      </c>
      <c r="E1010">
        <f>MEDIAN(D990:D1030)</f>
        <v/>
      </c>
      <c r="F1010">
        <f>E990</f>
        <v/>
      </c>
      <c r="G1010">
        <f>F1010-E1010</f>
        <v/>
      </c>
      <c r="H1010">
        <f>IF(OR(NOT(ISNUMBER(D1010)),ABS(D1010-E1010)&gt;$O$3,AND($O$11=1,B1010&lt;$O$12)),1,0)</f>
        <v/>
      </c>
      <c r="I1010">
        <f>IF(H1010=1,NA(),D1010)</f>
        <v/>
      </c>
      <c r="J1010">
        <f>IF(AND(ISNUMBER(D1010),D1010&gt;=$O$4,OR($O$11=0,B1010&gt;=$O$12)),1,0)</f>
        <v/>
      </c>
      <c r="K1010">
        <f>B1010-$O$14</f>
        <v/>
      </c>
    </row>
    <row r="1011">
      <c r="A1011" t="n">
        <v>3027</v>
      </c>
      <c r="B1011" t="n">
        <v>100.9</v>
      </c>
      <c r="C1011" t="inlineStr">
        <is>
          <t>850</t>
        </is>
      </c>
      <c r="D1011" t="n">
        <v>8.5</v>
      </c>
      <c r="E1011">
        <f>MEDIAN(D991:D1031)</f>
        <v/>
      </c>
      <c r="F1011">
        <f>E991</f>
        <v/>
      </c>
      <c r="G1011">
        <f>F1011-E1011</f>
        <v/>
      </c>
      <c r="H1011">
        <f>IF(OR(NOT(ISNUMBER(D1011)),ABS(D1011-E1011)&gt;$O$3,AND($O$11=1,B1011&lt;$O$12)),1,0)</f>
        <v/>
      </c>
      <c r="I1011">
        <f>IF(H1011=1,NA(),D1011)</f>
        <v/>
      </c>
      <c r="J1011">
        <f>IF(AND(ISNUMBER(D1011),D1011&gt;=$O$4,OR($O$11=0,B1011&gt;=$O$12)),1,0)</f>
        <v/>
      </c>
      <c r="K1011">
        <f>B1011-$O$14</f>
        <v/>
      </c>
    </row>
    <row r="1012">
      <c r="A1012" t="n">
        <v>3030</v>
      </c>
      <c r="B1012" t="n">
        <v>101</v>
      </c>
      <c r="C1012" t="inlineStr">
        <is>
          <t>851</t>
        </is>
      </c>
      <c r="D1012" t="n">
        <v>8.51</v>
      </c>
      <c r="E1012">
        <f>MEDIAN(D992:D1032)</f>
        <v/>
      </c>
      <c r="F1012">
        <f>E992</f>
        <v/>
      </c>
      <c r="G1012">
        <f>F1012-E1012</f>
        <v/>
      </c>
      <c r="H1012">
        <f>IF(OR(NOT(ISNUMBER(D1012)),ABS(D1012-E1012)&gt;$O$3,AND($O$11=1,B1012&lt;$O$12)),1,0)</f>
        <v/>
      </c>
      <c r="I1012">
        <f>IF(H1012=1,NA(),D1012)</f>
        <v/>
      </c>
      <c r="J1012">
        <f>IF(AND(ISNUMBER(D1012),D1012&gt;=$O$4,OR($O$11=0,B1012&gt;=$O$12)),1,0)</f>
        <v/>
      </c>
      <c r="K1012">
        <f>B1012-$O$14</f>
        <v/>
      </c>
    </row>
    <row r="1013">
      <c r="A1013" t="n">
        <v>3033</v>
      </c>
      <c r="B1013" t="n">
        <v>101.1</v>
      </c>
      <c r="C1013" t="inlineStr">
        <is>
          <t>851</t>
        </is>
      </c>
      <c r="D1013" t="n">
        <v>8.51</v>
      </c>
      <c r="E1013">
        <f>MEDIAN(D993:D1033)</f>
        <v/>
      </c>
      <c r="F1013">
        <f>E993</f>
        <v/>
      </c>
      <c r="G1013">
        <f>F1013-E1013</f>
        <v/>
      </c>
      <c r="H1013">
        <f>IF(OR(NOT(ISNUMBER(D1013)),ABS(D1013-E1013)&gt;$O$3,AND($O$11=1,B1013&lt;$O$12)),1,0)</f>
        <v/>
      </c>
      <c r="I1013">
        <f>IF(H1013=1,NA(),D1013)</f>
        <v/>
      </c>
      <c r="J1013">
        <f>IF(AND(ISNUMBER(D1013),D1013&gt;=$O$4,OR($O$11=0,B1013&gt;=$O$12)),1,0)</f>
        <v/>
      </c>
      <c r="K1013">
        <f>B1013-$O$14</f>
        <v/>
      </c>
    </row>
    <row r="1014">
      <c r="A1014" t="n">
        <v>3036</v>
      </c>
      <c r="B1014" t="n">
        <v>101.2</v>
      </c>
      <c r="C1014" t="inlineStr">
        <is>
          <t>852</t>
        </is>
      </c>
      <c r="D1014" t="n">
        <v>8.52</v>
      </c>
      <c r="E1014">
        <f>MEDIAN(D994:D1034)</f>
        <v/>
      </c>
      <c r="F1014">
        <f>E994</f>
        <v/>
      </c>
      <c r="G1014">
        <f>F1014-E1014</f>
        <v/>
      </c>
      <c r="H1014">
        <f>IF(OR(NOT(ISNUMBER(D1014)),ABS(D1014-E1014)&gt;$O$3,AND($O$11=1,B1014&lt;$O$12)),1,0)</f>
        <v/>
      </c>
      <c r="I1014">
        <f>IF(H1014=1,NA(),D1014)</f>
        <v/>
      </c>
      <c r="J1014">
        <f>IF(AND(ISNUMBER(D1014),D1014&gt;=$O$4,OR($O$11=0,B1014&gt;=$O$12)),1,0)</f>
        <v/>
      </c>
      <c r="K1014">
        <f>B1014-$O$14</f>
        <v/>
      </c>
    </row>
    <row r="1015">
      <c r="A1015" t="n">
        <v>3039</v>
      </c>
      <c r="B1015" t="n">
        <v>101.3</v>
      </c>
      <c r="C1015" t="inlineStr">
        <is>
          <t>852</t>
        </is>
      </c>
      <c r="D1015" t="n">
        <v>8.52</v>
      </c>
      <c r="E1015">
        <f>MEDIAN(D995:D1035)</f>
        <v/>
      </c>
      <c r="F1015">
        <f>E995</f>
        <v/>
      </c>
      <c r="G1015">
        <f>F1015-E1015</f>
        <v/>
      </c>
      <c r="H1015">
        <f>IF(OR(NOT(ISNUMBER(D1015)),ABS(D1015-E1015)&gt;$O$3,AND($O$11=1,B1015&lt;$O$12)),1,0)</f>
        <v/>
      </c>
      <c r="I1015">
        <f>IF(H1015=1,NA(),D1015)</f>
        <v/>
      </c>
      <c r="J1015">
        <f>IF(AND(ISNUMBER(D1015),D1015&gt;=$O$4,OR($O$11=0,B1015&gt;=$O$12)),1,0)</f>
        <v/>
      </c>
      <c r="K1015">
        <f>B1015-$O$14</f>
        <v/>
      </c>
    </row>
    <row r="1016">
      <c r="A1016" t="n">
        <v>3042</v>
      </c>
      <c r="B1016" t="n">
        <v>101.4</v>
      </c>
      <c r="C1016" t="inlineStr">
        <is>
          <t>852</t>
        </is>
      </c>
      <c r="D1016" t="n">
        <v>8.52</v>
      </c>
      <c r="E1016">
        <f>MEDIAN(D996:D1036)</f>
        <v/>
      </c>
      <c r="F1016">
        <f>E996</f>
        <v/>
      </c>
      <c r="G1016">
        <f>F1016-E1016</f>
        <v/>
      </c>
      <c r="H1016">
        <f>IF(OR(NOT(ISNUMBER(D1016)),ABS(D1016-E1016)&gt;$O$3,AND($O$11=1,B1016&lt;$O$12)),1,0)</f>
        <v/>
      </c>
      <c r="I1016">
        <f>IF(H1016=1,NA(),D1016)</f>
        <v/>
      </c>
      <c r="J1016">
        <f>IF(AND(ISNUMBER(D1016),D1016&gt;=$O$4,OR($O$11=0,B1016&gt;=$O$12)),1,0)</f>
        <v/>
      </c>
      <c r="K1016">
        <f>B1016-$O$14</f>
        <v/>
      </c>
    </row>
    <row r="1017">
      <c r="A1017" t="n">
        <v>3045</v>
      </c>
      <c r="B1017" t="n">
        <v>101.5</v>
      </c>
      <c r="C1017" t="inlineStr">
        <is>
          <t>852</t>
        </is>
      </c>
      <c r="D1017" t="n">
        <v>8.52</v>
      </c>
      <c r="E1017">
        <f>MEDIAN(D997:D1037)</f>
        <v/>
      </c>
      <c r="F1017">
        <f>E997</f>
        <v/>
      </c>
      <c r="G1017">
        <f>F1017-E1017</f>
        <v/>
      </c>
      <c r="H1017">
        <f>IF(OR(NOT(ISNUMBER(D1017)),ABS(D1017-E1017)&gt;$O$3,AND($O$11=1,B1017&lt;$O$12)),1,0)</f>
        <v/>
      </c>
      <c r="I1017">
        <f>IF(H1017=1,NA(),D1017)</f>
        <v/>
      </c>
      <c r="J1017">
        <f>IF(AND(ISNUMBER(D1017),D1017&gt;=$O$4,OR($O$11=0,B1017&gt;=$O$12)),1,0)</f>
        <v/>
      </c>
      <c r="K1017">
        <f>B1017-$O$14</f>
        <v/>
      </c>
    </row>
    <row r="1018">
      <c r="A1018" t="n">
        <v>3048</v>
      </c>
      <c r="B1018" t="n">
        <v>101.6</v>
      </c>
      <c r="C1018" t="inlineStr">
        <is>
          <t>852</t>
        </is>
      </c>
      <c r="D1018" t="n">
        <v>8.52</v>
      </c>
      <c r="E1018">
        <f>MEDIAN(D998:D1038)</f>
        <v/>
      </c>
      <c r="F1018">
        <f>E998</f>
        <v/>
      </c>
      <c r="G1018">
        <f>F1018-E1018</f>
        <v/>
      </c>
      <c r="H1018">
        <f>IF(OR(NOT(ISNUMBER(D1018)),ABS(D1018-E1018)&gt;$O$3,AND($O$11=1,B1018&lt;$O$12)),1,0)</f>
        <v/>
      </c>
      <c r="I1018">
        <f>IF(H1018=1,NA(),D1018)</f>
        <v/>
      </c>
      <c r="J1018">
        <f>IF(AND(ISNUMBER(D1018),D1018&gt;=$O$4,OR($O$11=0,B1018&gt;=$O$12)),1,0)</f>
        <v/>
      </c>
      <c r="K1018">
        <f>B1018-$O$14</f>
        <v/>
      </c>
    </row>
    <row r="1019">
      <c r="A1019" t="n">
        <v>3051</v>
      </c>
      <c r="B1019" t="n">
        <v>101.7</v>
      </c>
      <c r="C1019" t="inlineStr">
        <is>
          <t>853</t>
        </is>
      </c>
      <c r="D1019" t="n">
        <v>8.529999999999999</v>
      </c>
      <c r="E1019">
        <f>MEDIAN(D999:D1039)</f>
        <v/>
      </c>
      <c r="F1019">
        <f>E999</f>
        <v/>
      </c>
      <c r="G1019">
        <f>F1019-E1019</f>
        <v/>
      </c>
      <c r="H1019">
        <f>IF(OR(NOT(ISNUMBER(D1019)),ABS(D1019-E1019)&gt;$O$3,AND($O$11=1,B1019&lt;$O$12)),1,0)</f>
        <v/>
      </c>
      <c r="I1019">
        <f>IF(H1019=1,NA(),D1019)</f>
        <v/>
      </c>
      <c r="J1019">
        <f>IF(AND(ISNUMBER(D1019),D1019&gt;=$O$4,OR($O$11=0,B1019&gt;=$O$12)),1,0)</f>
        <v/>
      </c>
      <c r="K1019">
        <f>B1019-$O$14</f>
        <v/>
      </c>
    </row>
    <row r="1020">
      <c r="A1020" t="n">
        <v>3054</v>
      </c>
      <c r="B1020" t="n">
        <v>101.8</v>
      </c>
      <c r="C1020" t="inlineStr">
        <is>
          <t>853</t>
        </is>
      </c>
      <c r="D1020" t="n">
        <v>8.529999999999999</v>
      </c>
      <c r="E1020">
        <f>MEDIAN(D1000:D1040)</f>
        <v/>
      </c>
      <c r="F1020">
        <f>E1000</f>
        <v/>
      </c>
      <c r="G1020">
        <f>F1020-E1020</f>
        <v/>
      </c>
      <c r="H1020">
        <f>IF(OR(NOT(ISNUMBER(D1020)),ABS(D1020-E1020)&gt;$O$3,AND($O$11=1,B1020&lt;$O$12)),1,0)</f>
        <v/>
      </c>
      <c r="I1020">
        <f>IF(H1020=1,NA(),D1020)</f>
        <v/>
      </c>
      <c r="J1020">
        <f>IF(AND(ISNUMBER(D1020),D1020&gt;=$O$4,OR($O$11=0,B1020&gt;=$O$12)),1,0)</f>
        <v/>
      </c>
      <c r="K1020">
        <f>B1020-$O$14</f>
        <v/>
      </c>
    </row>
    <row r="1021">
      <c r="A1021" t="n">
        <v>3057</v>
      </c>
      <c r="B1021" t="n">
        <v>101.9</v>
      </c>
      <c r="C1021" t="inlineStr">
        <is>
          <t>853</t>
        </is>
      </c>
      <c r="D1021" t="n">
        <v>8.529999999999999</v>
      </c>
      <c r="E1021">
        <f>MEDIAN(D1001:D1041)</f>
        <v/>
      </c>
      <c r="F1021">
        <f>E1001</f>
        <v/>
      </c>
      <c r="G1021">
        <f>F1021-E1021</f>
        <v/>
      </c>
      <c r="H1021">
        <f>IF(OR(NOT(ISNUMBER(D1021)),ABS(D1021-E1021)&gt;$O$3,AND($O$11=1,B1021&lt;$O$12)),1,0)</f>
        <v/>
      </c>
      <c r="I1021">
        <f>IF(H1021=1,NA(),D1021)</f>
        <v/>
      </c>
      <c r="J1021">
        <f>IF(AND(ISNUMBER(D1021),D1021&gt;=$O$4,OR($O$11=0,B1021&gt;=$O$12)),1,0)</f>
        <v/>
      </c>
      <c r="K1021">
        <f>B1021-$O$14</f>
        <v/>
      </c>
    </row>
    <row r="1022">
      <c r="A1022" t="n">
        <v>3060</v>
      </c>
      <c r="B1022" t="n">
        <v>102</v>
      </c>
      <c r="C1022" t="inlineStr">
        <is>
          <t>853</t>
        </is>
      </c>
      <c r="D1022" t="n">
        <v>8.529999999999999</v>
      </c>
      <c r="E1022">
        <f>MEDIAN(D1002:D1042)</f>
        <v/>
      </c>
      <c r="F1022">
        <f>E1002</f>
        <v/>
      </c>
      <c r="G1022">
        <f>F1022-E1022</f>
        <v/>
      </c>
      <c r="H1022">
        <f>IF(OR(NOT(ISNUMBER(D1022)),ABS(D1022-E1022)&gt;$O$3,AND($O$11=1,B1022&lt;$O$12)),1,0)</f>
        <v/>
      </c>
      <c r="I1022">
        <f>IF(H1022=1,NA(),D1022)</f>
        <v/>
      </c>
      <c r="J1022">
        <f>IF(AND(ISNUMBER(D1022),D1022&gt;=$O$4,OR($O$11=0,B1022&gt;=$O$12)),1,0)</f>
        <v/>
      </c>
      <c r="K1022">
        <f>B1022-$O$14</f>
        <v/>
      </c>
    </row>
    <row r="1023">
      <c r="A1023" t="n">
        <v>3063</v>
      </c>
      <c r="B1023" t="n">
        <v>102.1</v>
      </c>
      <c r="C1023" t="inlineStr">
        <is>
          <t>853</t>
        </is>
      </c>
      <c r="D1023" t="n">
        <v>8.529999999999999</v>
      </c>
      <c r="E1023">
        <f>MEDIAN(D1003:D1043)</f>
        <v/>
      </c>
      <c r="F1023">
        <f>E1003</f>
        <v/>
      </c>
      <c r="G1023">
        <f>F1023-E1023</f>
        <v/>
      </c>
      <c r="H1023">
        <f>IF(OR(NOT(ISNUMBER(D1023)),ABS(D1023-E1023)&gt;$O$3,AND($O$11=1,B1023&lt;$O$12)),1,0)</f>
        <v/>
      </c>
      <c r="I1023">
        <f>IF(H1023=1,NA(),D1023)</f>
        <v/>
      </c>
      <c r="J1023">
        <f>IF(AND(ISNUMBER(D1023),D1023&gt;=$O$4,OR($O$11=0,B1023&gt;=$O$12)),1,0)</f>
        <v/>
      </c>
      <c r="K1023">
        <f>B1023-$O$14</f>
        <v/>
      </c>
    </row>
    <row r="1024">
      <c r="A1024" t="n">
        <v>3066</v>
      </c>
      <c r="B1024" t="n">
        <v>102.2</v>
      </c>
      <c r="C1024" t="inlineStr">
        <is>
          <t>853</t>
        </is>
      </c>
      <c r="D1024" t="n">
        <v>8.529999999999999</v>
      </c>
      <c r="E1024">
        <f>MEDIAN(D1004:D1044)</f>
        <v/>
      </c>
      <c r="F1024">
        <f>E1004</f>
        <v/>
      </c>
      <c r="G1024">
        <f>F1024-E1024</f>
        <v/>
      </c>
      <c r="H1024">
        <f>IF(OR(NOT(ISNUMBER(D1024)),ABS(D1024-E1024)&gt;$O$3,AND($O$11=1,B1024&lt;$O$12)),1,0)</f>
        <v/>
      </c>
      <c r="I1024">
        <f>IF(H1024=1,NA(),D1024)</f>
        <v/>
      </c>
      <c r="J1024">
        <f>IF(AND(ISNUMBER(D1024),D1024&gt;=$O$4,OR($O$11=0,B1024&gt;=$O$12)),1,0)</f>
        <v/>
      </c>
      <c r="K1024">
        <f>B1024-$O$14</f>
        <v/>
      </c>
    </row>
    <row r="1025">
      <c r="A1025" t="n">
        <v>3069</v>
      </c>
      <c r="B1025" t="n">
        <v>102.3</v>
      </c>
      <c r="C1025" t="inlineStr">
        <is>
          <t>853</t>
        </is>
      </c>
      <c r="D1025" t="n">
        <v>8.529999999999999</v>
      </c>
      <c r="E1025">
        <f>MEDIAN(D1005:D1045)</f>
        <v/>
      </c>
      <c r="F1025">
        <f>E1005</f>
        <v/>
      </c>
      <c r="G1025">
        <f>F1025-E1025</f>
        <v/>
      </c>
      <c r="H1025">
        <f>IF(OR(NOT(ISNUMBER(D1025)),ABS(D1025-E1025)&gt;$O$3,AND($O$11=1,B1025&lt;$O$12)),1,0)</f>
        <v/>
      </c>
      <c r="I1025">
        <f>IF(H1025=1,NA(),D1025)</f>
        <v/>
      </c>
      <c r="J1025">
        <f>IF(AND(ISNUMBER(D1025),D1025&gt;=$O$4,OR($O$11=0,B1025&gt;=$O$12)),1,0)</f>
        <v/>
      </c>
      <c r="K1025">
        <f>B1025-$O$14</f>
        <v/>
      </c>
    </row>
    <row r="1026">
      <c r="A1026" t="n">
        <v>3072</v>
      </c>
      <c r="B1026" t="n">
        <v>102.4</v>
      </c>
      <c r="C1026" t="inlineStr">
        <is>
          <t>853</t>
        </is>
      </c>
      <c r="D1026" t="n">
        <v>8.529999999999999</v>
      </c>
      <c r="E1026">
        <f>MEDIAN(D1006:D1046)</f>
        <v/>
      </c>
      <c r="F1026">
        <f>E1006</f>
        <v/>
      </c>
      <c r="G1026">
        <f>F1026-E1026</f>
        <v/>
      </c>
      <c r="H1026">
        <f>IF(OR(NOT(ISNUMBER(D1026)),ABS(D1026-E1026)&gt;$O$3,AND($O$11=1,B1026&lt;$O$12)),1,0)</f>
        <v/>
      </c>
      <c r="I1026">
        <f>IF(H1026=1,NA(),D1026)</f>
        <v/>
      </c>
      <c r="J1026">
        <f>IF(AND(ISNUMBER(D1026),D1026&gt;=$O$4,OR($O$11=0,B1026&gt;=$O$12)),1,0)</f>
        <v/>
      </c>
      <c r="K1026">
        <f>B1026-$O$14</f>
        <v/>
      </c>
    </row>
    <row r="1027">
      <c r="A1027" t="n">
        <v>3075</v>
      </c>
      <c r="B1027" t="n">
        <v>102.5</v>
      </c>
      <c r="C1027" t="inlineStr">
        <is>
          <t>853</t>
        </is>
      </c>
      <c r="D1027" t="n">
        <v>8.529999999999999</v>
      </c>
      <c r="E1027">
        <f>MEDIAN(D1007:D1047)</f>
        <v/>
      </c>
      <c r="F1027">
        <f>E1007</f>
        <v/>
      </c>
      <c r="G1027">
        <f>F1027-E1027</f>
        <v/>
      </c>
      <c r="H1027">
        <f>IF(OR(NOT(ISNUMBER(D1027)),ABS(D1027-E1027)&gt;$O$3,AND($O$11=1,B1027&lt;$O$12)),1,0)</f>
        <v/>
      </c>
      <c r="I1027">
        <f>IF(H1027=1,NA(),D1027)</f>
        <v/>
      </c>
      <c r="J1027">
        <f>IF(AND(ISNUMBER(D1027),D1027&gt;=$O$4,OR($O$11=0,B1027&gt;=$O$12)),1,0)</f>
        <v/>
      </c>
      <c r="K1027">
        <f>B1027-$O$14</f>
        <v/>
      </c>
    </row>
    <row r="1028">
      <c r="A1028" t="n">
        <v>3078</v>
      </c>
      <c r="B1028" t="n">
        <v>102.6</v>
      </c>
      <c r="C1028" t="inlineStr">
        <is>
          <t>853</t>
        </is>
      </c>
      <c r="D1028" t="n">
        <v>8.529999999999999</v>
      </c>
      <c r="E1028">
        <f>MEDIAN(D1008:D1048)</f>
        <v/>
      </c>
      <c r="F1028">
        <f>E1008</f>
        <v/>
      </c>
      <c r="G1028">
        <f>F1028-E1028</f>
        <v/>
      </c>
      <c r="H1028">
        <f>IF(OR(NOT(ISNUMBER(D1028)),ABS(D1028-E1028)&gt;$O$3,AND($O$11=1,B1028&lt;$O$12)),1,0)</f>
        <v/>
      </c>
      <c r="I1028">
        <f>IF(H1028=1,NA(),D1028)</f>
        <v/>
      </c>
      <c r="J1028">
        <f>IF(AND(ISNUMBER(D1028),D1028&gt;=$O$4,OR($O$11=0,B1028&gt;=$O$12)),1,0)</f>
        <v/>
      </c>
      <c r="K1028">
        <f>B1028-$O$14</f>
        <v/>
      </c>
    </row>
    <row r="1029">
      <c r="A1029" t="n">
        <v>3081</v>
      </c>
      <c r="B1029" t="n">
        <v>102.7</v>
      </c>
      <c r="C1029" t="inlineStr">
        <is>
          <t>853</t>
        </is>
      </c>
      <c r="D1029" t="n">
        <v>8.529999999999999</v>
      </c>
      <c r="E1029">
        <f>MEDIAN(D1009:D1049)</f>
        <v/>
      </c>
      <c r="F1029">
        <f>E1009</f>
        <v/>
      </c>
      <c r="G1029">
        <f>F1029-E1029</f>
        <v/>
      </c>
      <c r="H1029">
        <f>IF(OR(NOT(ISNUMBER(D1029)),ABS(D1029-E1029)&gt;$O$3,AND($O$11=1,B1029&lt;$O$12)),1,0)</f>
        <v/>
      </c>
      <c r="I1029">
        <f>IF(H1029=1,NA(),D1029)</f>
        <v/>
      </c>
      <c r="J1029">
        <f>IF(AND(ISNUMBER(D1029),D1029&gt;=$O$4,OR($O$11=0,B1029&gt;=$O$12)),1,0)</f>
        <v/>
      </c>
      <c r="K1029">
        <f>B1029-$O$14</f>
        <v/>
      </c>
    </row>
    <row r="1030">
      <c r="A1030" t="n">
        <v>3084</v>
      </c>
      <c r="B1030" t="n">
        <v>102.8</v>
      </c>
      <c r="C1030" t="inlineStr">
        <is>
          <t>853</t>
        </is>
      </c>
      <c r="D1030" t="n">
        <v>8.529999999999999</v>
      </c>
      <c r="E1030">
        <f>MEDIAN(D1010:D1050)</f>
        <v/>
      </c>
      <c r="F1030">
        <f>E1010</f>
        <v/>
      </c>
      <c r="G1030">
        <f>F1030-E1030</f>
        <v/>
      </c>
      <c r="H1030">
        <f>IF(OR(NOT(ISNUMBER(D1030)),ABS(D1030-E1030)&gt;$O$3,AND($O$11=1,B1030&lt;$O$12)),1,0)</f>
        <v/>
      </c>
      <c r="I1030">
        <f>IF(H1030=1,NA(),D1030)</f>
        <v/>
      </c>
      <c r="J1030">
        <f>IF(AND(ISNUMBER(D1030),D1030&gt;=$O$4,OR($O$11=0,B1030&gt;=$O$12)),1,0)</f>
        <v/>
      </c>
      <c r="K1030">
        <f>B1030-$O$14</f>
        <v/>
      </c>
    </row>
    <row r="1031">
      <c r="A1031" t="n">
        <v>3087</v>
      </c>
      <c r="B1031" t="n">
        <v>102.9</v>
      </c>
      <c r="C1031" t="inlineStr">
        <is>
          <t>853</t>
        </is>
      </c>
      <c r="D1031" t="n">
        <v>8.529999999999999</v>
      </c>
      <c r="E1031">
        <f>MEDIAN(D1011:D1051)</f>
        <v/>
      </c>
      <c r="F1031">
        <f>E1011</f>
        <v/>
      </c>
      <c r="G1031">
        <f>F1031-E1031</f>
        <v/>
      </c>
      <c r="H1031">
        <f>IF(OR(NOT(ISNUMBER(D1031)),ABS(D1031-E1031)&gt;$O$3,AND($O$11=1,B1031&lt;$O$12)),1,0)</f>
        <v/>
      </c>
      <c r="I1031">
        <f>IF(H1031=1,NA(),D1031)</f>
        <v/>
      </c>
      <c r="J1031">
        <f>IF(AND(ISNUMBER(D1031),D1031&gt;=$O$4,OR($O$11=0,B1031&gt;=$O$12)),1,0)</f>
        <v/>
      </c>
      <c r="K1031">
        <f>B1031-$O$14</f>
        <v/>
      </c>
    </row>
    <row r="1032">
      <c r="A1032" t="n">
        <v>3090</v>
      </c>
      <c r="B1032" t="n">
        <v>103</v>
      </c>
      <c r="C1032" t="inlineStr">
        <is>
          <t>853</t>
        </is>
      </c>
      <c r="D1032" t="n">
        <v>8.529999999999999</v>
      </c>
      <c r="E1032">
        <f>MEDIAN(D1012:D1052)</f>
        <v/>
      </c>
      <c r="F1032">
        <f>E1012</f>
        <v/>
      </c>
      <c r="G1032">
        <f>F1032-E1032</f>
        <v/>
      </c>
      <c r="H1032">
        <f>IF(OR(NOT(ISNUMBER(D1032)),ABS(D1032-E1032)&gt;$O$3,AND($O$11=1,B1032&lt;$O$12)),1,0)</f>
        <v/>
      </c>
      <c r="I1032">
        <f>IF(H1032=1,NA(),D1032)</f>
        <v/>
      </c>
      <c r="J1032">
        <f>IF(AND(ISNUMBER(D1032),D1032&gt;=$O$4,OR($O$11=0,B1032&gt;=$O$12)),1,0)</f>
        <v/>
      </c>
      <c r="K1032">
        <f>B1032-$O$14</f>
        <v/>
      </c>
    </row>
    <row r="1033">
      <c r="A1033" t="n">
        <v>3093</v>
      </c>
      <c r="B1033" t="n">
        <v>103.1</v>
      </c>
      <c r="C1033" t="inlineStr">
        <is>
          <t>853</t>
        </is>
      </c>
      <c r="D1033" t="n">
        <v>8.529999999999999</v>
      </c>
      <c r="E1033">
        <f>MEDIAN(D1013:D1053)</f>
        <v/>
      </c>
      <c r="F1033">
        <f>E1013</f>
        <v/>
      </c>
      <c r="G1033">
        <f>F1033-E1033</f>
        <v/>
      </c>
      <c r="H1033">
        <f>IF(OR(NOT(ISNUMBER(D1033)),ABS(D1033-E1033)&gt;$O$3,AND($O$11=1,B1033&lt;$O$12)),1,0)</f>
        <v/>
      </c>
      <c r="I1033">
        <f>IF(H1033=1,NA(),D1033)</f>
        <v/>
      </c>
      <c r="J1033">
        <f>IF(AND(ISNUMBER(D1033),D1033&gt;=$O$4,OR($O$11=0,B1033&gt;=$O$12)),1,0)</f>
        <v/>
      </c>
      <c r="K1033">
        <f>B1033-$O$14</f>
        <v/>
      </c>
    </row>
    <row r="1034">
      <c r="A1034" t="n">
        <v>3096</v>
      </c>
      <c r="B1034" t="n">
        <v>103.2</v>
      </c>
      <c r="C1034" t="inlineStr">
        <is>
          <t>853</t>
        </is>
      </c>
      <c r="D1034" t="n">
        <v>8.529999999999999</v>
      </c>
      <c r="E1034">
        <f>MEDIAN(D1014:D1054)</f>
        <v/>
      </c>
      <c r="F1034">
        <f>E1014</f>
        <v/>
      </c>
      <c r="G1034">
        <f>F1034-E1034</f>
        <v/>
      </c>
      <c r="H1034">
        <f>IF(OR(NOT(ISNUMBER(D1034)),ABS(D1034-E1034)&gt;$O$3,AND($O$11=1,B1034&lt;$O$12)),1,0)</f>
        <v/>
      </c>
      <c r="I1034">
        <f>IF(H1034=1,NA(),D1034)</f>
        <v/>
      </c>
      <c r="J1034">
        <f>IF(AND(ISNUMBER(D1034),D1034&gt;=$O$4,OR($O$11=0,B1034&gt;=$O$12)),1,0)</f>
        <v/>
      </c>
      <c r="K1034">
        <f>B1034-$O$14</f>
        <v/>
      </c>
    </row>
    <row r="1035">
      <c r="A1035" t="n">
        <v>3099</v>
      </c>
      <c r="B1035" t="n">
        <v>103.3</v>
      </c>
      <c r="C1035" t="inlineStr">
        <is>
          <t>853</t>
        </is>
      </c>
      <c r="D1035" t="n">
        <v>8.529999999999999</v>
      </c>
      <c r="E1035">
        <f>MEDIAN(D1015:D1055)</f>
        <v/>
      </c>
      <c r="F1035">
        <f>E1015</f>
        <v/>
      </c>
      <c r="G1035">
        <f>F1035-E1035</f>
        <v/>
      </c>
      <c r="H1035">
        <f>IF(OR(NOT(ISNUMBER(D1035)),ABS(D1035-E1035)&gt;$O$3,AND($O$11=1,B1035&lt;$O$12)),1,0)</f>
        <v/>
      </c>
      <c r="I1035">
        <f>IF(H1035=1,NA(),D1035)</f>
        <v/>
      </c>
      <c r="J1035">
        <f>IF(AND(ISNUMBER(D1035),D1035&gt;=$O$4,OR($O$11=0,B1035&gt;=$O$12)),1,0)</f>
        <v/>
      </c>
      <c r="K1035">
        <f>B1035-$O$14</f>
        <v/>
      </c>
    </row>
    <row r="1036">
      <c r="A1036" t="n">
        <v>3102</v>
      </c>
      <c r="B1036" t="n">
        <v>103.4</v>
      </c>
      <c r="C1036" t="inlineStr">
        <is>
          <t>853</t>
        </is>
      </c>
      <c r="D1036" t="n">
        <v>8.529999999999999</v>
      </c>
      <c r="E1036">
        <f>MEDIAN(D1016:D1056)</f>
        <v/>
      </c>
      <c r="F1036">
        <f>E1016</f>
        <v/>
      </c>
      <c r="G1036">
        <f>F1036-E1036</f>
        <v/>
      </c>
      <c r="H1036">
        <f>IF(OR(NOT(ISNUMBER(D1036)),ABS(D1036-E1036)&gt;$O$3,AND($O$11=1,B1036&lt;$O$12)),1,0)</f>
        <v/>
      </c>
      <c r="I1036">
        <f>IF(H1036=1,NA(),D1036)</f>
        <v/>
      </c>
      <c r="J1036">
        <f>IF(AND(ISNUMBER(D1036),D1036&gt;=$O$4,OR($O$11=0,B1036&gt;=$O$12)),1,0)</f>
        <v/>
      </c>
      <c r="K1036">
        <f>B1036-$O$14</f>
        <v/>
      </c>
    </row>
    <row r="1037">
      <c r="A1037" t="n">
        <v>3105</v>
      </c>
      <c r="B1037" t="n">
        <v>103.5</v>
      </c>
      <c r="C1037" t="inlineStr">
        <is>
          <t>853</t>
        </is>
      </c>
      <c r="D1037" t="n">
        <v>8.529999999999999</v>
      </c>
      <c r="E1037">
        <f>MEDIAN(D1017:D1057)</f>
        <v/>
      </c>
      <c r="F1037">
        <f>E1017</f>
        <v/>
      </c>
      <c r="G1037">
        <f>F1037-E1037</f>
        <v/>
      </c>
      <c r="H1037">
        <f>IF(OR(NOT(ISNUMBER(D1037)),ABS(D1037-E1037)&gt;$O$3,AND($O$11=1,B1037&lt;$O$12)),1,0)</f>
        <v/>
      </c>
      <c r="I1037">
        <f>IF(H1037=1,NA(),D1037)</f>
        <v/>
      </c>
      <c r="J1037">
        <f>IF(AND(ISNUMBER(D1037),D1037&gt;=$O$4,OR($O$11=0,B1037&gt;=$O$12)),1,0)</f>
        <v/>
      </c>
      <c r="K1037">
        <f>B1037-$O$14</f>
        <v/>
      </c>
    </row>
    <row r="1038">
      <c r="A1038" t="n">
        <v>3108</v>
      </c>
      <c r="B1038" t="n">
        <v>103.6</v>
      </c>
      <c r="C1038" t="inlineStr">
        <is>
          <t>853</t>
        </is>
      </c>
      <c r="D1038" t="n">
        <v>8.529999999999999</v>
      </c>
      <c r="E1038">
        <f>MEDIAN(D1018:D1058)</f>
        <v/>
      </c>
      <c r="F1038">
        <f>E1018</f>
        <v/>
      </c>
      <c r="G1038">
        <f>F1038-E1038</f>
        <v/>
      </c>
      <c r="H1038">
        <f>IF(OR(NOT(ISNUMBER(D1038)),ABS(D1038-E1038)&gt;$O$3,AND($O$11=1,B1038&lt;$O$12)),1,0)</f>
        <v/>
      </c>
      <c r="I1038">
        <f>IF(H1038=1,NA(),D1038)</f>
        <v/>
      </c>
      <c r="J1038">
        <f>IF(AND(ISNUMBER(D1038),D1038&gt;=$O$4,OR($O$11=0,B1038&gt;=$O$12)),1,0)</f>
        <v/>
      </c>
      <c r="K1038">
        <f>B1038-$O$14</f>
        <v/>
      </c>
    </row>
    <row r="1039">
      <c r="A1039" t="n">
        <v>3111</v>
      </c>
      <c r="B1039" t="n">
        <v>103.7</v>
      </c>
      <c r="C1039" t="inlineStr">
        <is>
          <t>853</t>
        </is>
      </c>
      <c r="D1039" t="n">
        <v>8.529999999999999</v>
      </c>
      <c r="E1039">
        <f>MEDIAN(D1019:D1059)</f>
        <v/>
      </c>
      <c r="F1039">
        <f>E1019</f>
        <v/>
      </c>
      <c r="G1039">
        <f>F1039-E1039</f>
        <v/>
      </c>
      <c r="H1039">
        <f>IF(OR(NOT(ISNUMBER(D1039)),ABS(D1039-E1039)&gt;$O$3,AND($O$11=1,B1039&lt;$O$12)),1,0)</f>
        <v/>
      </c>
      <c r="I1039">
        <f>IF(H1039=1,NA(),D1039)</f>
        <v/>
      </c>
      <c r="J1039">
        <f>IF(AND(ISNUMBER(D1039),D1039&gt;=$O$4,OR($O$11=0,B1039&gt;=$O$12)),1,0)</f>
        <v/>
      </c>
      <c r="K1039">
        <f>B1039-$O$14</f>
        <v/>
      </c>
    </row>
    <row r="1040">
      <c r="A1040" t="n">
        <v>3114</v>
      </c>
      <c r="B1040" t="n">
        <v>103.8</v>
      </c>
      <c r="C1040" t="inlineStr">
        <is>
          <t>853</t>
        </is>
      </c>
      <c r="D1040" t="n">
        <v>8.529999999999999</v>
      </c>
      <c r="E1040">
        <f>MEDIAN(D1020:D1060)</f>
        <v/>
      </c>
      <c r="F1040">
        <f>E1020</f>
        <v/>
      </c>
      <c r="G1040">
        <f>F1040-E1040</f>
        <v/>
      </c>
      <c r="H1040">
        <f>IF(OR(NOT(ISNUMBER(D1040)),ABS(D1040-E1040)&gt;$O$3,AND($O$11=1,B1040&lt;$O$12)),1,0)</f>
        <v/>
      </c>
      <c r="I1040">
        <f>IF(H1040=1,NA(),D1040)</f>
        <v/>
      </c>
      <c r="J1040">
        <f>IF(AND(ISNUMBER(D1040),D1040&gt;=$O$4,OR($O$11=0,B1040&gt;=$O$12)),1,0)</f>
        <v/>
      </c>
      <c r="K1040">
        <f>B1040-$O$14</f>
        <v/>
      </c>
    </row>
    <row r="1041">
      <c r="A1041" t="n">
        <v>3117</v>
      </c>
      <c r="B1041" t="n">
        <v>103.9</v>
      </c>
      <c r="C1041" t="inlineStr">
        <is>
          <t>853</t>
        </is>
      </c>
      <c r="D1041" t="n">
        <v>8.529999999999999</v>
      </c>
      <c r="E1041">
        <f>MEDIAN(D1021:D1061)</f>
        <v/>
      </c>
      <c r="F1041">
        <f>E1021</f>
        <v/>
      </c>
      <c r="G1041">
        <f>F1041-E1041</f>
        <v/>
      </c>
      <c r="H1041">
        <f>IF(OR(NOT(ISNUMBER(D1041)),ABS(D1041-E1041)&gt;$O$3,AND($O$11=1,B1041&lt;$O$12)),1,0)</f>
        <v/>
      </c>
      <c r="I1041">
        <f>IF(H1041=1,NA(),D1041)</f>
        <v/>
      </c>
      <c r="J1041">
        <f>IF(AND(ISNUMBER(D1041),D1041&gt;=$O$4,OR($O$11=0,B1041&gt;=$O$12)),1,0)</f>
        <v/>
      </c>
      <c r="K1041">
        <f>B1041-$O$14</f>
        <v/>
      </c>
    </row>
    <row r="1042">
      <c r="A1042" t="n">
        <v>3120</v>
      </c>
      <c r="B1042" t="n">
        <v>104</v>
      </c>
      <c r="C1042" t="inlineStr">
        <is>
          <t>853</t>
        </is>
      </c>
      <c r="D1042" t="n">
        <v>8.529999999999999</v>
      </c>
      <c r="E1042">
        <f>MEDIAN(D1022:D1062)</f>
        <v/>
      </c>
      <c r="F1042">
        <f>E1022</f>
        <v/>
      </c>
      <c r="G1042">
        <f>F1042-E1042</f>
        <v/>
      </c>
      <c r="H1042">
        <f>IF(OR(NOT(ISNUMBER(D1042)),ABS(D1042-E1042)&gt;$O$3,AND($O$11=1,B1042&lt;$O$12)),1,0)</f>
        <v/>
      </c>
      <c r="I1042">
        <f>IF(H1042=1,NA(),D1042)</f>
        <v/>
      </c>
      <c r="J1042">
        <f>IF(AND(ISNUMBER(D1042),D1042&gt;=$O$4,OR($O$11=0,B1042&gt;=$O$12)),1,0)</f>
        <v/>
      </c>
      <c r="K1042">
        <f>B1042-$O$14</f>
        <v/>
      </c>
    </row>
    <row r="1043">
      <c r="A1043" t="n">
        <v>3123</v>
      </c>
      <c r="B1043" t="n">
        <v>104.1</v>
      </c>
      <c r="C1043" t="inlineStr">
        <is>
          <t>853</t>
        </is>
      </c>
      <c r="D1043" t="n">
        <v>8.529999999999999</v>
      </c>
      <c r="E1043">
        <f>MEDIAN(D1023:D1063)</f>
        <v/>
      </c>
      <c r="F1043">
        <f>E1023</f>
        <v/>
      </c>
      <c r="G1043">
        <f>F1043-E1043</f>
        <v/>
      </c>
      <c r="H1043">
        <f>IF(OR(NOT(ISNUMBER(D1043)),ABS(D1043-E1043)&gt;$O$3,AND($O$11=1,B1043&lt;$O$12)),1,0)</f>
        <v/>
      </c>
      <c r="I1043">
        <f>IF(H1043=1,NA(),D1043)</f>
        <v/>
      </c>
      <c r="J1043">
        <f>IF(AND(ISNUMBER(D1043),D1043&gt;=$O$4,OR($O$11=0,B1043&gt;=$O$12)),1,0)</f>
        <v/>
      </c>
      <c r="K1043">
        <f>B1043-$O$14</f>
        <v/>
      </c>
    </row>
    <row r="1044">
      <c r="A1044" t="n">
        <v>3126</v>
      </c>
      <c r="B1044" t="n">
        <v>104.2</v>
      </c>
      <c r="C1044" t="inlineStr">
        <is>
          <t>853</t>
        </is>
      </c>
      <c r="D1044" t="n">
        <v>8.529999999999999</v>
      </c>
      <c r="E1044">
        <f>MEDIAN(D1024:D1064)</f>
        <v/>
      </c>
      <c r="F1044">
        <f>E1024</f>
        <v/>
      </c>
      <c r="G1044">
        <f>F1044-E1044</f>
        <v/>
      </c>
      <c r="H1044">
        <f>IF(OR(NOT(ISNUMBER(D1044)),ABS(D1044-E1044)&gt;$O$3,AND($O$11=1,B1044&lt;$O$12)),1,0)</f>
        <v/>
      </c>
      <c r="I1044">
        <f>IF(H1044=1,NA(),D1044)</f>
        <v/>
      </c>
      <c r="J1044">
        <f>IF(AND(ISNUMBER(D1044),D1044&gt;=$O$4,OR($O$11=0,B1044&gt;=$O$12)),1,0)</f>
        <v/>
      </c>
      <c r="K1044">
        <f>B1044-$O$14</f>
        <v/>
      </c>
    </row>
    <row r="1045">
      <c r="A1045" t="n">
        <v>3129</v>
      </c>
      <c r="B1045" t="n">
        <v>104.3</v>
      </c>
      <c r="C1045" t="inlineStr">
        <is>
          <t>853</t>
        </is>
      </c>
      <c r="D1045" t="n">
        <v>8.529999999999999</v>
      </c>
      <c r="E1045">
        <f>MEDIAN(D1025:D1065)</f>
        <v/>
      </c>
      <c r="F1045">
        <f>E1025</f>
        <v/>
      </c>
      <c r="G1045">
        <f>F1045-E1045</f>
        <v/>
      </c>
      <c r="H1045">
        <f>IF(OR(NOT(ISNUMBER(D1045)),ABS(D1045-E1045)&gt;$O$3,AND($O$11=1,B1045&lt;$O$12)),1,0)</f>
        <v/>
      </c>
      <c r="I1045">
        <f>IF(H1045=1,NA(),D1045)</f>
        <v/>
      </c>
      <c r="J1045">
        <f>IF(AND(ISNUMBER(D1045),D1045&gt;=$O$4,OR($O$11=0,B1045&gt;=$O$12)),1,0)</f>
        <v/>
      </c>
      <c r="K1045">
        <f>B1045-$O$14</f>
        <v/>
      </c>
    </row>
    <row r="1046">
      <c r="A1046" t="n">
        <v>3132</v>
      </c>
      <c r="B1046" t="n">
        <v>104.4</v>
      </c>
      <c r="C1046" t="inlineStr">
        <is>
          <t>853</t>
        </is>
      </c>
      <c r="D1046" t="n">
        <v>8.529999999999999</v>
      </c>
      <c r="E1046">
        <f>MEDIAN(D1026:D1066)</f>
        <v/>
      </c>
      <c r="F1046">
        <f>E1026</f>
        <v/>
      </c>
      <c r="G1046">
        <f>F1046-E1046</f>
        <v/>
      </c>
      <c r="H1046">
        <f>IF(OR(NOT(ISNUMBER(D1046)),ABS(D1046-E1046)&gt;$O$3,AND($O$11=1,B1046&lt;$O$12)),1,0)</f>
        <v/>
      </c>
      <c r="I1046">
        <f>IF(H1046=1,NA(),D1046)</f>
        <v/>
      </c>
      <c r="J1046">
        <f>IF(AND(ISNUMBER(D1046),D1046&gt;=$O$4,OR($O$11=0,B1046&gt;=$O$12)),1,0)</f>
        <v/>
      </c>
      <c r="K1046">
        <f>B1046-$O$14</f>
        <v/>
      </c>
    </row>
    <row r="1047">
      <c r="A1047" t="n">
        <v>3135</v>
      </c>
      <c r="B1047" t="n">
        <v>104.5</v>
      </c>
      <c r="C1047" t="inlineStr">
        <is>
          <t>853</t>
        </is>
      </c>
      <c r="D1047" t="n">
        <v>8.529999999999999</v>
      </c>
      <c r="E1047">
        <f>MEDIAN(D1027:D1067)</f>
        <v/>
      </c>
      <c r="F1047">
        <f>E1027</f>
        <v/>
      </c>
      <c r="G1047">
        <f>F1047-E1047</f>
        <v/>
      </c>
      <c r="H1047">
        <f>IF(OR(NOT(ISNUMBER(D1047)),ABS(D1047-E1047)&gt;$O$3,AND($O$11=1,B1047&lt;$O$12)),1,0)</f>
        <v/>
      </c>
      <c r="I1047">
        <f>IF(H1047=1,NA(),D1047)</f>
        <v/>
      </c>
      <c r="J1047">
        <f>IF(AND(ISNUMBER(D1047),D1047&gt;=$O$4,OR($O$11=0,B1047&gt;=$O$12)),1,0)</f>
        <v/>
      </c>
      <c r="K1047">
        <f>B1047-$O$14</f>
        <v/>
      </c>
    </row>
    <row r="1048">
      <c r="A1048" t="n">
        <v>3138</v>
      </c>
      <c r="B1048" t="n">
        <v>104.6</v>
      </c>
      <c r="C1048" t="inlineStr">
        <is>
          <t>853</t>
        </is>
      </c>
      <c r="D1048" t="n">
        <v>8.529999999999999</v>
      </c>
      <c r="E1048">
        <f>MEDIAN(D1028:D1068)</f>
        <v/>
      </c>
      <c r="F1048">
        <f>E1028</f>
        <v/>
      </c>
      <c r="G1048">
        <f>F1048-E1048</f>
        <v/>
      </c>
      <c r="H1048">
        <f>IF(OR(NOT(ISNUMBER(D1048)),ABS(D1048-E1048)&gt;$O$3,AND($O$11=1,B1048&lt;$O$12)),1,0)</f>
        <v/>
      </c>
      <c r="I1048">
        <f>IF(H1048=1,NA(),D1048)</f>
        <v/>
      </c>
      <c r="J1048">
        <f>IF(AND(ISNUMBER(D1048),D1048&gt;=$O$4,OR($O$11=0,B1048&gt;=$O$12)),1,0)</f>
        <v/>
      </c>
      <c r="K1048">
        <f>B1048-$O$14</f>
        <v/>
      </c>
    </row>
    <row r="1049">
      <c r="A1049" t="n">
        <v>3141</v>
      </c>
      <c r="B1049" t="n">
        <v>104.7</v>
      </c>
      <c r="C1049" t="inlineStr">
        <is>
          <t>859</t>
        </is>
      </c>
      <c r="D1049" t="n">
        <v>8.59</v>
      </c>
      <c r="E1049">
        <f>MEDIAN(D1029:D1069)</f>
        <v/>
      </c>
      <c r="F1049">
        <f>E1029</f>
        <v/>
      </c>
      <c r="G1049">
        <f>F1049-E1049</f>
        <v/>
      </c>
      <c r="H1049">
        <f>IF(OR(NOT(ISNUMBER(D1049)),ABS(D1049-E1049)&gt;$O$3,AND($O$11=1,B1049&lt;$O$12)),1,0)</f>
        <v/>
      </c>
      <c r="I1049">
        <f>IF(H1049=1,NA(),D1049)</f>
        <v/>
      </c>
      <c r="J1049">
        <f>IF(AND(ISNUMBER(D1049),D1049&gt;=$O$4,OR($O$11=0,B1049&gt;=$O$12)),1,0)</f>
        <v/>
      </c>
      <c r="K1049">
        <f>B1049-$O$14</f>
        <v/>
      </c>
    </row>
    <row r="1050">
      <c r="A1050" t="n">
        <v>3144</v>
      </c>
      <c r="B1050" t="n">
        <v>104.8</v>
      </c>
      <c r="C1050" t="inlineStr">
        <is>
          <t>854</t>
        </is>
      </c>
      <c r="D1050" t="n">
        <v>8.539999999999999</v>
      </c>
      <c r="E1050">
        <f>MEDIAN(D1030:D1070)</f>
        <v/>
      </c>
      <c r="F1050">
        <f>E1030</f>
        <v/>
      </c>
      <c r="G1050">
        <f>F1050-E1050</f>
        <v/>
      </c>
      <c r="H1050">
        <f>IF(OR(NOT(ISNUMBER(D1050)),ABS(D1050-E1050)&gt;$O$3,AND($O$11=1,B1050&lt;$O$12)),1,0)</f>
        <v/>
      </c>
      <c r="I1050">
        <f>IF(H1050=1,NA(),D1050)</f>
        <v/>
      </c>
      <c r="J1050">
        <f>IF(AND(ISNUMBER(D1050),D1050&gt;=$O$4,OR($O$11=0,B1050&gt;=$O$12)),1,0)</f>
        <v/>
      </c>
      <c r="K1050">
        <f>B1050-$O$14</f>
        <v/>
      </c>
    </row>
    <row r="1051">
      <c r="A1051" t="n">
        <v>3147</v>
      </c>
      <c r="B1051" t="n">
        <v>104.9</v>
      </c>
      <c r="C1051" t="inlineStr">
        <is>
          <t>854</t>
        </is>
      </c>
      <c r="D1051" t="n">
        <v>8.539999999999999</v>
      </c>
      <c r="E1051">
        <f>MEDIAN(D1031:D1071)</f>
        <v/>
      </c>
      <c r="F1051">
        <f>E1031</f>
        <v/>
      </c>
      <c r="G1051">
        <f>F1051-E1051</f>
        <v/>
      </c>
      <c r="H1051">
        <f>IF(OR(NOT(ISNUMBER(D1051)),ABS(D1051-E1051)&gt;$O$3,AND($O$11=1,B1051&lt;$O$12)),1,0)</f>
        <v/>
      </c>
      <c r="I1051">
        <f>IF(H1051=1,NA(),D1051)</f>
        <v/>
      </c>
      <c r="J1051">
        <f>IF(AND(ISNUMBER(D1051),D1051&gt;=$O$4,OR($O$11=0,B1051&gt;=$O$12)),1,0)</f>
        <v/>
      </c>
      <c r="K1051">
        <f>B1051-$O$14</f>
        <v/>
      </c>
    </row>
    <row r="1052">
      <c r="A1052" t="n">
        <v>3150</v>
      </c>
      <c r="B1052" t="n">
        <v>105</v>
      </c>
      <c r="C1052" t="inlineStr">
        <is>
          <t>854</t>
        </is>
      </c>
      <c r="D1052" t="n">
        <v>8.539999999999999</v>
      </c>
      <c r="E1052">
        <f>MEDIAN(D1032:D1072)</f>
        <v/>
      </c>
      <c r="F1052">
        <f>E1032</f>
        <v/>
      </c>
      <c r="G1052">
        <f>F1052-E1052</f>
        <v/>
      </c>
      <c r="H1052">
        <f>IF(OR(NOT(ISNUMBER(D1052)),ABS(D1052-E1052)&gt;$O$3,AND($O$11=1,B1052&lt;$O$12)),1,0)</f>
        <v/>
      </c>
      <c r="I1052">
        <f>IF(H1052=1,NA(),D1052)</f>
        <v/>
      </c>
      <c r="J1052">
        <f>IF(AND(ISNUMBER(D1052),D1052&gt;=$O$4,OR($O$11=0,B1052&gt;=$O$12)),1,0)</f>
        <v/>
      </c>
      <c r="K1052">
        <f>B1052-$O$14</f>
        <v/>
      </c>
    </row>
    <row r="1053">
      <c r="A1053" t="n">
        <v>3153</v>
      </c>
      <c r="B1053" t="n">
        <v>105.1</v>
      </c>
      <c r="C1053" t="inlineStr">
        <is>
          <t>854</t>
        </is>
      </c>
      <c r="D1053" t="n">
        <v>8.539999999999999</v>
      </c>
      <c r="E1053">
        <f>MEDIAN(D1033:D1073)</f>
        <v/>
      </c>
      <c r="F1053">
        <f>E1033</f>
        <v/>
      </c>
      <c r="G1053">
        <f>F1053-E1053</f>
        <v/>
      </c>
      <c r="H1053">
        <f>IF(OR(NOT(ISNUMBER(D1053)),ABS(D1053-E1053)&gt;$O$3,AND($O$11=1,B1053&lt;$O$12)),1,0)</f>
        <v/>
      </c>
      <c r="I1053">
        <f>IF(H1053=1,NA(),D1053)</f>
        <v/>
      </c>
      <c r="J1053">
        <f>IF(AND(ISNUMBER(D1053),D1053&gt;=$O$4,OR($O$11=0,B1053&gt;=$O$12)),1,0)</f>
        <v/>
      </c>
      <c r="K1053">
        <f>B1053-$O$14</f>
        <v/>
      </c>
    </row>
    <row r="1054">
      <c r="A1054" t="n">
        <v>3156</v>
      </c>
      <c r="B1054" t="n">
        <v>105.2</v>
      </c>
      <c r="C1054" t="inlineStr">
        <is>
          <t>854</t>
        </is>
      </c>
      <c r="D1054" t="n">
        <v>8.539999999999999</v>
      </c>
      <c r="E1054">
        <f>MEDIAN(D1034:D1074)</f>
        <v/>
      </c>
      <c r="F1054">
        <f>E1034</f>
        <v/>
      </c>
      <c r="G1054">
        <f>F1054-E1054</f>
        <v/>
      </c>
      <c r="H1054">
        <f>IF(OR(NOT(ISNUMBER(D1054)),ABS(D1054-E1054)&gt;$O$3,AND($O$11=1,B1054&lt;$O$12)),1,0)</f>
        <v/>
      </c>
      <c r="I1054">
        <f>IF(H1054=1,NA(),D1054)</f>
        <v/>
      </c>
      <c r="J1054">
        <f>IF(AND(ISNUMBER(D1054),D1054&gt;=$O$4,OR($O$11=0,B1054&gt;=$O$12)),1,0)</f>
        <v/>
      </c>
      <c r="K1054">
        <f>B1054-$O$14</f>
        <v/>
      </c>
    </row>
    <row r="1055">
      <c r="A1055" t="n">
        <v>3159</v>
      </c>
      <c r="B1055" t="n">
        <v>105.3</v>
      </c>
      <c r="C1055" t="inlineStr">
        <is>
          <t>859</t>
        </is>
      </c>
      <c r="D1055" t="n">
        <v>8.59</v>
      </c>
      <c r="E1055">
        <f>MEDIAN(D1035:D1075)</f>
        <v/>
      </c>
      <c r="F1055">
        <f>E1035</f>
        <v/>
      </c>
      <c r="G1055">
        <f>F1055-E1055</f>
        <v/>
      </c>
      <c r="H1055">
        <f>IF(OR(NOT(ISNUMBER(D1055)),ABS(D1055-E1055)&gt;$O$3,AND($O$11=1,B1055&lt;$O$12)),1,0)</f>
        <v/>
      </c>
      <c r="I1055">
        <f>IF(H1055=1,NA(),D1055)</f>
        <v/>
      </c>
      <c r="J1055">
        <f>IF(AND(ISNUMBER(D1055),D1055&gt;=$O$4,OR($O$11=0,B1055&gt;=$O$12)),1,0)</f>
        <v/>
      </c>
      <c r="K1055">
        <f>B1055-$O$14</f>
        <v/>
      </c>
    </row>
    <row r="1056">
      <c r="A1056" t="n">
        <v>3162</v>
      </c>
      <c r="B1056" t="n">
        <v>105.4</v>
      </c>
      <c r="C1056" t="inlineStr">
        <is>
          <t>855</t>
        </is>
      </c>
      <c r="D1056" t="n">
        <v>8.550000000000001</v>
      </c>
      <c r="E1056">
        <f>MEDIAN(D1036:D1076)</f>
        <v/>
      </c>
      <c r="F1056">
        <f>E1036</f>
        <v/>
      </c>
      <c r="G1056">
        <f>F1056-E1056</f>
        <v/>
      </c>
      <c r="H1056">
        <f>IF(OR(NOT(ISNUMBER(D1056)),ABS(D1056-E1056)&gt;$O$3,AND($O$11=1,B1056&lt;$O$12)),1,0)</f>
        <v/>
      </c>
      <c r="I1056">
        <f>IF(H1056=1,NA(),D1056)</f>
        <v/>
      </c>
      <c r="J1056">
        <f>IF(AND(ISNUMBER(D1056),D1056&gt;=$O$4,OR($O$11=0,B1056&gt;=$O$12)),1,0)</f>
        <v/>
      </c>
      <c r="K1056">
        <f>B1056-$O$14</f>
        <v/>
      </c>
    </row>
    <row r="1057">
      <c r="A1057" t="n">
        <v>3165</v>
      </c>
      <c r="B1057" t="n">
        <v>105.5</v>
      </c>
      <c r="C1057" t="inlineStr">
        <is>
          <t>855</t>
        </is>
      </c>
      <c r="D1057" t="n">
        <v>8.550000000000001</v>
      </c>
      <c r="E1057">
        <f>MEDIAN(D1037:D1077)</f>
        <v/>
      </c>
      <c r="F1057">
        <f>E1037</f>
        <v/>
      </c>
      <c r="G1057">
        <f>F1057-E1057</f>
        <v/>
      </c>
      <c r="H1057">
        <f>IF(OR(NOT(ISNUMBER(D1057)),ABS(D1057-E1057)&gt;$O$3,AND($O$11=1,B1057&lt;$O$12)),1,0)</f>
        <v/>
      </c>
      <c r="I1057">
        <f>IF(H1057=1,NA(),D1057)</f>
        <v/>
      </c>
      <c r="J1057">
        <f>IF(AND(ISNUMBER(D1057),D1057&gt;=$O$4,OR($O$11=0,B1057&gt;=$O$12)),1,0)</f>
        <v/>
      </c>
      <c r="K1057">
        <f>B1057-$O$14</f>
        <v/>
      </c>
    </row>
    <row r="1058">
      <c r="A1058" t="n">
        <v>3168</v>
      </c>
      <c r="B1058" t="n">
        <v>105.6</v>
      </c>
      <c r="C1058" t="inlineStr">
        <is>
          <t>858</t>
        </is>
      </c>
      <c r="D1058" t="n">
        <v>8.58</v>
      </c>
      <c r="E1058">
        <f>MEDIAN(D1038:D1078)</f>
        <v/>
      </c>
      <c r="F1058">
        <f>E1038</f>
        <v/>
      </c>
      <c r="G1058">
        <f>F1058-E1058</f>
        <v/>
      </c>
      <c r="H1058">
        <f>IF(OR(NOT(ISNUMBER(D1058)),ABS(D1058-E1058)&gt;$O$3,AND($O$11=1,B1058&lt;$O$12)),1,0)</f>
        <v/>
      </c>
      <c r="I1058">
        <f>IF(H1058=1,NA(),D1058)</f>
        <v/>
      </c>
      <c r="J1058">
        <f>IF(AND(ISNUMBER(D1058),D1058&gt;=$O$4,OR($O$11=0,B1058&gt;=$O$12)),1,0)</f>
        <v/>
      </c>
      <c r="K1058">
        <f>B1058-$O$14</f>
        <v/>
      </c>
    </row>
    <row r="1059">
      <c r="A1059" t="n">
        <v>3171</v>
      </c>
      <c r="B1059" t="n">
        <v>105.7</v>
      </c>
      <c r="C1059" t="inlineStr">
        <is>
          <t>858</t>
        </is>
      </c>
      <c r="D1059" t="n">
        <v>8.58</v>
      </c>
      <c r="E1059">
        <f>MEDIAN(D1039:D1079)</f>
        <v/>
      </c>
      <c r="F1059">
        <f>E1039</f>
        <v/>
      </c>
      <c r="G1059">
        <f>F1059-E1059</f>
        <v/>
      </c>
      <c r="H1059">
        <f>IF(OR(NOT(ISNUMBER(D1059)),ABS(D1059-E1059)&gt;$O$3,AND($O$11=1,B1059&lt;$O$12)),1,0)</f>
        <v/>
      </c>
      <c r="I1059">
        <f>IF(H1059=1,NA(),D1059)</f>
        <v/>
      </c>
      <c r="J1059">
        <f>IF(AND(ISNUMBER(D1059),D1059&gt;=$O$4,OR($O$11=0,B1059&gt;=$O$12)),1,0)</f>
        <v/>
      </c>
      <c r="K1059">
        <f>B1059-$O$14</f>
        <v/>
      </c>
    </row>
    <row r="1060">
      <c r="A1060" t="n">
        <v>3174</v>
      </c>
      <c r="B1060" t="n">
        <v>105.8</v>
      </c>
      <c r="C1060" t="inlineStr">
        <is>
          <t>858</t>
        </is>
      </c>
      <c r="D1060" t="n">
        <v>8.58</v>
      </c>
      <c r="E1060">
        <f>MEDIAN(D1040:D1080)</f>
        <v/>
      </c>
      <c r="F1060">
        <f>E1040</f>
        <v/>
      </c>
      <c r="G1060">
        <f>F1060-E1060</f>
        <v/>
      </c>
      <c r="H1060">
        <f>IF(OR(NOT(ISNUMBER(D1060)),ABS(D1060-E1060)&gt;$O$3,AND($O$11=1,B1060&lt;$O$12)),1,0)</f>
        <v/>
      </c>
      <c r="I1060">
        <f>IF(H1060=1,NA(),D1060)</f>
        <v/>
      </c>
      <c r="J1060">
        <f>IF(AND(ISNUMBER(D1060),D1060&gt;=$O$4,OR($O$11=0,B1060&gt;=$O$12)),1,0)</f>
        <v/>
      </c>
      <c r="K1060">
        <f>B1060-$O$14</f>
        <v/>
      </c>
    </row>
    <row r="1061">
      <c r="A1061" t="n">
        <v>3177</v>
      </c>
      <c r="B1061" t="n">
        <v>105.9</v>
      </c>
      <c r="C1061" t="inlineStr">
        <is>
          <t>858</t>
        </is>
      </c>
      <c r="D1061" t="n">
        <v>8.58</v>
      </c>
      <c r="E1061">
        <f>MEDIAN(D1041:D1081)</f>
        <v/>
      </c>
      <c r="F1061">
        <f>E1041</f>
        <v/>
      </c>
      <c r="G1061">
        <f>F1061-E1061</f>
        <v/>
      </c>
      <c r="H1061">
        <f>IF(OR(NOT(ISNUMBER(D1061)),ABS(D1061-E1061)&gt;$O$3,AND($O$11=1,B1061&lt;$O$12)),1,0)</f>
        <v/>
      </c>
      <c r="I1061">
        <f>IF(H1061=1,NA(),D1061)</f>
        <v/>
      </c>
      <c r="J1061">
        <f>IF(AND(ISNUMBER(D1061),D1061&gt;=$O$4,OR($O$11=0,B1061&gt;=$O$12)),1,0)</f>
        <v/>
      </c>
      <c r="K1061">
        <f>B1061-$O$14</f>
        <v/>
      </c>
    </row>
    <row r="1062">
      <c r="A1062" t="n">
        <v>3180</v>
      </c>
      <c r="B1062" t="n">
        <v>106</v>
      </c>
      <c r="C1062" t="inlineStr">
        <is>
          <t>858</t>
        </is>
      </c>
      <c r="D1062" t="n">
        <v>8.58</v>
      </c>
      <c r="E1062">
        <f>MEDIAN(D1042:D1082)</f>
        <v/>
      </c>
      <c r="F1062">
        <f>E1042</f>
        <v/>
      </c>
      <c r="G1062">
        <f>F1062-E1062</f>
        <v/>
      </c>
      <c r="H1062">
        <f>IF(OR(NOT(ISNUMBER(D1062)),ABS(D1062-E1062)&gt;$O$3,AND($O$11=1,B1062&lt;$O$12)),1,0)</f>
        <v/>
      </c>
      <c r="I1062">
        <f>IF(H1062=1,NA(),D1062)</f>
        <v/>
      </c>
      <c r="J1062">
        <f>IF(AND(ISNUMBER(D1062),D1062&gt;=$O$4,OR($O$11=0,B1062&gt;=$O$12)),1,0)</f>
        <v/>
      </c>
      <c r="K1062">
        <f>B1062-$O$14</f>
        <v/>
      </c>
    </row>
    <row r="1063">
      <c r="A1063" t="n">
        <v>3183</v>
      </c>
      <c r="B1063" t="n">
        <v>106.1</v>
      </c>
      <c r="C1063" t="inlineStr">
        <is>
          <t>858</t>
        </is>
      </c>
      <c r="D1063" t="n">
        <v>8.58</v>
      </c>
      <c r="E1063">
        <f>MEDIAN(D1043:D1083)</f>
        <v/>
      </c>
      <c r="F1063">
        <f>E1043</f>
        <v/>
      </c>
      <c r="G1063">
        <f>F1063-E1063</f>
        <v/>
      </c>
      <c r="H1063">
        <f>IF(OR(NOT(ISNUMBER(D1063)),ABS(D1063-E1063)&gt;$O$3,AND($O$11=1,B1063&lt;$O$12)),1,0)</f>
        <v/>
      </c>
      <c r="I1063">
        <f>IF(H1063=1,NA(),D1063)</f>
        <v/>
      </c>
      <c r="J1063">
        <f>IF(AND(ISNUMBER(D1063),D1063&gt;=$O$4,OR($O$11=0,B1063&gt;=$O$12)),1,0)</f>
        <v/>
      </c>
      <c r="K1063">
        <f>B1063-$O$14</f>
        <v/>
      </c>
    </row>
    <row r="1064">
      <c r="A1064" t="n">
        <v>3186</v>
      </c>
      <c r="B1064" t="n">
        <v>106.2</v>
      </c>
      <c r="C1064" t="inlineStr">
        <is>
          <t>858</t>
        </is>
      </c>
      <c r="D1064" t="n">
        <v>8.58</v>
      </c>
      <c r="E1064">
        <f>MEDIAN(D1044:D1084)</f>
        <v/>
      </c>
      <c r="F1064">
        <f>E1044</f>
        <v/>
      </c>
      <c r="G1064">
        <f>F1064-E1064</f>
        <v/>
      </c>
      <c r="H1064">
        <f>IF(OR(NOT(ISNUMBER(D1064)),ABS(D1064-E1064)&gt;$O$3,AND($O$11=1,B1064&lt;$O$12)),1,0)</f>
        <v/>
      </c>
      <c r="I1064">
        <f>IF(H1064=1,NA(),D1064)</f>
        <v/>
      </c>
      <c r="J1064">
        <f>IF(AND(ISNUMBER(D1064),D1064&gt;=$O$4,OR($O$11=0,B1064&gt;=$O$12)),1,0)</f>
        <v/>
      </c>
      <c r="K1064">
        <f>B1064-$O$14</f>
        <v/>
      </c>
    </row>
    <row r="1065">
      <c r="A1065" t="n">
        <v>3189</v>
      </c>
      <c r="B1065" t="n">
        <v>106.3</v>
      </c>
      <c r="C1065" t="inlineStr">
        <is>
          <t>858</t>
        </is>
      </c>
      <c r="D1065" t="n">
        <v>8.58</v>
      </c>
      <c r="E1065">
        <f>MEDIAN(D1045:D1085)</f>
        <v/>
      </c>
      <c r="F1065">
        <f>E1045</f>
        <v/>
      </c>
      <c r="G1065">
        <f>F1065-E1065</f>
        <v/>
      </c>
      <c r="H1065">
        <f>IF(OR(NOT(ISNUMBER(D1065)),ABS(D1065-E1065)&gt;$O$3,AND($O$11=1,B1065&lt;$O$12)),1,0)</f>
        <v/>
      </c>
      <c r="I1065">
        <f>IF(H1065=1,NA(),D1065)</f>
        <v/>
      </c>
      <c r="J1065">
        <f>IF(AND(ISNUMBER(D1065),D1065&gt;=$O$4,OR($O$11=0,B1065&gt;=$O$12)),1,0)</f>
        <v/>
      </c>
      <c r="K1065">
        <f>B1065-$O$14</f>
        <v/>
      </c>
    </row>
    <row r="1066">
      <c r="A1066" t="n">
        <v>3192</v>
      </c>
      <c r="B1066" t="n">
        <v>106.4</v>
      </c>
      <c r="C1066" t="inlineStr">
        <is>
          <t>858</t>
        </is>
      </c>
      <c r="D1066" t="n">
        <v>8.58</v>
      </c>
      <c r="E1066">
        <f>MEDIAN(D1046:D1086)</f>
        <v/>
      </c>
      <c r="F1066">
        <f>E1046</f>
        <v/>
      </c>
      <c r="G1066">
        <f>F1066-E1066</f>
        <v/>
      </c>
      <c r="H1066">
        <f>IF(OR(NOT(ISNUMBER(D1066)),ABS(D1066-E1066)&gt;$O$3,AND($O$11=1,B1066&lt;$O$12)),1,0)</f>
        <v/>
      </c>
      <c r="I1066">
        <f>IF(H1066=1,NA(),D1066)</f>
        <v/>
      </c>
      <c r="J1066">
        <f>IF(AND(ISNUMBER(D1066),D1066&gt;=$O$4,OR($O$11=0,B1066&gt;=$O$12)),1,0)</f>
        <v/>
      </c>
      <c r="K1066">
        <f>B1066-$O$14</f>
        <v/>
      </c>
    </row>
    <row r="1067">
      <c r="A1067" t="n">
        <v>3195</v>
      </c>
      <c r="B1067" t="n">
        <v>106.5</v>
      </c>
      <c r="C1067" t="inlineStr">
        <is>
          <t>858</t>
        </is>
      </c>
      <c r="D1067" t="n">
        <v>8.58</v>
      </c>
      <c r="E1067">
        <f>MEDIAN(D1047:D1087)</f>
        <v/>
      </c>
      <c r="F1067">
        <f>E1047</f>
        <v/>
      </c>
      <c r="G1067">
        <f>F1067-E1067</f>
        <v/>
      </c>
      <c r="H1067">
        <f>IF(OR(NOT(ISNUMBER(D1067)),ABS(D1067-E1067)&gt;$O$3,AND($O$11=1,B1067&lt;$O$12)),1,0)</f>
        <v/>
      </c>
      <c r="I1067">
        <f>IF(H1067=1,NA(),D1067)</f>
        <v/>
      </c>
      <c r="J1067">
        <f>IF(AND(ISNUMBER(D1067),D1067&gt;=$O$4,OR($O$11=0,B1067&gt;=$O$12)),1,0)</f>
        <v/>
      </c>
      <c r="K1067">
        <f>B1067-$O$14</f>
        <v/>
      </c>
    </row>
    <row r="1068">
      <c r="A1068" t="n">
        <v>3198</v>
      </c>
      <c r="B1068" t="n">
        <v>106.6</v>
      </c>
      <c r="C1068" t="inlineStr">
        <is>
          <t>858</t>
        </is>
      </c>
      <c r="D1068" t="n">
        <v>8.58</v>
      </c>
      <c r="E1068">
        <f>MEDIAN(D1048:D1088)</f>
        <v/>
      </c>
      <c r="F1068">
        <f>E1048</f>
        <v/>
      </c>
      <c r="G1068">
        <f>F1068-E1068</f>
        <v/>
      </c>
      <c r="H1068">
        <f>IF(OR(NOT(ISNUMBER(D1068)),ABS(D1068-E1068)&gt;$O$3,AND($O$11=1,B1068&lt;$O$12)),1,0)</f>
        <v/>
      </c>
      <c r="I1068">
        <f>IF(H1068=1,NA(),D1068)</f>
        <v/>
      </c>
      <c r="J1068">
        <f>IF(AND(ISNUMBER(D1068),D1068&gt;=$O$4,OR($O$11=0,B1068&gt;=$O$12)),1,0)</f>
        <v/>
      </c>
      <c r="K1068">
        <f>B1068-$O$14</f>
        <v/>
      </c>
    </row>
    <row r="1069">
      <c r="A1069" t="n">
        <v>3201</v>
      </c>
      <c r="B1069" t="n">
        <v>106.7</v>
      </c>
      <c r="C1069" t="inlineStr">
        <is>
          <t>858</t>
        </is>
      </c>
      <c r="D1069" t="n">
        <v>8.58</v>
      </c>
      <c r="E1069">
        <f>MEDIAN(D1049:D1089)</f>
        <v/>
      </c>
      <c r="F1069">
        <f>E1049</f>
        <v/>
      </c>
      <c r="G1069">
        <f>F1069-E1069</f>
        <v/>
      </c>
      <c r="H1069">
        <f>IF(OR(NOT(ISNUMBER(D1069)),ABS(D1069-E1069)&gt;$O$3,AND($O$11=1,B1069&lt;$O$12)),1,0)</f>
        <v/>
      </c>
      <c r="I1069">
        <f>IF(H1069=1,NA(),D1069)</f>
        <v/>
      </c>
      <c r="J1069">
        <f>IF(AND(ISNUMBER(D1069),D1069&gt;=$O$4,OR($O$11=0,B1069&gt;=$O$12)),1,0)</f>
        <v/>
      </c>
      <c r="K1069">
        <f>B1069-$O$14</f>
        <v/>
      </c>
    </row>
    <row r="1070">
      <c r="A1070" t="n">
        <v>3204</v>
      </c>
      <c r="B1070" t="n">
        <v>106.8</v>
      </c>
      <c r="C1070" t="inlineStr">
        <is>
          <t>858</t>
        </is>
      </c>
      <c r="D1070" t="n">
        <v>8.58</v>
      </c>
      <c r="E1070">
        <f>MEDIAN(D1050:D1090)</f>
        <v/>
      </c>
      <c r="F1070">
        <f>E1050</f>
        <v/>
      </c>
      <c r="G1070">
        <f>F1070-E1070</f>
        <v/>
      </c>
      <c r="H1070">
        <f>IF(OR(NOT(ISNUMBER(D1070)),ABS(D1070-E1070)&gt;$O$3,AND($O$11=1,B1070&lt;$O$12)),1,0)</f>
        <v/>
      </c>
      <c r="I1070">
        <f>IF(H1070=1,NA(),D1070)</f>
        <v/>
      </c>
      <c r="J1070">
        <f>IF(AND(ISNUMBER(D1070),D1070&gt;=$O$4,OR($O$11=0,B1070&gt;=$O$12)),1,0)</f>
        <v/>
      </c>
      <c r="K1070">
        <f>B1070-$O$14</f>
        <v/>
      </c>
    </row>
    <row r="1071">
      <c r="A1071" t="n">
        <v>3207</v>
      </c>
      <c r="B1071" t="n">
        <v>106.9</v>
      </c>
      <c r="C1071" t="inlineStr">
        <is>
          <t>858</t>
        </is>
      </c>
      <c r="D1071" t="n">
        <v>8.58</v>
      </c>
      <c r="E1071">
        <f>MEDIAN(D1051:D1091)</f>
        <v/>
      </c>
      <c r="F1071">
        <f>E1051</f>
        <v/>
      </c>
      <c r="G1071">
        <f>F1071-E1071</f>
        <v/>
      </c>
      <c r="H1071">
        <f>IF(OR(NOT(ISNUMBER(D1071)),ABS(D1071-E1071)&gt;$O$3,AND($O$11=1,B1071&lt;$O$12)),1,0)</f>
        <v/>
      </c>
      <c r="I1071">
        <f>IF(H1071=1,NA(),D1071)</f>
        <v/>
      </c>
      <c r="J1071">
        <f>IF(AND(ISNUMBER(D1071),D1071&gt;=$O$4,OR($O$11=0,B1071&gt;=$O$12)),1,0)</f>
        <v/>
      </c>
      <c r="K1071">
        <f>B1071-$O$14</f>
        <v/>
      </c>
    </row>
    <row r="1072">
      <c r="A1072" t="n">
        <v>3210</v>
      </c>
      <c r="B1072" t="n">
        <v>107</v>
      </c>
      <c r="C1072" t="inlineStr">
        <is>
          <t>858</t>
        </is>
      </c>
      <c r="D1072" t="n">
        <v>8.58</v>
      </c>
      <c r="E1072">
        <f>MEDIAN(D1052:D1092)</f>
        <v/>
      </c>
      <c r="F1072">
        <f>E1052</f>
        <v/>
      </c>
      <c r="G1072">
        <f>F1072-E1072</f>
        <v/>
      </c>
      <c r="H1072">
        <f>IF(OR(NOT(ISNUMBER(D1072)),ABS(D1072-E1072)&gt;$O$3,AND($O$11=1,B1072&lt;$O$12)),1,0)</f>
        <v/>
      </c>
      <c r="I1072">
        <f>IF(H1072=1,NA(),D1072)</f>
        <v/>
      </c>
      <c r="J1072">
        <f>IF(AND(ISNUMBER(D1072),D1072&gt;=$O$4,OR($O$11=0,B1072&gt;=$O$12)),1,0)</f>
        <v/>
      </c>
      <c r="K1072">
        <f>B1072-$O$14</f>
        <v/>
      </c>
    </row>
    <row r="1073">
      <c r="A1073" t="n">
        <v>3213</v>
      </c>
      <c r="B1073" t="n">
        <v>107.1</v>
      </c>
      <c r="C1073" t="inlineStr">
        <is>
          <t>858</t>
        </is>
      </c>
      <c r="D1073" t="n">
        <v>8.58</v>
      </c>
      <c r="E1073">
        <f>MEDIAN(D1053:D1093)</f>
        <v/>
      </c>
      <c r="F1073">
        <f>E1053</f>
        <v/>
      </c>
      <c r="G1073">
        <f>F1073-E1073</f>
        <v/>
      </c>
      <c r="H1073">
        <f>IF(OR(NOT(ISNUMBER(D1073)),ABS(D1073-E1073)&gt;$O$3,AND($O$11=1,B1073&lt;$O$12)),1,0)</f>
        <v/>
      </c>
      <c r="I1073">
        <f>IF(H1073=1,NA(),D1073)</f>
        <v/>
      </c>
      <c r="J1073">
        <f>IF(AND(ISNUMBER(D1073),D1073&gt;=$O$4,OR($O$11=0,B1073&gt;=$O$12)),1,0)</f>
        <v/>
      </c>
      <c r="K1073">
        <f>B1073-$O$14</f>
        <v/>
      </c>
    </row>
    <row r="1074">
      <c r="A1074" t="n">
        <v>3216</v>
      </c>
      <c r="B1074" t="n">
        <v>107.2</v>
      </c>
      <c r="C1074" t="inlineStr">
        <is>
          <t>858</t>
        </is>
      </c>
      <c r="D1074" t="n">
        <v>8.58</v>
      </c>
      <c r="E1074">
        <f>MEDIAN(D1054:D1094)</f>
        <v/>
      </c>
      <c r="F1074">
        <f>E1054</f>
        <v/>
      </c>
      <c r="G1074">
        <f>F1074-E1074</f>
        <v/>
      </c>
      <c r="H1074">
        <f>IF(OR(NOT(ISNUMBER(D1074)),ABS(D1074-E1074)&gt;$O$3,AND($O$11=1,B1074&lt;$O$12)),1,0)</f>
        <v/>
      </c>
      <c r="I1074">
        <f>IF(H1074=1,NA(),D1074)</f>
        <v/>
      </c>
      <c r="J1074">
        <f>IF(AND(ISNUMBER(D1074),D1074&gt;=$O$4,OR($O$11=0,B1074&gt;=$O$12)),1,0)</f>
        <v/>
      </c>
      <c r="K1074">
        <f>B1074-$O$14</f>
        <v/>
      </c>
    </row>
    <row r="1075">
      <c r="A1075" t="n">
        <v>3219</v>
      </c>
      <c r="B1075" t="n">
        <v>107.3</v>
      </c>
      <c r="C1075" t="inlineStr">
        <is>
          <t>858</t>
        </is>
      </c>
      <c r="D1075" t="n">
        <v>8.58</v>
      </c>
      <c r="E1075">
        <f>MEDIAN(D1055:D1095)</f>
        <v/>
      </c>
      <c r="F1075">
        <f>E1055</f>
        <v/>
      </c>
      <c r="G1075">
        <f>F1075-E1075</f>
        <v/>
      </c>
      <c r="H1075">
        <f>IF(OR(NOT(ISNUMBER(D1075)),ABS(D1075-E1075)&gt;$O$3,AND($O$11=1,B1075&lt;$O$12)),1,0)</f>
        <v/>
      </c>
      <c r="I1075">
        <f>IF(H1075=1,NA(),D1075)</f>
        <v/>
      </c>
      <c r="J1075">
        <f>IF(AND(ISNUMBER(D1075),D1075&gt;=$O$4,OR($O$11=0,B1075&gt;=$O$12)),1,0)</f>
        <v/>
      </c>
      <c r="K1075">
        <f>B1075-$O$14</f>
        <v/>
      </c>
    </row>
    <row r="1076">
      <c r="A1076" t="n">
        <v>3222</v>
      </c>
      <c r="B1076" t="n">
        <v>107.4</v>
      </c>
      <c r="C1076" t="inlineStr">
        <is>
          <t>858</t>
        </is>
      </c>
      <c r="D1076" t="n">
        <v>8.58</v>
      </c>
      <c r="E1076">
        <f>MEDIAN(D1056:D1096)</f>
        <v/>
      </c>
      <c r="F1076">
        <f>E1056</f>
        <v/>
      </c>
      <c r="G1076">
        <f>F1076-E1076</f>
        <v/>
      </c>
      <c r="H1076">
        <f>IF(OR(NOT(ISNUMBER(D1076)),ABS(D1076-E1076)&gt;$O$3,AND($O$11=1,B1076&lt;$O$12)),1,0)</f>
        <v/>
      </c>
      <c r="I1076">
        <f>IF(H1076=1,NA(),D1076)</f>
        <v/>
      </c>
      <c r="J1076">
        <f>IF(AND(ISNUMBER(D1076),D1076&gt;=$O$4,OR($O$11=0,B1076&gt;=$O$12)),1,0)</f>
        <v/>
      </c>
      <c r="K1076">
        <f>B1076-$O$14</f>
        <v/>
      </c>
    </row>
    <row r="1077">
      <c r="A1077" t="n">
        <v>3225</v>
      </c>
      <c r="B1077" t="n">
        <v>107.5</v>
      </c>
      <c r="C1077" t="inlineStr">
        <is>
          <t>858</t>
        </is>
      </c>
      <c r="D1077" t="n">
        <v>8.58</v>
      </c>
      <c r="E1077">
        <f>MEDIAN(D1057:D1097)</f>
        <v/>
      </c>
      <c r="F1077">
        <f>E1057</f>
        <v/>
      </c>
      <c r="G1077">
        <f>F1077-E1077</f>
        <v/>
      </c>
      <c r="H1077">
        <f>IF(OR(NOT(ISNUMBER(D1077)),ABS(D1077-E1077)&gt;$O$3,AND($O$11=1,B1077&lt;$O$12)),1,0)</f>
        <v/>
      </c>
      <c r="I1077">
        <f>IF(H1077=1,NA(),D1077)</f>
        <v/>
      </c>
      <c r="J1077">
        <f>IF(AND(ISNUMBER(D1077),D1077&gt;=$O$4,OR($O$11=0,B1077&gt;=$O$12)),1,0)</f>
        <v/>
      </c>
      <c r="K1077">
        <f>B1077-$O$14</f>
        <v/>
      </c>
    </row>
    <row r="1078">
      <c r="A1078" t="n">
        <v>3228</v>
      </c>
      <c r="B1078" t="n">
        <v>107.6</v>
      </c>
      <c r="C1078" t="inlineStr">
        <is>
          <t>858</t>
        </is>
      </c>
      <c r="D1078" t="n">
        <v>8.58</v>
      </c>
      <c r="E1078">
        <f>MEDIAN(D1058:D1098)</f>
        <v/>
      </c>
      <c r="F1078">
        <f>E1058</f>
        <v/>
      </c>
      <c r="G1078">
        <f>F1078-E1078</f>
        <v/>
      </c>
      <c r="H1078">
        <f>IF(OR(NOT(ISNUMBER(D1078)),ABS(D1078-E1078)&gt;$O$3,AND($O$11=1,B1078&lt;$O$12)),1,0)</f>
        <v/>
      </c>
      <c r="I1078">
        <f>IF(H1078=1,NA(),D1078)</f>
        <v/>
      </c>
      <c r="J1078">
        <f>IF(AND(ISNUMBER(D1078),D1078&gt;=$O$4,OR($O$11=0,B1078&gt;=$O$12)),1,0)</f>
        <v/>
      </c>
      <c r="K1078">
        <f>B1078-$O$14</f>
        <v/>
      </c>
    </row>
    <row r="1079">
      <c r="A1079" t="n">
        <v>3231</v>
      </c>
      <c r="B1079" t="n">
        <v>107.7</v>
      </c>
      <c r="C1079" t="inlineStr">
        <is>
          <t>858</t>
        </is>
      </c>
      <c r="D1079" t="n">
        <v>8.58</v>
      </c>
      <c r="E1079">
        <f>MEDIAN(D1059:D1099)</f>
        <v/>
      </c>
      <c r="F1079">
        <f>E1059</f>
        <v/>
      </c>
      <c r="G1079">
        <f>F1079-E1079</f>
        <v/>
      </c>
      <c r="H1079">
        <f>IF(OR(NOT(ISNUMBER(D1079)),ABS(D1079-E1079)&gt;$O$3,AND($O$11=1,B1079&lt;$O$12)),1,0)</f>
        <v/>
      </c>
      <c r="I1079">
        <f>IF(H1079=1,NA(),D1079)</f>
        <v/>
      </c>
      <c r="J1079">
        <f>IF(AND(ISNUMBER(D1079),D1079&gt;=$O$4,OR($O$11=0,B1079&gt;=$O$12)),1,0)</f>
        <v/>
      </c>
      <c r="K1079">
        <f>B1079-$O$14</f>
        <v/>
      </c>
    </row>
    <row r="1080">
      <c r="A1080" t="n">
        <v>3234</v>
      </c>
      <c r="B1080" t="n">
        <v>107.8</v>
      </c>
      <c r="C1080" t="inlineStr">
        <is>
          <t>858</t>
        </is>
      </c>
      <c r="D1080" t="n">
        <v>8.58</v>
      </c>
      <c r="E1080">
        <f>MEDIAN(D1060:D1100)</f>
        <v/>
      </c>
      <c r="F1080">
        <f>E1060</f>
        <v/>
      </c>
      <c r="G1080">
        <f>F1080-E1080</f>
        <v/>
      </c>
      <c r="H1080">
        <f>IF(OR(NOT(ISNUMBER(D1080)),ABS(D1080-E1080)&gt;$O$3,AND($O$11=1,B1080&lt;$O$12)),1,0)</f>
        <v/>
      </c>
      <c r="I1080">
        <f>IF(H1080=1,NA(),D1080)</f>
        <v/>
      </c>
      <c r="J1080">
        <f>IF(AND(ISNUMBER(D1080),D1080&gt;=$O$4,OR($O$11=0,B1080&gt;=$O$12)),1,0)</f>
        <v/>
      </c>
      <c r="K1080">
        <f>B1080-$O$14</f>
        <v/>
      </c>
    </row>
    <row r="1081">
      <c r="A1081" t="n">
        <v>3237</v>
      </c>
      <c r="B1081" t="n">
        <v>107.9</v>
      </c>
      <c r="C1081" t="inlineStr">
        <is>
          <t>858</t>
        </is>
      </c>
      <c r="D1081" t="n">
        <v>8.58</v>
      </c>
      <c r="E1081">
        <f>MEDIAN(D1061:D1101)</f>
        <v/>
      </c>
      <c r="F1081">
        <f>E1061</f>
        <v/>
      </c>
      <c r="G1081">
        <f>F1081-E1081</f>
        <v/>
      </c>
      <c r="H1081">
        <f>IF(OR(NOT(ISNUMBER(D1081)),ABS(D1081-E1081)&gt;$O$3,AND($O$11=1,B1081&lt;$O$12)),1,0)</f>
        <v/>
      </c>
      <c r="I1081">
        <f>IF(H1081=1,NA(),D1081)</f>
        <v/>
      </c>
      <c r="J1081">
        <f>IF(AND(ISNUMBER(D1081),D1081&gt;=$O$4,OR($O$11=0,B1081&gt;=$O$12)),1,0)</f>
        <v/>
      </c>
      <c r="K1081">
        <f>B1081-$O$14</f>
        <v/>
      </c>
    </row>
    <row r="1082">
      <c r="A1082" t="n">
        <v>3240</v>
      </c>
      <c r="B1082" t="n">
        <v>108</v>
      </c>
      <c r="C1082" t="inlineStr">
        <is>
          <t>858</t>
        </is>
      </c>
      <c r="D1082" t="n">
        <v>8.58</v>
      </c>
      <c r="E1082">
        <f>MEDIAN(D1062:D1102)</f>
        <v/>
      </c>
      <c r="F1082">
        <f>E1062</f>
        <v/>
      </c>
      <c r="G1082">
        <f>F1082-E1082</f>
        <v/>
      </c>
      <c r="H1082">
        <f>IF(OR(NOT(ISNUMBER(D1082)),ABS(D1082-E1082)&gt;$O$3,AND($O$11=1,B1082&lt;$O$12)),1,0)</f>
        <v/>
      </c>
      <c r="I1082">
        <f>IF(H1082=1,NA(),D1082)</f>
        <v/>
      </c>
      <c r="J1082">
        <f>IF(AND(ISNUMBER(D1082),D1082&gt;=$O$4,OR($O$11=0,B1082&gt;=$O$12)),1,0)</f>
        <v/>
      </c>
      <c r="K1082">
        <f>B1082-$O$14</f>
        <v/>
      </c>
    </row>
    <row r="1083">
      <c r="A1083" t="n">
        <v>3243</v>
      </c>
      <c r="B1083" t="n">
        <v>108.1</v>
      </c>
      <c r="C1083" t="inlineStr">
        <is>
          <t>858</t>
        </is>
      </c>
      <c r="D1083" t="n">
        <v>8.58</v>
      </c>
      <c r="E1083">
        <f>MEDIAN(D1063:D1103)</f>
        <v/>
      </c>
      <c r="F1083">
        <f>E1063</f>
        <v/>
      </c>
      <c r="G1083">
        <f>F1083-E1083</f>
        <v/>
      </c>
      <c r="H1083">
        <f>IF(OR(NOT(ISNUMBER(D1083)),ABS(D1083-E1083)&gt;$O$3,AND($O$11=1,B1083&lt;$O$12)),1,0)</f>
        <v/>
      </c>
      <c r="I1083">
        <f>IF(H1083=1,NA(),D1083)</f>
        <v/>
      </c>
      <c r="J1083">
        <f>IF(AND(ISNUMBER(D1083),D1083&gt;=$O$4,OR($O$11=0,B1083&gt;=$O$12)),1,0)</f>
        <v/>
      </c>
      <c r="K1083">
        <f>B1083-$O$14</f>
        <v/>
      </c>
    </row>
    <row r="1084">
      <c r="A1084" t="n">
        <v>3246</v>
      </c>
      <c r="B1084" t="n">
        <v>108.2</v>
      </c>
      <c r="C1084" t="inlineStr">
        <is>
          <t>858</t>
        </is>
      </c>
      <c r="D1084" t="n">
        <v>8.58</v>
      </c>
      <c r="E1084">
        <f>MEDIAN(D1064:D1104)</f>
        <v/>
      </c>
      <c r="F1084">
        <f>E1064</f>
        <v/>
      </c>
      <c r="G1084">
        <f>F1084-E1084</f>
        <v/>
      </c>
      <c r="H1084">
        <f>IF(OR(NOT(ISNUMBER(D1084)),ABS(D1084-E1084)&gt;$O$3,AND($O$11=1,B1084&lt;$O$12)),1,0)</f>
        <v/>
      </c>
      <c r="I1084">
        <f>IF(H1084=1,NA(),D1084)</f>
        <v/>
      </c>
      <c r="J1084">
        <f>IF(AND(ISNUMBER(D1084),D1084&gt;=$O$4,OR($O$11=0,B1084&gt;=$O$12)),1,0)</f>
        <v/>
      </c>
      <c r="K1084">
        <f>B1084-$O$14</f>
        <v/>
      </c>
    </row>
    <row r="1085">
      <c r="A1085" t="n">
        <v>3249</v>
      </c>
      <c r="B1085" t="n">
        <v>108.3</v>
      </c>
      <c r="C1085" t="inlineStr">
        <is>
          <t>858</t>
        </is>
      </c>
      <c r="D1085" t="n">
        <v>8.58</v>
      </c>
      <c r="E1085">
        <f>MEDIAN(D1065:D1105)</f>
        <v/>
      </c>
      <c r="F1085">
        <f>E1065</f>
        <v/>
      </c>
      <c r="G1085">
        <f>F1085-E1085</f>
        <v/>
      </c>
      <c r="H1085">
        <f>IF(OR(NOT(ISNUMBER(D1085)),ABS(D1085-E1085)&gt;$O$3,AND($O$11=1,B1085&lt;$O$12)),1,0)</f>
        <v/>
      </c>
      <c r="I1085">
        <f>IF(H1085=1,NA(),D1085)</f>
        <v/>
      </c>
      <c r="J1085">
        <f>IF(AND(ISNUMBER(D1085),D1085&gt;=$O$4,OR($O$11=0,B1085&gt;=$O$12)),1,0)</f>
        <v/>
      </c>
      <c r="K1085">
        <f>B1085-$O$14</f>
        <v/>
      </c>
    </row>
    <row r="1086">
      <c r="A1086" t="n">
        <v>3252</v>
      </c>
      <c r="B1086" t="n">
        <v>108.4</v>
      </c>
      <c r="C1086" t="inlineStr">
        <is>
          <t>858</t>
        </is>
      </c>
      <c r="D1086" t="n">
        <v>8.58</v>
      </c>
      <c r="E1086">
        <f>MEDIAN(D1066:D1106)</f>
        <v/>
      </c>
      <c r="F1086">
        <f>E1066</f>
        <v/>
      </c>
      <c r="G1086">
        <f>F1086-E1086</f>
        <v/>
      </c>
      <c r="H1086">
        <f>IF(OR(NOT(ISNUMBER(D1086)),ABS(D1086-E1086)&gt;$O$3,AND($O$11=1,B1086&lt;$O$12)),1,0)</f>
        <v/>
      </c>
      <c r="I1086">
        <f>IF(H1086=1,NA(),D1086)</f>
        <v/>
      </c>
      <c r="J1086">
        <f>IF(AND(ISNUMBER(D1086),D1086&gt;=$O$4,OR($O$11=0,B1086&gt;=$O$12)),1,0)</f>
        <v/>
      </c>
      <c r="K1086">
        <f>B1086-$O$14</f>
        <v/>
      </c>
    </row>
    <row r="1087">
      <c r="A1087" t="n">
        <v>3255</v>
      </c>
      <c r="B1087" t="n">
        <v>108.5</v>
      </c>
      <c r="C1087" t="inlineStr">
        <is>
          <t>858</t>
        </is>
      </c>
      <c r="D1087" t="n">
        <v>8.58</v>
      </c>
      <c r="E1087">
        <f>MEDIAN(D1067:D1107)</f>
        <v/>
      </c>
      <c r="F1087">
        <f>E1067</f>
        <v/>
      </c>
      <c r="G1087">
        <f>F1087-E1087</f>
        <v/>
      </c>
      <c r="H1087">
        <f>IF(OR(NOT(ISNUMBER(D1087)),ABS(D1087-E1087)&gt;$O$3,AND($O$11=1,B1087&lt;$O$12)),1,0)</f>
        <v/>
      </c>
      <c r="I1087">
        <f>IF(H1087=1,NA(),D1087)</f>
        <v/>
      </c>
      <c r="J1087">
        <f>IF(AND(ISNUMBER(D1087),D1087&gt;=$O$4,OR($O$11=0,B1087&gt;=$O$12)),1,0)</f>
        <v/>
      </c>
      <c r="K1087">
        <f>B1087-$O$14</f>
        <v/>
      </c>
    </row>
    <row r="1088">
      <c r="A1088" t="n">
        <v>3258</v>
      </c>
      <c r="B1088" t="n">
        <v>108.6</v>
      </c>
      <c r="C1088" t="inlineStr">
        <is>
          <t>858</t>
        </is>
      </c>
      <c r="D1088" t="n">
        <v>8.58</v>
      </c>
      <c r="E1088">
        <f>MEDIAN(D1068:D1108)</f>
        <v/>
      </c>
      <c r="F1088">
        <f>E1068</f>
        <v/>
      </c>
      <c r="G1088">
        <f>F1088-E1088</f>
        <v/>
      </c>
      <c r="H1088">
        <f>IF(OR(NOT(ISNUMBER(D1088)),ABS(D1088-E1088)&gt;$O$3,AND($O$11=1,B1088&lt;$O$12)),1,0)</f>
        <v/>
      </c>
      <c r="I1088">
        <f>IF(H1088=1,NA(),D1088)</f>
        <v/>
      </c>
      <c r="J1088">
        <f>IF(AND(ISNUMBER(D1088),D1088&gt;=$O$4,OR($O$11=0,B1088&gt;=$O$12)),1,0)</f>
        <v/>
      </c>
      <c r="K1088">
        <f>B1088-$O$14</f>
        <v/>
      </c>
    </row>
    <row r="1089">
      <c r="A1089" t="n">
        <v>3261</v>
      </c>
      <c r="B1089" t="n">
        <v>108.7</v>
      </c>
      <c r="C1089" t="inlineStr">
        <is>
          <t>858</t>
        </is>
      </c>
      <c r="D1089" t="n">
        <v>8.58</v>
      </c>
      <c r="E1089">
        <f>MEDIAN(D1069:D1109)</f>
        <v/>
      </c>
      <c r="F1089">
        <f>E1069</f>
        <v/>
      </c>
      <c r="G1089">
        <f>F1089-E1089</f>
        <v/>
      </c>
      <c r="H1089">
        <f>IF(OR(NOT(ISNUMBER(D1089)),ABS(D1089-E1089)&gt;$O$3,AND($O$11=1,B1089&lt;$O$12)),1,0)</f>
        <v/>
      </c>
      <c r="I1089">
        <f>IF(H1089=1,NA(),D1089)</f>
        <v/>
      </c>
      <c r="J1089">
        <f>IF(AND(ISNUMBER(D1089),D1089&gt;=$O$4,OR($O$11=0,B1089&gt;=$O$12)),1,0)</f>
        <v/>
      </c>
      <c r="K1089">
        <f>B1089-$O$14</f>
        <v/>
      </c>
    </row>
    <row r="1090">
      <c r="A1090" t="n">
        <v>3264</v>
      </c>
      <c r="B1090" t="n">
        <v>108.8</v>
      </c>
      <c r="C1090" t="inlineStr">
        <is>
          <t>858</t>
        </is>
      </c>
      <c r="D1090" t="n">
        <v>8.58</v>
      </c>
      <c r="E1090">
        <f>MEDIAN(D1070:D1110)</f>
        <v/>
      </c>
      <c r="F1090">
        <f>E1070</f>
        <v/>
      </c>
      <c r="G1090">
        <f>F1090-E1090</f>
        <v/>
      </c>
      <c r="H1090">
        <f>IF(OR(NOT(ISNUMBER(D1090)),ABS(D1090-E1090)&gt;$O$3,AND($O$11=1,B1090&lt;$O$12)),1,0)</f>
        <v/>
      </c>
      <c r="I1090">
        <f>IF(H1090=1,NA(),D1090)</f>
        <v/>
      </c>
      <c r="J1090">
        <f>IF(AND(ISNUMBER(D1090),D1090&gt;=$O$4,OR($O$11=0,B1090&gt;=$O$12)),1,0)</f>
        <v/>
      </c>
      <c r="K1090">
        <f>B1090-$O$14</f>
        <v/>
      </c>
    </row>
    <row r="1091">
      <c r="A1091" t="n">
        <v>3267</v>
      </c>
      <c r="B1091" t="n">
        <v>108.9</v>
      </c>
      <c r="C1091" t="inlineStr">
        <is>
          <t>858</t>
        </is>
      </c>
      <c r="D1091" t="n">
        <v>8.58</v>
      </c>
      <c r="E1091">
        <f>MEDIAN(D1071:D1111)</f>
        <v/>
      </c>
      <c r="F1091">
        <f>E1071</f>
        <v/>
      </c>
      <c r="G1091">
        <f>F1091-E1091</f>
        <v/>
      </c>
      <c r="H1091">
        <f>IF(OR(NOT(ISNUMBER(D1091)),ABS(D1091-E1091)&gt;$O$3,AND($O$11=1,B1091&lt;$O$12)),1,0)</f>
        <v/>
      </c>
      <c r="I1091">
        <f>IF(H1091=1,NA(),D1091)</f>
        <v/>
      </c>
      <c r="J1091">
        <f>IF(AND(ISNUMBER(D1091),D1091&gt;=$O$4,OR($O$11=0,B1091&gt;=$O$12)),1,0)</f>
        <v/>
      </c>
      <c r="K1091">
        <f>B1091-$O$14</f>
        <v/>
      </c>
    </row>
    <row r="1092">
      <c r="A1092" t="n">
        <v>3270</v>
      </c>
      <c r="B1092" t="n">
        <v>109</v>
      </c>
      <c r="C1092" t="inlineStr">
        <is>
          <t>858</t>
        </is>
      </c>
      <c r="D1092" t="n">
        <v>8.58</v>
      </c>
      <c r="E1092">
        <f>MEDIAN(D1072:D1112)</f>
        <v/>
      </c>
      <c r="F1092">
        <f>E1072</f>
        <v/>
      </c>
      <c r="G1092">
        <f>F1092-E1092</f>
        <v/>
      </c>
      <c r="H1092">
        <f>IF(OR(NOT(ISNUMBER(D1092)),ABS(D1092-E1092)&gt;$O$3,AND($O$11=1,B1092&lt;$O$12)),1,0)</f>
        <v/>
      </c>
      <c r="I1092">
        <f>IF(H1092=1,NA(),D1092)</f>
        <v/>
      </c>
      <c r="J1092">
        <f>IF(AND(ISNUMBER(D1092),D1092&gt;=$O$4,OR($O$11=0,B1092&gt;=$O$12)),1,0)</f>
        <v/>
      </c>
      <c r="K1092">
        <f>B1092-$O$14</f>
        <v/>
      </c>
    </row>
    <row r="1093">
      <c r="A1093" t="n">
        <v>3273</v>
      </c>
      <c r="B1093" t="n">
        <v>109.1</v>
      </c>
      <c r="C1093" t="inlineStr">
        <is>
          <t>858</t>
        </is>
      </c>
      <c r="D1093" t="n">
        <v>8.58</v>
      </c>
      <c r="E1093">
        <f>MEDIAN(D1073:D1113)</f>
        <v/>
      </c>
      <c r="F1093">
        <f>E1073</f>
        <v/>
      </c>
      <c r="G1093">
        <f>F1093-E1093</f>
        <v/>
      </c>
      <c r="H1093">
        <f>IF(OR(NOT(ISNUMBER(D1093)),ABS(D1093-E1093)&gt;$O$3,AND($O$11=1,B1093&lt;$O$12)),1,0)</f>
        <v/>
      </c>
      <c r="I1093">
        <f>IF(H1093=1,NA(),D1093)</f>
        <v/>
      </c>
      <c r="J1093">
        <f>IF(AND(ISNUMBER(D1093),D1093&gt;=$O$4,OR($O$11=0,B1093&gt;=$O$12)),1,0)</f>
        <v/>
      </c>
      <c r="K1093">
        <f>B1093-$O$14</f>
        <v/>
      </c>
    </row>
    <row r="1094">
      <c r="A1094" t="n">
        <v>3276</v>
      </c>
      <c r="B1094" t="n">
        <v>109.2</v>
      </c>
      <c r="C1094" t="inlineStr">
        <is>
          <t>858</t>
        </is>
      </c>
      <c r="D1094" t="n">
        <v>8.58</v>
      </c>
      <c r="E1094">
        <f>MEDIAN(D1074:D1114)</f>
        <v/>
      </c>
      <c r="F1094">
        <f>E1074</f>
        <v/>
      </c>
      <c r="G1094">
        <f>F1094-E1094</f>
        <v/>
      </c>
      <c r="H1094">
        <f>IF(OR(NOT(ISNUMBER(D1094)),ABS(D1094-E1094)&gt;$O$3,AND($O$11=1,B1094&lt;$O$12)),1,0)</f>
        <v/>
      </c>
      <c r="I1094">
        <f>IF(H1094=1,NA(),D1094)</f>
        <v/>
      </c>
      <c r="J1094">
        <f>IF(AND(ISNUMBER(D1094),D1094&gt;=$O$4,OR($O$11=0,B1094&gt;=$O$12)),1,0)</f>
        <v/>
      </c>
      <c r="K1094">
        <f>B1094-$O$14</f>
        <v/>
      </c>
    </row>
    <row r="1095">
      <c r="A1095" t="n">
        <v>3279</v>
      </c>
      <c r="B1095" t="n">
        <v>109.3</v>
      </c>
      <c r="C1095" t="inlineStr">
        <is>
          <t>858</t>
        </is>
      </c>
      <c r="D1095" t="n">
        <v>8.58</v>
      </c>
      <c r="E1095">
        <f>MEDIAN(D1075:D1115)</f>
        <v/>
      </c>
      <c r="F1095">
        <f>E1075</f>
        <v/>
      </c>
      <c r="G1095">
        <f>F1095-E1095</f>
        <v/>
      </c>
      <c r="H1095">
        <f>IF(OR(NOT(ISNUMBER(D1095)),ABS(D1095-E1095)&gt;$O$3,AND($O$11=1,B1095&lt;$O$12)),1,0)</f>
        <v/>
      </c>
      <c r="I1095">
        <f>IF(H1095=1,NA(),D1095)</f>
        <v/>
      </c>
      <c r="J1095">
        <f>IF(AND(ISNUMBER(D1095),D1095&gt;=$O$4,OR($O$11=0,B1095&gt;=$O$12)),1,0)</f>
        <v/>
      </c>
      <c r="K1095">
        <f>B1095-$O$14</f>
        <v/>
      </c>
    </row>
    <row r="1096">
      <c r="A1096" t="n">
        <v>3282</v>
      </c>
      <c r="B1096" t="n">
        <v>109.4</v>
      </c>
      <c r="C1096" t="inlineStr">
        <is>
          <t>858</t>
        </is>
      </c>
      <c r="D1096" t="n">
        <v>8.58</v>
      </c>
      <c r="E1096">
        <f>MEDIAN(D1076:D1116)</f>
        <v/>
      </c>
      <c r="F1096">
        <f>E1076</f>
        <v/>
      </c>
      <c r="G1096">
        <f>F1096-E1096</f>
        <v/>
      </c>
      <c r="H1096">
        <f>IF(OR(NOT(ISNUMBER(D1096)),ABS(D1096-E1096)&gt;$O$3,AND($O$11=1,B1096&lt;$O$12)),1,0)</f>
        <v/>
      </c>
      <c r="I1096">
        <f>IF(H1096=1,NA(),D1096)</f>
        <v/>
      </c>
      <c r="J1096">
        <f>IF(AND(ISNUMBER(D1096),D1096&gt;=$O$4,OR($O$11=0,B1096&gt;=$O$12)),1,0)</f>
        <v/>
      </c>
      <c r="K1096">
        <f>B1096-$O$14</f>
        <v/>
      </c>
    </row>
    <row r="1097">
      <c r="A1097" t="n">
        <v>3285</v>
      </c>
      <c r="B1097" t="n">
        <v>109.5</v>
      </c>
      <c r="C1097" t="inlineStr">
        <is>
          <t>858</t>
        </is>
      </c>
      <c r="D1097" t="n">
        <v>8.58</v>
      </c>
      <c r="E1097">
        <f>MEDIAN(D1077:D1117)</f>
        <v/>
      </c>
      <c r="F1097">
        <f>E1077</f>
        <v/>
      </c>
      <c r="G1097">
        <f>F1097-E1097</f>
        <v/>
      </c>
      <c r="H1097">
        <f>IF(OR(NOT(ISNUMBER(D1097)),ABS(D1097-E1097)&gt;$O$3,AND($O$11=1,B1097&lt;$O$12)),1,0)</f>
        <v/>
      </c>
      <c r="I1097">
        <f>IF(H1097=1,NA(),D1097)</f>
        <v/>
      </c>
      <c r="J1097">
        <f>IF(AND(ISNUMBER(D1097),D1097&gt;=$O$4,OR($O$11=0,B1097&gt;=$O$12)),1,0)</f>
        <v/>
      </c>
      <c r="K1097">
        <f>B1097-$O$14</f>
        <v/>
      </c>
    </row>
    <row r="1098">
      <c r="A1098" t="n">
        <v>3288</v>
      </c>
      <c r="B1098" t="n">
        <v>109.6</v>
      </c>
      <c r="C1098" t="inlineStr">
        <is>
          <t>858</t>
        </is>
      </c>
      <c r="D1098" t="n">
        <v>8.58</v>
      </c>
      <c r="E1098">
        <f>MEDIAN(D1078:D1118)</f>
        <v/>
      </c>
      <c r="F1098">
        <f>E1078</f>
        <v/>
      </c>
      <c r="G1098">
        <f>F1098-E1098</f>
        <v/>
      </c>
      <c r="H1098">
        <f>IF(OR(NOT(ISNUMBER(D1098)),ABS(D1098-E1098)&gt;$O$3,AND($O$11=1,B1098&lt;$O$12)),1,0)</f>
        <v/>
      </c>
      <c r="I1098">
        <f>IF(H1098=1,NA(),D1098)</f>
        <v/>
      </c>
      <c r="J1098">
        <f>IF(AND(ISNUMBER(D1098),D1098&gt;=$O$4,OR($O$11=0,B1098&gt;=$O$12)),1,0)</f>
        <v/>
      </c>
      <c r="K1098">
        <f>B1098-$O$14</f>
        <v/>
      </c>
    </row>
    <row r="1099">
      <c r="A1099" t="n">
        <v>3291</v>
      </c>
      <c r="B1099" t="n">
        <v>109.7</v>
      </c>
      <c r="C1099" t="inlineStr">
        <is>
          <t>859</t>
        </is>
      </c>
      <c r="D1099" t="n">
        <v>8.59</v>
      </c>
      <c r="E1099">
        <f>MEDIAN(D1079:D1119)</f>
        <v/>
      </c>
      <c r="F1099">
        <f>E1079</f>
        <v/>
      </c>
      <c r="G1099">
        <f>F1099-E1099</f>
        <v/>
      </c>
      <c r="H1099">
        <f>IF(OR(NOT(ISNUMBER(D1099)),ABS(D1099-E1099)&gt;$O$3,AND($O$11=1,B1099&lt;$O$12)),1,0)</f>
        <v/>
      </c>
      <c r="I1099">
        <f>IF(H1099=1,NA(),D1099)</f>
        <v/>
      </c>
      <c r="J1099">
        <f>IF(AND(ISNUMBER(D1099),D1099&gt;=$O$4,OR($O$11=0,B1099&gt;=$O$12)),1,0)</f>
        <v/>
      </c>
      <c r="K1099">
        <f>B1099-$O$14</f>
        <v/>
      </c>
    </row>
    <row r="1100">
      <c r="A1100" t="n">
        <v>3294</v>
      </c>
      <c r="B1100" t="n">
        <v>109.8</v>
      </c>
      <c r="C1100" t="inlineStr">
        <is>
          <t>859</t>
        </is>
      </c>
      <c r="D1100" t="n">
        <v>8.59</v>
      </c>
      <c r="E1100">
        <f>MEDIAN(D1080:D1120)</f>
        <v/>
      </c>
      <c r="F1100">
        <f>E1080</f>
        <v/>
      </c>
      <c r="G1100">
        <f>F1100-E1100</f>
        <v/>
      </c>
      <c r="H1100">
        <f>IF(OR(NOT(ISNUMBER(D1100)),ABS(D1100-E1100)&gt;$O$3,AND($O$11=1,B1100&lt;$O$12)),1,0)</f>
        <v/>
      </c>
      <c r="I1100">
        <f>IF(H1100=1,NA(),D1100)</f>
        <v/>
      </c>
      <c r="J1100">
        <f>IF(AND(ISNUMBER(D1100),D1100&gt;=$O$4,OR($O$11=0,B1100&gt;=$O$12)),1,0)</f>
        <v/>
      </c>
      <c r="K1100">
        <f>B1100-$O$14</f>
        <v/>
      </c>
    </row>
    <row r="1101">
      <c r="A1101" t="n">
        <v>3297</v>
      </c>
      <c r="B1101" t="n">
        <v>109.9</v>
      </c>
      <c r="C1101" t="inlineStr">
        <is>
          <t>859</t>
        </is>
      </c>
      <c r="D1101" t="n">
        <v>8.59</v>
      </c>
      <c r="E1101">
        <f>MEDIAN(D1081:D1121)</f>
        <v/>
      </c>
      <c r="F1101">
        <f>E1081</f>
        <v/>
      </c>
      <c r="G1101">
        <f>F1101-E1101</f>
        <v/>
      </c>
      <c r="H1101">
        <f>IF(OR(NOT(ISNUMBER(D1101)),ABS(D1101-E1101)&gt;$O$3,AND($O$11=1,B1101&lt;$O$12)),1,0)</f>
        <v/>
      </c>
      <c r="I1101">
        <f>IF(H1101=1,NA(),D1101)</f>
        <v/>
      </c>
      <c r="J1101">
        <f>IF(AND(ISNUMBER(D1101),D1101&gt;=$O$4,OR($O$11=0,B1101&gt;=$O$12)),1,0)</f>
        <v/>
      </c>
      <c r="K1101">
        <f>B1101-$O$14</f>
        <v/>
      </c>
    </row>
    <row r="1102">
      <c r="A1102" t="n">
        <v>3300</v>
      </c>
      <c r="B1102" t="n">
        <v>110</v>
      </c>
      <c r="C1102" t="inlineStr">
        <is>
          <t>859</t>
        </is>
      </c>
      <c r="D1102" t="n">
        <v>8.59</v>
      </c>
      <c r="E1102">
        <f>MEDIAN(D1082:D1122)</f>
        <v/>
      </c>
      <c r="F1102">
        <f>E1082</f>
        <v/>
      </c>
      <c r="G1102">
        <f>F1102-E1102</f>
        <v/>
      </c>
      <c r="H1102">
        <f>IF(OR(NOT(ISNUMBER(D1102)),ABS(D1102-E1102)&gt;$O$3,AND($O$11=1,B1102&lt;$O$12)),1,0)</f>
        <v/>
      </c>
      <c r="I1102">
        <f>IF(H1102=1,NA(),D1102)</f>
        <v/>
      </c>
      <c r="J1102">
        <f>IF(AND(ISNUMBER(D1102),D1102&gt;=$O$4,OR($O$11=0,B1102&gt;=$O$12)),1,0)</f>
        <v/>
      </c>
      <c r="K1102">
        <f>B1102-$O$14</f>
        <v/>
      </c>
    </row>
    <row r="1103">
      <c r="A1103" t="n">
        <v>3303</v>
      </c>
      <c r="B1103" t="n">
        <v>110.1</v>
      </c>
      <c r="C1103" t="inlineStr">
        <is>
          <t>859</t>
        </is>
      </c>
      <c r="D1103" t="n">
        <v>8.59</v>
      </c>
      <c r="E1103">
        <f>MEDIAN(D1083:D1123)</f>
        <v/>
      </c>
      <c r="F1103">
        <f>E1083</f>
        <v/>
      </c>
      <c r="G1103">
        <f>F1103-E1103</f>
        <v/>
      </c>
      <c r="H1103">
        <f>IF(OR(NOT(ISNUMBER(D1103)),ABS(D1103-E1103)&gt;$O$3,AND($O$11=1,B1103&lt;$O$12)),1,0)</f>
        <v/>
      </c>
      <c r="I1103">
        <f>IF(H1103=1,NA(),D1103)</f>
        <v/>
      </c>
      <c r="J1103">
        <f>IF(AND(ISNUMBER(D1103),D1103&gt;=$O$4,OR($O$11=0,B1103&gt;=$O$12)),1,0)</f>
        <v/>
      </c>
      <c r="K1103">
        <f>B1103-$O$14</f>
        <v/>
      </c>
    </row>
    <row r="1104">
      <c r="A1104" t="n">
        <v>3306</v>
      </c>
      <c r="B1104" t="n">
        <v>110.2</v>
      </c>
      <c r="C1104" t="inlineStr">
        <is>
          <t>859</t>
        </is>
      </c>
      <c r="D1104" t="n">
        <v>8.59</v>
      </c>
      <c r="E1104">
        <f>MEDIAN(D1084:D1124)</f>
        <v/>
      </c>
      <c r="F1104">
        <f>E1084</f>
        <v/>
      </c>
      <c r="G1104">
        <f>F1104-E1104</f>
        <v/>
      </c>
      <c r="H1104">
        <f>IF(OR(NOT(ISNUMBER(D1104)),ABS(D1104-E1104)&gt;$O$3,AND($O$11=1,B1104&lt;$O$12)),1,0)</f>
        <v/>
      </c>
      <c r="I1104">
        <f>IF(H1104=1,NA(),D1104)</f>
        <v/>
      </c>
      <c r="J1104">
        <f>IF(AND(ISNUMBER(D1104),D1104&gt;=$O$4,OR($O$11=0,B1104&gt;=$O$12)),1,0)</f>
        <v/>
      </c>
      <c r="K1104">
        <f>B1104-$O$14</f>
        <v/>
      </c>
    </row>
    <row r="1105">
      <c r="A1105" t="n">
        <v>3309</v>
      </c>
      <c r="B1105" t="n">
        <v>110.3</v>
      </c>
      <c r="C1105" t="inlineStr">
        <is>
          <t>859</t>
        </is>
      </c>
      <c r="D1105" t="n">
        <v>8.59</v>
      </c>
      <c r="E1105">
        <f>MEDIAN(D1085:D1125)</f>
        <v/>
      </c>
      <c r="F1105">
        <f>E1085</f>
        <v/>
      </c>
      <c r="G1105">
        <f>F1105-E1105</f>
        <v/>
      </c>
      <c r="H1105">
        <f>IF(OR(NOT(ISNUMBER(D1105)),ABS(D1105-E1105)&gt;$O$3,AND($O$11=1,B1105&lt;$O$12)),1,0)</f>
        <v/>
      </c>
      <c r="I1105">
        <f>IF(H1105=1,NA(),D1105)</f>
        <v/>
      </c>
      <c r="J1105">
        <f>IF(AND(ISNUMBER(D1105),D1105&gt;=$O$4,OR($O$11=0,B1105&gt;=$O$12)),1,0)</f>
        <v/>
      </c>
      <c r="K1105">
        <f>B1105-$O$14</f>
        <v/>
      </c>
    </row>
    <row r="1106">
      <c r="A1106" t="n">
        <v>3312</v>
      </c>
      <c r="B1106" t="n">
        <v>110.4</v>
      </c>
      <c r="C1106" t="inlineStr">
        <is>
          <t>860</t>
        </is>
      </c>
      <c r="D1106" t="n">
        <v>8.6</v>
      </c>
      <c r="E1106">
        <f>MEDIAN(D1086:D1126)</f>
        <v/>
      </c>
      <c r="F1106">
        <f>E1086</f>
        <v/>
      </c>
      <c r="G1106">
        <f>F1106-E1106</f>
        <v/>
      </c>
      <c r="H1106">
        <f>IF(OR(NOT(ISNUMBER(D1106)),ABS(D1106-E1106)&gt;$O$3,AND($O$11=1,B1106&lt;$O$12)),1,0)</f>
        <v/>
      </c>
      <c r="I1106">
        <f>IF(H1106=1,NA(),D1106)</f>
        <v/>
      </c>
      <c r="J1106">
        <f>IF(AND(ISNUMBER(D1106),D1106&gt;=$O$4,OR($O$11=0,B1106&gt;=$O$12)),1,0)</f>
        <v/>
      </c>
      <c r="K1106">
        <f>B1106-$O$14</f>
        <v/>
      </c>
    </row>
    <row r="1107">
      <c r="A1107" t="n">
        <v>3315</v>
      </c>
      <c r="B1107" t="n">
        <v>110.5</v>
      </c>
      <c r="C1107" t="inlineStr">
        <is>
          <t>860</t>
        </is>
      </c>
      <c r="D1107" t="n">
        <v>8.6</v>
      </c>
      <c r="E1107">
        <f>MEDIAN(D1087:D1127)</f>
        <v/>
      </c>
      <c r="F1107">
        <f>E1087</f>
        <v/>
      </c>
      <c r="G1107">
        <f>F1107-E1107</f>
        <v/>
      </c>
      <c r="H1107">
        <f>IF(OR(NOT(ISNUMBER(D1107)),ABS(D1107-E1107)&gt;$O$3,AND($O$11=1,B1107&lt;$O$12)),1,0)</f>
        <v/>
      </c>
      <c r="I1107">
        <f>IF(H1107=1,NA(),D1107)</f>
        <v/>
      </c>
      <c r="J1107">
        <f>IF(AND(ISNUMBER(D1107),D1107&gt;=$O$4,OR($O$11=0,B1107&gt;=$O$12)),1,0)</f>
        <v/>
      </c>
      <c r="K1107">
        <f>B1107-$O$14</f>
        <v/>
      </c>
    </row>
    <row r="1108">
      <c r="A1108" t="n">
        <v>3318</v>
      </c>
      <c r="B1108" t="n">
        <v>110.6</v>
      </c>
      <c r="C1108" t="inlineStr">
        <is>
          <t>860</t>
        </is>
      </c>
      <c r="D1108" t="n">
        <v>8.6</v>
      </c>
      <c r="E1108">
        <f>MEDIAN(D1088:D1128)</f>
        <v/>
      </c>
      <c r="F1108">
        <f>E1088</f>
        <v/>
      </c>
      <c r="G1108">
        <f>F1108-E1108</f>
        <v/>
      </c>
      <c r="H1108">
        <f>IF(OR(NOT(ISNUMBER(D1108)),ABS(D1108-E1108)&gt;$O$3,AND($O$11=1,B1108&lt;$O$12)),1,0)</f>
        <v/>
      </c>
      <c r="I1108">
        <f>IF(H1108=1,NA(),D1108)</f>
        <v/>
      </c>
      <c r="J1108">
        <f>IF(AND(ISNUMBER(D1108),D1108&gt;=$O$4,OR($O$11=0,B1108&gt;=$O$12)),1,0)</f>
        <v/>
      </c>
      <c r="K1108">
        <f>B1108-$O$14</f>
        <v/>
      </c>
    </row>
    <row r="1109">
      <c r="A1109" t="n">
        <v>3321</v>
      </c>
      <c r="B1109" t="n">
        <v>110.7</v>
      </c>
      <c r="C1109" t="inlineStr">
        <is>
          <t>860</t>
        </is>
      </c>
      <c r="D1109" t="n">
        <v>8.6</v>
      </c>
      <c r="E1109">
        <f>MEDIAN(D1089:D1129)</f>
        <v/>
      </c>
      <c r="F1109">
        <f>E1089</f>
        <v/>
      </c>
      <c r="G1109">
        <f>F1109-E1109</f>
        <v/>
      </c>
      <c r="H1109">
        <f>IF(OR(NOT(ISNUMBER(D1109)),ABS(D1109-E1109)&gt;$O$3,AND($O$11=1,B1109&lt;$O$12)),1,0)</f>
        <v/>
      </c>
      <c r="I1109">
        <f>IF(H1109=1,NA(),D1109)</f>
        <v/>
      </c>
      <c r="J1109">
        <f>IF(AND(ISNUMBER(D1109),D1109&gt;=$O$4,OR($O$11=0,B1109&gt;=$O$12)),1,0)</f>
        <v/>
      </c>
      <c r="K1109">
        <f>B1109-$O$14</f>
        <v/>
      </c>
    </row>
    <row r="1110">
      <c r="A1110" t="n">
        <v>3324</v>
      </c>
      <c r="B1110" t="n">
        <v>110.8</v>
      </c>
      <c r="C1110" t="inlineStr">
        <is>
          <t>860</t>
        </is>
      </c>
      <c r="D1110" t="n">
        <v>8.6</v>
      </c>
      <c r="E1110">
        <f>MEDIAN(D1090:D1130)</f>
        <v/>
      </c>
      <c r="F1110">
        <f>E1090</f>
        <v/>
      </c>
      <c r="G1110">
        <f>F1110-E1110</f>
        <v/>
      </c>
      <c r="H1110">
        <f>IF(OR(NOT(ISNUMBER(D1110)),ABS(D1110-E1110)&gt;$O$3,AND($O$11=1,B1110&lt;$O$12)),1,0)</f>
        <v/>
      </c>
      <c r="I1110">
        <f>IF(H1110=1,NA(),D1110)</f>
        <v/>
      </c>
      <c r="J1110">
        <f>IF(AND(ISNUMBER(D1110),D1110&gt;=$O$4,OR($O$11=0,B1110&gt;=$O$12)),1,0)</f>
        <v/>
      </c>
      <c r="K1110">
        <f>B1110-$O$14</f>
        <v/>
      </c>
    </row>
    <row r="1111">
      <c r="A1111" t="n">
        <v>3327</v>
      </c>
      <c r="B1111" t="n">
        <v>110.9</v>
      </c>
      <c r="C1111" t="inlineStr">
        <is>
          <t>861</t>
        </is>
      </c>
      <c r="D1111" t="n">
        <v>8.609999999999999</v>
      </c>
      <c r="E1111">
        <f>MEDIAN(D1091:D1131)</f>
        <v/>
      </c>
      <c r="F1111">
        <f>E1091</f>
        <v/>
      </c>
      <c r="G1111">
        <f>F1111-E1111</f>
        <v/>
      </c>
      <c r="H1111">
        <f>IF(OR(NOT(ISNUMBER(D1111)),ABS(D1111-E1111)&gt;$O$3,AND($O$11=1,B1111&lt;$O$12)),1,0)</f>
        <v/>
      </c>
      <c r="I1111">
        <f>IF(H1111=1,NA(),D1111)</f>
        <v/>
      </c>
      <c r="J1111">
        <f>IF(AND(ISNUMBER(D1111),D1111&gt;=$O$4,OR($O$11=0,B1111&gt;=$O$12)),1,0)</f>
        <v/>
      </c>
      <c r="K1111">
        <f>B1111-$O$14</f>
        <v/>
      </c>
    </row>
    <row r="1112">
      <c r="A1112" t="n">
        <v>3330</v>
      </c>
      <c r="B1112" t="n">
        <v>111</v>
      </c>
      <c r="C1112" t="inlineStr">
        <is>
          <t>861</t>
        </is>
      </c>
      <c r="D1112" t="n">
        <v>8.609999999999999</v>
      </c>
      <c r="E1112">
        <f>MEDIAN(D1092:D1132)</f>
        <v/>
      </c>
      <c r="F1112">
        <f>E1092</f>
        <v/>
      </c>
      <c r="G1112">
        <f>F1112-E1112</f>
        <v/>
      </c>
      <c r="H1112">
        <f>IF(OR(NOT(ISNUMBER(D1112)),ABS(D1112-E1112)&gt;$O$3,AND($O$11=1,B1112&lt;$O$12)),1,0)</f>
        <v/>
      </c>
      <c r="I1112">
        <f>IF(H1112=1,NA(),D1112)</f>
        <v/>
      </c>
      <c r="J1112">
        <f>IF(AND(ISNUMBER(D1112),D1112&gt;=$O$4,OR($O$11=0,B1112&gt;=$O$12)),1,0)</f>
        <v/>
      </c>
      <c r="K1112">
        <f>B1112-$O$14</f>
        <v/>
      </c>
    </row>
    <row r="1113">
      <c r="A1113" t="n">
        <v>3333</v>
      </c>
      <c r="B1113" t="n">
        <v>111.1</v>
      </c>
      <c r="C1113" t="inlineStr">
        <is>
          <t>861</t>
        </is>
      </c>
      <c r="D1113" t="n">
        <v>8.609999999999999</v>
      </c>
      <c r="E1113">
        <f>MEDIAN(D1093:D1133)</f>
        <v/>
      </c>
      <c r="F1113">
        <f>E1093</f>
        <v/>
      </c>
      <c r="G1113">
        <f>F1113-E1113</f>
        <v/>
      </c>
      <c r="H1113">
        <f>IF(OR(NOT(ISNUMBER(D1113)),ABS(D1113-E1113)&gt;$O$3,AND($O$11=1,B1113&lt;$O$12)),1,0)</f>
        <v/>
      </c>
      <c r="I1113">
        <f>IF(H1113=1,NA(),D1113)</f>
        <v/>
      </c>
      <c r="J1113">
        <f>IF(AND(ISNUMBER(D1113),D1113&gt;=$O$4,OR($O$11=0,B1113&gt;=$O$12)),1,0)</f>
        <v/>
      </c>
      <c r="K1113">
        <f>B1113-$O$14</f>
        <v/>
      </c>
    </row>
    <row r="1114">
      <c r="A1114" t="n">
        <v>3336</v>
      </c>
      <c r="B1114" t="n">
        <v>111.2</v>
      </c>
      <c r="C1114" t="inlineStr">
        <is>
          <t>861</t>
        </is>
      </c>
      <c r="D1114" t="n">
        <v>8.609999999999999</v>
      </c>
      <c r="E1114">
        <f>MEDIAN(D1094:D1134)</f>
        <v/>
      </c>
      <c r="F1114">
        <f>E1094</f>
        <v/>
      </c>
      <c r="G1114">
        <f>F1114-E1114</f>
        <v/>
      </c>
      <c r="H1114">
        <f>IF(OR(NOT(ISNUMBER(D1114)),ABS(D1114-E1114)&gt;$O$3,AND($O$11=1,B1114&lt;$O$12)),1,0)</f>
        <v/>
      </c>
      <c r="I1114">
        <f>IF(H1114=1,NA(),D1114)</f>
        <v/>
      </c>
      <c r="J1114">
        <f>IF(AND(ISNUMBER(D1114),D1114&gt;=$O$4,OR($O$11=0,B1114&gt;=$O$12)),1,0)</f>
        <v/>
      </c>
      <c r="K1114">
        <f>B1114-$O$14</f>
        <v/>
      </c>
    </row>
    <row r="1115">
      <c r="A1115" t="n">
        <v>3339</v>
      </c>
      <c r="B1115" t="n">
        <v>111.3</v>
      </c>
      <c r="C1115" t="inlineStr">
        <is>
          <t>861</t>
        </is>
      </c>
      <c r="D1115" t="n">
        <v>8.609999999999999</v>
      </c>
      <c r="E1115">
        <f>MEDIAN(D1095:D1135)</f>
        <v/>
      </c>
      <c r="F1115">
        <f>E1095</f>
        <v/>
      </c>
      <c r="G1115">
        <f>F1115-E1115</f>
        <v/>
      </c>
      <c r="H1115">
        <f>IF(OR(NOT(ISNUMBER(D1115)),ABS(D1115-E1115)&gt;$O$3,AND($O$11=1,B1115&lt;$O$12)),1,0)</f>
        <v/>
      </c>
      <c r="I1115">
        <f>IF(H1115=1,NA(),D1115)</f>
        <v/>
      </c>
      <c r="J1115">
        <f>IF(AND(ISNUMBER(D1115),D1115&gt;=$O$4,OR($O$11=0,B1115&gt;=$O$12)),1,0)</f>
        <v/>
      </c>
      <c r="K1115">
        <f>B1115-$O$14</f>
        <v/>
      </c>
    </row>
    <row r="1116">
      <c r="A1116" t="n">
        <v>3342</v>
      </c>
      <c r="B1116" t="n">
        <v>111.4</v>
      </c>
      <c r="C1116" t="inlineStr">
        <is>
          <t>861</t>
        </is>
      </c>
      <c r="D1116" t="n">
        <v>8.609999999999999</v>
      </c>
      <c r="E1116">
        <f>MEDIAN(D1096:D1136)</f>
        <v/>
      </c>
      <c r="F1116">
        <f>E1096</f>
        <v/>
      </c>
      <c r="G1116">
        <f>F1116-E1116</f>
        <v/>
      </c>
      <c r="H1116">
        <f>IF(OR(NOT(ISNUMBER(D1116)),ABS(D1116-E1116)&gt;$O$3,AND($O$11=1,B1116&lt;$O$12)),1,0)</f>
        <v/>
      </c>
      <c r="I1116">
        <f>IF(H1116=1,NA(),D1116)</f>
        <v/>
      </c>
      <c r="J1116">
        <f>IF(AND(ISNUMBER(D1116),D1116&gt;=$O$4,OR($O$11=0,B1116&gt;=$O$12)),1,0)</f>
        <v/>
      </c>
      <c r="K1116">
        <f>B1116-$O$14</f>
        <v/>
      </c>
    </row>
    <row r="1117">
      <c r="A1117" t="n">
        <v>3345</v>
      </c>
      <c r="B1117" t="n">
        <v>111.5</v>
      </c>
      <c r="C1117" t="inlineStr">
        <is>
          <t>861</t>
        </is>
      </c>
      <c r="D1117" t="n">
        <v>8.609999999999999</v>
      </c>
      <c r="E1117">
        <f>MEDIAN(D1097:D1137)</f>
        <v/>
      </c>
      <c r="F1117">
        <f>E1097</f>
        <v/>
      </c>
      <c r="G1117">
        <f>F1117-E1117</f>
        <v/>
      </c>
      <c r="H1117">
        <f>IF(OR(NOT(ISNUMBER(D1117)),ABS(D1117-E1117)&gt;$O$3,AND($O$11=1,B1117&lt;$O$12)),1,0)</f>
        <v/>
      </c>
      <c r="I1117">
        <f>IF(H1117=1,NA(),D1117)</f>
        <v/>
      </c>
      <c r="J1117">
        <f>IF(AND(ISNUMBER(D1117),D1117&gt;=$O$4,OR($O$11=0,B1117&gt;=$O$12)),1,0)</f>
        <v/>
      </c>
      <c r="K1117">
        <f>B1117-$O$14</f>
        <v/>
      </c>
    </row>
    <row r="1118">
      <c r="A1118" t="n">
        <v>3348</v>
      </c>
      <c r="B1118" t="n">
        <v>111.6</v>
      </c>
      <c r="C1118" t="inlineStr">
        <is>
          <t>861</t>
        </is>
      </c>
      <c r="D1118" t="n">
        <v>8.609999999999999</v>
      </c>
      <c r="E1118">
        <f>MEDIAN(D1098:D1138)</f>
        <v/>
      </c>
      <c r="F1118">
        <f>E1098</f>
        <v/>
      </c>
      <c r="G1118">
        <f>F1118-E1118</f>
        <v/>
      </c>
      <c r="H1118">
        <f>IF(OR(NOT(ISNUMBER(D1118)),ABS(D1118-E1118)&gt;$O$3,AND($O$11=1,B1118&lt;$O$12)),1,0)</f>
        <v/>
      </c>
      <c r="I1118">
        <f>IF(H1118=1,NA(),D1118)</f>
        <v/>
      </c>
      <c r="J1118">
        <f>IF(AND(ISNUMBER(D1118),D1118&gt;=$O$4,OR($O$11=0,B1118&gt;=$O$12)),1,0)</f>
        <v/>
      </c>
      <c r="K1118">
        <f>B1118-$O$14</f>
        <v/>
      </c>
    </row>
    <row r="1119">
      <c r="A1119" t="n">
        <v>3351</v>
      </c>
      <c r="B1119" t="n">
        <v>111.7</v>
      </c>
      <c r="C1119" t="inlineStr">
        <is>
          <t>860</t>
        </is>
      </c>
      <c r="D1119" t="n">
        <v>8.6</v>
      </c>
      <c r="E1119">
        <f>MEDIAN(D1099:D1139)</f>
        <v/>
      </c>
      <c r="F1119">
        <f>E1099</f>
        <v/>
      </c>
      <c r="G1119">
        <f>F1119-E1119</f>
        <v/>
      </c>
      <c r="H1119">
        <f>IF(OR(NOT(ISNUMBER(D1119)),ABS(D1119-E1119)&gt;$O$3,AND($O$11=1,B1119&lt;$O$12)),1,0)</f>
        <v/>
      </c>
      <c r="I1119">
        <f>IF(H1119=1,NA(),D1119)</f>
        <v/>
      </c>
      <c r="J1119">
        <f>IF(AND(ISNUMBER(D1119),D1119&gt;=$O$4,OR($O$11=0,B1119&gt;=$O$12)),1,0)</f>
        <v/>
      </c>
      <c r="K1119">
        <f>B1119-$O$14</f>
        <v/>
      </c>
    </row>
    <row r="1120">
      <c r="A1120" t="n">
        <v>3354</v>
      </c>
      <c r="B1120" t="n">
        <v>111.8</v>
      </c>
      <c r="C1120" t="inlineStr">
        <is>
          <t>860</t>
        </is>
      </c>
      <c r="D1120" t="n">
        <v>8.6</v>
      </c>
      <c r="E1120">
        <f>MEDIAN(D1100:D1140)</f>
        <v/>
      </c>
      <c r="F1120">
        <f>E1100</f>
        <v/>
      </c>
      <c r="G1120">
        <f>F1120-E1120</f>
        <v/>
      </c>
      <c r="H1120">
        <f>IF(OR(NOT(ISNUMBER(D1120)),ABS(D1120-E1120)&gt;$O$3,AND($O$11=1,B1120&lt;$O$12)),1,0)</f>
        <v/>
      </c>
      <c r="I1120">
        <f>IF(H1120=1,NA(),D1120)</f>
        <v/>
      </c>
      <c r="J1120">
        <f>IF(AND(ISNUMBER(D1120),D1120&gt;=$O$4,OR($O$11=0,B1120&gt;=$O$12)),1,0)</f>
        <v/>
      </c>
      <c r="K1120">
        <f>B1120-$O$14</f>
        <v/>
      </c>
    </row>
    <row r="1121">
      <c r="A1121" t="n">
        <v>3357</v>
      </c>
      <c r="B1121" t="n">
        <v>111.9</v>
      </c>
      <c r="C1121" t="inlineStr">
        <is>
          <t>860</t>
        </is>
      </c>
      <c r="D1121" t="n">
        <v>8.6</v>
      </c>
      <c r="E1121">
        <f>MEDIAN(D1101:D1141)</f>
        <v/>
      </c>
      <c r="F1121">
        <f>E1101</f>
        <v/>
      </c>
      <c r="G1121">
        <f>F1121-E1121</f>
        <v/>
      </c>
      <c r="H1121">
        <f>IF(OR(NOT(ISNUMBER(D1121)),ABS(D1121-E1121)&gt;$O$3,AND($O$11=1,B1121&lt;$O$12)),1,0)</f>
        <v/>
      </c>
      <c r="I1121">
        <f>IF(H1121=1,NA(),D1121)</f>
        <v/>
      </c>
      <c r="J1121">
        <f>IF(AND(ISNUMBER(D1121),D1121&gt;=$O$4,OR($O$11=0,B1121&gt;=$O$12)),1,0)</f>
        <v/>
      </c>
      <c r="K1121">
        <f>B1121-$O$14</f>
        <v/>
      </c>
    </row>
    <row r="1122">
      <c r="A1122" t="n">
        <v>3360</v>
      </c>
      <c r="B1122" t="n">
        <v>112</v>
      </c>
      <c r="C1122" t="inlineStr">
        <is>
          <t>860</t>
        </is>
      </c>
      <c r="D1122" t="n">
        <v>8.6</v>
      </c>
      <c r="E1122">
        <f>MEDIAN(D1102:D1142)</f>
        <v/>
      </c>
      <c r="F1122">
        <f>E1102</f>
        <v/>
      </c>
      <c r="G1122">
        <f>F1122-E1122</f>
        <v/>
      </c>
      <c r="H1122">
        <f>IF(OR(NOT(ISNUMBER(D1122)),ABS(D1122-E1122)&gt;$O$3,AND($O$11=1,B1122&lt;$O$12)),1,0)</f>
        <v/>
      </c>
      <c r="I1122">
        <f>IF(H1122=1,NA(),D1122)</f>
        <v/>
      </c>
      <c r="J1122">
        <f>IF(AND(ISNUMBER(D1122),D1122&gt;=$O$4,OR($O$11=0,B1122&gt;=$O$12)),1,0)</f>
        <v/>
      </c>
      <c r="K1122">
        <f>B1122-$O$14</f>
        <v/>
      </c>
    </row>
    <row r="1123">
      <c r="A1123" t="n">
        <v>3363</v>
      </c>
      <c r="B1123" t="n">
        <v>112.1</v>
      </c>
      <c r="C1123" t="inlineStr">
        <is>
          <t>860</t>
        </is>
      </c>
      <c r="D1123" t="n">
        <v>8.6</v>
      </c>
      <c r="E1123">
        <f>MEDIAN(D1103:D1143)</f>
        <v/>
      </c>
      <c r="F1123">
        <f>E1103</f>
        <v/>
      </c>
      <c r="G1123">
        <f>F1123-E1123</f>
        <v/>
      </c>
      <c r="H1123">
        <f>IF(OR(NOT(ISNUMBER(D1123)),ABS(D1123-E1123)&gt;$O$3,AND($O$11=1,B1123&lt;$O$12)),1,0)</f>
        <v/>
      </c>
      <c r="I1123">
        <f>IF(H1123=1,NA(),D1123)</f>
        <v/>
      </c>
      <c r="J1123">
        <f>IF(AND(ISNUMBER(D1123),D1123&gt;=$O$4,OR($O$11=0,B1123&gt;=$O$12)),1,0)</f>
        <v/>
      </c>
      <c r="K1123">
        <f>B1123-$O$14</f>
        <v/>
      </c>
    </row>
    <row r="1124">
      <c r="A1124" t="n">
        <v>3366</v>
      </c>
      <c r="B1124" t="n">
        <v>112.2</v>
      </c>
      <c r="C1124" t="inlineStr">
        <is>
          <t>860</t>
        </is>
      </c>
      <c r="D1124" t="n">
        <v>8.6</v>
      </c>
      <c r="E1124">
        <f>MEDIAN(D1104:D1144)</f>
        <v/>
      </c>
      <c r="F1124">
        <f>E1104</f>
        <v/>
      </c>
      <c r="G1124">
        <f>F1124-E1124</f>
        <v/>
      </c>
      <c r="H1124">
        <f>IF(OR(NOT(ISNUMBER(D1124)),ABS(D1124-E1124)&gt;$O$3,AND($O$11=1,B1124&lt;$O$12)),1,0)</f>
        <v/>
      </c>
      <c r="I1124">
        <f>IF(H1124=1,NA(),D1124)</f>
        <v/>
      </c>
      <c r="J1124">
        <f>IF(AND(ISNUMBER(D1124),D1124&gt;=$O$4,OR($O$11=0,B1124&gt;=$O$12)),1,0)</f>
        <v/>
      </c>
      <c r="K1124">
        <f>B1124-$O$14</f>
        <v/>
      </c>
    </row>
    <row r="1125">
      <c r="A1125" t="n">
        <v>3369</v>
      </c>
      <c r="B1125" t="n">
        <v>112.3</v>
      </c>
      <c r="C1125" t="inlineStr">
        <is>
          <t>860</t>
        </is>
      </c>
      <c r="D1125" t="n">
        <v>8.6</v>
      </c>
      <c r="E1125">
        <f>MEDIAN(D1105:D1145)</f>
        <v/>
      </c>
      <c r="F1125">
        <f>E1105</f>
        <v/>
      </c>
      <c r="G1125">
        <f>F1125-E1125</f>
        <v/>
      </c>
      <c r="H1125">
        <f>IF(OR(NOT(ISNUMBER(D1125)),ABS(D1125-E1125)&gt;$O$3,AND($O$11=1,B1125&lt;$O$12)),1,0)</f>
        <v/>
      </c>
      <c r="I1125">
        <f>IF(H1125=1,NA(),D1125)</f>
        <v/>
      </c>
      <c r="J1125">
        <f>IF(AND(ISNUMBER(D1125),D1125&gt;=$O$4,OR($O$11=0,B1125&gt;=$O$12)),1,0)</f>
        <v/>
      </c>
      <c r="K1125">
        <f>B1125-$O$14</f>
        <v/>
      </c>
    </row>
    <row r="1126">
      <c r="A1126" t="n">
        <v>3372</v>
      </c>
      <c r="B1126" t="n">
        <v>112.4</v>
      </c>
      <c r="C1126" t="inlineStr">
        <is>
          <t>860</t>
        </is>
      </c>
      <c r="D1126" t="n">
        <v>8.6</v>
      </c>
      <c r="E1126">
        <f>MEDIAN(D1106:D1146)</f>
        <v/>
      </c>
      <c r="F1126">
        <f>E1106</f>
        <v/>
      </c>
      <c r="G1126">
        <f>F1126-E1126</f>
        <v/>
      </c>
      <c r="H1126">
        <f>IF(OR(NOT(ISNUMBER(D1126)),ABS(D1126-E1126)&gt;$O$3,AND($O$11=1,B1126&lt;$O$12)),1,0)</f>
        <v/>
      </c>
      <c r="I1126">
        <f>IF(H1126=1,NA(),D1126)</f>
        <v/>
      </c>
      <c r="J1126">
        <f>IF(AND(ISNUMBER(D1126),D1126&gt;=$O$4,OR($O$11=0,B1126&gt;=$O$12)),1,0)</f>
        <v/>
      </c>
      <c r="K1126">
        <f>B1126-$O$14</f>
        <v/>
      </c>
    </row>
    <row r="1127">
      <c r="A1127" t="n">
        <v>3375</v>
      </c>
      <c r="B1127" t="n">
        <v>112.5</v>
      </c>
      <c r="C1127" t="inlineStr">
        <is>
          <t>860</t>
        </is>
      </c>
      <c r="D1127" t="n">
        <v>8.6</v>
      </c>
      <c r="E1127">
        <f>MEDIAN(D1107:D1147)</f>
        <v/>
      </c>
      <c r="F1127">
        <f>E1107</f>
        <v/>
      </c>
      <c r="G1127">
        <f>F1127-E1127</f>
        <v/>
      </c>
      <c r="H1127">
        <f>IF(OR(NOT(ISNUMBER(D1127)),ABS(D1127-E1127)&gt;$O$3,AND($O$11=1,B1127&lt;$O$12)),1,0)</f>
        <v/>
      </c>
      <c r="I1127">
        <f>IF(H1127=1,NA(),D1127)</f>
        <v/>
      </c>
      <c r="J1127">
        <f>IF(AND(ISNUMBER(D1127),D1127&gt;=$O$4,OR($O$11=0,B1127&gt;=$O$12)),1,0)</f>
        <v/>
      </c>
      <c r="K1127">
        <f>B1127-$O$14</f>
        <v/>
      </c>
    </row>
    <row r="1128">
      <c r="A1128" t="n">
        <v>3378</v>
      </c>
      <c r="B1128" t="n">
        <v>112.6</v>
      </c>
      <c r="C1128" t="inlineStr">
        <is>
          <t>860</t>
        </is>
      </c>
      <c r="D1128" t="n">
        <v>8.6</v>
      </c>
      <c r="E1128">
        <f>MEDIAN(D1108:D1148)</f>
        <v/>
      </c>
      <c r="F1128">
        <f>E1108</f>
        <v/>
      </c>
      <c r="G1128">
        <f>F1128-E1128</f>
        <v/>
      </c>
      <c r="H1128">
        <f>IF(OR(NOT(ISNUMBER(D1128)),ABS(D1128-E1128)&gt;$O$3,AND($O$11=1,B1128&lt;$O$12)),1,0)</f>
        <v/>
      </c>
      <c r="I1128">
        <f>IF(H1128=1,NA(),D1128)</f>
        <v/>
      </c>
      <c r="J1128">
        <f>IF(AND(ISNUMBER(D1128),D1128&gt;=$O$4,OR($O$11=0,B1128&gt;=$O$12)),1,0)</f>
        <v/>
      </c>
      <c r="K1128">
        <f>B1128-$O$14</f>
        <v/>
      </c>
    </row>
    <row r="1129">
      <c r="A1129" t="n">
        <v>3381</v>
      </c>
      <c r="B1129" t="n">
        <v>112.7</v>
      </c>
      <c r="C1129" t="inlineStr">
        <is>
          <t>860</t>
        </is>
      </c>
      <c r="D1129" t="n">
        <v>8.6</v>
      </c>
      <c r="E1129">
        <f>MEDIAN(D1109:D1149)</f>
        <v/>
      </c>
      <c r="F1129">
        <f>E1109</f>
        <v/>
      </c>
      <c r="G1129">
        <f>F1129-E1129</f>
        <v/>
      </c>
      <c r="H1129">
        <f>IF(OR(NOT(ISNUMBER(D1129)),ABS(D1129-E1129)&gt;$O$3,AND($O$11=1,B1129&lt;$O$12)),1,0)</f>
        <v/>
      </c>
      <c r="I1129">
        <f>IF(H1129=1,NA(),D1129)</f>
        <v/>
      </c>
      <c r="J1129">
        <f>IF(AND(ISNUMBER(D1129),D1129&gt;=$O$4,OR($O$11=0,B1129&gt;=$O$12)),1,0)</f>
        <v/>
      </c>
      <c r="K1129">
        <f>B1129-$O$14</f>
        <v/>
      </c>
    </row>
    <row r="1130">
      <c r="A1130" t="n">
        <v>3384</v>
      </c>
      <c r="B1130" t="n">
        <v>112.8</v>
      </c>
      <c r="C1130" t="inlineStr">
        <is>
          <t>860</t>
        </is>
      </c>
      <c r="D1130" t="n">
        <v>8.6</v>
      </c>
      <c r="E1130">
        <f>MEDIAN(D1110:D1150)</f>
        <v/>
      </c>
      <c r="F1130">
        <f>E1110</f>
        <v/>
      </c>
      <c r="G1130">
        <f>F1130-E1130</f>
        <v/>
      </c>
      <c r="H1130">
        <f>IF(OR(NOT(ISNUMBER(D1130)),ABS(D1130-E1130)&gt;$O$3,AND($O$11=1,B1130&lt;$O$12)),1,0)</f>
        <v/>
      </c>
      <c r="I1130">
        <f>IF(H1130=1,NA(),D1130)</f>
        <v/>
      </c>
      <c r="J1130">
        <f>IF(AND(ISNUMBER(D1130),D1130&gt;=$O$4,OR($O$11=0,B1130&gt;=$O$12)),1,0)</f>
        <v/>
      </c>
      <c r="K1130">
        <f>B1130-$O$14</f>
        <v/>
      </c>
    </row>
    <row r="1131">
      <c r="A1131" t="n">
        <v>3387</v>
      </c>
      <c r="B1131" t="n">
        <v>112.9</v>
      </c>
      <c r="C1131" t="inlineStr">
        <is>
          <t>860</t>
        </is>
      </c>
      <c r="D1131" t="n">
        <v>8.6</v>
      </c>
      <c r="E1131">
        <f>MEDIAN(D1111:D1151)</f>
        <v/>
      </c>
      <c r="F1131">
        <f>E1111</f>
        <v/>
      </c>
      <c r="G1131">
        <f>F1131-E1131</f>
        <v/>
      </c>
      <c r="H1131">
        <f>IF(OR(NOT(ISNUMBER(D1131)),ABS(D1131-E1131)&gt;$O$3,AND($O$11=1,B1131&lt;$O$12)),1,0)</f>
        <v/>
      </c>
      <c r="I1131">
        <f>IF(H1131=1,NA(),D1131)</f>
        <v/>
      </c>
      <c r="J1131">
        <f>IF(AND(ISNUMBER(D1131),D1131&gt;=$O$4,OR($O$11=0,B1131&gt;=$O$12)),1,0)</f>
        <v/>
      </c>
      <c r="K1131">
        <f>B1131-$O$14</f>
        <v/>
      </c>
    </row>
    <row r="1132">
      <c r="A1132" t="n">
        <v>3390</v>
      </c>
      <c r="B1132" t="n">
        <v>113</v>
      </c>
      <c r="C1132" t="inlineStr">
        <is>
          <t>860</t>
        </is>
      </c>
      <c r="D1132" t="n">
        <v>8.6</v>
      </c>
      <c r="E1132">
        <f>MEDIAN(D1112:D1152)</f>
        <v/>
      </c>
      <c r="F1132">
        <f>E1112</f>
        <v/>
      </c>
      <c r="G1132">
        <f>F1132-E1132</f>
        <v/>
      </c>
      <c r="H1132">
        <f>IF(OR(NOT(ISNUMBER(D1132)),ABS(D1132-E1132)&gt;$O$3,AND($O$11=1,B1132&lt;$O$12)),1,0)</f>
        <v/>
      </c>
      <c r="I1132">
        <f>IF(H1132=1,NA(),D1132)</f>
        <v/>
      </c>
      <c r="J1132">
        <f>IF(AND(ISNUMBER(D1132),D1132&gt;=$O$4,OR($O$11=0,B1132&gt;=$O$12)),1,0)</f>
        <v/>
      </c>
      <c r="K1132">
        <f>B1132-$O$14</f>
        <v/>
      </c>
    </row>
    <row r="1133">
      <c r="A1133" t="n">
        <v>3393</v>
      </c>
      <c r="B1133" t="n">
        <v>113.1</v>
      </c>
      <c r="C1133" t="inlineStr">
        <is>
          <t>860</t>
        </is>
      </c>
      <c r="D1133" t="n">
        <v>8.6</v>
      </c>
      <c r="E1133">
        <f>MEDIAN(D1113:D1153)</f>
        <v/>
      </c>
      <c r="F1133">
        <f>E1113</f>
        <v/>
      </c>
      <c r="G1133">
        <f>F1133-E1133</f>
        <v/>
      </c>
      <c r="H1133">
        <f>IF(OR(NOT(ISNUMBER(D1133)),ABS(D1133-E1133)&gt;$O$3,AND($O$11=1,B1133&lt;$O$12)),1,0)</f>
        <v/>
      </c>
      <c r="I1133">
        <f>IF(H1133=1,NA(),D1133)</f>
        <v/>
      </c>
      <c r="J1133">
        <f>IF(AND(ISNUMBER(D1133),D1133&gt;=$O$4,OR($O$11=0,B1133&gt;=$O$12)),1,0)</f>
        <v/>
      </c>
      <c r="K1133">
        <f>B1133-$O$14</f>
        <v/>
      </c>
    </row>
    <row r="1134">
      <c r="A1134" t="n">
        <v>3396</v>
      </c>
      <c r="B1134" t="n">
        <v>113.2</v>
      </c>
      <c r="C1134" t="inlineStr">
        <is>
          <t>860</t>
        </is>
      </c>
      <c r="D1134" t="n">
        <v>8.6</v>
      </c>
      <c r="E1134">
        <f>MEDIAN(D1114:D1154)</f>
        <v/>
      </c>
      <c r="F1134">
        <f>E1114</f>
        <v/>
      </c>
      <c r="G1134">
        <f>F1134-E1134</f>
        <v/>
      </c>
      <c r="H1134">
        <f>IF(OR(NOT(ISNUMBER(D1134)),ABS(D1134-E1134)&gt;$O$3,AND($O$11=1,B1134&lt;$O$12)),1,0)</f>
        <v/>
      </c>
      <c r="I1134">
        <f>IF(H1134=1,NA(),D1134)</f>
        <v/>
      </c>
      <c r="J1134">
        <f>IF(AND(ISNUMBER(D1134),D1134&gt;=$O$4,OR($O$11=0,B1134&gt;=$O$12)),1,0)</f>
        <v/>
      </c>
      <c r="K1134">
        <f>B1134-$O$14</f>
        <v/>
      </c>
    </row>
    <row r="1135">
      <c r="A1135" t="n">
        <v>3399</v>
      </c>
      <c r="B1135" t="n">
        <v>113.3</v>
      </c>
      <c r="C1135" t="inlineStr">
        <is>
          <t>860</t>
        </is>
      </c>
      <c r="D1135" t="n">
        <v>8.6</v>
      </c>
      <c r="E1135">
        <f>MEDIAN(D1115:D1155)</f>
        <v/>
      </c>
      <c r="F1135">
        <f>E1115</f>
        <v/>
      </c>
      <c r="G1135">
        <f>F1135-E1135</f>
        <v/>
      </c>
      <c r="H1135">
        <f>IF(OR(NOT(ISNUMBER(D1135)),ABS(D1135-E1135)&gt;$O$3,AND($O$11=1,B1135&lt;$O$12)),1,0)</f>
        <v/>
      </c>
      <c r="I1135">
        <f>IF(H1135=1,NA(),D1135)</f>
        <v/>
      </c>
      <c r="J1135">
        <f>IF(AND(ISNUMBER(D1135),D1135&gt;=$O$4,OR($O$11=0,B1135&gt;=$O$12)),1,0)</f>
        <v/>
      </c>
      <c r="K1135">
        <f>B1135-$O$14</f>
        <v/>
      </c>
    </row>
    <row r="1136">
      <c r="A1136" t="n">
        <v>3402</v>
      </c>
      <c r="B1136" t="n">
        <v>113.4</v>
      </c>
      <c r="C1136" t="inlineStr">
        <is>
          <t>860</t>
        </is>
      </c>
      <c r="D1136" t="n">
        <v>8.6</v>
      </c>
      <c r="E1136">
        <f>MEDIAN(D1116:D1156)</f>
        <v/>
      </c>
      <c r="F1136">
        <f>E1116</f>
        <v/>
      </c>
      <c r="G1136">
        <f>F1136-E1136</f>
        <v/>
      </c>
      <c r="H1136">
        <f>IF(OR(NOT(ISNUMBER(D1136)),ABS(D1136-E1136)&gt;$O$3,AND($O$11=1,B1136&lt;$O$12)),1,0)</f>
        <v/>
      </c>
      <c r="I1136">
        <f>IF(H1136=1,NA(),D1136)</f>
        <v/>
      </c>
      <c r="J1136">
        <f>IF(AND(ISNUMBER(D1136),D1136&gt;=$O$4,OR($O$11=0,B1136&gt;=$O$12)),1,0)</f>
        <v/>
      </c>
      <c r="K1136">
        <f>B1136-$O$14</f>
        <v/>
      </c>
    </row>
    <row r="1137">
      <c r="A1137" t="n">
        <v>3405</v>
      </c>
      <c r="B1137" t="n">
        <v>113.5</v>
      </c>
      <c r="C1137" t="inlineStr">
        <is>
          <t>860</t>
        </is>
      </c>
      <c r="D1137" t="n">
        <v>8.6</v>
      </c>
      <c r="E1137">
        <f>MEDIAN(D1117:D1157)</f>
        <v/>
      </c>
      <c r="F1137">
        <f>E1117</f>
        <v/>
      </c>
      <c r="G1137">
        <f>F1137-E1137</f>
        <v/>
      </c>
      <c r="H1137">
        <f>IF(OR(NOT(ISNUMBER(D1137)),ABS(D1137-E1137)&gt;$O$3,AND($O$11=1,B1137&lt;$O$12)),1,0)</f>
        <v/>
      </c>
      <c r="I1137">
        <f>IF(H1137=1,NA(),D1137)</f>
        <v/>
      </c>
      <c r="J1137">
        <f>IF(AND(ISNUMBER(D1137),D1137&gt;=$O$4,OR($O$11=0,B1137&gt;=$O$12)),1,0)</f>
        <v/>
      </c>
      <c r="K1137">
        <f>B1137-$O$14</f>
        <v/>
      </c>
    </row>
    <row r="1138">
      <c r="A1138" t="n">
        <v>3408</v>
      </c>
      <c r="B1138" t="n">
        <v>113.6</v>
      </c>
      <c r="C1138" t="inlineStr">
        <is>
          <t>861</t>
        </is>
      </c>
      <c r="D1138" t="n">
        <v>8.609999999999999</v>
      </c>
      <c r="E1138">
        <f>MEDIAN(D1118:D1158)</f>
        <v/>
      </c>
      <c r="F1138">
        <f>E1118</f>
        <v/>
      </c>
      <c r="G1138">
        <f>F1138-E1138</f>
        <v/>
      </c>
      <c r="H1138">
        <f>IF(OR(NOT(ISNUMBER(D1138)),ABS(D1138-E1138)&gt;$O$3,AND($O$11=1,B1138&lt;$O$12)),1,0)</f>
        <v/>
      </c>
      <c r="I1138">
        <f>IF(H1138=1,NA(),D1138)</f>
        <v/>
      </c>
      <c r="J1138">
        <f>IF(AND(ISNUMBER(D1138),D1138&gt;=$O$4,OR($O$11=0,B1138&gt;=$O$12)),1,0)</f>
        <v/>
      </c>
      <c r="K1138">
        <f>B1138-$O$14</f>
        <v/>
      </c>
    </row>
    <row r="1139">
      <c r="A1139" t="n">
        <v>3411</v>
      </c>
      <c r="B1139" t="n">
        <v>113.7</v>
      </c>
      <c r="C1139" t="inlineStr">
        <is>
          <t>861</t>
        </is>
      </c>
      <c r="D1139" t="n">
        <v>8.609999999999999</v>
      </c>
      <c r="E1139">
        <f>MEDIAN(D1119:D1159)</f>
        <v/>
      </c>
      <c r="F1139">
        <f>E1119</f>
        <v/>
      </c>
      <c r="G1139">
        <f>F1139-E1139</f>
        <v/>
      </c>
      <c r="H1139">
        <f>IF(OR(NOT(ISNUMBER(D1139)),ABS(D1139-E1139)&gt;$O$3,AND($O$11=1,B1139&lt;$O$12)),1,0)</f>
        <v/>
      </c>
      <c r="I1139">
        <f>IF(H1139=1,NA(),D1139)</f>
        <v/>
      </c>
      <c r="J1139">
        <f>IF(AND(ISNUMBER(D1139),D1139&gt;=$O$4,OR($O$11=0,B1139&gt;=$O$12)),1,0)</f>
        <v/>
      </c>
      <c r="K1139">
        <f>B1139-$O$14</f>
        <v/>
      </c>
    </row>
    <row r="1140">
      <c r="A1140" t="n">
        <v>3414</v>
      </c>
      <c r="B1140" t="n">
        <v>113.8</v>
      </c>
      <c r="C1140" t="inlineStr">
        <is>
          <t>861</t>
        </is>
      </c>
      <c r="D1140" t="n">
        <v>8.609999999999999</v>
      </c>
      <c r="E1140">
        <f>MEDIAN(D1120:D1160)</f>
        <v/>
      </c>
      <c r="F1140">
        <f>E1120</f>
        <v/>
      </c>
      <c r="G1140">
        <f>F1140-E1140</f>
        <v/>
      </c>
      <c r="H1140">
        <f>IF(OR(NOT(ISNUMBER(D1140)),ABS(D1140-E1140)&gt;$O$3,AND($O$11=1,B1140&lt;$O$12)),1,0)</f>
        <v/>
      </c>
      <c r="I1140">
        <f>IF(H1140=1,NA(),D1140)</f>
        <v/>
      </c>
      <c r="J1140">
        <f>IF(AND(ISNUMBER(D1140),D1140&gt;=$O$4,OR($O$11=0,B1140&gt;=$O$12)),1,0)</f>
        <v/>
      </c>
      <c r="K1140">
        <f>B1140-$O$14</f>
        <v/>
      </c>
    </row>
    <row r="1141">
      <c r="A1141" t="n">
        <v>3417</v>
      </c>
      <c r="B1141" t="n">
        <v>113.9</v>
      </c>
      <c r="C1141" t="inlineStr">
        <is>
          <t>861</t>
        </is>
      </c>
      <c r="D1141" t="n">
        <v>8.609999999999999</v>
      </c>
      <c r="E1141">
        <f>MEDIAN(D1121:D1161)</f>
        <v/>
      </c>
      <c r="F1141">
        <f>E1121</f>
        <v/>
      </c>
      <c r="G1141">
        <f>F1141-E1141</f>
        <v/>
      </c>
      <c r="H1141">
        <f>IF(OR(NOT(ISNUMBER(D1141)),ABS(D1141-E1141)&gt;$O$3,AND($O$11=1,B1141&lt;$O$12)),1,0)</f>
        <v/>
      </c>
      <c r="I1141">
        <f>IF(H1141=1,NA(),D1141)</f>
        <v/>
      </c>
      <c r="J1141">
        <f>IF(AND(ISNUMBER(D1141),D1141&gt;=$O$4,OR($O$11=0,B1141&gt;=$O$12)),1,0)</f>
        <v/>
      </c>
      <c r="K1141">
        <f>B1141-$O$14</f>
        <v/>
      </c>
    </row>
    <row r="1142">
      <c r="A1142" t="n">
        <v>3420</v>
      </c>
      <c r="B1142" t="n">
        <v>114</v>
      </c>
      <c r="C1142" t="inlineStr">
        <is>
          <t>861</t>
        </is>
      </c>
      <c r="D1142" t="n">
        <v>8.609999999999999</v>
      </c>
      <c r="E1142">
        <f>MEDIAN(D1122:D1162)</f>
        <v/>
      </c>
      <c r="F1142">
        <f>E1122</f>
        <v/>
      </c>
      <c r="G1142">
        <f>F1142-E1142</f>
        <v/>
      </c>
      <c r="H1142">
        <f>IF(OR(NOT(ISNUMBER(D1142)),ABS(D1142-E1142)&gt;$O$3,AND($O$11=1,B1142&lt;$O$12)),1,0)</f>
        <v/>
      </c>
      <c r="I1142">
        <f>IF(H1142=1,NA(),D1142)</f>
        <v/>
      </c>
      <c r="J1142">
        <f>IF(AND(ISNUMBER(D1142),D1142&gt;=$O$4,OR($O$11=0,B1142&gt;=$O$12)),1,0)</f>
        <v/>
      </c>
      <c r="K1142">
        <f>B1142-$O$14</f>
        <v/>
      </c>
    </row>
    <row r="1143">
      <c r="A1143" t="n">
        <v>3423</v>
      </c>
      <c r="B1143" t="n">
        <v>114.1</v>
      </c>
      <c r="C1143" t="inlineStr">
        <is>
          <t>860</t>
        </is>
      </c>
      <c r="D1143" t="n">
        <v>8.6</v>
      </c>
      <c r="E1143">
        <f>MEDIAN(D1123:D1163)</f>
        <v/>
      </c>
      <c r="F1143">
        <f>E1123</f>
        <v/>
      </c>
      <c r="G1143">
        <f>F1143-E1143</f>
        <v/>
      </c>
      <c r="H1143">
        <f>IF(OR(NOT(ISNUMBER(D1143)),ABS(D1143-E1143)&gt;$O$3,AND($O$11=1,B1143&lt;$O$12)),1,0)</f>
        <v/>
      </c>
      <c r="I1143">
        <f>IF(H1143=1,NA(),D1143)</f>
        <v/>
      </c>
      <c r="J1143">
        <f>IF(AND(ISNUMBER(D1143),D1143&gt;=$O$4,OR($O$11=0,B1143&gt;=$O$12)),1,0)</f>
        <v/>
      </c>
      <c r="K1143">
        <f>B1143-$O$14</f>
        <v/>
      </c>
    </row>
    <row r="1144">
      <c r="A1144" t="n">
        <v>3426</v>
      </c>
      <c r="B1144" t="n">
        <v>114.2</v>
      </c>
      <c r="C1144" t="inlineStr">
        <is>
          <t>860</t>
        </is>
      </c>
      <c r="D1144" t="n">
        <v>8.6</v>
      </c>
      <c r="E1144">
        <f>MEDIAN(D1124:D1164)</f>
        <v/>
      </c>
      <c r="F1144">
        <f>E1124</f>
        <v/>
      </c>
      <c r="G1144">
        <f>F1144-E1144</f>
        <v/>
      </c>
      <c r="H1144">
        <f>IF(OR(NOT(ISNUMBER(D1144)),ABS(D1144-E1144)&gt;$O$3,AND($O$11=1,B1144&lt;$O$12)),1,0)</f>
        <v/>
      </c>
      <c r="I1144">
        <f>IF(H1144=1,NA(),D1144)</f>
        <v/>
      </c>
      <c r="J1144">
        <f>IF(AND(ISNUMBER(D1144),D1144&gt;=$O$4,OR($O$11=0,B1144&gt;=$O$12)),1,0)</f>
        <v/>
      </c>
      <c r="K1144">
        <f>B1144-$O$14</f>
        <v/>
      </c>
    </row>
    <row r="1145">
      <c r="A1145" t="n">
        <v>3429</v>
      </c>
      <c r="B1145" t="n">
        <v>114.3</v>
      </c>
      <c r="C1145" t="inlineStr">
        <is>
          <t>860</t>
        </is>
      </c>
      <c r="D1145" t="n">
        <v>8.6</v>
      </c>
      <c r="E1145">
        <f>MEDIAN(D1125:D1165)</f>
        <v/>
      </c>
      <c r="F1145">
        <f>E1125</f>
        <v/>
      </c>
      <c r="G1145">
        <f>F1145-E1145</f>
        <v/>
      </c>
      <c r="H1145">
        <f>IF(OR(NOT(ISNUMBER(D1145)),ABS(D1145-E1145)&gt;$O$3,AND($O$11=1,B1145&lt;$O$12)),1,0)</f>
        <v/>
      </c>
      <c r="I1145">
        <f>IF(H1145=1,NA(),D1145)</f>
        <v/>
      </c>
      <c r="J1145">
        <f>IF(AND(ISNUMBER(D1145),D1145&gt;=$O$4,OR($O$11=0,B1145&gt;=$O$12)),1,0)</f>
        <v/>
      </c>
      <c r="K1145">
        <f>B1145-$O$14</f>
        <v/>
      </c>
    </row>
    <row r="1146">
      <c r="A1146" t="n">
        <v>3432</v>
      </c>
      <c r="B1146" t="n">
        <v>114.4</v>
      </c>
      <c r="C1146" t="inlineStr">
        <is>
          <t>861</t>
        </is>
      </c>
      <c r="D1146" t="n">
        <v>8.609999999999999</v>
      </c>
      <c r="E1146">
        <f>MEDIAN(D1126:D1166)</f>
        <v/>
      </c>
      <c r="F1146">
        <f>E1126</f>
        <v/>
      </c>
      <c r="G1146">
        <f>F1146-E1146</f>
        <v/>
      </c>
      <c r="H1146">
        <f>IF(OR(NOT(ISNUMBER(D1146)),ABS(D1146-E1146)&gt;$O$3,AND($O$11=1,B1146&lt;$O$12)),1,0)</f>
        <v/>
      </c>
      <c r="I1146">
        <f>IF(H1146=1,NA(),D1146)</f>
        <v/>
      </c>
      <c r="J1146">
        <f>IF(AND(ISNUMBER(D1146),D1146&gt;=$O$4,OR($O$11=0,B1146&gt;=$O$12)),1,0)</f>
        <v/>
      </c>
      <c r="K1146">
        <f>B1146-$O$14</f>
        <v/>
      </c>
    </row>
    <row r="1147">
      <c r="A1147" t="n">
        <v>3435</v>
      </c>
      <c r="B1147" t="n">
        <v>114.5</v>
      </c>
      <c r="C1147" t="inlineStr">
        <is>
          <t>861</t>
        </is>
      </c>
      <c r="D1147" t="n">
        <v>8.609999999999999</v>
      </c>
      <c r="E1147">
        <f>MEDIAN(D1127:D1167)</f>
        <v/>
      </c>
      <c r="F1147">
        <f>E1127</f>
        <v/>
      </c>
      <c r="G1147">
        <f>F1147-E1147</f>
        <v/>
      </c>
      <c r="H1147">
        <f>IF(OR(NOT(ISNUMBER(D1147)),ABS(D1147-E1147)&gt;$O$3,AND($O$11=1,B1147&lt;$O$12)),1,0)</f>
        <v/>
      </c>
      <c r="I1147">
        <f>IF(H1147=1,NA(),D1147)</f>
        <v/>
      </c>
      <c r="J1147">
        <f>IF(AND(ISNUMBER(D1147),D1147&gt;=$O$4,OR($O$11=0,B1147&gt;=$O$12)),1,0)</f>
        <v/>
      </c>
      <c r="K1147">
        <f>B1147-$O$14</f>
        <v/>
      </c>
    </row>
    <row r="1148">
      <c r="A1148" t="n">
        <v>3438</v>
      </c>
      <c r="B1148" t="n">
        <v>114.6</v>
      </c>
      <c r="C1148" t="inlineStr">
        <is>
          <t>861</t>
        </is>
      </c>
      <c r="D1148" t="n">
        <v>8.609999999999999</v>
      </c>
      <c r="E1148">
        <f>MEDIAN(D1128:D1168)</f>
        <v/>
      </c>
      <c r="F1148">
        <f>E1128</f>
        <v/>
      </c>
      <c r="G1148">
        <f>F1148-E1148</f>
        <v/>
      </c>
      <c r="H1148">
        <f>IF(OR(NOT(ISNUMBER(D1148)),ABS(D1148-E1148)&gt;$O$3,AND($O$11=1,B1148&lt;$O$12)),1,0)</f>
        <v/>
      </c>
      <c r="I1148">
        <f>IF(H1148=1,NA(),D1148)</f>
        <v/>
      </c>
      <c r="J1148">
        <f>IF(AND(ISNUMBER(D1148),D1148&gt;=$O$4,OR($O$11=0,B1148&gt;=$O$12)),1,0)</f>
        <v/>
      </c>
      <c r="K1148">
        <f>B1148-$O$14</f>
        <v/>
      </c>
    </row>
    <row r="1149">
      <c r="A1149" t="n">
        <v>3441</v>
      </c>
      <c r="B1149" t="n">
        <v>114.7</v>
      </c>
      <c r="C1149" t="inlineStr">
        <is>
          <t>861</t>
        </is>
      </c>
      <c r="D1149" t="n">
        <v>8.609999999999999</v>
      </c>
      <c r="E1149">
        <f>MEDIAN(D1129:D1169)</f>
        <v/>
      </c>
      <c r="F1149">
        <f>E1129</f>
        <v/>
      </c>
      <c r="G1149">
        <f>F1149-E1149</f>
        <v/>
      </c>
      <c r="H1149">
        <f>IF(OR(NOT(ISNUMBER(D1149)),ABS(D1149-E1149)&gt;$O$3,AND($O$11=1,B1149&lt;$O$12)),1,0)</f>
        <v/>
      </c>
      <c r="I1149">
        <f>IF(H1149=1,NA(),D1149)</f>
        <v/>
      </c>
      <c r="J1149">
        <f>IF(AND(ISNUMBER(D1149),D1149&gt;=$O$4,OR($O$11=0,B1149&gt;=$O$12)),1,0)</f>
        <v/>
      </c>
      <c r="K1149">
        <f>B1149-$O$14</f>
        <v/>
      </c>
    </row>
    <row r="1150">
      <c r="A1150" t="n">
        <v>3444</v>
      </c>
      <c r="B1150" t="n">
        <v>114.8</v>
      </c>
      <c r="C1150" t="inlineStr">
        <is>
          <t>861</t>
        </is>
      </c>
      <c r="D1150" t="n">
        <v>8.609999999999999</v>
      </c>
      <c r="E1150">
        <f>MEDIAN(D1130:D1170)</f>
        <v/>
      </c>
      <c r="F1150">
        <f>E1130</f>
        <v/>
      </c>
      <c r="G1150">
        <f>F1150-E1150</f>
        <v/>
      </c>
      <c r="H1150">
        <f>IF(OR(NOT(ISNUMBER(D1150)),ABS(D1150-E1150)&gt;$O$3,AND($O$11=1,B1150&lt;$O$12)),1,0)</f>
        <v/>
      </c>
      <c r="I1150">
        <f>IF(H1150=1,NA(),D1150)</f>
        <v/>
      </c>
      <c r="J1150">
        <f>IF(AND(ISNUMBER(D1150),D1150&gt;=$O$4,OR($O$11=0,B1150&gt;=$O$12)),1,0)</f>
        <v/>
      </c>
      <c r="K1150">
        <f>B1150-$O$14</f>
        <v/>
      </c>
    </row>
    <row r="1151">
      <c r="A1151" t="n">
        <v>3447</v>
      </c>
      <c r="B1151" t="n">
        <v>114.9</v>
      </c>
      <c r="C1151" t="inlineStr">
        <is>
          <t>862</t>
        </is>
      </c>
      <c r="D1151" t="n">
        <v>8.619999999999999</v>
      </c>
      <c r="E1151">
        <f>MEDIAN(D1131:D1171)</f>
        <v/>
      </c>
      <c r="F1151">
        <f>E1131</f>
        <v/>
      </c>
      <c r="G1151">
        <f>F1151-E1151</f>
        <v/>
      </c>
      <c r="H1151">
        <f>IF(OR(NOT(ISNUMBER(D1151)),ABS(D1151-E1151)&gt;$O$3,AND($O$11=1,B1151&lt;$O$12)),1,0)</f>
        <v/>
      </c>
      <c r="I1151">
        <f>IF(H1151=1,NA(),D1151)</f>
        <v/>
      </c>
      <c r="J1151">
        <f>IF(AND(ISNUMBER(D1151),D1151&gt;=$O$4,OR($O$11=0,B1151&gt;=$O$12)),1,0)</f>
        <v/>
      </c>
      <c r="K1151">
        <f>B1151-$O$14</f>
        <v/>
      </c>
    </row>
    <row r="1152">
      <c r="A1152" t="n">
        <v>3450</v>
      </c>
      <c r="B1152" t="n">
        <v>115</v>
      </c>
      <c r="C1152" t="inlineStr">
        <is>
          <t>862</t>
        </is>
      </c>
      <c r="D1152" t="n">
        <v>8.619999999999999</v>
      </c>
      <c r="E1152">
        <f>MEDIAN(D1132:D1172)</f>
        <v/>
      </c>
      <c r="F1152">
        <f>E1132</f>
        <v/>
      </c>
      <c r="G1152">
        <f>F1152-E1152</f>
        <v/>
      </c>
      <c r="H1152">
        <f>IF(OR(NOT(ISNUMBER(D1152)),ABS(D1152-E1152)&gt;$O$3,AND($O$11=1,B1152&lt;$O$12)),1,0)</f>
        <v/>
      </c>
      <c r="I1152">
        <f>IF(H1152=1,NA(),D1152)</f>
        <v/>
      </c>
      <c r="J1152">
        <f>IF(AND(ISNUMBER(D1152),D1152&gt;=$O$4,OR($O$11=0,B1152&gt;=$O$12)),1,0)</f>
        <v/>
      </c>
      <c r="K1152">
        <f>B1152-$O$14</f>
        <v/>
      </c>
    </row>
    <row r="1153">
      <c r="A1153" t="n">
        <v>3453</v>
      </c>
      <c r="B1153" t="n">
        <v>115.1</v>
      </c>
      <c r="C1153" t="inlineStr">
        <is>
          <t>862</t>
        </is>
      </c>
      <c r="D1153" t="n">
        <v>8.619999999999999</v>
      </c>
      <c r="E1153">
        <f>MEDIAN(D1133:D1173)</f>
        <v/>
      </c>
      <c r="F1153">
        <f>E1133</f>
        <v/>
      </c>
      <c r="G1153">
        <f>F1153-E1153</f>
        <v/>
      </c>
      <c r="H1153">
        <f>IF(OR(NOT(ISNUMBER(D1153)),ABS(D1153-E1153)&gt;$O$3,AND($O$11=1,B1153&lt;$O$12)),1,0)</f>
        <v/>
      </c>
      <c r="I1153">
        <f>IF(H1153=1,NA(),D1153)</f>
        <v/>
      </c>
      <c r="J1153">
        <f>IF(AND(ISNUMBER(D1153),D1153&gt;=$O$4,OR($O$11=0,B1153&gt;=$O$12)),1,0)</f>
        <v/>
      </c>
      <c r="K1153">
        <f>B1153-$O$14</f>
        <v/>
      </c>
    </row>
    <row r="1154">
      <c r="A1154" t="n">
        <v>3456</v>
      </c>
      <c r="B1154" t="n">
        <v>115.2</v>
      </c>
      <c r="C1154" t="inlineStr">
        <is>
          <t>863</t>
        </is>
      </c>
      <c r="D1154" t="n">
        <v>8.630000000000001</v>
      </c>
      <c r="E1154">
        <f>MEDIAN(D1134:D1174)</f>
        <v/>
      </c>
      <c r="F1154">
        <f>E1134</f>
        <v/>
      </c>
      <c r="G1154">
        <f>F1154-E1154</f>
        <v/>
      </c>
      <c r="H1154">
        <f>IF(OR(NOT(ISNUMBER(D1154)),ABS(D1154-E1154)&gt;$O$3,AND($O$11=1,B1154&lt;$O$12)),1,0)</f>
        <v/>
      </c>
      <c r="I1154">
        <f>IF(H1154=1,NA(),D1154)</f>
        <v/>
      </c>
      <c r="J1154">
        <f>IF(AND(ISNUMBER(D1154),D1154&gt;=$O$4,OR($O$11=0,B1154&gt;=$O$12)),1,0)</f>
        <v/>
      </c>
      <c r="K1154">
        <f>B1154-$O$14</f>
        <v/>
      </c>
    </row>
    <row r="1155">
      <c r="A1155" t="n">
        <v>3459</v>
      </c>
      <c r="B1155" t="n">
        <v>115.3</v>
      </c>
      <c r="C1155" t="inlineStr">
        <is>
          <t>863</t>
        </is>
      </c>
      <c r="D1155" t="n">
        <v>8.630000000000001</v>
      </c>
      <c r="E1155">
        <f>MEDIAN(D1135:D1175)</f>
        <v/>
      </c>
      <c r="F1155">
        <f>E1135</f>
        <v/>
      </c>
      <c r="G1155">
        <f>F1155-E1155</f>
        <v/>
      </c>
      <c r="H1155">
        <f>IF(OR(NOT(ISNUMBER(D1155)),ABS(D1155-E1155)&gt;$O$3,AND($O$11=1,B1155&lt;$O$12)),1,0)</f>
        <v/>
      </c>
      <c r="I1155">
        <f>IF(H1155=1,NA(),D1155)</f>
        <v/>
      </c>
      <c r="J1155">
        <f>IF(AND(ISNUMBER(D1155),D1155&gt;=$O$4,OR($O$11=0,B1155&gt;=$O$12)),1,0)</f>
        <v/>
      </c>
      <c r="K1155">
        <f>B1155-$O$14</f>
        <v/>
      </c>
    </row>
    <row r="1156">
      <c r="A1156" t="n">
        <v>3462</v>
      </c>
      <c r="B1156" t="n">
        <v>115.4</v>
      </c>
      <c r="C1156" t="inlineStr">
        <is>
          <t>863</t>
        </is>
      </c>
      <c r="D1156" t="n">
        <v>8.630000000000001</v>
      </c>
      <c r="E1156">
        <f>MEDIAN(D1136:D1176)</f>
        <v/>
      </c>
      <c r="F1156">
        <f>E1136</f>
        <v/>
      </c>
      <c r="G1156">
        <f>F1156-E1156</f>
        <v/>
      </c>
      <c r="H1156">
        <f>IF(OR(NOT(ISNUMBER(D1156)),ABS(D1156-E1156)&gt;$O$3,AND($O$11=1,B1156&lt;$O$12)),1,0)</f>
        <v/>
      </c>
      <c r="I1156">
        <f>IF(H1156=1,NA(),D1156)</f>
        <v/>
      </c>
      <c r="J1156">
        <f>IF(AND(ISNUMBER(D1156),D1156&gt;=$O$4,OR($O$11=0,B1156&gt;=$O$12)),1,0)</f>
        <v/>
      </c>
      <c r="K1156">
        <f>B1156-$O$14</f>
        <v/>
      </c>
    </row>
    <row r="1157">
      <c r="A1157" t="n">
        <v>3465</v>
      </c>
      <c r="B1157" t="n">
        <v>115.5</v>
      </c>
      <c r="C1157" t="inlineStr">
        <is>
          <t>866</t>
        </is>
      </c>
      <c r="D1157" t="n">
        <v>8.66</v>
      </c>
      <c r="E1157">
        <f>MEDIAN(D1137:D1177)</f>
        <v/>
      </c>
      <c r="F1157">
        <f>E1137</f>
        <v/>
      </c>
      <c r="G1157">
        <f>F1157-E1157</f>
        <v/>
      </c>
      <c r="H1157">
        <f>IF(OR(NOT(ISNUMBER(D1157)),ABS(D1157-E1157)&gt;$O$3,AND($O$11=1,B1157&lt;$O$12)),1,0)</f>
        <v/>
      </c>
      <c r="I1157">
        <f>IF(H1157=1,NA(),D1157)</f>
        <v/>
      </c>
      <c r="J1157">
        <f>IF(AND(ISNUMBER(D1157),D1157&gt;=$O$4,OR($O$11=0,B1157&gt;=$O$12)),1,0)</f>
        <v/>
      </c>
      <c r="K1157">
        <f>B1157-$O$14</f>
        <v/>
      </c>
    </row>
    <row r="1158">
      <c r="A1158" t="n">
        <v>3468</v>
      </c>
      <c r="B1158" t="n">
        <v>115.6</v>
      </c>
      <c r="C1158" t="inlineStr">
        <is>
          <t>866</t>
        </is>
      </c>
      <c r="D1158" t="n">
        <v>8.66</v>
      </c>
      <c r="E1158">
        <f>MEDIAN(D1138:D1178)</f>
        <v/>
      </c>
      <c r="F1158">
        <f>E1138</f>
        <v/>
      </c>
      <c r="G1158">
        <f>F1158-E1158</f>
        <v/>
      </c>
      <c r="H1158">
        <f>IF(OR(NOT(ISNUMBER(D1158)),ABS(D1158-E1158)&gt;$O$3,AND($O$11=1,B1158&lt;$O$12)),1,0)</f>
        <v/>
      </c>
      <c r="I1158">
        <f>IF(H1158=1,NA(),D1158)</f>
        <v/>
      </c>
      <c r="J1158">
        <f>IF(AND(ISNUMBER(D1158),D1158&gt;=$O$4,OR($O$11=0,B1158&gt;=$O$12)),1,0)</f>
        <v/>
      </c>
      <c r="K1158">
        <f>B1158-$O$14</f>
        <v/>
      </c>
    </row>
    <row r="1159">
      <c r="A1159" t="n">
        <v>3471</v>
      </c>
      <c r="B1159" t="n">
        <v>115.7</v>
      </c>
      <c r="C1159" t="inlineStr">
        <is>
          <t>866</t>
        </is>
      </c>
      <c r="D1159" t="n">
        <v>8.66</v>
      </c>
      <c r="E1159">
        <f>MEDIAN(D1139:D1179)</f>
        <v/>
      </c>
      <c r="F1159">
        <f>E1139</f>
        <v/>
      </c>
      <c r="G1159">
        <f>F1159-E1159</f>
        <v/>
      </c>
      <c r="H1159">
        <f>IF(OR(NOT(ISNUMBER(D1159)),ABS(D1159-E1159)&gt;$O$3,AND($O$11=1,B1159&lt;$O$12)),1,0)</f>
        <v/>
      </c>
      <c r="I1159">
        <f>IF(H1159=1,NA(),D1159)</f>
        <v/>
      </c>
      <c r="J1159">
        <f>IF(AND(ISNUMBER(D1159),D1159&gt;=$O$4,OR($O$11=0,B1159&gt;=$O$12)),1,0)</f>
        <v/>
      </c>
      <c r="K1159">
        <f>B1159-$O$14</f>
        <v/>
      </c>
    </row>
    <row r="1160">
      <c r="A1160" t="n">
        <v>3474</v>
      </c>
      <c r="B1160" t="n">
        <v>115.8</v>
      </c>
      <c r="C1160" t="inlineStr">
        <is>
          <t>866</t>
        </is>
      </c>
      <c r="D1160" t="n">
        <v>8.66</v>
      </c>
      <c r="E1160">
        <f>MEDIAN(D1140:D1180)</f>
        <v/>
      </c>
      <c r="F1160">
        <f>E1140</f>
        <v/>
      </c>
      <c r="G1160">
        <f>F1160-E1160</f>
        <v/>
      </c>
      <c r="H1160">
        <f>IF(OR(NOT(ISNUMBER(D1160)),ABS(D1160-E1160)&gt;$O$3,AND($O$11=1,B1160&lt;$O$12)),1,0)</f>
        <v/>
      </c>
      <c r="I1160">
        <f>IF(H1160=1,NA(),D1160)</f>
        <v/>
      </c>
      <c r="J1160">
        <f>IF(AND(ISNUMBER(D1160),D1160&gt;=$O$4,OR($O$11=0,B1160&gt;=$O$12)),1,0)</f>
        <v/>
      </c>
      <c r="K1160">
        <f>B1160-$O$14</f>
        <v/>
      </c>
    </row>
    <row r="1161">
      <c r="A1161" t="n">
        <v>3477</v>
      </c>
      <c r="B1161" t="n">
        <v>115.9</v>
      </c>
      <c r="C1161" t="inlineStr">
        <is>
          <t>866</t>
        </is>
      </c>
      <c r="D1161" t="n">
        <v>8.66</v>
      </c>
      <c r="E1161">
        <f>MEDIAN(D1141:D1181)</f>
        <v/>
      </c>
      <c r="F1161">
        <f>E1141</f>
        <v/>
      </c>
      <c r="G1161">
        <f>F1161-E1161</f>
        <v/>
      </c>
      <c r="H1161">
        <f>IF(OR(NOT(ISNUMBER(D1161)),ABS(D1161-E1161)&gt;$O$3,AND($O$11=1,B1161&lt;$O$12)),1,0)</f>
        <v/>
      </c>
      <c r="I1161">
        <f>IF(H1161=1,NA(),D1161)</f>
        <v/>
      </c>
      <c r="J1161">
        <f>IF(AND(ISNUMBER(D1161),D1161&gt;=$O$4,OR($O$11=0,B1161&gt;=$O$12)),1,0)</f>
        <v/>
      </c>
      <c r="K1161">
        <f>B1161-$O$14</f>
        <v/>
      </c>
    </row>
    <row r="1162">
      <c r="A1162" t="n">
        <v>3480</v>
      </c>
      <c r="B1162" t="n">
        <v>116</v>
      </c>
      <c r="C1162" t="inlineStr">
        <is>
          <t>866</t>
        </is>
      </c>
      <c r="D1162" t="n">
        <v>8.66</v>
      </c>
      <c r="E1162">
        <f>MEDIAN(D1142:D1182)</f>
        <v/>
      </c>
      <c r="F1162">
        <f>E1142</f>
        <v/>
      </c>
      <c r="G1162">
        <f>F1162-E1162</f>
        <v/>
      </c>
      <c r="H1162">
        <f>IF(OR(NOT(ISNUMBER(D1162)),ABS(D1162-E1162)&gt;$O$3,AND($O$11=1,B1162&lt;$O$12)),1,0)</f>
        <v/>
      </c>
      <c r="I1162">
        <f>IF(H1162=1,NA(),D1162)</f>
        <v/>
      </c>
      <c r="J1162">
        <f>IF(AND(ISNUMBER(D1162),D1162&gt;=$O$4,OR($O$11=0,B1162&gt;=$O$12)),1,0)</f>
        <v/>
      </c>
      <c r="K1162">
        <f>B1162-$O$14</f>
        <v/>
      </c>
    </row>
    <row r="1163">
      <c r="A1163" t="n">
        <v>3483</v>
      </c>
      <c r="B1163" t="n">
        <v>116.1</v>
      </c>
      <c r="C1163" t="inlineStr">
        <is>
          <t>866</t>
        </is>
      </c>
      <c r="D1163" t="n">
        <v>8.66</v>
      </c>
      <c r="E1163">
        <f>MEDIAN(D1143:D1183)</f>
        <v/>
      </c>
      <c r="F1163">
        <f>E1143</f>
        <v/>
      </c>
      <c r="G1163">
        <f>F1163-E1163</f>
        <v/>
      </c>
      <c r="H1163">
        <f>IF(OR(NOT(ISNUMBER(D1163)),ABS(D1163-E1163)&gt;$O$3,AND($O$11=1,B1163&lt;$O$12)),1,0)</f>
        <v/>
      </c>
      <c r="I1163">
        <f>IF(H1163=1,NA(),D1163)</f>
        <v/>
      </c>
      <c r="J1163">
        <f>IF(AND(ISNUMBER(D1163),D1163&gt;=$O$4,OR($O$11=0,B1163&gt;=$O$12)),1,0)</f>
        <v/>
      </c>
      <c r="K1163">
        <f>B1163-$O$14</f>
        <v/>
      </c>
    </row>
    <row r="1164">
      <c r="A1164" t="n">
        <v>3486</v>
      </c>
      <c r="B1164" t="n">
        <v>116.2</v>
      </c>
      <c r="C1164" t="inlineStr">
        <is>
          <t>866</t>
        </is>
      </c>
      <c r="D1164" t="n">
        <v>8.66</v>
      </c>
      <c r="E1164">
        <f>MEDIAN(D1144:D1184)</f>
        <v/>
      </c>
      <c r="F1164">
        <f>E1144</f>
        <v/>
      </c>
      <c r="G1164">
        <f>F1164-E1164</f>
        <v/>
      </c>
      <c r="H1164">
        <f>IF(OR(NOT(ISNUMBER(D1164)),ABS(D1164-E1164)&gt;$O$3,AND($O$11=1,B1164&lt;$O$12)),1,0)</f>
        <v/>
      </c>
      <c r="I1164">
        <f>IF(H1164=1,NA(),D1164)</f>
        <v/>
      </c>
      <c r="J1164">
        <f>IF(AND(ISNUMBER(D1164),D1164&gt;=$O$4,OR($O$11=0,B1164&gt;=$O$12)),1,0)</f>
        <v/>
      </c>
      <c r="K1164">
        <f>B1164-$O$14</f>
        <v/>
      </c>
    </row>
    <row r="1165">
      <c r="A1165" t="n">
        <v>3489</v>
      </c>
      <c r="B1165" t="n">
        <v>116.3</v>
      </c>
      <c r="C1165" t="inlineStr">
        <is>
          <t>866</t>
        </is>
      </c>
      <c r="D1165" t="n">
        <v>8.66</v>
      </c>
      <c r="E1165">
        <f>MEDIAN(D1145:D1185)</f>
        <v/>
      </c>
      <c r="F1165">
        <f>E1145</f>
        <v/>
      </c>
      <c r="G1165">
        <f>F1165-E1165</f>
        <v/>
      </c>
      <c r="H1165">
        <f>IF(OR(NOT(ISNUMBER(D1165)),ABS(D1165-E1165)&gt;$O$3,AND($O$11=1,B1165&lt;$O$12)),1,0)</f>
        <v/>
      </c>
      <c r="I1165">
        <f>IF(H1165=1,NA(),D1165)</f>
        <v/>
      </c>
      <c r="J1165">
        <f>IF(AND(ISNUMBER(D1165),D1165&gt;=$O$4,OR($O$11=0,B1165&gt;=$O$12)),1,0)</f>
        <v/>
      </c>
      <c r="K1165">
        <f>B1165-$O$14</f>
        <v/>
      </c>
    </row>
    <row r="1166">
      <c r="A1166" t="n">
        <v>3492</v>
      </c>
      <c r="B1166" t="n">
        <v>116.4</v>
      </c>
      <c r="C1166" t="inlineStr">
        <is>
          <t>866</t>
        </is>
      </c>
      <c r="D1166" t="n">
        <v>8.66</v>
      </c>
      <c r="E1166">
        <f>MEDIAN(D1146:D1186)</f>
        <v/>
      </c>
      <c r="F1166">
        <f>E1146</f>
        <v/>
      </c>
      <c r="G1166">
        <f>F1166-E1166</f>
        <v/>
      </c>
      <c r="H1166">
        <f>IF(OR(NOT(ISNUMBER(D1166)),ABS(D1166-E1166)&gt;$O$3,AND($O$11=1,B1166&lt;$O$12)),1,0)</f>
        <v/>
      </c>
      <c r="I1166">
        <f>IF(H1166=1,NA(),D1166)</f>
        <v/>
      </c>
      <c r="J1166">
        <f>IF(AND(ISNUMBER(D1166),D1166&gt;=$O$4,OR($O$11=0,B1166&gt;=$O$12)),1,0)</f>
        <v/>
      </c>
      <c r="K1166">
        <f>B1166-$O$14</f>
        <v/>
      </c>
    </row>
    <row r="1167">
      <c r="A1167" t="n">
        <v>3495</v>
      </c>
      <c r="B1167" t="n">
        <v>116.5</v>
      </c>
      <c r="C1167" t="inlineStr">
        <is>
          <t>866</t>
        </is>
      </c>
      <c r="D1167" t="n">
        <v>8.66</v>
      </c>
      <c r="E1167">
        <f>MEDIAN(D1147:D1187)</f>
        <v/>
      </c>
      <c r="F1167">
        <f>E1147</f>
        <v/>
      </c>
      <c r="G1167">
        <f>F1167-E1167</f>
        <v/>
      </c>
      <c r="H1167">
        <f>IF(OR(NOT(ISNUMBER(D1167)),ABS(D1167-E1167)&gt;$O$3,AND($O$11=1,B1167&lt;$O$12)),1,0)</f>
        <v/>
      </c>
      <c r="I1167">
        <f>IF(H1167=1,NA(),D1167)</f>
        <v/>
      </c>
      <c r="J1167">
        <f>IF(AND(ISNUMBER(D1167),D1167&gt;=$O$4,OR($O$11=0,B1167&gt;=$O$12)),1,0)</f>
        <v/>
      </c>
      <c r="K1167">
        <f>B1167-$O$14</f>
        <v/>
      </c>
    </row>
    <row r="1168">
      <c r="A1168" t="n">
        <v>3498</v>
      </c>
      <c r="B1168" t="n">
        <v>116.6</v>
      </c>
      <c r="C1168" t="inlineStr">
        <is>
          <t>866</t>
        </is>
      </c>
      <c r="D1168" t="n">
        <v>8.66</v>
      </c>
      <c r="E1168">
        <f>MEDIAN(D1148:D1188)</f>
        <v/>
      </c>
      <c r="F1168">
        <f>E1148</f>
        <v/>
      </c>
      <c r="G1168">
        <f>F1168-E1168</f>
        <v/>
      </c>
      <c r="H1168">
        <f>IF(OR(NOT(ISNUMBER(D1168)),ABS(D1168-E1168)&gt;$O$3,AND($O$11=1,B1168&lt;$O$12)),1,0)</f>
        <v/>
      </c>
      <c r="I1168">
        <f>IF(H1168=1,NA(),D1168)</f>
        <v/>
      </c>
      <c r="J1168">
        <f>IF(AND(ISNUMBER(D1168),D1168&gt;=$O$4,OR($O$11=0,B1168&gt;=$O$12)),1,0)</f>
        <v/>
      </c>
      <c r="K1168">
        <f>B1168-$O$14</f>
        <v/>
      </c>
    </row>
    <row r="1169">
      <c r="A1169" t="n">
        <v>3501</v>
      </c>
      <c r="B1169" t="n">
        <v>116.7</v>
      </c>
      <c r="C1169" t="inlineStr">
        <is>
          <t>866</t>
        </is>
      </c>
      <c r="D1169" t="n">
        <v>8.66</v>
      </c>
      <c r="E1169">
        <f>MEDIAN(D1149:D1189)</f>
        <v/>
      </c>
      <c r="F1169">
        <f>E1149</f>
        <v/>
      </c>
      <c r="G1169">
        <f>F1169-E1169</f>
        <v/>
      </c>
      <c r="H1169">
        <f>IF(OR(NOT(ISNUMBER(D1169)),ABS(D1169-E1169)&gt;$O$3,AND($O$11=1,B1169&lt;$O$12)),1,0)</f>
        <v/>
      </c>
      <c r="I1169">
        <f>IF(H1169=1,NA(),D1169)</f>
        <v/>
      </c>
      <c r="J1169">
        <f>IF(AND(ISNUMBER(D1169),D1169&gt;=$O$4,OR($O$11=0,B1169&gt;=$O$12)),1,0)</f>
        <v/>
      </c>
      <c r="K1169">
        <f>B1169-$O$14</f>
        <v/>
      </c>
    </row>
    <row r="1170">
      <c r="A1170" t="n">
        <v>3504</v>
      </c>
      <c r="B1170" t="n">
        <v>116.8</v>
      </c>
      <c r="C1170" t="inlineStr">
        <is>
          <t>866</t>
        </is>
      </c>
      <c r="D1170" t="n">
        <v>8.66</v>
      </c>
      <c r="E1170">
        <f>MEDIAN(D1150:D1190)</f>
        <v/>
      </c>
      <c r="F1170">
        <f>E1150</f>
        <v/>
      </c>
      <c r="G1170">
        <f>F1170-E1170</f>
        <v/>
      </c>
      <c r="H1170">
        <f>IF(OR(NOT(ISNUMBER(D1170)),ABS(D1170-E1170)&gt;$O$3,AND($O$11=1,B1170&lt;$O$12)),1,0)</f>
        <v/>
      </c>
      <c r="I1170">
        <f>IF(H1170=1,NA(),D1170)</f>
        <v/>
      </c>
      <c r="J1170">
        <f>IF(AND(ISNUMBER(D1170),D1170&gt;=$O$4,OR($O$11=0,B1170&gt;=$O$12)),1,0)</f>
        <v/>
      </c>
      <c r="K1170">
        <f>B1170-$O$14</f>
        <v/>
      </c>
    </row>
    <row r="1171">
      <c r="A1171" t="n">
        <v>3507</v>
      </c>
      <c r="B1171" t="n">
        <v>116.9</v>
      </c>
      <c r="C1171" t="inlineStr">
        <is>
          <t>866</t>
        </is>
      </c>
      <c r="D1171" t="n">
        <v>8.66</v>
      </c>
      <c r="E1171">
        <f>MEDIAN(D1151:D1191)</f>
        <v/>
      </c>
      <c r="F1171">
        <f>E1151</f>
        <v/>
      </c>
      <c r="G1171">
        <f>F1171-E1171</f>
        <v/>
      </c>
      <c r="H1171">
        <f>IF(OR(NOT(ISNUMBER(D1171)),ABS(D1171-E1171)&gt;$O$3,AND($O$11=1,B1171&lt;$O$12)),1,0)</f>
        <v/>
      </c>
      <c r="I1171">
        <f>IF(H1171=1,NA(),D1171)</f>
        <v/>
      </c>
      <c r="J1171">
        <f>IF(AND(ISNUMBER(D1171),D1171&gt;=$O$4,OR($O$11=0,B1171&gt;=$O$12)),1,0)</f>
        <v/>
      </c>
      <c r="K1171">
        <f>B1171-$O$14</f>
        <v/>
      </c>
    </row>
    <row r="1172">
      <c r="A1172" t="n">
        <v>3510</v>
      </c>
      <c r="B1172" t="n">
        <v>117</v>
      </c>
      <c r="C1172" t="inlineStr">
        <is>
          <t>866</t>
        </is>
      </c>
      <c r="D1172" t="n">
        <v>8.66</v>
      </c>
      <c r="E1172">
        <f>MEDIAN(D1152:D1192)</f>
        <v/>
      </c>
      <c r="F1172">
        <f>E1152</f>
        <v/>
      </c>
      <c r="G1172">
        <f>F1172-E1172</f>
        <v/>
      </c>
      <c r="H1172">
        <f>IF(OR(NOT(ISNUMBER(D1172)),ABS(D1172-E1172)&gt;$O$3,AND($O$11=1,B1172&lt;$O$12)),1,0)</f>
        <v/>
      </c>
      <c r="I1172">
        <f>IF(H1172=1,NA(),D1172)</f>
        <v/>
      </c>
      <c r="J1172">
        <f>IF(AND(ISNUMBER(D1172),D1172&gt;=$O$4,OR($O$11=0,B1172&gt;=$O$12)),1,0)</f>
        <v/>
      </c>
      <c r="K1172">
        <f>B1172-$O$14</f>
        <v/>
      </c>
    </row>
    <row r="1173">
      <c r="A1173" t="n">
        <v>3513</v>
      </c>
      <c r="B1173" t="n">
        <v>117.1</v>
      </c>
      <c r="C1173" t="inlineStr">
        <is>
          <t>866</t>
        </is>
      </c>
      <c r="D1173" t="n">
        <v>8.66</v>
      </c>
      <c r="E1173">
        <f>MEDIAN(D1153:D1193)</f>
        <v/>
      </c>
      <c r="F1173">
        <f>E1153</f>
        <v/>
      </c>
      <c r="G1173">
        <f>F1173-E1173</f>
        <v/>
      </c>
      <c r="H1173">
        <f>IF(OR(NOT(ISNUMBER(D1173)),ABS(D1173-E1173)&gt;$O$3,AND($O$11=1,B1173&lt;$O$12)),1,0)</f>
        <v/>
      </c>
      <c r="I1173">
        <f>IF(H1173=1,NA(),D1173)</f>
        <v/>
      </c>
      <c r="J1173">
        <f>IF(AND(ISNUMBER(D1173),D1173&gt;=$O$4,OR($O$11=0,B1173&gt;=$O$12)),1,0)</f>
        <v/>
      </c>
      <c r="K1173">
        <f>B1173-$O$14</f>
        <v/>
      </c>
    </row>
    <row r="1174">
      <c r="A1174" t="n">
        <v>3516</v>
      </c>
      <c r="B1174" t="n">
        <v>117.2</v>
      </c>
      <c r="C1174" t="inlineStr">
        <is>
          <t>866</t>
        </is>
      </c>
      <c r="D1174" t="n">
        <v>8.66</v>
      </c>
      <c r="E1174">
        <f>MEDIAN(D1154:D1194)</f>
        <v/>
      </c>
      <c r="F1174">
        <f>E1154</f>
        <v/>
      </c>
      <c r="G1174">
        <f>F1174-E1174</f>
        <v/>
      </c>
      <c r="H1174">
        <f>IF(OR(NOT(ISNUMBER(D1174)),ABS(D1174-E1174)&gt;$O$3,AND($O$11=1,B1174&lt;$O$12)),1,0)</f>
        <v/>
      </c>
      <c r="I1174">
        <f>IF(H1174=1,NA(),D1174)</f>
        <v/>
      </c>
      <c r="J1174">
        <f>IF(AND(ISNUMBER(D1174),D1174&gt;=$O$4,OR($O$11=0,B1174&gt;=$O$12)),1,0)</f>
        <v/>
      </c>
      <c r="K1174">
        <f>B1174-$O$14</f>
        <v/>
      </c>
    </row>
    <row r="1175">
      <c r="A1175" t="n">
        <v>3519</v>
      </c>
      <c r="B1175" t="n">
        <v>117.3</v>
      </c>
      <c r="C1175" t="inlineStr">
        <is>
          <t>866</t>
        </is>
      </c>
      <c r="D1175" t="n">
        <v>8.66</v>
      </c>
      <c r="E1175">
        <f>MEDIAN(D1155:D1195)</f>
        <v/>
      </c>
      <c r="F1175">
        <f>E1155</f>
        <v/>
      </c>
      <c r="G1175">
        <f>F1175-E1175</f>
        <v/>
      </c>
      <c r="H1175">
        <f>IF(OR(NOT(ISNUMBER(D1175)),ABS(D1175-E1175)&gt;$O$3,AND($O$11=1,B1175&lt;$O$12)),1,0)</f>
        <v/>
      </c>
      <c r="I1175">
        <f>IF(H1175=1,NA(),D1175)</f>
        <v/>
      </c>
      <c r="J1175">
        <f>IF(AND(ISNUMBER(D1175),D1175&gt;=$O$4,OR($O$11=0,B1175&gt;=$O$12)),1,0)</f>
        <v/>
      </c>
      <c r="K1175">
        <f>B1175-$O$14</f>
        <v/>
      </c>
    </row>
    <row r="1176">
      <c r="A1176" t="n">
        <v>3522</v>
      </c>
      <c r="B1176" t="n">
        <v>117.4</v>
      </c>
      <c r="C1176" t="inlineStr">
        <is>
          <t>866</t>
        </is>
      </c>
      <c r="D1176" t="n">
        <v>8.66</v>
      </c>
      <c r="E1176">
        <f>MEDIAN(D1156:D1196)</f>
        <v/>
      </c>
      <c r="F1176">
        <f>E1156</f>
        <v/>
      </c>
      <c r="G1176">
        <f>F1176-E1176</f>
        <v/>
      </c>
      <c r="H1176">
        <f>IF(OR(NOT(ISNUMBER(D1176)),ABS(D1176-E1176)&gt;$O$3,AND($O$11=1,B1176&lt;$O$12)),1,0)</f>
        <v/>
      </c>
      <c r="I1176">
        <f>IF(H1176=1,NA(),D1176)</f>
        <v/>
      </c>
      <c r="J1176">
        <f>IF(AND(ISNUMBER(D1176),D1176&gt;=$O$4,OR($O$11=0,B1176&gt;=$O$12)),1,0)</f>
        <v/>
      </c>
      <c r="K1176">
        <f>B1176-$O$14</f>
        <v/>
      </c>
    </row>
    <row r="1177">
      <c r="A1177" t="n">
        <v>3525</v>
      </c>
      <c r="B1177" t="n">
        <v>117.5</v>
      </c>
      <c r="C1177" t="inlineStr">
        <is>
          <t>866</t>
        </is>
      </c>
      <c r="D1177" t="n">
        <v>8.66</v>
      </c>
      <c r="E1177">
        <f>MEDIAN(D1157:D1197)</f>
        <v/>
      </c>
      <c r="F1177">
        <f>E1157</f>
        <v/>
      </c>
      <c r="G1177">
        <f>F1177-E1177</f>
        <v/>
      </c>
      <c r="H1177">
        <f>IF(OR(NOT(ISNUMBER(D1177)),ABS(D1177-E1177)&gt;$O$3,AND($O$11=1,B1177&lt;$O$12)),1,0)</f>
        <v/>
      </c>
      <c r="I1177">
        <f>IF(H1177=1,NA(),D1177)</f>
        <v/>
      </c>
      <c r="J1177">
        <f>IF(AND(ISNUMBER(D1177),D1177&gt;=$O$4,OR($O$11=0,B1177&gt;=$O$12)),1,0)</f>
        <v/>
      </c>
      <c r="K1177">
        <f>B1177-$O$14</f>
        <v/>
      </c>
    </row>
    <row r="1178">
      <c r="A1178" t="n">
        <v>3528</v>
      </c>
      <c r="B1178" t="n">
        <v>117.6</v>
      </c>
      <c r="C1178" t="inlineStr">
        <is>
          <t>866</t>
        </is>
      </c>
      <c r="D1178" t="n">
        <v>8.66</v>
      </c>
      <c r="E1178">
        <f>MEDIAN(D1158:D1198)</f>
        <v/>
      </c>
      <c r="F1178">
        <f>E1158</f>
        <v/>
      </c>
      <c r="G1178">
        <f>F1178-E1178</f>
        <v/>
      </c>
      <c r="H1178">
        <f>IF(OR(NOT(ISNUMBER(D1178)),ABS(D1178-E1178)&gt;$O$3,AND($O$11=1,B1178&lt;$O$12)),1,0)</f>
        <v/>
      </c>
      <c r="I1178">
        <f>IF(H1178=1,NA(),D1178)</f>
        <v/>
      </c>
      <c r="J1178">
        <f>IF(AND(ISNUMBER(D1178),D1178&gt;=$O$4,OR($O$11=0,B1178&gt;=$O$12)),1,0)</f>
        <v/>
      </c>
      <c r="K1178">
        <f>B1178-$O$14</f>
        <v/>
      </c>
    </row>
    <row r="1179">
      <c r="A1179" t="n">
        <v>3531</v>
      </c>
      <c r="B1179" t="n">
        <v>117.7</v>
      </c>
      <c r="C1179" t="inlineStr">
        <is>
          <t>866</t>
        </is>
      </c>
      <c r="D1179" t="n">
        <v>8.66</v>
      </c>
      <c r="E1179">
        <f>MEDIAN(D1159:D1199)</f>
        <v/>
      </c>
      <c r="F1179">
        <f>E1159</f>
        <v/>
      </c>
      <c r="G1179">
        <f>F1179-E1179</f>
        <v/>
      </c>
      <c r="H1179">
        <f>IF(OR(NOT(ISNUMBER(D1179)),ABS(D1179-E1179)&gt;$O$3,AND($O$11=1,B1179&lt;$O$12)),1,0)</f>
        <v/>
      </c>
      <c r="I1179">
        <f>IF(H1179=1,NA(),D1179)</f>
        <v/>
      </c>
      <c r="J1179">
        <f>IF(AND(ISNUMBER(D1179),D1179&gt;=$O$4,OR($O$11=0,B1179&gt;=$O$12)),1,0)</f>
        <v/>
      </c>
      <c r="K1179">
        <f>B1179-$O$14</f>
        <v/>
      </c>
    </row>
    <row r="1180">
      <c r="A1180" t="n">
        <v>3534</v>
      </c>
      <c r="B1180" t="n">
        <v>117.8</v>
      </c>
      <c r="C1180" t="inlineStr">
        <is>
          <t>866</t>
        </is>
      </c>
      <c r="D1180" t="n">
        <v>8.66</v>
      </c>
      <c r="E1180">
        <f>MEDIAN(D1160:D1200)</f>
        <v/>
      </c>
      <c r="F1180">
        <f>E1160</f>
        <v/>
      </c>
      <c r="G1180">
        <f>F1180-E1180</f>
        <v/>
      </c>
      <c r="H1180">
        <f>IF(OR(NOT(ISNUMBER(D1180)),ABS(D1180-E1180)&gt;$O$3,AND($O$11=1,B1180&lt;$O$12)),1,0)</f>
        <v/>
      </c>
      <c r="I1180">
        <f>IF(H1180=1,NA(),D1180)</f>
        <v/>
      </c>
      <c r="J1180">
        <f>IF(AND(ISNUMBER(D1180),D1180&gt;=$O$4,OR($O$11=0,B1180&gt;=$O$12)),1,0)</f>
        <v/>
      </c>
      <c r="K1180">
        <f>B1180-$O$14</f>
        <v/>
      </c>
    </row>
    <row r="1181">
      <c r="A1181" t="n">
        <v>3537</v>
      </c>
      <c r="B1181" t="n">
        <v>117.9</v>
      </c>
      <c r="C1181" t="inlineStr">
        <is>
          <t>866</t>
        </is>
      </c>
      <c r="D1181" t="n">
        <v>8.66</v>
      </c>
      <c r="E1181">
        <f>MEDIAN(D1161:D1201)</f>
        <v/>
      </c>
      <c r="F1181">
        <f>E1161</f>
        <v/>
      </c>
      <c r="G1181">
        <f>F1181-E1181</f>
        <v/>
      </c>
      <c r="H1181">
        <f>IF(OR(NOT(ISNUMBER(D1181)),ABS(D1181-E1181)&gt;$O$3,AND($O$11=1,B1181&lt;$O$12)),1,0)</f>
        <v/>
      </c>
      <c r="I1181">
        <f>IF(H1181=1,NA(),D1181)</f>
        <v/>
      </c>
      <c r="J1181">
        <f>IF(AND(ISNUMBER(D1181),D1181&gt;=$O$4,OR($O$11=0,B1181&gt;=$O$12)),1,0)</f>
        <v/>
      </c>
      <c r="K1181">
        <f>B1181-$O$14</f>
        <v/>
      </c>
    </row>
    <row r="1182">
      <c r="A1182" t="n">
        <v>3540</v>
      </c>
      <c r="B1182" t="n">
        <v>118</v>
      </c>
      <c r="C1182" t="inlineStr">
        <is>
          <t>866</t>
        </is>
      </c>
      <c r="D1182" t="n">
        <v>8.66</v>
      </c>
      <c r="E1182">
        <f>MEDIAN(D1162:D1202)</f>
        <v/>
      </c>
      <c r="F1182">
        <f>E1162</f>
        <v/>
      </c>
      <c r="G1182">
        <f>F1182-E1182</f>
        <v/>
      </c>
      <c r="H1182">
        <f>IF(OR(NOT(ISNUMBER(D1182)),ABS(D1182-E1182)&gt;$O$3,AND($O$11=1,B1182&lt;$O$12)),1,0)</f>
        <v/>
      </c>
      <c r="I1182">
        <f>IF(H1182=1,NA(),D1182)</f>
        <v/>
      </c>
      <c r="J1182">
        <f>IF(AND(ISNUMBER(D1182),D1182&gt;=$O$4,OR($O$11=0,B1182&gt;=$O$12)),1,0)</f>
        <v/>
      </c>
      <c r="K1182">
        <f>B1182-$O$14</f>
        <v/>
      </c>
    </row>
    <row r="1183">
      <c r="A1183" t="n">
        <v>3543</v>
      </c>
      <c r="B1183" t="n">
        <v>118.1</v>
      </c>
      <c r="C1183" t="inlineStr">
        <is>
          <t>866</t>
        </is>
      </c>
      <c r="D1183" t="n">
        <v>8.66</v>
      </c>
      <c r="E1183">
        <f>MEDIAN(D1163:D1203)</f>
        <v/>
      </c>
      <c r="F1183">
        <f>E1163</f>
        <v/>
      </c>
      <c r="G1183">
        <f>F1183-E1183</f>
        <v/>
      </c>
      <c r="H1183">
        <f>IF(OR(NOT(ISNUMBER(D1183)),ABS(D1183-E1183)&gt;$O$3,AND($O$11=1,B1183&lt;$O$12)),1,0)</f>
        <v/>
      </c>
      <c r="I1183">
        <f>IF(H1183=1,NA(),D1183)</f>
        <v/>
      </c>
      <c r="J1183">
        <f>IF(AND(ISNUMBER(D1183),D1183&gt;=$O$4,OR($O$11=0,B1183&gt;=$O$12)),1,0)</f>
        <v/>
      </c>
      <c r="K1183">
        <f>B1183-$O$14</f>
        <v/>
      </c>
    </row>
    <row r="1184">
      <c r="A1184" t="n">
        <v>3546</v>
      </c>
      <c r="B1184" t="n">
        <v>118.2</v>
      </c>
      <c r="C1184" t="inlineStr">
        <is>
          <t>866</t>
        </is>
      </c>
      <c r="D1184" t="n">
        <v>8.66</v>
      </c>
      <c r="E1184">
        <f>MEDIAN(D1164:D1204)</f>
        <v/>
      </c>
      <c r="F1184">
        <f>E1164</f>
        <v/>
      </c>
      <c r="G1184">
        <f>F1184-E1184</f>
        <v/>
      </c>
      <c r="H1184">
        <f>IF(OR(NOT(ISNUMBER(D1184)),ABS(D1184-E1184)&gt;$O$3,AND($O$11=1,B1184&lt;$O$12)),1,0)</f>
        <v/>
      </c>
      <c r="I1184">
        <f>IF(H1184=1,NA(),D1184)</f>
        <v/>
      </c>
      <c r="J1184">
        <f>IF(AND(ISNUMBER(D1184),D1184&gt;=$O$4,OR($O$11=0,B1184&gt;=$O$12)),1,0)</f>
        <v/>
      </c>
      <c r="K1184">
        <f>B1184-$O$14</f>
        <v/>
      </c>
    </row>
    <row r="1185">
      <c r="A1185" t="n">
        <v>3549</v>
      </c>
      <c r="B1185" t="n">
        <v>118.3</v>
      </c>
      <c r="C1185" t="inlineStr">
        <is>
          <t>866</t>
        </is>
      </c>
      <c r="D1185" t="n">
        <v>8.66</v>
      </c>
      <c r="E1185">
        <f>MEDIAN(D1165:D1205)</f>
        <v/>
      </c>
      <c r="F1185">
        <f>E1165</f>
        <v/>
      </c>
      <c r="G1185">
        <f>F1185-E1185</f>
        <v/>
      </c>
      <c r="H1185">
        <f>IF(OR(NOT(ISNUMBER(D1185)),ABS(D1185-E1185)&gt;$O$3,AND($O$11=1,B1185&lt;$O$12)),1,0)</f>
        <v/>
      </c>
      <c r="I1185">
        <f>IF(H1185=1,NA(),D1185)</f>
        <v/>
      </c>
      <c r="J1185">
        <f>IF(AND(ISNUMBER(D1185),D1185&gt;=$O$4,OR($O$11=0,B1185&gt;=$O$12)),1,0)</f>
        <v/>
      </c>
      <c r="K1185">
        <f>B1185-$O$14</f>
        <v/>
      </c>
    </row>
    <row r="1186">
      <c r="A1186" t="n">
        <v>3552</v>
      </c>
      <c r="B1186" t="n">
        <v>118.4</v>
      </c>
      <c r="C1186" t="inlineStr">
        <is>
          <t>866</t>
        </is>
      </c>
      <c r="D1186" t="n">
        <v>8.66</v>
      </c>
      <c r="E1186">
        <f>MEDIAN(D1166:D1206)</f>
        <v/>
      </c>
      <c r="F1186">
        <f>E1166</f>
        <v/>
      </c>
      <c r="G1186">
        <f>F1186-E1186</f>
        <v/>
      </c>
      <c r="H1186">
        <f>IF(OR(NOT(ISNUMBER(D1186)),ABS(D1186-E1186)&gt;$O$3,AND($O$11=1,B1186&lt;$O$12)),1,0)</f>
        <v/>
      </c>
      <c r="I1186">
        <f>IF(H1186=1,NA(),D1186)</f>
        <v/>
      </c>
      <c r="J1186">
        <f>IF(AND(ISNUMBER(D1186),D1186&gt;=$O$4,OR($O$11=0,B1186&gt;=$O$12)),1,0)</f>
        <v/>
      </c>
      <c r="K1186">
        <f>B1186-$O$14</f>
        <v/>
      </c>
    </row>
    <row r="1187">
      <c r="A1187" t="n">
        <v>3555</v>
      </c>
      <c r="B1187" t="n">
        <v>118.5</v>
      </c>
      <c r="C1187" t="inlineStr">
        <is>
          <t>866</t>
        </is>
      </c>
      <c r="D1187" t="n">
        <v>8.66</v>
      </c>
      <c r="E1187">
        <f>MEDIAN(D1167:D1207)</f>
        <v/>
      </c>
      <c r="F1187">
        <f>E1167</f>
        <v/>
      </c>
      <c r="G1187">
        <f>F1187-E1187</f>
        <v/>
      </c>
      <c r="H1187">
        <f>IF(OR(NOT(ISNUMBER(D1187)),ABS(D1187-E1187)&gt;$O$3,AND($O$11=1,B1187&lt;$O$12)),1,0)</f>
        <v/>
      </c>
      <c r="I1187">
        <f>IF(H1187=1,NA(),D1187)</f>
        <v/>
      </c>
      <c r="J1187">
        <f>IF(AND(ISNUMBER(D1187),D1187&gt;=$O$4,OR($O$11=0,B1187&gt;=$O$12)),1,0)</f>
        <v/>
      </c>
      <c r="K1187">
        <f>B1187-$O$14</f>
        <v/>
      </c>
    </row>
    <row r="1188">
      <c r="A1188" t="n">
        <v>3558</v>
      </c>
      <c r="B1188" t="n">
        <v>118.6</v>
      </c>
      <c r="C1188" t="inlineStr">
        <is>
          <t>866</t>
        </is>
      </c>
      <c r="D1188" t="n">
        <v>8.66</v>
      </c>
      <c r="E1188">
        <f>MEDIAN(D1168:D1208)</f>
        <v/>
      </c>
      <c r="F1188">
        <f>E1168</f>
        <v/>
      </c>
      <c r="G1188">
        <f>F1188-E1188</f>
        <v/>
      </c>
      <c r="H1188">
        <f>IF(OR(NOT(ISNUMBER(D1188)),ABS(D1188-E1188)&gt;$O$3,AND($O$11=1,B1188&lt;$O$12)),1,0)</f>
        <v/>
      </c>
      <c r="I1188">
        <f>IF(H1188=1,NA(),D1188)</f>
        <v/>
      </c>
      <c r="J1188">
        <f>IF(AND(ISNUMBER(D1188),D1188&gt;=$O$4,OR($O$11=0,B1188&gt;=$O$12)),1,0)</f>
        <v/>
      </c>
      <c r="K1188">
        <f>B1188-$O$14</f>
        <v/>
      </c>
    </row>
    <row r="1189">
      <c r="A1189" t="n">
        <v>3561</v>
      </c>
      <c r="B1189" t="n">
        <v>118.7</v>
      </c>
      <c r="C1189" t="inlineStr">
        <is>
          <t>866</t>
        </is>
      </c>
      <c r="D1189" t="n">
        <v>8.66</v>
      </c>
      <c r="E1189">
        <f>MEDIAN(D1169:D1209)</f>
        <v/>
      </c>
      <c r="F1189">
        <f>E1169</f>
        <v/>
      </c>
      <c r="G1189">
        <f>F1189-E1189</f>
        <v/>
      </c>
      <c r="H1189">
        <f>IF(OR(NOT(ISNUMBER(D1189)),ABS(D1189-E1189)&gt;$O$3,AND($O$11=1,B1189&lt;$O$12)),1,0)</f>
        <v/>
      </c>
      <c r="I1189">
        <f>IF(H1189=1,NA(),D1189)</f>
        <v/>
      </c>
      <c r="J1189">
        <f>IF(AND(ISNUMBER(D1189),D1189&gt;=$O$4,OR($O$11=0,B1189&gt;=$O$12)),1,0)</f>
        <v/>
      </c>
      <c r="K1189">
        <f>B1189-$O$14</f>
        <v/>
      </c>
    </row>
    <row r="1190">
      <c r="A1190" t="n">
        <v>3564</v>
      </c>
      <c r="B1190" t="n">
        <v>118.8</v>
      </c>
      <c r="C1190" t="inlineStr">
        <is>
          <t>866</t>
        </is>
      </c>
      <c r="D1190" t="n">
        <v>8.66</v>
      </c>
      <c r="E1190">
        <f>MEDIAN(D1170:D1210)</f>
        <v/>
      </c>
      <c r="F1190">
        <f>E1170</f>
        <v/>
      </c>
      <c r="G1190">
        <f>F1190-E1190</f>
        <v/>
      </c>
      <c r="H1190">
        <f>IF(OR(NOT(ISNUMBER(D1190)),ABS(D1190-E1190)&gt;$O$3,AND($O$11=1,B1190&lt;$O$12)),1,0)</f>
        <v/>
      </c>
      <c r="I1190">
        <f>IF(H1190=1,NA(),D1190)</f>
        <v/>
      </c>
      <c r="J1190">
        <f>IF(AND(ISNUMBER(D1190),D1190&gt;=$O$4,OR($O$11=0,B1190&gt;=$O$12)),1,0)</f>
        <v/>
      </c>
      <c r="K1190">
        <f>B1190-$O$14</f>
        <v/>
      </c>
    </row>
    <row r="1191">
      <c r="A1191" t="n">
        <v>3567</v>
      </c>
      <c r="B1191" t="n">
        <v>118.9</v>
      </c>
      <c r="C1191" t="inlineStr">
        <is>
          <t>866</t>
        </is>
      </c>
      <c r="D1191" t="n">
        <v>8.66</v>
      </c>
      <c r="E1191">
        <f>MEDIAN(D1171:D1211)</f>
        <v/>
      </c>
      <c r="F1191">
        <f>E1171</f>
        <v/>
      </c>
      <c r="G1191">
        <f>F1191-E1191</f>
        <v/>
      </c>
      <c r="H1191">
        <f>IF(OR(NOT(ISNUMBER(D1191)),ABS(D1191-E1191)&gt;$O$3,AND($O$11=1,B1191&lt;$O$12)),1,0)</f>
        <v/>
      </c>
      <c r="I1191">
        <f>IF(H1191=1,NA(),D1191)</f>
        <v/>
      </c>
      <c r="J1191">
        <f>IF(AND(ISNUMBER(D1191),D1191&gt;=$O$4,OR($O$11=0,B1191&gt;=$O$12)),1,0)</f>
        <v/>
      </c>
      <c r="K1191">
        <f>B1191-$O$14</f>
        <v/>
      </c>
    </row>
    <row r="1192">
      <c r="A1192" t="n">
        <v>3570</v>
      </c>
      <c r="B1192" t="n">
        <v>119</v>
      </c>
      <c r="C1192" t="inlineStr">
        <is>
          <t>866</t>
        </is>
      </c>
      <c r="D1192" t="n">
        <v>8.66</v>
      </c>
      <c r="E1192">
        <f>MEDIAN(D1172:D1212)</f>
        <v/>
      </c>
      <c r="F1192">
        <f>E1172</f>
        <v/>
      </c>
      <c r="G1192">
        <f>F1192-E1192</f>
        <v/>
      </c>
      <c r="H1192">
        <f>IF(OR(NOT(ISNUMBER(D1192)),ABS(D1192-E1192)&gt;$O$3,AND($O$11=1,B1192&lt;$O$12)),1,0)</f>
        <v/>
      </c>
      <c r="I1192">
        <f>IF(H1192=1,NA(),D1192)</f>
        <v/>
      </c>
      <c r="J1192">
        <f>IF(AND(ISNUMBER(D1192),D1192&gt;=$O$4,OR($O$11=0,B1192&gt;=$O$12)),1,0)</f>
        <v/>
      </c>
      <c r="K1192">
        <f>B1192-$O$14</f>
        <v/>
      </c>
    </row>
    <row r="1193">
      <c r="A1193" t="n">
        <v>3573</v>
      </c>
      <c r="B1193" t="n">
        <v>119.1</v>
      </c>
      <c r="C1193" t="inlineStr">
        <is>
          <t>866</t>
        </is>
      </c>
      <c r="D1193" t="n">
        <v>8.66</v>
      </c>
      <c r="E1193">
        <f>MEDIAN(D1173:D1213)</f>
        <v/>
      </c>
      <c r="F1193">
        <f>E1173</f>
        <v/>
      </c>
      <c r="G1193">
        <f>F1193-E1193</f>
        <v/>
      </c>
      <c r="H1193">
        <f>IF(OR(NOT(ISNUMBER(D1193)),ABS(D1193-E1193)&gt;$O$3,AND($O$11=1,B1193&lt;$O$12)),1,0)</f>
        <v/>
      </c>
      <c r="I1193">
        <f>IF(H1193=1,NA(),D1193)</f>
        <v/>
      </c>
      <c r="J1193">
        <f>IF(AND(ISNUMBER(D1193),D1193&gt;=$O$4,OR($O$11=0,B1193&gt;=$O$12)),1,0)</f>
        <v/>
      </c>
      <c r="K1193">
        <f>B1193-$O$14</f>
        <v/>
      </c>
    </row>
    <row r="1194">
      <c r="A1194" t="n">
        <v>3576</v>
      </c>
      <c r="B1194" t="n">
        <v>119.2</v>
      </c>
      <c r="C1194" t="inlineStr">
        <is>
          <t>866</t>
        </is>
      </c>
      <c r="D1194" t="n">
        <v>8.66</v>
      </c>
      <c r="E1194">
        <f>MEDIAN(D1174:D1214)</f>
        <v/>
      </c>
      <c r="F1194">
        <f>E1174</f>
        <v/>
      </c>
      <c r="G1194">
        <f>F1194-E1194</f>
        <v/>
      </c>
      <c r="H1194">
        <f>IF(OR(NOT(ISNUMBER(D1194)),ABS(D1194-E1194)&gt;$O$3,AND($O$11=1,B1194&lt;$O$12)),1,0)</f>
        <v/>
      </c>
      <c r="I1194">
        <f>IF(H1194=1,NA(),D1194)</f>
        <v/>
      </c>
      <c r="J1194">
        <f>IF(AND(ISNUMBER(D1194),D1194&gt;=$O$4,OR($O$11=0,B1194&gt;=$O$12)),1,0)</f>
        <v/>
      </c>
      <c r="K1194">
        <f>B1194-$O$14</f>
        <v/>
      </c>
    </row>
    <row r="1195">
      <c r="A1195" t="n">
        <v>3579</v>
      </c>
      <c r="B1195" t="n">
        <v>119.3</v>
      </c>
      <c r="C1195" t="inlineStr">
        <is>
          <t>866</t>
        </is>
      </c>
      <c r="D1195" t="n">
        <v>8.66</v>
      </c>
      <c r="E1195">
        <f>MEDIAN(D1175:D1215)</f>
        <v/>
      </c>
      <c r="F1195">
        <f>E1175</f>
        <v/>
      </c>
      <c r="G1195">
        <f>F1195-E1195</f>
        <v/>
      </c>
      <c r="H1195">
        <f>IF(OR(NOT(ISNUMBER(D1195)),ABS(D1195-E1195)&gt;$O$3,AND($O$11=1,B1195&lt;$O$12)),1,0)</f>
        <v/>
      </c>
      <c r="I1195">
        <f>IF(H1195=1,NA(),D1195)</f>
        <v/>
      </c>
      <c r="J1195">
        <f>IF(AND(ISNUMBER(D1195),D1195&gt;=$O$4,OR($O$11=0,B1195&gt;=$O$12)),1,0)</f>
        <v/>
      </c>
      <c r="K1195">
        <f>B1195-$O$14</f>
        <v/>
      </c>
    </row>
    <row r="1196">
      <c r="A1196" t="n">
        <v>3582</v>
      </c>
      <c r="B1196" t="n">
        <v>119.4</v>
      </c>
      <c r="C1196" t="inlineStr">
        <is>
          <t>866</t>
        </is>
      </c>
      <c r="D1196" t="n">
        <v>8.66</v>
      </c>
      <c r="E1196">
        <f>MEDIAN(D1176:D1216)</f>
        <v/>
      </c>
      <c r="F1196">
        <f>E1176</f>
        <v/>
      </c>
      <c r="G1196">
        <f>F1196-E1196</f>
        <v/>
      </c>
      <c r="H1196">
        <f>IF(OR(NOT(ISNUMBER(D1196)),ABS(D1196-E1196)&gt;$O$3,AND($O$11=1,B1196&lt;$O$12)),1,0)</f>
        <v/>
      </c>
      <c r="I1196">
        <f>IF(H1196=1,NA(),D1196)</f>
        <v/>
      </c>
      <c r="J1196">
        <f>IF(AND(ISNUMBER(D1196),D1196&gt;=$O$4,OR($O$11=0,B1196&gt;=$O$12)),1,0)</f>
        <v/>
      </c>
      <c r="K1196">
        <f>B1196-$O$14</f>
        <v/>
      </c>
    </row>
    <row r="1197">
      <c r="A1197" t="n">
        <v>3585</v>
      </c>
      <c r="B1197" t="n">
        <v>119.5</v>
      </c>
      <c r="C1197" t="inlineStr">
        <is>
          <t>866</t>
        </is>
      </c>
      <c r="D1197" t="n">
        <v>8.66</v>
      </c>
      <c r="E1197">
        <f>MEDIAN(D1177:D1217)</f>
        <v/>
      </c>
      <c r="F1197">
        <f>E1177</f>
        <v/>
      </c>
      <c r="G1197">
        <f>F1197-E1197</f>
        <v/>
      </c>
      <c r="H1197">
        <f>IF(OR(NOT(ISNUMBER(D1197)),ABS(D1197-E1197)&gt;$O$3,AND($O$11=1,B1197&lt;$O$12)),1,0)</f>
        <v/>
      </c>
      <c r="I1197">
        <f>IF(H1197=1,NA(),D1197)</f>
        <v/>
      </c>
      <c r="J1197">
        <f>IF(AND(ISNUMBER(D1197),D1197&gt;=$O$4,OR($O$11=0,B1197&gt;=$O$12)),1,0)</f>
        <v/>
      </c>
      <c r="K1197">
        <f>B1197-$O$14</f>
        <v/>
      </c>
    </row>
    <row r="1198">
      <c r="A1198" t="n">
        <v>3588</v>
      </c>
      <c r="B1198" t="n">
        <v>119.6</v>
      </c>
      <c r="C1198" t="inlineStr">
        <is>
          <t>866</t>
        </is>
      </c>
      <c r="D1198" t="n">
        <v>8.66</v>
      </c>
      <c r="E1198">
        <f>MEDIAN(D1178:D1218)</f>
        <v/>
      </c>
      <c r="F1198">
        <f>E1178</f>
        <v/>
      </c>
      <c r="G1198">
        <f>F1198-E1198</f>
        <v/>
      </c>
      <c r="H1198">
        <f>IF(OR(NOT(ISNUMBER(D1198)),ABS(D1198-E1198)&gt;$O$3,AND($O$11=1,B1198&lt;$O$12)),1,0)</f>
        <v/>
      </c>
      <c r="I1198">
        <f>IF(H1198=1,NA(),D1198)</f>
        <v/>
      </c>
      <c r="J1198">
        <f>IF(AND(ISNUMBER(D1198),D1198&gt;=$O$4,OR($O$11=0,B1198&gt;=$O$12)),1,0)</f>
        <v/>
      </c>
      <c r="K1198">
        <f>B1198-$O$14</f>
        <v/>
      </c>
    </row>
    <row r="1199">
      <c r="A1199" t="n">
        <v>3591</v>
      </c>
      <c r="B1199" t="n">
        <v>119.7</v>
      </c>
      <c r="C1199" t="inlineStr">
        <is>
          <t>866</t>
        </is>
      </c>
      <c r="D1199" t="n">
        <v>8.66</v>
      </c>
      <c r="E1199">
        <f>MEDIAN(D1179:D1219)</f>
        <v/>
      </c>
      <c r="F1199">
        <f>E1179</f>
        <v/>
      </c>
      <c r="G1199">
        <f>F1199-E1199</f>
        <v/>
      </c>
      <c r="H1199">
        <f>IF(OR(NOT(ISNUMBER(D1199)),ABS(D1199-E1199)&gt;$O$3,AND($O$11=1,B1199&lt;$O$12)),1,0)</f>
        <v/>
      </c>
      <c r="I1199">
        <f>IF(H1199=1,NA(),D1199)</f>
        <v/>
      </c>
      <c r="J1199">
        <f>IF(AND(ISNUMBER(D1199),D1199&gt;=$O$4,OR($O$11=0,B1199&gt;=$O$12)),1,0)</f>
        <v/>
      </c>
      <c r="K1199">
        <f>B1199-$O$14</f>
        <v/>
      </c>
    </row>
    <row r="1200">
      <c r="A1200" t="n">
        <v>3594</v>
      </c>
      <c r="B1200" t="n">
        <v>119.8</v>
      </c>
      <c r="C1200" t="inlineStr">
        <is>
          <t>866</t>
        </is>
      </c>
      <c r="D1200" t="n">
        <v>8.66</v>
      </c>
      <c r="E1200">
        <f>MEDIAN(D1180:D1220)</f>
        <v/>
      </c>
      <c r="F1200">
        <f>E1180</f>
        <v/>
      </c>
      <c r="G1200">
        <f>F1200-E1200</f>
        <v/>
      </c>
      <c r="H1200">
        <f>IF(OR(NOT(ISNUMBER(D1200)),ABS(D1200-E1200)&gt;$O$3,AND($O$11=1,B1200&lt;$O$12)),1,0)</f>
        <v/>
      </c>
      <c r="I1200">
        <f>IF(H1200=1,NA(),D1200)</f>
        <v/>
      </c>
      <c r="J1200">
        <f>IF(AND(ISNUMBER(D1200),D1200&gt;=$O$4,OR($O$11=0,B1200&gt;=$O$12)),1,0)</f>
        <v/>
      </c>
      <c r="K1200">
        <f>B1200-$O$14</f>
        <v/>
      </c>
    </row>
    <row r="1201">
      <c r="A1201" t="n">
        <v>3597</v>
      </c>
      <c r="B1201" t="n">
        <v>119.9</v>
      </c>
      <c r="C1201" t="inlineStr">
        <is>
          <t>866</t>
        </is>
      </c>
      <c r="D1201" t="n">
        <v>8.66</v>
      </c>
      <c r="E1201">
        <f>MEDIAN(D1181:D1221)</f>
        <v/>
      </c>
      <c r="F1201">
        <f>E1181</f>
        <v/>
      </c>
      <c r="G1201">
        <f>F1201-E1201</f>
        <v/>
      </c>
      <c r="H1201">
        <f>IF(OR(NOT(ISNUMBER(D1201)),ABS(D1201-E1201)&gt;$O$3,AND($O$11=1,B1201&lt;$O$12)),1,0)</f>
        <v/>
      </c>
      <c r="I1201">
        <f>IF(H1201=1,NA(),D1201)</f>
        <v/>
      </c>
      <c r="J1201">
        <f>IF(AND(ISNUMBER(D1201),D1201&gt;=$O$4,OR($O$11=0,B1201&gt;=$O$12)),1,0)</f>
        <v/>
      </c>
      <c r="K1201">
        <f>B1201-$O$14</f>
        <v/>
      </c>
    </row>
    <row r="1202">
      <c r="A1202" t="n">
        <v>3600</v>
      </c>
      <c r="B1202" t="n">
        <v>120</v>
      </c>
      <c r="C1202" t="inlineStr">
        <is>
          <t>867</t>
        </is>
      </c>
      <c r="D1202" t="n">
        <v>8.67</v>
      </c>
      <c r="E1202">
        <f>MEDIAN(D1182:D1222)</f>
        <v/>
      </c>
      <c r="F1202">
        <f>E1182</f>
        <v/>
      </c>
      <c r="G1202">
        <f>F1202-E1202</f>
        <v/>
      </c>
      <c r="H1202">
        <f>IF(OR(NOT(ISNUMBER(D1202)),ABS(D1202-E1202)&gt;$O$3,AND($O$11=1,B1202&lt;$O$12)),1,0)</f>
        <v/>
      </c>
      <c r="I1202">
        <f>IF(H1202=1,NA(),D1202)</f>
        <v/>
      </c>
      <c r="J1202">
        <f>IF(AND(ISNUMBER(D1202),D1202&gt;=$O$4,OR($O$11=0,B1202&gt;=$O$12)),1,0)</f>
        <v/>
      </c>
      <c r="K1202">
        <f>B1202-$O$14</f>
        <v/>
      </c>
    </row>
    <row r="1203">
      <c r="A1203" t="n">
        <v>3603</v>
      </c>
      <c r="B1203" t="n">
        <v>120.1</v>
      </c>
      <c r="C1203" t="inlineStr">
        <is>
          <t>867</t>
        </is>
      </c>
      <c r="D1203" t="n">
        <v>8.67</v>
      </c>
      <c r="E1203">
        <f>MEDIAN(D1183:D1223)</f>
        <v/>
      </c>
      <c r="F1203">
        <f>E1183</f>
        <v/>
      </c>
      <c r="G1203">
        <f>F1203-E1203</f>
        <v/>
      </c>
      <c r="H1203">
        <f>IF(OR(NOT(ISNUMBER(D1203)),ABS(D1203-E1203)&gt;$O$3,AND($O$11=1,B1203&lt;$O$12)),1,0)</f>
        <v/>
      </c>
      <c r="I1203">
        <f>IF(H1203=1,NA(),D1203)</f>
        <v/>
      </c>
      <c r="J1203">
        <f>IF(AND(ISNUMBER(D1203),D1203&gt;=$O$4,OR($O$11=0,B1203&gt;=$O$12)),1,0)</f>
        <v/>
      </c>
      <c r="K1203">
        <f>B1203-$O$14</f>
        <v/>
      </c>
    </row>
    <row r="1204">
      <c r="A1204" t="n">
        <v>3606</v>
      </c>
      <c r="B1204" t="n">
        <v>120.2</v>
      </c>
      <c r="C1204" t="inlineStr">
        <is>
          <t>867</t>
        </is>
      </c>
      <c r="D1204" t="n">
        <v>8.67</v>
      </c>
      <c r="E1204">
        <f>MEDIAN(D1184:D1224)</f>
        <v/>
      </c>
      <c r="F1204">
        <f>E1184</f>
        <v/>
      </c>
      <c r="G1204">
        <f>F1204-E1204</f>
        <v/>
      </c>
      <c r="H1204">
        <f>IF(OR(NOT(ISNUMBER(D1204)),ABS(D1204-E1204)&gt;$O$3,AND($O$11=1,B1204&lt;$O$12)),1,0)</f>
        <v/>
      </c>
      <c r="I1204">
        <f>IF(H1204=1,NA(),D1204)</f>
        <v/>
      </c>
      <c r="J1204">
        <f>IF(AND(ISNUMBER(D1204),D1204&gt;=$O$4,OR($O$11=0,B1204&gt;=$O$12)),1,0)</f>
        <v/>
      </c>
      <c r="K1204">
        <f>B1204-$O$14</f>
        <v/>
      </c>
    </row>
    <row r="1205">
      <c r="A1205" t="n">
        <v>3609</v>
      </c>
      <c r="B1205" t="n">
        <v>120.3</v>
      </c>
      <c r="C1205" t="inlineStr">
        <is>
          <t>867</t>
        </is>
      </c>
      <c r="D1205" t="n">
        <v>8.67</v>
      </c>
      <c r="E1205">
        <f>MEDIAN(D1185:D1225)</f>
        <v/>
      </c>
      <c r="F1205">
        <f>E1185</f>
        <v/>
      </c>
      <c r="G1205">
        <f>F1205-E1205</f>
        <v/>
      </c>
      <c r="H1205">
        <f>IF(OR(NOT(ISNUMBER(D1205)),ABS(D1205-E1205)&gt;$O$3,AND($O$11=1,B1205&lt;$O$12)),1,0)</f>
        <v/>
      </c>
      <c r="I1205">
        <f>IF(H1205=1,NA(),D1205)</f>
        <v/>
      </c>
      <c r="J1205">
        <f>IF(AND(ISNUMBER(D1205),D1205&gt;=$O$4,OR($O$11=0,B1205&gt;=$O$12)),1,0)</f>
        <v/>
      </c>
      <c r="K1205">
        <f>B1205-$O$14</f>
        <v/>
      </c>
    </row>
    <row r="1206">
      <c r="A1206" t="n">
        <v>3612</v>
      </c>
      <c r="B1206" t="n">
        <v>120.4</v>
      </c>
      <c r="C1206" t="inlineStr">
        <is>
          <t>867</t>
        </is>
      </c>
      <c r="D1206" t="n">
        <v>8.67</v>
      </c>
      <c r="E1206">
        <f>MEDIAN(D1186:D1226)</f>
        <v/>
      </c>
      <c r="F1206">
        <f>E1186</f>
        <v/>
      </c>
      <c r="G1206">
        <f>F1206-E1206</f>
        <v/>
      </c>
      <c r="H1206">
        <f>IF(OR(NOT(ISNUMBER(D1206)),ABS(D1206-E1206)&gt;$O$3,AND($O$11=1,B1206&lt;$O$12)),1,0)</f>
        <v/>
      </c>
      <c r="I1206">
        <f>IF(H1206=1,NA(),D1206)</f>
        <v/>
      </c>
      <c r="J1206">
        <f>IF(AND(ISNUMBER(D1206),D1206&gt;=$O$4,OR($O$11=0,B1206&gt;=$O$12)),1,0)</f>
        <v/>
      </c>
      <c r="K1206">
        <f>B1206-$O$14</f>
        <v/>
      </c>
    </row>
    <row r="1207">
      <c r="A1207" t="n">
        <v>3615</v>
      </c>
      <c r="B1207" t="n">
        <v>120.5</v>
      </c>
      <c r="C1207" t="inlineStr">
        <is>
          <t>863</t>
        </is>
      </c>
      <c r="D1207" t="n">
        <v>8.630000000000001</v>
      </c>
      <c r="E1207">
        <f>MEDIAN(D1187:D1227)</f>
        <v/>
      </c>
      <c r="F1207">
        <f>E1187</f>
        <v/>
      </c>
      <c r="G1207">
        <f>F1207-E1207</f>
        <v/>
      </c>
      <c r="H1207">
        <f>IF(OR(NOT(ISNUMBER(D1207)),ABS(D1207-E1207)&gt;$O$3,AND($O$11=1,B1207&lt;$O$12)),1,0)</f>
        <v/>
      </c>
      <c r="I1207">
        <f>IF(H1207=1,NA(),D1207)</f>
        <v/>
      </c>
      <c r="J1207">
        <f>IF(AND(ISNUMBER(D1207),D1207&gt;=$O$4,OR($O$11=0,B1207&gt;=$O$12)),1,0)</f>
        <v/>
      </c>
      <c r="K1207">
        <f>B1207-$O$14</f>
        <v/>
      </c>
    </row>
    <row r="1208">
      <c r="A1208" t="n">
        <v>3618</v>
      </c>
      <c r="B1208" t="n">
        <v>120.6</v>
      </c>
      <c r="C1208" t="inlineStr">
        <is>
          <t>868</t>
        </is>
      </c>
      <c r="D1208" t="n">
        <v>8.68</v>
      </c>
      <c r="E1208">
        <f>MEDIAN(D1188:D1228)</f>
        <v/>
      </c>
      <c r="F1208">
        <f>E1188</f>
        <v/>
      </c>
      <c r="G1208">
        <f>F1208-E1208</f>
        <v/>
      </c>
      <c r="H1208">
        <f>IF(OR(NOT(ISNUMBER(D1208)),ABS(D1208-E1208)&gt;$O$3,AND($O$11=1,B1208&lt;$O$12)),1,0)</f>
        <v/>
      </c>
      <c r="I1208">
        <f>IF(H1208=1,NA(),D1208)</f>
        <v/>
      </c>
      <c r="J1208">
        <f>IF(AND(ISNUMBER(D1208),D1208&gt;=$O$4,OR($O$11=0,B1208&gt;=$O$12)),1,0)</f>
        <v/>
      </c>
      <c r="K1208">
        <f>B1208-$O$14</f>
        <v/>
      </c>
    </row>
    <row r="1209">
      <c r="A1209" t="n">
        <v>3621</v>
      </c>
      <c r="B1209" t="n">
        <v>120.7</v>
      </c>
      <c r="C1209" t="inlineStr">
        <is>
          <t>868</t>
        </is>
      </c>
      <c r="D1209" t="n">
        <v>8.68</v>
      </c>
      <c r="E1209">
        <f>MEDIAN(D1189:D1229)</f>
        <v/>
      </c>
      <c r="F1209">
        <f>E1189</f>
        <v/>
      </c>
      <c r="G1209">
        <f>F1209-E1209</f>
        <v/>
      </c>
      <c r="H1209">
        <f>IF(OR(NOT(ISNUMBER(D1209)),ABS(D1209-E1209)&gt;$O$3,AND($O$11=1,B1209&lt;$O$12)),1,0)</f>
        <v/>
      </c>
      <c r="I1209">
        <f>IF(H1209=1,NA(),D1209)</f>
        <v/>
      </c>
      <c r="J1209">
        <f>IF(AND(ISNUMBER(D1209),D1209&gt;=$O$4,OR($O$11=0,B1209&gt;=$O$12)),1,0)</f>
        <v/>
      </c>
      <c r="K1209">
        <f>B1209-$O$14</f>
        <v/>
      </c>
    </row>
    <row r="1210">
      <c r="A1210" t="n">
        <v>3624</v>
      </c>
      <c r="B1210" t="n">
        <v>120.8</v>
      </c>
      <c r="C1210" t="inlineStr">
        <is>
          <t>868</t>
        </is>
      </c>
      <c r="D1210" t="n">
        <v>8.68</v>
      </c>
      <c r="E1210">
        <f>MEDIAN(D1190:D1230)</f>
        <v/>
      </c>
      <c r="F1210">
        <f>E1190</f>
        <v/>
      </c>
      <c r="G1210">
        <f>F1210-E1210</f>
        <v/>
      </c>
      <c r="H1210">
        <f>IF(OR(NOT(ISNUMBER(D1210)),ABS(D1210-E1210)&gt;$O$3,AND($O$11=1,B1210&lt;$O$12)),1,0)</f>
        <v/>
      </c>
      <c r="I1210">
        <f>IF(H1210=1,NA(),D1210)</f>
        <v/>
      </c>
      <c r="J1210">
        <f>IF(AND(ISNUMBER(D1210),D1210&gt;=$O$4,OR($O$11=0,B1210&gt;=$O$12)),1,0)</f>
        <v/>
      </c>
      <c r="K1210">
        <f>B1210-$O$14</f>
        <v/>
      </c>
    </row>
    <row r="1211">
      <c r="A1211" t="n">
        <v>3627</v>
      </c>
      <c r="B1211" t="n">
        <v>120.9</v>
      </c>
      <c r="C1211" t="inlineStr">
        <is>
          <t>868</t>
        </is>
      </c>
      <c r="D1211" t="n">
        <v>8.68</v>
      </c>
      <c r="E1211">
        <f>MEDIAN(D1191:D1231)</f>
        <v/>
      </c>
      <c r="F1211">
        <f>E1191</f>
        <v/>
      </c>
      <c r="G1211">
        <f>F1211-E1211</f>
        <v/>
      </c>
      <c r="H1211">
        <f>IF(OR(NOT(ISNUMBER(D1211)),ABS(D1211-E1211)&gt;$O$3,AND($O$11=1,B1211&lt;$O$12)),1,0)</f>
        <v/>
      </c>
      <c r="I1211">
        <f>IF(H1211=1,NA(),D1211)</f>
        <v/>
      </c>
      <c r="J1211">
        <f>IF(AND(ISNUMBER(D1211),D1211&gt;=$O$4,OR($O$11=0,B1211&gt;=$O$12)),1,0)</f>
        <v/>
      </c>
      <c r="K1211">
        <f>B1211-$O$14</f>
        <v/>
      </c>
    </row>
    <row r="1212">
      <c r="A1212" t="n">
        <v>3630</v>
      </c>
      <c r="B1212" t="n">
        <v>121</v>
      </c>
      <c r="C1212" t="inlineStr">
        <is>
          <t>868</t>
        </is>
      </c>
      <c r="D1212" t="n">
        <v>8.68</v>
      </c>
      <c r="E1212">
        <f>MEDIAN(D1192:D1232)</f>
        <v/>
      </c>
      <c r="F1212">
        <f>E1192</f>
        <v/>
      </c>
      <c r="G1212">
        <f>F1212-E1212</f>
        <v/>
      </c>
      <c r="H1212">
        <f>IF(OR(NOT(ISNUMBER(D1212)),ABS(D1212-E1212)&gt;$O$3,AND($O$11=1,B1212&lt;$O$12)),1,0)</f>
        <v/>
      </c>
      <c r="I1212">
        <f>IF(H1212=1,NA(),D1212)</f>
        <v/>
      </c>
      <c r="J1212">
        <f>IF(AND(ISNUMBER(D1212),D1212&gt;=$O$4,OR($O$11=0,B1212&gt;=$O$12)),1,0)</f>
        <v/>
      </c>
      <c r="K1212">
        <f>B1212-$O$14</f>
        <v/>
      </c>
    </row>
    <row r="1213">
      <c r="A1213" t="n">
        <v>3633</v>
      </c>
      <c r="B1213" t="n">
        <v>121.1</v>
      </c>
      <c r="C1213" t="inlineStr">
        <is>
          <t>868</t>
        </is>
      </c>
      <c r="D1213" t="n">
        <v>8.68</v>
      </c>
      <c r="E1213">
        <f>MEDIAN(D1193:D1233)</f>
        <v/>
      </c>
      <c r="F1213">
        <f>E1193</f>
        <v/>
      </c>
      <c r="G1213">
        <f>F1213-E1213</f>
        <v/>
      </c>
      <c r="H1213">
        <f>IF(OR(NOT(ISNUMBER(D1213)),ABS(D1213-E1213)&gt;$O$3,AND($O$11=1,B1213&lt;$O$12)),1,0)</f>
        <v/>
      </c>
      <c r="I1213">
        <f>IF(H1213=1,NA(),D1213)</f>
        <v/>
      </c>
      <c r="J1213">
        <f>IF(AND(ISNUMBER(D1213),D1213&gt;=$O$4,OR($O$11=0,B1213&gt;=$O$12)),1,0)</f>
        <v/>
      </c>
      <c r="K1213">
        <f>B1213-$O$14</f>
        <v/>
      </c>
    </row>
    <row r="1214">
      <c r="A1214" t="n">
        <v>3636</v>
      </c>
      <c r="B1214" t="n">
        <v>121.2</v>
      </c>
      <c r="C1214" t="inlineStr">
        <is>
          <t>869</t>
        </is>
      </c>
      <c r="D1214" t="n">
        <v>8.69</v>
      </c>
      <c r="E1214">
        <f>MEDIAN(D1194:D1234)</f>
        <v/>
      </c>
      <c r="F1214">
        <f>E1194</f>
        <v/>
      </c>
      <c r="G1214">
        <f>F1214-E1214</f>
        <v/>
      </c>
      <c r="H1214">
        <f>IF(OR(NOT(ISNUMBER(D1214)),ABS(D1214-E1214)&gt;$O$3,AND($O$11=1,B1214&lt;$O$12)),1,0)</f>
        <v/>
      </c>
      <c r="I1214">
        <f>IF(H1214=1,NA(),D1214)</f>
        <v/>
      </c>
      <c r="J1214">
        <f>IF(AND(ISNUMBER(D1214),D1214&gt;=$O$4,OR($O$11=0,B1214&gt;=$O$12)),1,0)</f>
        <v/>
      </c>
      <c r="K1214">
        <f>B1214-$O$14</f>
        <v/>
      </c>
    </row>
    <row r="1215">
      <c r="A1215" t="n">
        <v>3639</v>
      </c>
      <c r="B1215" t="n">
        <v>121.3</v>
      </c>
      <c r="C1215" t="inlineStr">
        <is>
          <t>869</t>
        </is>
      </c>
      <c r="D1215" t="n">
        <v>8.69</v>
      </c>
      <c r="E1215">
        <f>MEDIAN(D1195:D1235)</f>
        <v/>
      </c>
      <c r="F1215">
        <f>E1195</f>
        <v/>
      </c>
      <c r="G1215">
        <f>F1215-E1215</f>
        <v/>
      </c>
      <c r="H1215">
        <f>IF(OR(NOT(ISNUMBER(D1215)),ABS(D1215-E1215)&gt;$O$3,AND($O$11=1,B1215&lt;$O$12)),1,0)</f>
        <v/>
      </c>
      <c r="I1215">
        <f>IF(H1215=1,NA(),D1215)</f>
        <v/>
      </c>
      <c r="J1215">
        <f>IF(AND(ISNUMBER(D1215),D1215&gt;=$O$4,OR($O$11=0,B1215&gt;=$O$12)),1,0)</f>
        <v/>
      </c>
      <c r="K1215">
        <f>B1215-$O$14</f>
        <v/>
      </c>
    </row>
    <row r="1216">
      <c r="A1216" t="n">
        <v>3642</v>
      </c>
      <c r="B1216" t="n">
        <v>121.4</v>
      </c>
      <c r="C1216" t="inlineStr">
        <is>
          <t>869</t>
        </is>
      </c>
      <c r="D1216" t="n">
        <v>8.69</v>
      </c>
      <c r="E1216">
        <f>MEDIAN(D1196:D1236)</f>
        <v/>
      </c>
      <c r="F1216">
        <f>E1196</f>
        <v/>
      </c>
      <c r="G1216">
        <f>F1216-E1216</f>
        <v/>
      </c>
      <c r="H1216">
        <f>IF(OR(NOT(ISNUMBER(D1216)),ABS(D1216-E1216)&gt;$O$3,AND($O$11=1,B1216&lt;$O$12)),1,0)</f>
        <v/>
      </c>
      <c r="I1216">
        <f>IF(H1216=1,NA(),D1216)</f>
        <v/>
      </c>
      <c r="J1216">
        <f>IF(AND(ISNUMBER(D1216),D1216&gt;=$O$4,OR($O$11=0,B1216&gt;=$O$12)),1,0)</f>
        <v/>
      </c>
      <c r="K1216">
        <f>B1216-$O$14</f>
        <v/>
      </c>
    </row>
    <row r="1217">
      <c r="A1217" t="n">
        <v>3645</v>
      </c>
      <c r="B1217" t="n">
        <v>121.5</v>
      </c>
      <c r="C1217" t="inlineStr">
        <is>
          <t>869</t>
        </is>
      </c>
      <c r="D1217" t="n">
        <v>8.69</v>
      </c>
      <c r="E1217">
        <f>MEDIAN(D1197:D1237)</f>
        <v/>
      </c>
      <c r="F1217">
        <f>E1197</f>
        <v/>
      </c>
      <c r="G1217">
        <f>F1217-E1217</f>
        <v/>
      </c>
      <c r="H1217">
        <f>IF(OR(NOT(ISNUMBER(D1217)),ABS(D1217-E1217)&gt;$O$3,AND($O$11=1,B1217&lt;$O$12)),1,0)</f>
        <v/>
      </c>
      <c r="I1217">
        <f>IF(H1217=1,NA(),D1217)</f>
        <v/>
      </c>
      <c r="J1217">
        <f>IF(AND(ISNUMBER(D1217),D1217&gt;=$O$4,OR($O$11=0,B1217&gt;=$O$12)),1,0)</f>
        <v/>
      </c>
      <c r="K1217">
        <f>B1217-$O$14</f>
        <v/>
      </c>
    </row>
    <row r="1218">
      <c r="A1218" t="n">
        <v>3648</v>
      </c>
      <c r="B1218" t="n">
        <v>121.6</v>
      </c>
      <c r="C1218" t="inlineStr">
        <is>
          <t>869</t>
        </is>
      </c>
      <c r="D1218" t="n">
        <v>8.69</v>
      </c>
      <c r="E1218">
        <f>MEDIAN(D1198:D1238)</f>
        <v/>
      </c>
      <c r="F1218">
        <f>E1198</f>
        <v/>
      </c>
      <c r="G1218">
        <f>F1218-E1218</f>
        <v/>
      </c>
      <c r="H1218">
        <f>IF(OR(NOT(ISNUMBER(D1218)),ABS(D1218-E1218)&gt;$O$3,AND($O$11=1,B1218&lt;$O$12)),1,0)</f>
        <v/>
      </c>
      <c r="I1218">
        <f>IF(H1218=1,NA(),D1218)</f>
        <v/>
      </c>
      <c r="J1218">
        <f>IF(AND(ISNUMBER(D1218),D1218&gt;=$O$4,OR($O$11=0,B1218&gt;=$O$12)),1,0)</f>
        <v/>
      </c>
      <c r="K1218">
        <f>B1218-$O$14</f>
        <v/>
      </c>
    </row>
    <row r="1219">
      <c r="A1219" t="n">
        <v>3651</v>
      </c>
      <c r="B1219" t="n">
        <v>121.7</v>
      </c>
      <c r="C1219" t="inlineStr">
        <is>
          <t>869</t>
        </is>
      </c>
      <c r="D1219" t="n">
        <v>8.69</v>
      </c>
      <c r="E1219">
        <f>MEDIAN(D1199:D1239)</f>
        <v/>
      </c>
      <c r="F1219">
        <f>E1199</f>
        <v/>
      </c>
      <c r="G1219">
        <f>F1219-E1219</f>
        <v/>
      </c>
      <c r="H1219">
        <f>IF(OR(NOT(ISNUMBER(D1219)),ABS(D1219-E1219)&gt;$O$3,AND($O$11=1,B1219&lt;$O$12)),1,0)</f>
        <v/>
      </c>
      <c r="I1219">
        <f>IF(H1219=1,NA(),D1219)</f>
        <v/>
      </c>
      <c r="J1219">
        <f>IF(AND(ISNUMBER(D1219),D1219&gt;=$O$4,OR($O$11=0,B1219&gt;=$O$12)),1,0)</f>
        <v/>
      </c>
      <c r="K1219">
        <f>B1219-$O$14</f>
        <v/>
      </c>
    </row>
    <row r="1220">
      <c r="A1220" t="n">
        <v>3654</v>
      </c>
      <c r="B1220" t="n">
        <v>121.8</v>
      </c>
      <c r="C1220" t="inlineStr">
        <is>
          <t>869</t>
        </is>
      </c>
      <c r="D1220" t="n">
        <v>8.69</v>
      </c>
      <c r="E1220">
        <f>MEDIAN(D1200:D1240)</f>
        <v/>
      </c>
      <c r="F1220">
        <f>E1200</f>
        <v/>
      </c>
      <c r="G1220">
        <f>F1220-E1220</f>
        <v/>
      </c>
      <c r="H1220">
        <f>IF(OR(NOT(ISNUMBER(D1220)),ABS(D1220-E1220)&gt;$O$3,AND($O$11=1,B1220&lt;$O$12)),1,0)</f>
        <v/>
      </c>
      <c r="I1220">
        <f>IF(H1220=1,NA(),D1220)</f>
        <v/>
      </c>
      <c r="J1220">
        <f>IF(AND(ISNUMBER(D1220),D1220&gt;=$O$4,OR($O$11=0,B1220&gt;=$O$12)),1,0)</f>
        <v/>
      </c>
      <c r="K1220">
        <f>B1220-$O$14</f>
        <v/>
      </c>
    </row>
    <row r="1221">
      <c r="A1221" t="n">
        <v>3657</v>
      </c>
      <c r="B1221" t="n">
        <v>121.9</v>
      </c>
      <c r="C1221" t="inlineStr">
        <is>
          <t>869</t>
        </is>
      </c>
      <c r="D1221" t="n">
        <v>8.69</v>
      </c>
      <c r="E1221">
        <f>MEDIAN(D1201:D1241)</f>
        <v/>
      </c>
      <c r="F1221">
        <f>E1201</f>
        <v/>
      </c>
      <c r="G1221">
        <f>F1221-E1221</f>
        <v/>
      </c>
      <c r="H1221">
        <f>IF(OR(NOT(ISNUMBER(D1221)),ABS(D1221-E1221)&gt;$O$3,AND($O$11=1,B1221&lt;$O$12)),1,0)</f>
        <v/>
      </c>
      <c r="I1221">
        <f>IF(H1221=1,NA(),D1221)</f>
        <v/>
      </c>
      <c r="J1221">
        <f>IF(AND(ISNUMBER(D1221),D1221&gt;=$O$4,OR($O$11=0,B1221&gt;=$O$12)),1,0)</f>
        <v/>
      </c>
      <c r="K1221">
        <f>B1221-$O$14</f>
        <v/>
      </c>
    </row>
    <row r="1222">
      <c r="A1222" t="n">
        <v>3660</v>
      </c>
      <c r="B1222" t="n">
        <v>122</v>
      </c>
      <c r="C1222" t="inlineStr">
        <is>
          <t>869</t>
        </is>
      </c>
      <c r="D1222" t="n">
        <v>8.69</v>
      </c>
      <c r="E1222">
        <f>MEDIAN(D1202:D1242)</f>
        <v/>
      </c>
      <c r="F1222">
        <f>E1202</f>
        <v/>
      </c>
      <c r="G1222">
        <f>F1222-E1222</f>
        <v/>
      </c>
      <c r="H1222">
        <f>IF(OR(NOT(ISNUMBER(D1222)),ABS(D1222-E1222)&gt;$O$3,AND($O$11=1,B1222&lt;$O$12)),1,0)</f>
        <v/>
      </c>
      <c r="I1222">
        <f>IF(H1222=1,NA(),D1222)</f>
        <v/>
      </c>
      <c r="J1222">
        <f>IF(AND(ISNUMBER(D1222),D1222&gt;=$O$4,OR($O$11=0,B1222&gt;=$O$12)),1,0)</f>
        <v/>
      </c>
      <c r="K1222">
        <f>B1222-$O$14</f>
        <v/>
      </c>
    </row>
    <row r="1223">
      <c r="A1223" t="n">
        <v>3663</v>
      </c>
      <c r="B1223" t="n">
        <v>122.1</v>
      </c>
      <c r="C1223" t="inlineStr">
        <is>
          <t>889</t>
        </is>
      </c>
      <c r="D1223" t="n">
        <v>8.890000000000001</v>
      </c>
      <c r="E1223">
        <f>MEDIAN(D1203:D1243)</f>
        <v/>
      </c>
      <c r="F1223">
        <f>E1203</f>
        <v/>
      </c>
      <c r="G1223">
        <f>F1223-E1223</f>
        <v/>
      </c>
      <c r="H1223">
        <f>IF(OR(NOT(ISNUMBER(D1223)),ABS(D1223-E1223)&gt;$O$3,AND($O$11=1,B1223&lt;$O$12)),1,0)</f>
        <v/>
      </c>
      <c r="I1223">
        <f>IF(H1223=1,NA(),D1223)</f>
        <v/>
      </c>
      <c r="J1223">
        <f>IF(AND(ISNUMBER(D1223),D1223&gt;=$O$4,OR($O$11=0,B1223&gt;=$O$12)),1,0)</f>
        <v/>
      </c>
      <c r="K1223">
        <f>B1223-$O$14</f>
        <v/>
      </c>
    </row>
    <row r="1224">
      <c r="A1224" t="n">
        <v>3666</v>
      </c>
      <c r="B1224" t="n">
        <v>122.2</v>
      </c>
      <c r="C1224" t="inlineStr">
        <is>
          <t>871</t>
        </is>
      </c>
      <c r="D1224" t="n">
        <v>8.710000000000001</v>
      </c>
      <c r="E1224">
        <f>MEDIAN(D1204:D1244)</f>
        <v/>
      </c>
      <c r="F1224">
        <f>E1204</f>
        <v/>
      </c>
      <c r="G1224">
        <f>F1224-E1224</f>
        <v/>
      </c>
      <c r="H1224">
        <f>IF(OR(NOT(ISNUMBER(D1224)),ABS(D1224-E1224)&gt;$O$3,AND($O$11=1,B1224&lt;$O$12)),1,0)</f>
        <v/>
      </c>
      <c r="I1224">
        <f>IF(H1224=1,NA(),D1224)</f>
        <v/>
      </c>
      <c r="J1224">
        <f>IF(AND(ISNUMBER(D1224),D1224&gt;=$O$4,OR($O$11=0,B1224&gt;=$O$12)),1,0)</f>
        <v/>
      </c>
      <c r="K1224">
        <f>B1224-$O$14</f>
        <v/>
      </c>
    </row>
    <row r="1225">
      <c r="A1225" t="n">
        <v>3669</v>
      </c>
      <c r="B1225" t="n">
        <v>122.3</v>
      </c>
      <c r="C1225" t="inlineStr">
        <is>
          <t>871</t>
        </is>
      </c>
      <c r="D1225" t="n">
        <v>8.710000000000001</v>
      </c>
      <c r="E1225">
        <f>MEDIAN(D1205:D1245)</f>
        <v/>
      </c>
      <c r="F1225">
        <f>E1205</f>
        <v/>
      </c>
      <c r="G1225">
        <f>F1225-E1225</f>
        <v/>
      </c>
      <c r="H1225">
        <f>IF(OR(NOT(ISNUMBER(D1225)),ABS(D1225-E1225)&gt;$O$3,AND($O$11=1,B1225&lt;$O$12)),1,0)</f>
        <v/>
      </c>
      <c r="I1225">
        <f>IF(H1225=1,NA(),D1225)</f>
        <v/>
      </c>
      <c r="J1225">
        <f>IF(AND(ISNUMBER(D1225),D1225&gt;=$O$4,OR($O$11=0,B1225&gt;=$O$12)),1,0)</f>
        <v/>
      </c>
      <c r="K1225">
        <f>B1225-$O$14</f>
        <v/>
      </c>
    </row>
    <row r="1226">
      <c r="A1226" t="n">
        <v>3672</v>
      </c>
      <c r="B1226" t="n">
        <v>122.4</v>
      </c>
      <c r="C1226" t="inlineStr">
        <is>
          <t>871</t>
        </is>
      </c>
      <c r="D1226" t="n">
        <v>8.710000000000001</v>
      </c>
      <c r="E1226">
        <f>MEDIAN(D1206:D1246)</f>
        <v/>
      </c>
      <c r="F1226">
        <f>E1206</f>
        <v/>
      </c>
      <c r="G1226">
        <f>F1226-E1226</f>
        <v/>
      </c>
      <c r="H1226">
        <f>IF(OR(NOT(ISNUMBER(D1226)),ABS(D1226-E1226)&gt;$O$3,AND($O$11=1,B1226&lt;$O$12)),1,0)</f>
        <v/>
      </c>
      <c r="I1226">
        <f>IF(H1226=1,NA(),D1226)</f>
        <v/>
      </c>
      <c r="J1226">
        <f>IF(AND(ISNUMBER(D1226),D1226&gt;=$O$4,OR($O$11=0,B1226&gt;=$O$12)),1,0)</f>
        <v/>
      </c>
      <c r="K1226">
        <f>B1226-$O$14</f>
        <v/>
      </c>
    </row>
    <row r="1227">
      <c r="A1227" t="n">
        <v>3675</v>
      </c>
      <c r="B1227" t="n">
        <v>122.5</v>
      </c>
      <c r="C1227" t="inlineStr">
        <is>
          <t>871</t>
        </is>
      </c>
      <c r="D1227" t="n">
        <v>8.710000000000001</v>
      </c>
      <c r="E1227">
        <f>MEDIAN(D1207:D1247)</f>
        <v/>
      </c>
      <c r="F1227">
        <f>E1207</f>
        <v/>
      </c>
      <c r="G1227">
        <f>F1227-E1227</f>
        <v/>
      </c>
      <c r="H1227">
        <f>IF(OR(NOT(ISNUMBER(D1227)),ABS(D1227-E1227)&gt;$O$3,AND($O$11=1,B1227&lt;$O$12)),1,0)</f>
        <v/>
      </c>
      <c r="I1227">
        <f>IF(H1227=1,NA(),D1227)</f>
        <v/>
      </c>
      <c r="J1227">
        <f>IF(AND(ISNUMBER(D1227),D1227&gt;=$O$4,OR($O$11=0,B1227&gt;=$O$12)),1,0)</f>
        <v/>
      </c>
      <c r="K1227">
        <f>B1227-$O$14</f>
        <v/>
      </c>
    </row>
    <row r="1228">
      <c r="A1228" t="n">
        <v>3678</v>
      </c>
      <c r="B1228" t="n">
        <v>122.6</v>
      </c>
      <c r="C1228" t="inlineStr">
        <is>
          <t>871</t>
        </is>
      </c>
      <c r="D1228" t="n">
        <v>8.710000000000001</v>
      </c>
      <c r="E1228">
        <f>MEDIAN(D1208:D1248)</f>
        <v/>
      </c>
      <c r="F1228">
        <f>E1208</f>
        <v/>
      </c>
      <c r="G1228">
        <f>F1228-E1228</f>
        <v/>
      </c>
      <c r="H1228">
        <f>IF(OR(NOT(ISNUMBER(D1228)),ABS(D1228-E1228)&gt;$O$3,AND($O$11=1,B1228&lt;$O$12)),1,0)</f>
        <v/>
      </c>
      <c r="I1228">
        <f>IF(H1228=1,NA(),D1228)</f>
        <v/>
      </c>
      <c r="J1228">
        <f>IF(AND(ISNUMBER(D1228),D1228&gt;=$O$4,OR($O$11=0,B1228&gt;=$O$12)),1,0)</f>
        <v/>
      </c>
      <c r="K1228">
        <f>B1228-$O$14</f>
        <v/>
      </c>
    </row>
    <row r="1229">
      <c r="A1229" t="n">
        <v>3681</v>
      </c>
      <c r="B1229" t="n">
        <v>122.7</v>
      </c>
      <c r="C1229" t="inlineStr">
        <is>
          <t>871</t>
        </is>
      </c>
      <c r="D1229" t="n">
        <v>8.710000000000001</v>
      </c>
      <c r="E1229">
        <f>MEDIAN(D1209:D1249)</f>
        <v/>
      </c>
      <c r="F1229">
        <f>E1209</f>
        <v/>
      </c>
      <c r="G1229">
        <f>F1229-E1229</f>
        <v/>
      </c>
      <c r="H1229">
        <f>IF(OR(NOT(ISNUMBER(D1229)),ABS(D1229-E1229)&gt;$O$3,AND($O$11=1,B1229&lt;$O$12)),1,0)</f>
        <v/>
      </c>
      <c r="I1229">
        <f>IF(H1229=1,NA(),D1229)</f>
        <v/>
      </c>
      <c r="J1229">
        <f>IF(AND(ISNUMBER(D1229),D1229&gt;=$O$4,OR($O$11=0,B1229&gt;=$O$12)),1,0)</f>
        <v/>
      </c>
      <c r="K1229">
        <f>B1229-$O$14</f>
        <v/>
      </c>
    </row>
    <row r="1230">
      <c r="A1230" t="n">
        <v>3684</v>
      </c>
      <c r="B1230" t="n">
        <v>122.8</v>
      </c>
      <c r="C1230" t="inlineStr">
        <is>
          <t>871</t>
        </is>
      </c>
      <c r="D1230" t="n">
        <v>8.710000000000001</v>
      </c>
      <c r="E1230">
        <f>MEDIAN(D1210:D1250)</f>
        <v/>
      </c>
      <c r="F1230">
        <f>E1210</f>
        <v/>
      </c>
      <c r="G1230">
        <f>F1230-E1230</f>
        <v/>
      </c>
      <c r="H1230">
        <f>IF(OR(NOT(ISNUMBER(D1230)),ABS(D1230-E1230)&gt;$O$3,AND($O$11=1,B1230&lt;$O$12)),1,0)</f>
        <v/>
      </c>
      <c r="I1230">
        <f>IF(H1230=1,NA(),D1230)</f>
        <v/>
      </c>
      <c r="J1230">
        <f>IF(AND(ISNUMBER(D1230),D1230&gt;=$O$4,OR($O$11=0,B1230&gt;=$O$12)),1,0)</f>
        <v/>
      </c>
      <c r="K1230">
        <f>B1230-$O$14</f>
        <v/>
      </c>
    </row>
    <row r="1231">
      <c r="A1231" t="n">
        <v>3687</v>
      </c>
      <c r="B1231" t="n">
        <v>122.9</v>
      </c>
      <c r="C1231" t="inlineStr">
        <is>
          <t>871</t>
        </is>
      </c>
      <c r="D1231" t="n">
        <v>8.710000000000001</v>
      </c>
      <c r="E1231">
        <f>MEDIAN(D1211:D1251)</f>
        <v/>
      </c>
      <c r="F1231">
        <f>E1211</f>
        <v/>
      </c>
      <c r="G1231">
        <f>F1231-E1231</f>
        <v/>
      </c>
      <c r="H1231">
        <f>IF(OR(NOT(ISNUMBER(D1231)),ABS(D1231-E1231)&gt;$O$3,AND($O$11=1,B1231&lt;$O$12)),1,0)</f>
        <v/>
      </c>
      <c r="I1231">
        <f>IF(H1231=1,NA(),D1231)</f>
        <v/>
      </c>
      <c r="J1231">
        <f>IF(AND(ISNUMBER(D1231),D1231&gt;=$O$4,OR($O$11=0,B1231&gt;=$O$12)),1,0)</f>
        <v/>
      </c>
      <c r="K1231">
        <f>B1231-$O$14</f>
        <v/>
      </c>
    </row>
    <row r="1232">
      <c r="A1232" t="n">
        <v>3690</v>
      </c>
      <c r="B1232" t="n">
        <v>123</v>
      </c>
      <c r="C1232" t="inlineStr">
        <is>
          <t>871</t>
        </is>
      </c>
      <c r="D1232" t="n">
        <v>8.710000000000001</v>
      </c>
      <c r="E1232">
        <f>MEDIAN(D1212:D1252)</f>
        <v/>
      </c>
      <c r="F1232">
        <f>E1212</f>
        <v/>
      </c>
      <c r="G1232">
        <f>F1232-E1232</f>
        <v/>
      </c>
      <c r="H1232">
        <f>IF(OR(NOT(ISNUMBER(D1232)),ABS(D1232-E1232)&gt;$O$3,AND($O$11=1,B1232&lt;$O$12)),1,0)</f>
        <v/>
      </c>
      <c r="I1232">
        <f>IF(H1232=1,NA(),D1232)</f>
        <v/>
      </c>
      <c r="J1232">
        <f>IF(AND(ISNUMBER(D1232),D1232&gt;=$O$4,OR($O$11=0,B1232&gt;=$O$12)),1,0)</f>
        <v/>
      </c>
      <c r="K1232">
        <f>B1232-$O$14</f>
        <v/>
      </c>
    </row>
    <row r="1233">
      <c r="A1233" t="n">
        <v>3693</v>
      </c>
      <c r="B1233" t="n">
        <v>123.1</v>
      </c>
      <c r="C1233" t="inlineStr">
        <is>
          <t>871</t>
        </is>
      </c>
      <c r="D1233" t="n">
        <v>8.710000000000001</v>
      </c>
      <c r="E1233">
        <f>MEDIAN(D1213:D1253)</f>
        <v/>
      </c>
      <c r="F1233">
        <f>E1213</f>
        <v/>
      </c>
      <c r="G1233">
        <f>F1233-E1233</f>
        <v/>
      </c>
      <c r="H1233">
        <f>IF(OR(NOT(ISNUMBER(D1233)),ABS(D1233-E1233)&gt;$O$3,AND($O$11=1,B1233&lt;$O$12)),1,0)</f>
        <v/>
      </c>
      <c r="I1233">
        <f>IF(H1233=1,NA(),D1233)</f>
        <v/>
      </c>
      <c r="J1233">
        <f>IF(AND(ISNUMBER(D1233),D1233&gt;=$O$4,OR($O$11=0,B1233&gt;=$O$12)),1,0)</f>
        <v/>
      </c>
      <c r="K1233">
        <f>B1233-$O$14</f>
        <v/>
      </c>
    </row>
    <row r="1234">
      <c r="A1234" t="n">
        <v>3696</v>
      </c>
      <c r="B1234" t="n">
        <v>123.2</v>
      </c>
      <c r="C1234" t="inlineStr">
        <is>
          <t>871</t>
        </is>
      </c>
      <c r="D1234" t="n">
        <v>8.710000000000001</v>
      </c>
      <c r="E1234">
        <f>MEDIAN(D1214:D1254)</f>
        <v/>
      </c>
      <c r="F1234">
        <f>E1214</f>
        <v/>
      </c>
      <c r="G1234">
        <f>F1234-E1234</f>
        <v/>
      </c>
      <c r="H1234">
        <f>IF(OR(NOT(ISNUMBER(D1234)),ABS(D1234-E1234)&gt;$O$3,AND($O$11=1,B1234&lt;$O$12)),1,0)</f>
        <v/>
      </c>
      <c r="I1234">
        <f>IF(H1234=1,NA(),D1234)</f>
        <v/>
      </c>
      <c r="J1234">
        <f>IF(AND(ISNUMBER(D1234),D1234&gt;=$O$4,OR($O$11=0,B1234&gt;=$O$12)),1,0)</f>
        <v/>
      </c>
      <c r="K1234">
        <f>B1234-$O$14</f>
        <v/>
      </c>
    </row>
    <row r="1235">
      <c r="A1235" t="n">
        <v>3699</v>
      </c>
      <c r="B1235" t="n">
        <v>123.3</v>
      </c>
      <c r="C1235" t="inlineStr">
        <is>
          <t>871</t>
        </is>
      </c>
      <c r="D1235" t="n">
        <v>8.710000000000001</v>
      </c>
      <c r="E1235">
        <f>MEDIAN(D1215:D1255)</f>
        <v/>
      </c>
      <c r="F1235">
        <f>E1215</f>
        <v/>
      </c>
      <c r="G1235">
        <f>F1235-E1235</f>
        <v/>
      </c>
      <c r="H1235">
        <f>IF(OR(NOT(ISNUMBER(D1235)),ABS(D1235-E1235)&gt;$O$3,AND($O$11=1,B1235&lt;$O$12)),1,0)</f>
        <v/>
      </c>
      <c r="I1235">
        <f>IF(H1235=1,NA(),D1235)</f>
        <v/>
      </c>
      <c r="J1235">
        <f>IF(AND(ISNUMBER(D1235),D1235&gt;=$O$4,OR($O$11=0,B1235&gt;=$O$12)),1,0)</f>
        <v/>
      </c>
      <c r="K1235">
        <f>B1235-$O$14</f>
        <v/>
      </c>
    </row>
    <row r="1236">
      <c r="A1236" t="n">
        <v>3702</v>
      </c>
      <c r="B1236" t="n">
        <v>123.4</v>
      </c>
      <c r="C1236" t="inlineStr">
        <is>
          <t>871</t>
        </is>
      </c>
      <c r="D1236" t="n">
        <v>8.710000000000001</v>
      </c>
      <c r="E1236">
        <f>MEDIAN(D1216:D1256)</f>
        <v/>
      </c>
      <c r="F1236">
        <f>E1216</f>
        <v/>
      </c>
      <c r="G1236">
        <f>F1236-E1236</f>
        <v/>
      </c>
      <c r="H1236">
        <f>IF(OR(NOT(ISNUMBER(D1236)),ABS(D1236-E1236)&gt;$O$3,AND($O$11=1,B1236&lt;$O$12)),1,0)</f>
        <v/>
      </c>
      <c r="I1236">
        <f>IF(H1236=1,NA(),D1236)</f>
        <v/>
      </c>
      <c r="J1236">
        <f>IF(AND(ISNUMBER(D1236),D1236&gt;=$O$4,OR($O$11=0,B1236&gt;=$O$12)),1,0)</f>
        <v/>
      </c>
      <c r="K1236">
        <f>B1236-$O$14</f>
        <v/>
      </c>
    </row>
    <row r="1237">
      <c r="A1237" t="n">
        <v>3705</v>
      </c>
      <c r="B1237" t="n">
        <v>123.5</v>
      </c>
      <c r="C1237" t="inlineStr">
        <is>
          <t>871</t>
        </is>
      </c>
      <c r="D1237" t="n">
        <v>8.710000000000001</v>
      </c>
      <c r="E1237">
        <f>MEDIAN(D1217:D1257)</f>
        <v/>
      </c>
      <c r="F1237">
        <f>E1217</f>
        <v/>
      </c>
      <c r="G1237">
        <f>F1237-E1237</f>
        <v/>
      </c>
      <c r="H1237">
        <f>IF(OR(NOT(ISNUMBER(D1237)),ABS(D1237-E1237)&gt;$O$3,AND($O$11=1,B1237&lt;$O$12)),1,0)</f>
        <v/>
      </c>
      <c r="I1237">
        <f>IF(H1237=1,NA(),D1237)</f>
        <v/>
      </c>
      <c r="J1237">
        <f>IF(AND(ISNUMBER(D1237),D1237&gt;=$O$4,OR($O$11=0,B1237&gt;=$O$12)),1,0)</f>
        <v/>
      </c>
      <c r="K1237">
        <f>B1237-$O$14</f>
        <v/>
      </c>
    </row>
    <row r="1238">
      <c r="A1238" t="n">
        <v>3708</v>
      </c>
      <c r="B1238" t="n">
        <v>123.6</v>
      </c>
      <c r="C1238" t="inlineStr">
        <is>
          <t>871</t>
        </is>
      </c>
      <c r="D1238" t="n">
        <v>8.710000000000001</v>
      </c>
      <c r="E1238">
        <f>MEDIAN(D1218:D1258)</f>
        <v/>
      </c>
      <c r="F1238">
        <f>E1218</f>
        <v/>
      </c>
      <c r="G1238">
        <f>F1238-E1238</f>
        <v/>
      </c>
      <c r="H1238">
        <f>IF(OR(NOT(ISNUMBER(D1238)),ABS(D1238-E1238)&gt;$O$3,AND($O$11=1,B1238&lt;$O$12)),1,0)</f>
        <v/>
      </c>
      <c r="I1238">
        <f>IF(H1238=1,NA(),D1238)</f>
        <v/>
      </c>
      <c r="J1238">
        <f>IF(AND(ISNUMBER(D1238),D1238&gt;=$O$4,OR($O$11=0,B1238&gt;=$O$12)),1,0)</f>
        <v/>
      </c>
      <c r="K1238">
        <f>B1238-$O$14</f>
        <v/>
      </c>
    </row>
    <row r="1239">
      <c r="A1239" t="n">
        <v>3711</v>
      </c>
      <c r="B1239" t="n">
        <v>123.7</v>
      </c>
      <c r="C1239" t="inlineStr">
        <is>
          <t>871</t>
        </is>
      </c>
      <c r="D1239" t="n">
        <v>8.710000000000001</v>
      </c>
      <c r="E1239">
        <f>MEDIAN(D1219:D1259)</f>
        <v/>
      </c>
      <c r="F1239">
        <f>E1219</f>
        <v/>
      </c>
      <c r="G1239">
        <f>F1239-E1239</f>
        <v/>
      </c>
      <c r="H1239">
        <f>IF(OR(NOT(ISNUMBER(D1239)),ABS(D1239-E1239)&gt;$O$3,AND($O$11=1,B1239&lt;$O$12)),1,0)</f>
        <v/>
      </c>
      <c r="I1239">
        <f>IF(H1239=1,NA(),D1239)</f>
        <v/>
      </c>
      <c r="J1239">
        <f>IF(AND(ISNUMBER(D1239),D1239&gt;=$O$4,OR($O$11=0,B1239&gt;=$O$12)),1,0)</f>
        <v/>
      </c>
      <c r="K1239">
        <f>B1239-$O$14</f>
        <v/>
      </c>
    </row>
    <row r="1240">
      <c r="A1240" t="n">
        <v>3714</v>
      </c>
      <c r="B1240" t="n">
        <v>123.8</v>
      </c>
      <c r="C1240" t="inlineStr">
        <is>
          <t>871</t>
        </is>
      </c>
      <c r="D1240" t="n">
        <v>8.710000000000001</v>
      </c>
      <c r="E1240">
        <f>MEDIAN(D1220:D1260)</f>
        <v/>
      </c>
      <c r="F1240">
        <f>E1220</f>
        <v/>
      </c>
      <c r="G1240">
        <f>F1240-E1240</f>
        <v/>
      </c>
      <c r="H1240">
        <f>IF(OR(NOT(ISNUMBER(D1240)),ABS(D1240-E1240)&gt;$O$3,AND($O$11=1,B1240&lt;$O$12)),1,0)</f>
        <v/>
      </c>
      <c r="I1240">
        <f>IF(H1240=1,NA(),D1240)</f>
        <v/>
      </c>
      <c r="J1240">
        <f>IF(AND(ISNUMBER(D1240),D1240&gt;=$O$4,OR($O$11=0,B1240&gt;=$O$12)),1,0)</f>
        <v/>
      </c>
      <c r="K1240">
        <f>B1240-$O$14</f>
        <v/>
      </c>
    </row>
    <row r="1241">
      <c r="A1241" t="n">
        <v>3717</v>
      </c>
      <c r="B1241" t="n">
        <v>123.9</v>
      </c>
      <c r="C1241" t="inlineStr">
        <is>
          <t>871</t>
        </is>
      </c>
      <c r="D1241" t="n">
        <v>8.710000000000001</v>
      </c>
      <c r="E1241">
        <f>MEDIAN(D1221:D1261)</f>
        <v/>
      </c>
      <c r="F1241">
        <f>E1221</f>
        <v/>
      </c>
      <c r="G1241">
        <f>F1241-E1241</f>
        <v/>
      </c>
      <c r="H1241">
        <f>IF(OR(NOT(ISNUMBER(D1241)),ABS(D1241-E1241)&gt;$O$3,AND($O$11=1,B1241&lt;$O$12)),1,0)</f>
        <v/>
      </c>
      <c r="I1241">
        <f>IF(H1241=1,NA(),D1241)</f>
        <v/>
      </c>
      <c r="J1241">
        <f>IF(AND(ISNUMBER(D1241),D1241&gt;=$O$4,OR($O$11=0,B1241&gt;=$O$12)),1,0)</f>
        <v/>
      </c>
      <c r="K1241">
        <f>B1241-$O$14</f>
        <v/>
      </c>
    </row>
    <row r="1242">
      <c r="A1242" t="n">
        <v>3720</v>
      </c>
      <c r="B1242" t="n">
        <v>124</v>
      </c>
      <c r="C1242" t="inlineStr">
        <is>
          <t>871</t>
        </is>
      </c>
      <c r="D1242" t="n">
        <v>8.710000000000001</v>
      </c>
      <c r="E1242">
        <f>MEDIAN(D1222:D1262)</f>
        <v/>
      </c>
      <c r="F1242">
        <f>E1222</f>
        <v/>
      </c>
      <c r="G1242">
        <f>F1242-E1242</f>
        <v/>
      </c>
      <c r="H1242">
        <f>IF(OR(NOT(ISNUMBER(D1242)),ABS(D1242-E1242)&gt;$O$3,AND($O$11=1,B1242&lt;$O$12)),1,0)</f>
        <v/>
      </c>
      <c r="I1242">
        <f>IF(H1242=1,NA(),D1242)</f>
        <v/>
      </c>
      <c r="J1242">
        <f>IF(AND(ISNUMBER(D1242),D1242&gt;=$O$4,OR($O$11=0,B1242&gt;=$O$12)),1,0)</f>
        <v/>
      </c>
      <c r="K1242">
        <f>B1242-$O$14</f>
        <v/>
      </c>
    </row>
    <row r="1243">
      <c r="A1243" t="n">
        <v>3723</v>
      </c>
      <c r="B1243" t="n">
        <v>124.1</v>
      </c>
      <c r="C1243" t="inlineStr">
        <is>
          <t>871</t>
        </is>
      </c>
      <c r="D1243" t="n">
        <v>8.710000000000001</v>
      </c>
      <c r="E1243">
        <f>MEDIAN(D1223:D1263)</f>
        <v/>
      </c>
      <c r="F1243">
        <f>E1223</f>
        <v/>
      </c>
      <c r="G1243">
        <f>F1243-E1243</f>
        <v/>
      </c>
      <c r="H1243">
        <f>IF(OR(NOT(ISNUMBER(D1243)),ABS(D1243-E1243)&gt;$O$3,AND($O$11=1,B1243&lt;$O$12)),1,0)</f>
        <v/>
      </c>
      <c r="I1243">
        <f>IF(H1243=1,NA(),D1243)</f>
        <v/>
      </c>
      <c r="J1243">
        <f>IF(AND(ISNUMBER(D1243),D1243&gt;=$O$4,OR($O$11=0,B1243&gt;=$O$12)),1,0)</f>
        <v/>
      </c>
      <c r="K1243">
        <f>B1243-$O$14</f>
        <v/>
      </c>
    </row>
    <row r="1244">
      <c r="A1244" t="n">
        <v>3726</v>
      </c>
      <c r="B1244" t="n">
        <v>124.2</v>
      </c>
      <c r="C1244" t="inlineStr">
        <is>
          <t>871</t>
        </is>
      </c>
      <c r="D1244" t="n">
        <v>8.710000000000001</v>
      </c>
      <c r="E1244">
        <f>MEDIAN(D1224:D1264)</f>
        <v/>
      </c>
      <c r="F1244">
        <f>E1224</f>
        <v/>
      </c>
      <c r="G1244">
        <f>F1244-E1244</f>
        <v/>
      </c>
      <c r="H1244">
        <f>IF(OR(NOT(ISNUMBER(D1244)),ABS(D1244-E1244)&gt;$O$3,AND($O$11=1,B1244&lt;$O$12)),1,0)</f>
        <v/>
      </c>
      <c r="I1244">
        <f>IF(H1244=1,NA(),D1244)</f>
        <v/>
      </c>
      <c r="J1244">
        <f>IF(AND(ISNUMBER(D1244),D1244&gt;=$O$4,OR($O$11=0,B1244&gt;=$O$12)),1,0)</f>
        <v/>
      </c>
      <c r="K1244">
        <f>B1244-$O$14</f>
        <v/>
      </c>
    </row>
    <row r="1245">
      <c r="A1245" t="n">
        <v>3729</v>
      </c>
      <c r="B1245" t="n">
        <v>124.3</v>
      </c>
      <c r="C1245" t="inlineStr">
        <is>
          <t>871</t>
        </is>
      </c>
      <c r="D1245" t="n">
        <v>8.710000000000001</v>
      </c>
      <c r="E1245">
        <f>MEDIAN(D1225:D1265)</f>
        <v/>
      </c>
      <c r="F1245">
        <f>E1225</f>
        <v/>
      </c>
      <c r="G1245">
        <f>F1245-E1245</f>
        <v/>
      </c>
      <c r="H1245">
        <f>IF(OR(NOT(ISNUMBER(D1245)),ABS(D1245-E1245)&gt;$O$3,AND($O$11=1,B1245&lt;$O$12)),1,0)</f>
        <v/>
      </c>
      <c r="I1245">
        <f>IF(H1245=1,NA(),D1245)</f>
        <v/>
      </c>
      <c r="J1245">
        <f>IF(AND(ISNUMBER(D1245),D1245&gt;=$O$4,OR($O$11=0,B1245&gt;=$O$12)),1,0)</f>
        <v/>
      </c>
      <c r="K1245">
        <f>B1245-$O$14</f>
        <v/>
      </c>
    </row>
    <row r="1246">
      <c r="A1246" t="n">
        <v>3732</v>
      </c>
      <c r="B1246" t="n">
        <v>124.4</v>
      </c>
      <c r="C1246" t="inlineStr">
        <is>
          <t>871</t>
        </is>
      </c>
      <c r="D1246" t="n">
        <v>8.710000000000001</v>
      </c>
      <c r="E1246">
        <f>MEDIAN(D1226:D1266)</f>
        <v/>
      </c>
      <c r="F1246">
        <f>E1226</f>
        <v/>
      </c>
      <c r="G1246">
        <f>F1246-E1246</f>
        <v/>
      </c>
      <c r="H1246">
        <f>IF(OR(NOT(ISNUMBER(D1246)),ABS(D1246-E1246)&gt;$O$3,AND($O$11=1,B1246&lt;$O$12)),1,0)</f>
        <v/>
      </c>
      <c r="I1246">
        <f>IF(H1246=1,NA(),D1246)</f>
        <v/>
      </c>
      <c r="J1246">
        <f>IF(AND(ISNUMBER(D1246),D1246&gt;=$O$4,OR($O$11=0,B1246&gt;=$O$12)),1,0)</f>
        <v/>
      </c>
      <c r="K1246">
        <f>B1246-$O$14</f>
        <v/>
      </c>
    </row>
    <row r="1247">
      <c r="A1247" t="n">
        <v>3735</v>
      </c>
      <c r="B1247" t="n">
        <v>124.5</v>
      </c>
      <c r="C1247" t="inlineStr">
        <is>
          <t>871</t>
        </is>
      </c>
      <c r="D1247" t="n">
        <v>8.710000000000001</v>
      </c>
      <c r="E1247">
        <f>MEDIAN(D1227:D1267)</f>
        <v/>
      </c>
      <c r="F1247">
        <f>E1227</f>
        <v/>
      </c>
      <c r="G1247">
        <f>F1247-E1247</f>
        <v/>
      </c>
      <c r="H1247">
        <f>IF(OR(NOT(ISNUMBER(D1247)),ABS(D1247-E1247)&gt;$O$3,AND($O$11=1,B1247&lt;$O$12)),1,0)</f>
        <v/>
      </c>
      <c r="I1247">
        <f>IF(H1247=1,NA(),D1247)</f>
        <v/>
      </c>
      <c r="J1247">
        <f>IF(AND(ISNUMBER(D1247),D1247&gt;=$O$4,OR($O$11=0,B1247&gt;=$O$12)),1,0)</f>
        <v/>
      </c>
      <c r="K1247">
        <f>B1247-$O$14</f>
        <v/>
      </c>
    </row>
    <row r="1248">
      <c r="A1248" t="n">
        <v>3738</v>
      </c>
      <c r="B1248" t="n">
        <v>124.6</v>
      </c>
      <c r="C1248" t="inlineStr">
        <is>
          <t>871</t>
        </is>
      </c>
      <c r="D1248" t="n">
        <v>8.710000000000001</v>
      </c>
      <c r="E1248">
        <f>MEDIAN(D1228:D1268)</f>
        <v/>
      </c>
      <c r="F1248">
        <f>E1228</f>
        <v/>
      </c>
      <c r="G1248">
        <f>F1248-E1248</f>
        <v/>
      </c>
      <c r="H1248">
        <f>IF(OR(NOT(ISNUMBER(D1248)),ABS(D1248-E1248)&gt;$O$3,AND($O$11=1,B1248&lt;$O$12)),1,0)</f>
        <v/>
      </c>
      <c r="I1248">
        <f>IF(H1248=1,NA(),D1248)</f>
        <v/>
      </c>
      <c r="J1248">
        <f>IF(AND(ISNUMBER(D1248),D1248&gt;=$O$4,OR($O$11=0,B1248&gt;=$O$12)),1,0)</f>
        <v/>
      </c>
      <c r="K1248">
        <f>B1248-$O$14</f>
        <v/>
      </c>
    </row>
    <row r="1249">
      <c r="A1249" t="n">
        <v>3741</v>
      </c>
      <c r="B1249" t="n">
        <v>124.7</v>
      </c>
      <c r="C1249" t="inlineStr">
        <is>
          <t>871</t>
        </is>
      </c>
      <c r="D1249" t="n">
        <v>8.710000000000001</v>
      </c>
      <c r="E1249">
        <f>MEDIAN(D1229:D1269)</f>
        <v/>
      </c>
      <c r="F1249">
        <f>E1229</f>
        <v/>
      </c>
      <c r="G1249">
        <f>F1249-E1249</f>
        <v/>
      </c>
      <c r="H1249">
        <f>IF(OR(NOT(ISNUMBER(D1249)),ABS(D1249-E1249)&gt;$O$3,AND($O$11=1,B1249&lt;$O$12)),1,0)</f>
        <v/>
      </c>
      <c r="I1249">
        <f>IF(H1249=1,NA(),D1249)</f>
        <v/>
      </c>
      <c r="J1249">
        <f>IF(AND(ISNUMBER(D1249),D1249&gt;=$O$4,OR($O$11=0,B1249&gt;=$O$12)),1,0)</f>
        <v/>
      </c>
      <c r="K1249">
        <f>B1249-$O$14</f>
        <v/>
      </c>
    </row>
    <row r="1250">
      <c r="A1250" t="n">
        <v>3744</v>
      </c>
      <c r="B1250" t="n">
        <v>124.8</v>
      </c>
      <c r="C1250" t="inlineStr">
        <is>
          <t>871</t>
        </is>
      </c>
      <c r="D1250" t="n">
        <v>8.710000000000001</v>
      </c>
      <c r="E1250">
        <f>MEDIAN(D1230:D1270)</f>
        <v/>
      </c>
      <c r="F1250">
        <f>E1230</f>
        <v/>
      </c>
      <c r="G1250">
        <f>F1250-E1250</f>
        <v/>
      </c>
      <c r="H1250">
        <f>IF(OR(NOT(ISNUMBER(D1250)),ABS(D1250-E1250)&gt;$O$3,AND($O$11=1,B1250&lt;$O$12)),1,0)</f>
        <v/>
      </c>
      <c r="I1250">
        <f>IF(H1250=1,NA(),D1250)</f>
        <v/>
      </c>
      <c r="J1250">
        <f>IF(AND(ISNUMBER(D1250),D1250&gt;=$O$4,OR($O$11=0,B1250&gt;=$O$12)),1,0)</f>
        <v/>
      </c>
      <c r="K1250">
        <f>B1250-$O$14</f>
        <v/>
      </c>
    </row>
    <row r="1251">
      <c r="A1251" t="n">
        <v>3747</v>
      </c>
      <c r="B1251" t="n">
        <v>124.9</v>
      </c>
      <c r="C1251" t="inlineStr">
        <is>
          <t>871</t>
        </is>
      </c>
      <c r="D1251" t="n">
        <v>8.710000000000001</v>
      </c>
      <c r="E1251">
        <f>MEDIAN(D1231:D1271)</f>
        <v/>
      </c>
      <c r="F1251">
        <f>E1231</f>
        <v/>
      </c>
      <c r="G1251">
        <f>F1251-E1251</f>
        <v/>
      </c>
      <c r="H1251">
        <f>IF(OR(NOT(ISNUMBER(D1251)),ABS(D1251-E1251)&gt;$O$3,AND($O$11=1,B1251&lt;$O$12)),1,0)</f>
        <v/>
      </c>
      <c r="I1251">
        <f>IF(H1251=1,NA(),D1251)</f>
        <v/>
      </c>
      <c r="J1251">
        <f>IF(AND(ISNUMBER(D1251),D1251&gt;=$O$4,OR($O$11=0,B1251&gt;=$O$12)),1,0)</f>
        <v/>
      </c>
      <c r="K1251">
        <f>B1251-$O$14</f>
        <v/>
      </c>
    </row>
    <row r="1252">
      <c r="A1252" t="n">
        <v>3750</v>
      </c>
      <c r="B1252" t="n">
        <v>125</v>
      </c>
      <c r="C1252" t="inlineStr">
        <is>
          <t>871</t>
        </is>
      </c>
      <c r="D1252" t="n">
        <v>8.710000000000001</v>
      </c>
      <c r="E1252">
        <f>MEDIAN(D1232:D1272)</f>
        <v/>
      </c>
      <c r="F1252">
        <f>E1232</f>
        <v/>
      </c>
      <c r="G1252">
        <f>F1252-E1252</f>
        <v/>
      </c>
      <c r="H1252">
        <f>IF(OR(NOT(ISNUMBER(D1252)),ABS(D1252-E1252)&gt;$O$3,AND($O$11=1,B1252&lt;$O$12)),1,0)</f>
        <v/>
      </c>
      <c r="I1252">
        <f>IF(H1252=1,NA(),D1252)</f>
        <v/>
      </c>
      <c r="J1252">
        <f>IF(AND(ISNUMBER(D1252),D1252&gt;=$O$4,OR($O$11=0,B1252&gt;=$O$12)),1,0)</f>
        <v/>
      </c>
      <c r="K1252">
        <f>B1252-$O$14</f>
        <v/>
      </c>
    </row>
    <row r="1253">
      <c r="A1253" t="n">
        <v>3753</v>
      </c>
      <c r="B1253" t="n">
        <v>125.1</v>
      </c>
      <c r="C1253" t="inlineStr">
        <is>
          <t>871</t>
        </is>
      </c>
      <c r="D1253" t="n">
        <v>8.710000000000001</v>
      </c>
      <c r="E1253">
        <f>MEDIAN(D1233:D1273)</f>
        <v/>
      </c>
      <c r="F1253">
        <f>E1233</f>
        <v/>
      </c>
      <c r="G1253">
        <f>F1253-E1253</f>
        <v/>
      </c>
      <c r="H1253">
        <f>IF(OR(NOT(ISNUMBER(D1253)),ABS(D1253-E1253)&gt;$O$3,AND($O$11=1,B1253&lt;$O$12)),1,0)</f>
        <v/>
      </c>
      <c r="I1253">
        <f>IF(H1253=1,NA(),D1253)</f>
        <v/>
      </c>
      <c r="J1253">
        <f>IF(AND(ISNUMBER(D1253),D1253&gt;=$O$4,OR($O$11=0,B1253&gt;=$O$12)),1,0)</f>
        <v/>
      </c>
      <c r="K1253">
        <f>B1253-$O$14</f>
        <v/>
      </c>
    </row>
    <row r="1254">
      <c r="A1254" t="n">
        <v>3756</v>
      </c>
      <c r="B1254" t="n">
        <v>125.2</v>
      </c>
      <c r="C1254" t="inlineStr">
        <is>
          <t>871</t>
        </is>
      </c>
      <c r="D1254" t="n">
        <v>8.710000000000001</v>
      </c>
      <c r="E1254">
        <f>MEDIAN(D1234:D1274)</f>
        <v/>
      </c>
      <c r="F1254">
        <f>E1234</f>
        <v/>
      </c>
      <c r="G1254">
        <f>F1254-E1254</f>
        <v/>
      </c>
      <c r="H1254">
        <f>IF(OR(NOT(ISNUMBER(D1254)),ABS(D1254-E1254)&gt;$O$3,AND($O$11=1,B1254&lt;$O$12)),1,0)</f>
        <v/>
      </c>
      <c r="I1254">
        <f>IF(H1254=1,NA(),D1254)</f>
        <v/>
      </c>
      <c r="J1254">
        <f>IF(AND(ISNUMBER(D1254),D1254&gt;=$O$4,OR($O$11=0,B1254&gt;=$O$12)),1,0)</f>
        <v/>
      </c>
      <c r="K1254">
        <f>B1254-$O$14</f>
        <v/>
      </c>
    </row>
    <row r="1255">
      <c r="A1255" t="n">
        <v>3759</v>
      </c>
      <c r="B1255" t="n">
        <v>125.3</v>
      </c>
      <c r="C1255" t="inlineStr">
        <is>
          <t>871</t>
        </is>
      </c>
      <c r="D1255" t="n">
        <v>8.710000000000001</v>
      </c>
      <c r="E1255">
        <f>MEDIAN(D1235:D1275)</f>
        <v/>
      </c>
      <c r="F1255">
        <f>E1235</f>
        <v/>
      </c>
      <c r="G1255">
        <f>F1255-E1255</f>
        <v/>
      </c>
      <c r="H1255">
        <f>IF(OR(NOT(ISNUMBER(D1255)),ABS(D1255-E1255)&gt;$O$3,AND($O$11=1,B1255&lt;$O$12)),1,0)</f>
        <v/>
      </c>
      <c r="I1255">
        <f>IF(H1255=1,NA(),D1255)</f>
        <v/>
      </c>
      <c r="J1255">
        <f>IF(AND(ISNUMBER(D1255),D1255&gt;=$O$4,OR($O$11=0,B1255&gt;=$O$12)),1,0)</f>
        <v/>
      </c>
      <c r="K1255">
        <f>B1255-$O$14</f>
        <v/>
      </c>
    </row>
    <row r="1256">
      <c r="A1256" t="n">
        <v>3762</v>
      </c>
      <c r="B1256" t="n">
        <v>125.4</v>
      </c>
      <c r="C1256" t="inlineStr">
        <is>
          <t>871</t>
        </is>
      </c>
      <c r="D1256" t="n">
        <v>8.710000000000001</v>
      </c>
      <c r="E1256">
        <f>MEDIAN(D1236:D1276)</f>
        <v/>
      </c>
      <c r="F1256">
        <f>E1236</f>
        <v/>
      </c>
      <c r="G1256">
        <f>F1256-E1256</f>
        <v/>
      </c>
      <c r="H1256">
        <f>IF(OR(NOT(ISNUMBER(D1256)),ABS(D1256-E1256)&gt;$O$3,AND($O$11=1,B1256&lt;$O$12)),1,0)</f>
        <v/>
      </c>
      <c r="I1256">
        <f>IF(H1256=1,NA(),D1256)</f>
        <v/>
      </c>
      <c r="J1256">
        <f>IF(AND(ISNUMBER(D1256),D1256&gt;=$O$4,OR($O$11=0,B1256&gt;=$O$12)),1,0)</f>
        <v/>
      </c>
      <c r="K1256">
        <f>B1256-$O$14</f>
        <v/>
      </c>
    </row>
    <row r="1257">
      <c r="A1257" t="n">
        <v>3765</v>
      </c>
      <c r="B1257" t="n">
        <v>125.5</v>
      </c>
      <c r="C1257" t="inlineStr">
        <is>
          <t>871</t>
        </is>
      </c>
      <c r="D1257" t="n">
        <v>8.710000000000001</v>
      </c>
      <c r="E1257">
        <f>MEDIAN(D1237:D1277)</f>
        <v/>
      </c>
      <c r="F1257">
        <f>E1237</f>
        <v/>
      </c>
      <c r="G1257">
        <f>F1257-E1257</f>
        <v/>
      </c>
      <c r="H1257">
        <f>IF(OR(NOT(ISNUMBER(D1257)),ABS(D1257-E1257)&gt;$O$3,AND($O$11=1,B1257&lt;$O$12)),1,0)</f>
        <v/>
      </c>
      <c r="I1257">
        <f>IF(H1257=1,NA(),D1257)</f>
        <v/>
      </c>
      <c r="J1257">
        <f>IF(AND(ISNUMBER(D1257),D1257&gt;=$O$4,OR($O$11=0,B1257&gt;=$O$12)),1,0)</f>
        <v/>
      </c>
      <c r="K1257">
        <f>B1257-$O$14</f>
        <v/>
      </c>
    </row>
    <row r="1258">
      <c r="A1258" t="n">
        <v>3768</v>
      </c>
      <c r="B1258" t="n">
        <v>125.6</v>
      </c>
      <c r="C1258" t="inlineStr">
        <is>
          <t>871</t>
        </is>
      </c>
      <c r="D1258" t="n">
        <v>8.710000000000001</v>
      </c>
      <c r="E1258">
        <f>MEDIAN(D1238:D1278)</f>
        <v/>
      </c>
      <c r="F1258">
        <f>E1238</f>
        <v/>
      </c>
      <c r="G1258">
        <f>F1258-E1258</f>
        <v/>
      </c>
      <c r="H1258">
        <f>IF(OR(NOT(ISNUMBER(D1258)),ABS(D1258-E1258)&gt;$O$3,AND($O$11=1,B1258&lt;$O$12)),1,0)</f>
        <v/>
      </c>
      <c r="I1258">
        <f>IF(H1258=1,NA(),D1258)</f>
        <v/>
      </c>
      <c r="J1258">
        <f>IF(AND(ISNUMBER(D1258),D1258&gt;=$O$4,OR($O$11=0,B1258&gt;=$O$12)),1,0)</f>
        <v/>
      </c>
      <c r="K1258">
        <f>B1258-$O$14</f>
        <v/>
      </c>
    </row>
    <row r="1259">
      <c r="A1259" t="n">
        <v>3771</v>
      </c>
      <c r="B1259" t="n">
        <v>125.7</v>
      </c>
      <c r="C1259" t="inlineStr">
        <is>
          <t>871</t>
        </is>
      </c>
      <c r="D1259" t="n">
        <v>8.710000000000001</v>
      </c>
      <c r="E1259">
        <f>MEDIAN(D1239:D1279)</f>
        <v/>
      </c>
      <c r="F1259">
        <f>E1239</f>
        <v/>
      </c>
      <c r="G1259">
        <f>F1259-E1259</f>
        <v/>
      </c>
      <c r="H1259">
        <f>IF(OR(NOT(ISNUMBER(D1259)),ABS(D1259-E1259)&gt;$O$3,AND($O$11=1,B1259&lt;$O$12)),1,0)</f>
        <v/>
      </c>
      <c r="I1259">
        <f>IF(H1259=1,NA(),D1259)</f>
        <v/>
      </c>
      <c r="J1259">
        <f>IF(AND(ISNUMBER(D1259),D1259&gt;=$O$4,OR($O$11=0,B1259&gt;=$O$12)),1,0)</f>
        <v/>
      </c>
      <c r="K1259">
        <f>B1259-$O$14</f>
        <v/>
      </c>
    </row>
    <row r="1260">
      <c r="A1260" t="n">
        <v>3774</v>
      </c>
      <c r="B1260" t="n">
        <v>125.8</v>
      </c>
      <c r="C1260" t="inlineStr">
        <is>
          <t>871</t>
        </is>
      </c>
      <c r="D1260" t="n">
        <v>8.710000000000001</v>
      </c>
      <c r="E1260">
        <f>MEDIAN(D1240:D1280)</f>
        <v/>
      </c>
      <c r="F1260">
        <f>E1240</f>
        <v/>
      </c>
      <c r="G1260">
        <f>F1260-E1260</f>
        <v/>
      </c>
      <c r="H1260">
        <f>IF(OR(NOT(ISNUMBER(D1260)),ABS(D1260-E1260)&gt;$O$3,AND($O$11=1,B1260&lt;$O$12)),1,0)</f>
        <v/>
      </c>
      <c r="I1260">
        <f>IF(H1260=1,NA(),D1260)</f>
        <v/>
      </c>
      <c r="J1260">
        <f>IF(AND(ISNUMBER(D1260),D1260&gt;=$O$4,OR($O$11=0,B1260&gt;=$O$12)),1,0)</f>
        <v/>
      </c>
      <c r="K1260">
        <f>B1260-$O$14</f>
        <v/>
      </c>
    </row>
    <row r="1261">
      <c r="A1261" t="n">
        <v>3777</v>
      </c>
      <c r="B1261" t="n">
        <v>125.9</v>
      </c>
      <c r="C1261" t="inlineStr">
        <is>
          <t>871</t>
        </is>
      </c>
      <c r="D1261" t="n">
        <v>8.710000000000001</v>
      </c>
      <c r="E1261">
        <f>MEDIAN(D1241:D1281)</f>
        <v/>
      </c>
      <c r="F1261">
        <f>E1241</f>
        <v/>
      </c>
      <c r="G1261">
        <f>F1261-E1261</f>
        <v/>
      </c>
      <c r="H1261">
        <f>IF(OR(NOT(ISNUMBER(D1261)),ABS(D1261-E1261)&gt;$O$3,AND($O$11=1,B1261&lt;$O$12)),1,0)</f>
        <v/>
      </c>
      <c r="I1261">
        <f>IF(H1261=1,NA(),D1261)</f>
        <v/>
      </c>
      <c r="J1261">
        <f>IF(AND(ISNUMBER(D1261),D1261&gt;=$O$4,OR($O$11=0,B1261&gt;=$O$12)),1,0)</f>
        <v/>
      </c>
      <c r="K1261">
        <f>B1261-$O$14</f>
        <v/>
      </c>
    </row>
    <row r="1262">
      <c r="A1262" t="n">
        <v>3780</v>
      </c>
      <c r="B1262" t="n">
        <v>126</v>
      </c>
      <c r="C1262" t="inlineStr">
        <is>
          <t>871</t>
        </is>
      </c>
      <c r="D1262" t="n">
        <v>8.710000000000001</v>
      </c>
      <c r="E1262">
        <f>MEDIAN(D1242:D1282)</f>
        <v/>
      </c>
      <c r="F1262">
        <f>E1242</f>
        <v/>
      </c>
      <c r="G1262">
        <f>F1262-E1262</f>
        <v/>
      </c>
      <c r="H1262">
        <f>IF(OR(NOT(ISNUMBER(D1262)),ABS(D1262-E1262)&gt;$O$3,AND($O$11=1,B1262&lt;$O$12)),1,0)</f>
        <v/>
      </c>
      <c r="I1262">
        <f>IF(H1262=1,NA(),D1262)</f>
        <v/>
      </c>
      <c r="J1262">
        <f>IF(AND(ISNUMBER(D1262),D1262&gt;=$O$4,OR($O$11=0,B1262&gt;=$O$12)),1,0)</f>
        <v/>
      </c>
      <c r="K1262">
        <f>B1262-$O$14</f>
        <v/>
      </c>
    </row>
    <row r="1263">
      <c r="A1263" t="n">
        <v>3783</v>
      </c>
      <c r="B1263" t="n">
        <v>126.1</v>
      </c>
      <c r="C1263" t="inlineStr">
        <is>
          <t>871</t>
        </is>
      </c>
      <c r="D1263" t="n">
        <v>8.710000000000001</v>
      </c>
      <c r="E1263">
        <f>MEDIAN(D1243:D1283)</f>
        <v/>
      </c>
      <c r="F1263">
        <f>E1243</f>
        <v/>
      </c>
      <c r="G1263">
        <f>F1263-E1263</f>
        <v/>
      </c>
      <c r="H1263">
        <f>IF(OR(NOT(ISNUMBER(D1263)),ABS(D1263-E1263)&gt;$O$3,AND($O$11=1,B1263&lt;$O$12)),1,0)</f>
        <v/>
      </c>
      <c r="I1263">
        <f>IF(H1263=1,NA(),D1263)</f>
        <v/>
      </c>
      <c r="J1263">
        <f>IF(AND(ISNUMBER(D1263),D1263&gt;=$O$4,OR($O$11=0,B1263&gt;=$O$12)),1,0)</f>
        <v/>
      </c>
      <c r="K1263">
        <f>B1263-$O$14</f>
        <v/>
      </c>
    </row>
    <row r="1264">
      <c r="A1264" t="n">
        <v>3786</v>
      </c>
      <c r="B1264" t="n">
        <v>126.2</v>
      </c>
      <c r="C1264" t="inlineStr">
        <is>
          <t>871</t>
        </is>
      </c>
      <c r="D1264" t="n">
        <v>8.710000000000001</v>
      </c>
      <c r="E1264">
        <f>MEDIAN(D1244:D1284)</f>
        <v/>
      </c>
      <c r="F1264">
        <f>E1244</f>
        <v/>
      </c>
      <c r="G1264">
        <f>F1264-E1264</f>
        <v/>
      </c>
      <c r="H1264">
        <f>IF(OR(NOT(ISNUMBER(D1264)),ABS(D1264-E1264)&gt;$O$3,AND($O$11=1,B1264&lt;$O$12)),1,0)</f>
        <v/>
      </c>
      <c r="I1264">
        <f>IF(H1264=1,NA(),D1264)</f>
        <v/>
      </c>
      <c r="J1264">
        <f>IF(AND(ISNUMBER(D1264),D1264&gt;=$O$4,OR($O$11=0,B1264&gt;=$O$12)),1,0)</f>
        <v/>
      </c>
      <c r="K1264">
        <f>B1264-$O$14</f>
        <v/>
      </c>
    </row>
    <row r="1265">
      <c r="A1265" t="n">
        <v>3789</v>
      </c>
      <c r="B1265" t="n">
        <v>126.3</v>
      </c>
      <c r="C1265" t="inlineStr">
        <is>
          <t>871</t>
        </is>
      </c>
      <c r="D1265" t="n">
        <v>8.710000000000001</v>
      </c>
      <c r="E1265">
        <f>MEDIAN(D1245:D1285)</f>
        <v/>
      </c>
      <c r="F1265">
        <f>E1245</f>
        <v/>
      </c>
      <c r="G1265">
        <f>F1265-E1265</f>
        <v/>
      </c>
      <c r="H1265">
        <f>IF(OR(NOT(ISNUMBER(D1265)),ABS(D1265-E1265)&gt;$O$3,AND($O$11=1,B1265&lt;$O$12)),1,0)</f>
        <v/>
      </c>
      <c r="I1265">
        <f>IF(H1265=1,NA(),D1265)</f>
        <v/>
      </c>
      <c r="J1265">
        <f>IF(AND(ISNUMBER(D1265),D1265&gt;=$O$4,OR($O$11=0,B1265&gt;=$O$12)),1,0)</f>
        <v/>
      </c>
      <c r="K1265">
        <f>B1265-$O$14</f>
        <v/>
      </c>
    </row>
    <row r="1266">
      <c r="A1266" t="n">
        <v>3792</v>
      </c>
      <c r="B1266" t="n">
        <v>126.4</v>
      </c>
      <c r="C1266" t="inlineStr">
        <is>
          <t>871</t>
        </is>
      </c>
      <c r="D1266" t="n">
        <v>8.710000000000001</v>
      </c>
      <c r="E1266">
        <f>MEDIAN(D1246:D1286)</f>
        <v/>
      </c>
      <c r="F1266">
        <f>E1246</f>
        <v/>
      </c>
      <c r="G1266">
        <f>F1266-E1266</f>
        <v/>
      </c>
      <c r="H1266">
        <f>IF(OR(NOT(ISNUMBER(D1266)),ABS(D1266-E1266)&gt;$O$3,AND($O$11=1,B1266&lt;$O$12)),1,0)</f>
        <v/>
      </c>
      <c r="I1266">
        <f>IF(H1266=1,NA(),D1266)</f>
        <v/>
      </c>
      <c r="J1266">
        <f>IF(AND(ISNUMBER(D1266),D1266&gt;=$O$4,OR($O$11=0,B1266&gt;=$O$12)),1,0)</f>
        <v/>
      </c>
      <c r="K1266">
        <f>B1266-$O$14</f>
        <v/>
      </c>
    </row>
    <row r="1267">
      <c r="A1267" t="n">
        <v>3795</v>
      </c>
      <c r="B1267" t="n">
        <v>126.5</v>
      </c>
      <c r="C1267" t="inlineStr">
        <is>
          <t>871</t>
        </is>
      </c>
      <c r="D1267" t="n">
        <v>8.710000000000001</v>
      </c>
      <c r="E1267">
        <f>MEDIAN(D1247:D1287)</f>
        <v/>
      </c>
      <c r="F1267">
        <f>E1247</f>
        <v/>
      </c>
      <c r="G1267">
        <f>F1267-E1267</f>
        <v/>
      </c>
      <c r="H1267">
        <f>IF(OR(NOT(ISNUMBER(D1267)),ABS(D1267-E1267)&gt;$O$3,AND($O$11=1,B1267&lt;$O$12)),1,0)</f>
        <v/>
      </c>
      <c r="I1267">
        <f>IF(H1267=1,NA(),D1267)</f>
        <v/>
      </c>
      <c r="J1267">
        <f>IF(AND(ISNUMBER(D1267),D1267&gt;=$O$4,OR($O$11=0,B1267&gt;=$O$12)),1,0)</f>
        <v/>
      </c>
      <c r="K1267">
        <f>B1267-$O$14</f>
        <v/>
      </c>
    </row>
    <row r="1268">
      <c r="A1268" t="n">
        <v>3798</v>
      </c>
      <c r="B1268" t="n">
        <v>126.6</v>
      </c>
      <c r="C1268" t="inlineStr">
        <is>
          <t>871</t>
        </is>
      </c>
      <c r="D1268" t="n">
        <v>8.710000000000001</v>
      </c>
      <c r="E1268">
        <f>MEDIAN(D1248:D1288)</f>
        <v/>
      </c>
      <c r="F1268">
        <f>E1248</f>
        <v/>
      </c>
      <c r="G1268">
        <f>F1268-E1268</f>
        <v/>
      </c>
      <c r="H1268">
        <f>IF(OR(NOT(ISNUMBER(D1268)),ABS(D1268-E1268)&gt;$O$3,AND($O$11=1,B1268&lt;$O$12)),1,0)</f>
        <v/>
      </c>
      <c r="I1268">
        <f>IF(H1268=1,NA(),D1268)</f>
        <v/>
      </c>
      <c r="J1268">
        <f>IF(AND(ISNUMBER(D1268),D1268&gt;=$O$4,OR($O$11=0,B1268&gt;=$O$12)),1,0)</f>
        <v/>
      </c>
      <c r="K1268">
        <f>B1268-$O$14</f>
        <v/>
      </c>
    </row>
    <row r="1269">
      <c r="A1269" t="n">
        <v>3801</v>
      </c>
      <c r="B1269" t="n">
        <v>126.7</v>
      </c>
      <c r="C1269" t="inlineStr">
        <is>
          <t>871</t>
        </is>
      </c>
      <c r="D1269" t="n">
        <v>8.710000000000001</v>
      </c>
      <c r="E1269">
        <f>MEDIAN(D1249:D1289)</f>
        <v/>
      </c>
      <c r="F1269">
        <f>E1249</f>
        <v/>
      </c>
      <c r="G1269">
        <f>F1269-E1269</f>
        <v/>
      </c>
      <c r="H1269">
        <f>IF(OR(NOT(ISNUMBER(D1269)),ABS(D1269-E1269)&gt;$O$3,AND($O$11=1,B1269&lt;$O$12)),1,0)</f>
        <v/>
      </c>
      <c r="I1269">
        <f>IF(H1269=1,NA(),D1269)</f>
        <v/>
      </c>
      <c r="J1269">
        <f>IF(AND(ISNUMBER(D1269),D1269&gt;=$O$4,OR($O$11=0,B1269&gt;=$O$12)),1,0)</f>
        <v/>
      </c>
      <c r="K1269">
        <f>B1269-$O$14</f>
        <v/>
      </c>
    </row>
    <row r="1270">
      <c r="A1270" t="n">
        <v>3804</v>
      </c>
      <c r="B1270" t="n">
        <v>126.8</v>
      </c>
      <c r="C1270" t="inlineStr">
        <is>
          <t>871</t>
        </is>
      </c>
      <c r="D1270" t="n">
        <v>8.710000000000001</v>
      </c>
      <c r="E1270">
        <f>MEDIAN(D1250:D1290)</f>
        <v/>
      </c>
      <c r="F1270">
        <f>E1250</f>
        <v/>
      </c>
      <c r="G1270">
        <f>F1270-E1270</f>
        <v/>
      </c>
      <c r="H1270">
        <f>IF(OR(NOT(ISNUMBER(D1270)),ABS(D1270-E1270)&gt;$O$3,AND($O$11=1,B1270&lt;$O$12)),1,0)</f>
        <v/>
      </c>
      <c r="I1270">
        <f>IF(H1270=1,NA(),D1270)</f>
        <v/>
      </c>
      <c r="J1270">
        <f>IF(AND(ISNUMBER(D1270),D1270&gt;=$O$4,OR($O$11=0,B1270&gt;=$O$12)),1,0)</f>
        <v/>
      </c>
      <c r="K1270">
        <f>B1270-$O$14</f>
        <v/>
      </c>
    </row>
    <row r="1271">
      <c r="A1271" t="n">
        <v>3807</v>
      </c>
      <c r="B1271" t="n">
        <v>126.9</v>
      </c>
      <c r="C1271" t="inlineStr">
        <is>
          <t>871</t>
        </is>
      </c>
      <c r="D1271" t="n">
        <v>8.710000000000001</v>
      </c>
      <c r="E1271">
        <f>MEDIAN(D1251:D1291)</f>
        <v/>
      </c>
      <c r="F1271">
        <f>E1251</f>
        <v/>
      </c>
      <c r="G1271">
        <f>F1271-E1271</f>
        <v/>
      </c>
      <c r="H1271">
        <f>IF(OR(NOT(ISNUMBER(D1271)),ABS(D1271-E1271)&gt;$O$3,AND($O$11=1,B1271&lt;$O$12)),1,0)</f>
        <v/>
      </c>
      <c r="I1271">
        <f>IF(H1271=1,NA(),D1271)</f>
        <v/>
      </c>
      <c r="J1271">
        <f>IF(AND(ISNUMBER(D1271),D1271&gt;=$O$4,OR($O$11=0,B1271&gt;=$O$12)),1,0)</f>
        <v/>
      </c>
      <c r="K1271">
        <f>B1271-$O$14</f>
        <v/>
      </c>
    </row>
    <row r="1272">
      <c r="A1272" t="n">
        <v>3810</v>
      </c>
      <c r="B1272" t="n">
        <v>127</v>
      </c>
      <c r="C1272" t="inlineStr">
        <is>
          <t>871</t>
        </is>
      </c>
      <c r="D1272" t="n">
        <v>8.710000000000001</v>
      </c>
      <c r="E1272">
        <f>MEDIAN(D1252:D1292)</f>
        <v/>
      </c>
      <c r="F1272">
        <f>E1252</f>
        <v/>
      </c>
      <c r="G1272">
        <f>F1272-E1272</f>
        <v/>
      </c>
      <c r="H1272">
        <f>IF(OR(NOT(ISNUMBER(D1272)),ABS(D1272-E1272)&gt;$O$3,AND($O$11=1,B1272&lt;$O$12)),1,0)</f>
        <v/>
      </c>
      <c r="I1272">
        <f>IF(H1272=1,NA(),D1272)</f>
        <v/>
      </c>
      <c r="J1272">
        <f>IF(AND(ISNUMBER(D1272),D1272&gt;=$O$4,OR($O$11=0,B1272&gt;=$O$12)),1,0)</f>
        <v/>
      </c>
      <c r="K1272">
        <f>B1272-$O$14</f>
        <v/>
      </c>
    </row>
    <row r="1273">
      <c r="A1273" t="n">
        <v>3813</v>
      </c>
      <c r="B1273" t="n">
        <v>127.1</v>
      </c>
      <c r="C1273" t="inlineStr">
        <is>
          <t>872</t>
        </is>
      </c>
      <c r="D1273" t="n">
        <v>8.720000000000001</v>
      </c>
      <c r="E1273">
        <f>MEDIAN(D1253:D1293)</f>
        <v/>
      </c>
      <c r="F1273">
        <f>E1253</f>
        <v/>
      </c>
      <c r="G1273">
        <f>F1273-E1273</f>
        <v/>
      </c>
      <c r="H1273">
        <f>IF(OR(NOT(ISNUMBER(D1273)),ABS(D1273-E1273)&gt;$O$3,AND($O$11=1,B1273&lt;$O$12)),1,0)</f>
        <v/>
      </c>
      <c r="I1273">
        <f>IF(H1273=1,NA(),D1273)</f>
        <v/>
      </c>
      <c r="J1273">
        <f>IF(AND(ISNUMBER(D1273),D1273&gt;=$O$4,OR($O$11=0,B1273&gt;=$O$12)),1,0)</f>
        <v/>
      </c>
      <c r="K1273">
        <f>B1273-$O$14</f>
        <v/>
      </c>
    </row>
    <row r="1274">
      <c r="A1274" t="n">
        <v>3816</v>
      </c>
      <c r="B1274" t="n">
        <v>127.2</v>
      </c>
      <c r="C1274" t="inlineStr">
        <is>
          <t>872</t>
        </is>
      </c>
      <c r="D1274" t="n">
        <v>8.720000000000001</v>
      </c>
      <c r="E1274">
        <f>MEDIAN(D1254:D1294)</f>
        <v/>
      </c>
      <c r="F1274">
        <f>E1254</f>
        <v/>
      </c>
      <c r="G1274">
        <f>F1274-E1274</f>
        <v/>
      </c>
      <c r="H1274">
        <f>IF(OR(NOT(ISNUMBER(D1274)),ABS(D1274-E1274)&gt;$O$3,AND($O$11=1,B1274&lt;$O$12)),1,0)</f>
        <v/>
      </c>
      <c r="I1274">
        <f>IF(H1274=1,NA(),D1274)</f>
        <v/>
      </c>
      <c r="J1274">
        <f>IF(AND(ISNUMBER(D1274),D1274&gt;=$O$4,OR($O$11=0,B1274&gt;=$O$12)),1,0)</f>
        <v/>
      </c>
      <c r="K1274">
        <f>B1274-$O$14</f>
        <v/>
      </c>
    </row>
    <row r="1275">
      <c r="A1275" t="n">
        <v>3819</v>
      </c>
      <c r="B1275" t="n">
        <v>127.3</v>
      </c>
      <c r="C1275" t="inlineStr">
        <is>
          <t>872</t>
        </is>
      </c>
      <c r="D1275" t="n">
        <v>8.720000000000001</v>
      </c>
      <c r="E1275">
        <f>MEDIAN(D1255:D1295)</f>
        <v/>
      </c>
      <c r="F1275">
        <f>E1255</f>
        <v/>
      </c>
      <c r="G1275">
        <f>F1275-E1275</f>
        <v/>
      </c>
      <c r="H1275">
        <f>IF(OR(NOT(ISNUMBER(D1275)),ABS(D1275-E1275)&gt;$O$3,AND($O$11=1,B1275&lt;$O$12)),1,0)</f>
        <v/>
      </c>
      <c r="I1275">
        <f>IF(H1275=1,NA(),D1275)</f>
        <v/>
      </c>
      <c r="J1275">
        <f>IF(AND(ISNUMBER(D1275),D1275&gt;=$O$4,OR($O$11=0,B1275&gt;=$O$12)),1,0)</f>
        <v/>
      </c>
      <c r="K1275">
        <f>B1275-$O$14</f>
        <v/>
      </c>
    </row>
    <row r="1276">
      <c r="A1276" t="n">
        <v>3822</v>
      </c>
      <c r="B1276" t="n">
        <v>127.4</v>
      </c>
      <c r="C1276" t="inlineStr">
        <is>
          <t>872</t>
        </is>
      </c>
      <c r="D1276" t="n">
        <v>8.720000000000001</v>
      </c>
      <c r="E1276">
        <f>MEDIAN(D1256:D1296)</f>
        <v/>
      </c>
      <c r="F1276">
        <f>E1256</f>
        <v/>
      </c>
      <c r="G1276">
        <f>F1276-E1276</f>
        <v/>
      </c>
      <c r="H1276">
        <f>IF(OR(NOT(ISNUMBER(D1276)),ABS(D1276-E1276)&gt;$O$3,AND($O$11=1,B1276&lt;$O$12)),1,0)</f>
        <v/>
      </c>
      <c r="I1276">
        <f>IF(H1276=1,NA(),D1276)</f>
        <v/>
      </c>
      <c r="J1276">
        <f>IF(AND(ISNUMBER(D1276),D1276&gt;=$O$4,OR($O$11=0,B1276&gt;=$O$12)),1,0)</f>
        <v/>
      </c>
      <c r="K1276">
        <f>B1276-$O$14</f>
        <v/>
      </c>
    </row>
    <row r="1277">
      <c r="A1277" t="n">
        <v>3825</v>
      </c>
      <c r="B1277" t="n">
        <v>127.5</v>
      </c>
      <c r="C1277" t="inlineStr">
        <is>
          <t>872</t>
        </is>
      </c>
      <c r="D1277" t="n">
        <v>8.720000000000001</v>
      </c>
      <c r="E1277">
        <f>MEDIAN(D1257:D1297)</f>
        <v/>
      </c>
      <c r="F1277">
        <f>E1257</f>
        <v/>
      </c>
      <c r="G1277">
        <f>F1277-E1277</f>
        <v/>
      </c>
      <c r="H1277">
        <f>IF(OR(NOT(ISNUMBER(D1277)),ABS(D1277-E1277)&gt;$O$3,AND($O$11=1,B1277&lt;$O$12)),1,0)</f>
        <v/>
      </c>
      <c r="I1277">
        <f>IF(H1277=1,NA(),D1277)</f>
        <v/>
      </c>
      <c r="J1277">
        <f>IF(AND(ISNUMBER(D1277),D1277&gt;=$O$4,OR($O$11=0,B1277&gt;=$O$12)),1,0)</f>
        <v/>
      </c>
      <c r="K1277">
        <f>B1277-$O$14</f>
        <v/>
      </c>
    </row>
    <row r="1278">
      <c r="A1278" t="n">
        <v>3828</v>
      </c>
      <c r="B1278" t="n">
        <v>127.6</v>
      </c>
      <c r="C1278" t="inlineStr">
        <is>
          <t>872</t>
        </is>
      </c>
      <c r="D1278" t="n">
        <v>8.720000000000001</v>
      </c>
      <c r="E1278">
        <f>MEDIAN(D1258:D1298)</f>
        <v/>
      </c>
      <c r="F1278">
        <f>E1258</f>
        <v/>
      </c>
      <c r="G1278">
        <f>F1278-E1278</f>
        <v/>
      </c>
      <c r="H1278">
        <f>IF(OR(NOT(ISNUMBER(D1278)),ABS(D1278-E1278)&gt;$O$3,AND($O$11=1,B1278&lt;$O$12)),1,0)</f>
        <v/>
      </c>
      <c r="I1278">
        <f>IF(H1278=1,NA(),D1278)</f>
        <v/>
      </c>
      <c r="J1278">
        <f>IF(AND(ISNUMBER(D1278),D1278&gt;=$O$4,OR($O$11=0,B1278&gt;=$O$12)),1,0)</f>
        <v/>
      </c>
      <c r="K1278">
        <f>B1278-$O$14</f>
        <v/>
      </c>
    </row>
    <row r="1279">
      <c r="A1279" t="n">
        <v>3831</v>
      </c>
      <c r="B1279" t="n">
        <v>127.7</v>
      </c>
      <c r="C1279" t="inlineStr">
        <is>
          <t>872</t>
        </is>
      </c>
      <c r="D1279" t="n">
        <v>8.720000000000001</v>
      </c>
      <c r="E1279">
        <f>MEDIAN(D1259:D1299)</f>
        <v/>
      </c>
      <c r="F1279">
        <f>E1259</f>
        <v/>
      </c>
      <c r="G1279">
        <f>F1279-E1279</f>
        <v/>
      </c>
      <c r="H1279">
        <f>IF(OR(NOT(ISNUMBER(D1279)),ABS(D1279-E1279)&gt;$O$3,AND($O$11=1,B1279&lt;$O$12)),1,0)</f>
        <v/>
      </c>
      <c r="I1279">
        <f>IF(H1279=1,NA(),D1279)</f>
        <v/>
      </c>
      <c r="J1279">
        <f>IF(AND(ISNUMBER(D1279),D1279&gt;=$O$4,OR($O$11=0,B1279&gt;=$O$12)),1,0)</f>
        <v/>
      </c>
      <c r="K1279">
        <f>B1279-$O$14</f>
        <v/>
      </c>
    </row>
    <row r="1280">
      <c r="A1280" t="n">
        <v>3834</v>
      </c>
      <c r="B1280" t="n">
        <v>127.8</v>
      </c>
      <c r="C1280" t="inlineStr">
        <is>
          <t>873</t>
        </is>
      </c>
      <c r="D1280" t="n">
        <v>8.73</v>
      </c>
      <c r="E1280">
        <f>MEDIAN(D1260:D1300)</f>
        <v/>
      </c>
      <c r="F1280">
        <f>E1260</f>
        <v/>
      </c>
      <c r="G1280">
        <f>F1280-E1280</f>
        <v/>
      </c>
      <c r="H1280">
        <f>IF(OR(NOT(ISNUMBER(D1280)),ABS(D1280-E1280)&gt;$O$3,AND($O$11=1,B1280&lt;$O$12)),1,0)</f>
        <v/>
      </c>
      <c r="I1280">
        <f>IF(H1280=1,NA(),D1280)</f>
        <v/>
      </c>
      <c r="J1280">
        <f>IF(AND(ISNUMBER(D1280),D1280&gt;=$O$4,OR($O$11=0,B1280&gt;=$O$12)),1,0)</f>
        <v/>
      </c>
      <c r="K1280">
        <f>B1280-$O$14</f>
        <v/>
      </c>
    </row>
    <row r="1281">
      <c r="A1281" t="n">
        <v>3837</v>
      </c>
      <c r="B1281" t="n">
        <v>127.9</v>
      </c>
      <c r="C1281" t="inlineStr">
        <is>
          <t>873</t>
        </is>
      </c>
      <c r="D1281" t="n">
        <v>8.73</v>
      </c>
      <c r="E1281">
        <f>MEDIAN(D1261:D1301)</f>
        <v/>
      </c>
      <c r="F1281">
        <f>E1261</f>
        <v/>
      </c>
      <c r="G1281">
        <f>F1281-E1281</f>
        <v/>
      </c>
      <c r="H1281">
        <f>IF(OR(NOT(ISNUMBER(D1281)),ABS(D1281-E1281)&gt;$O$3,AND($O$11=1,B1281&lt;$O$12)),1,0)</f>
        <v/>
      </c>
      <c r="I1281">
        <f>IF(H1281=1,NA(),D1281)</f>
        <v/>
      </c>
      <c r="J1281">
        <f>IF(AND(ISNUMBER(D1281),D1281&gt;=$O$4,OR($O$11=0,B1281&gt;=$O$12)),1,0)</f>
        <v/>
      </c>
      <c r="K1281">
        <f>B1281-$O$14</f>
        <v/>
      </c>
    </row>
    <row r="1282">
      <c r="A1282" t="n">
        <v>3840</v>
      </c>
      <c r="B1282" t="n">
        <v>128</v>
      </c>
      <c r="C1282" t="inlineStr">
        <is>
          <t>873</t>
        </is>
      </c>
      <c r="D1282" t="n">
        <v>8.73</v>
      </c>
      <c r="E1282">
        <f>MEDIAN(D1262:D1302)</f>
        <v/>
      </c>
      <c r="F1282">
        <f>E1262</f>
        <v/>
      </c>
      <c r="G1282">
        <f>F1282-E1282</f>
        <v/>
      </c>
      <c r="H1282">
        <f>IF(OR(NOT(ISNUMBER(D1282)),ABS(D1282-E1282)&gt;$O$3,AND($O$11=1,B1282&lt;$O$12)),1,0)</f>
        <v/>
      </c>
      <c r="I1282">
        <f>IF(H1282=1,NA(),D1282)</f>
        <v/>
      </c>
      <c r="J1282">
        <f>IF(AND(ISNUMBER(D1282),D1282&gt;=$O$4,OR($O$11=0,B1282&gt;=$O$12)),1,0)</f>
        <v/>
      </c>
      <c r="K1282">
        <f>B1282-$O$14</f>
        <v/>
      </c>
    </row>
    <row r="1283">
      <c r="A1283" t="n">
        <v>3843</v>
      </c>
      <c r="B1283" t="n">
        <v>128.1</v>
      </c>
      <c r="C1283" t="inlineStr">
        <is>
          <t>873</t>
        </is>
      </c>
      <c r="D1283" t="n">
        <v>8.73</v>
      </c>
      <c r="E1283">
        <f>MEDIAN(D1263:D1303)</f>
        <v/>
      </c>
      <c r="F1283">
        <f>E1263</f>
        <v/>
      </c>
      <c r="G1283">
        <f>F1283-E1283</f>
        <v/>
      </c>
      <c r="H1283">
        <f>IF(OR(NOT(ISNUMBER(D1283)),ABS(D1283-E1283)&gt;$O$3,AND($O$11=1,B1283&lt;$O$12)),1,0)</f>
        <v/>
      </c>
      <c r="I1283">
        <f>IF(H1283=1,NA(),D1283)</f>
        <v/>
      </c>
      <c r="J1283">
        <f>IF(AND(ISNUMBER(D1283),D1283&gt;=$O$4,OR($O$11=0,B1283&gt;=$O$12)),1,0)</f>
        <v/>
      </c>
      <c r="K1283">
        <f>B1283-$O$14</f>
        <v/>
      </c>
    </row>
    <row r="1284">
      <c r="A1284" t="n">
        <v>3846</v>
      </c>
      <c r="B1284" t="n">
        <v>128.2</v>
      </c>
      <c r="C1284" t="inlineStr">
        <is>
          <t>873</t>
        </is>
      </c>
      <c r="D1284" t="n">
        <v>8.73</v>
      </c>
      <c r="E1284">
        <f>MEDIAN(D1264:D1304)</f>
        <v/>
      </c>
      <c r="F1284">
        <f>E1264</f>
        <v/>
      </c>
      <c r="G1284">
        <f>F1284-E1284</f>
        <v/>
      </c>
      <c r="H1284">
        <f>IF(OR(NOT(ISNUMBER(D1284)),ABS(D1284-E1284)&gt;$O$3,AND($O$11=1,B1284&lt;$O$12)),1,0)</f>
        <v/>
      </c>
      <c r="I1284">
        <f>IF(H1284=1,NA(),D1284)</f>
        <v/>
      </c>
      <c r="J1284">
        <f>IF(AND(ISNUMBER(D1284),D1284&gt;=$O$4,OR($O$11=0,B1284&gt;=$O$12)),1,0)</f>
        <v/>
      </c>
      <c r="K1284">
        <f>B1284-$O$14</f>
        <v/>
      </c>
    </row>
    <row r="1285">
      <c r="A1285" t="n">
        <v>3849</v>
      </c>
      <c r="B1285" t="n">
        <v>128.3</v>
      </c>
      <c r="C1285" t="inlineStr">
        <is>
          <t>874</t>
        </is>
      </c>
      <c r="D1285" t="n">
        <v>8.74</v>
      </c>
      <c r="E1285">
        <f>MEDIAN(D1265:D1305)</f>
        <v/>
      </c>
      <c r="F1285">
        <f>E1265</f>
        <v/>
      </c>
      <c r="G1285">
        <f>F1285-E1285</f>
        <v/>
      </c>
      <c r="H1285">
        <f>IF(OR(NOT(ISNUMBER(D1285)),ABS(D1285-E1285)&gt;$O$3,AND($O$11=1,B1285&lt;$O$12)),1,0)</f>
        <v/>
      </c>
      <c r="I1285">
        <f>IF(H1285=1,NA(),D1285)</f>
        <v/>
      </c>
      <c r="J1285">
        <f>IF(AND(ISNUMBER(D1285),D1285&gt;=$O$4,OR($O$11=0,B1285&gt;=$O$12)),1,0)</f>
        <v/>
      </c>
      <c r="K1285">
        <f>B1285-$O$14</f>
        <v/>
      </c>
    </row>
    <row r="1286">
      <c r="A1286" t="n">
        <v>3852</v>
      </c>
      <c r="B1286" t="n">
        <v>128.4</v>
      </c>
      <c r="C1286" t="inlineStr">
        <is>
          <t>874</t>
        </is>
      </c>
      <c r="D1286" t="n">
        <v>8.74</v>
      </c>
      <c r="E1286">
        <f>MEDIAN(D1266:D1306)</f>
        <v/>
      </c>
      <c r="F1286">
        <f>E1266</f>
        <v/>
      </c>
      <c r="G1286">
        <f>F1286-E1286</f>
        <v/>
      </c>
      <c r="H1286">
        <f>IF(OR(NOT(ISNUMBER(D1286)),ABS(D1286-E1286)&gt;$O$3,AND($O$11=1,B1286&lt;$O$12)),1,0)</f>
        <v/>
      </c>
      <c r="I1286">
        <f>IF(H1286=1,NA(),D1286)</f>
        <v/>
      </c>
      <c r="J1286">
        <f>IF(AND(ISNUMBER(D1286),D1286&gt;=$O$4,OR($O$11=0,B1286&gt;=$O$12)),1,0)</f>
        <v/>
      </c>
      <c r="K1286">
        <f>B1286-$O$14</f>
        <v/>
      </c>
    </row>
    <row r="1287">
      <c r="A1287" t="n">
        <v>3855</v>
      </c>
      <c r="B1287" t="n">
        <v>128.5</v>
      </c>
      <c r="C1287" t="inlineStr">
        <is>
          <t>874</t>
        </is>
      </c>
      <c r="D1287" t="n">
        <v>8.74</v>
      </c>
      <c r="E1287">
        <f>MEDIAN(D1267:D1307)</f>
        <v/>
      </c>
      <c r="F1287">
        <f>E1267</f>
        <v/>
      </c>
      <c r="G1287">
        <f>F1287-E1287</f>
        <v/>
      </c>
      <c r="H1287">
        <f>IF(OR(NOT(ISNUMBER(D1287)),ABS(D1287-E1287)&gt;$O$3,AND($O$11=1,B1287&lt;$O$12)),1,0)</f>
        <v/>
      </c>
      <c r="I1287">
        <f>IF(H1287=1,NA(),D1287)</f>
        <v/>
      </c>
      <c r="J1287">
        <f>IF(AND(ISNUMBER(D1287),D1287&gt;=$O$4,OR($O$11=0,B1287&gt;=$O$12)),1,0)</f>
        <v/>
      </c>
      <c r="K1287">
        <f>B1287-$O$14</f>
        <v/>
      </c>
    </row>
    <row r="1288">
      <c r="A1288" t="n">
        <v>3858</v>
      </c>
      <c r="B1288" t="n">
        <v>128.6</v>
      </c>
      <c r="C1288" t="inlineStr">
        <is>
          <t>874</t>
        </is>
      </c>
      <c r="D1288" t="n">
        <v>8.74</v>
      </c>
      <c r="E1288">
        <f>MEDIAN(D1268:D1308)</f>
        <v/>
      </c>
      <c r="F1288">
        <f>E1268</f>
        <v/>
      </c>
      <c r="G1288">
        <f>F1288-E1288</f>
        <v/>
      </c>
      <c r="H1288">
        <f>IF(OR(NOT(ISNUMBER(D1288)),ABS(D1288-E1288)&gt;$O$3,AND($O$11=1,B1288&lt;$O$12)),1,0)</f>
        <v/>
      </c>
      <c r="I1288">
        <f>IF(H1288=1,NA(),D1288)</f>
        <v/>
      </c>
      <c r="J1288">
        <f>IF(AND(ISNUMBER(D1288),D1288&gt;=$O$4,OR($O$11=0,B1288&gt;=$O$12)),1,0)</f>
        <v/>
      </c>
      <c r="K1288">
        <f>B1288-$O$14</f>
        <v/>
      </c>
    </row>
    <row r="1289">
      <c r="A1289" t="n">
        <v>3861</v>
      </c>
      <c r="B1289" t="n">
        <v>128.7</v>
      </c>
      <c r="C1289" t="inlineStr">
        <is>
          <t>874</t>
        </is>
      </c>
      <c r="D1289" t="n">
        <v>8.74</v>
      </c>
      <c r="E1289">
        <f>MEDIAN(D1269:D1309)</f>
        <v/>
      </c>
      <c r="F1289">
        <f>E1269</f>
        <v/>
      </c>
      <c r="G1289">
        <f>F1289-E1289</f>
        <v/>
      </c>
      <c r="H1289">
        <f>IF(OR(NOT(ISNUMBER(D1289)),ABS(D1289-E1289)&gt;$O$3,AND($O$11=1,B1289&lt;$O$12)),1,0)</f>
        <v/>
      </c>
      <c r="I1289">
        <f>IF(H1289=1,NA(),D1289)</f>
        <v/>
      </c>
      <c r="J1289">
        <f>IF(AND(ISNUMBER(D1289),D1289&gt;=$O$4,OR($O$11=0,B1289&gt;=$O$12)),1,0)</f>
        <v/>
      </c>
      <c r="K1289">
        <f>B1289-$O$14</f>
        <v/>
      </c>
    </row>
    <row r="1290">
      <c r="A1290" t="n">
        <v>3864</v>
      </c>
      <c r="B1290" t="n">
        <v>128.8</v>
      </c>
      <c r="C1290" t="inlineStr">
        <is>
          <t>876</t>
        </is>
      </c>
      <c r="D1290" t="n">
        <v>8.76</v>
      </c>
      <c r="E1290">
        <f>MEDIAN(D1270:D1310)</f>
        <v/>
      </c>
      <c r="F1290">
        <f>E1270</f>
        <v/>
      </c>
      <c r="G1290">
        <f>F1290-E1290</f>
        <v/>
      </c>
      <c r="H1290">
        <f>IF(OR(NOT(ISNUMBER(D1290)),ABS(D1290-E1290)&gt;$O$3,AND($O$11=1,B1290&lt;$O$12)),1,0)</f>
        <v/>
      </c>
      <c r="I1290">
        <f>IF(H1290=1,NA(),D1290)</f>
        <v/>
      </c>
      <c r="J1290">
        <f>IF(AND(ISNUMBER(D1290),D1290&gt;=$O$4,OR($O$11=0,B1290&gt;=$O$12)),1,0)</f>
        <v/>
      </c>
      <c r="K1290">
        <f>B1290-$O$14</f>
        <v/>
      </c>
    </row>
    <row r="1291">
      <c r="A1291" t="n">
        <v>3867</v>
      </c>
      <c r="B1291" t="n">
        <v>128.9</v>
      </c>
      <c r="C1291" t="inlineStr">
        <is>
          <t>876</t>
        </is>
      </c>
      <c r="D1291" t="n">
        <v>8.76</v>
      </c>
      <c r="E1291">
        <f>MEDIAN(D1271:D1311)</f>
        <v/>
      </c>
      <c r="F1291">
        <f>E1271</f>
        <v/>
      </c>
      <c r="G1291">
        <f>F1291-E1291</f>
        <v/>
      </c>
      <c r="H1291">
        <f>IF(OR(NOT(ISNUMBER(D1291)),ABS(D1291-E1291)&gt;$O$3,AND($O$11=1,B1291&lt;$O$12)),1,0)</f>
        <v/>
      </c>
      <c r="I1291">
        <f>IF(H1291=1,NA(),D1291)</f>
        <v/>
      </c>
      <c r="J1291">
        <f>IF(AND(ISNUMBER(D1291),D1291&gt;=$O$4,OR($O$11=0,B1291&gt;=$O$12)),1,0)</f>
        <v/>
      </c>
      <c r="K1291">
        <f>B1291-$O$14</f>
        <v/>
      </c>
    </row>
    <row r="1292">
      <c r="A1292" t="n">
        <v>3870</v>
      </c>
      <c r="B1292" t="n">
        <v>129</v>
      </c>
      <c r="C1292" t="inlineStr">
        <is>
          <t>876</t>
        </is>
      </c>
      <c r="D1292" t="n">
        <v>8.76</v>
      </c>
      <c r="E1292">
        <f>MEDIAN(D1272:D1312)</f>
        <v/>
      </c>
      <c r="F1292">
        <f>E1272</f>
        <v/>
      </c>
      <c r="G1292">
        <f>F1292-E1292</f>
        <v/>
      </c>
      <c r="H1292">
        <f>IF(OR(NOT(ISNUMBER(D1292)),ABS(D1292-E1292)&gt;$O$3,AND($O$11=1,B1292&lt;$O$12)),1,0)</f>
        <v/>
      </c>
      <c r="I1292">
        <f>IF(H1292=1,NA(),D1292)</f>
        <v/>
      </c>
      <c r="J1292">
        <f>IF(AND(ISNUMBER(D1292),D1292&gt;=$O$4,OR($O$11=0,B1292&gt;=$O$12)),1,0)</f>
        <v/>
      </c>
      <c r="K1292">
        <f>B1292-$O$14</f>
        <v/>
      </c>
    </row>
    <row r="1293">
      <c r="A1293" t="n">
        <v>3873</v>
      </c>
      <c r="B1293" t="n">
        <v>129.1</v>
      </c>
      <c r="C1293" t="inlineStr">
        <is>
          <t>876</t>
        </is>
      </c>
      <c r="D1293" t="n">
        <v>8.76</v>
      </c>
      <c r="E1293">
        <f>MEDIAN(D1273:D1313)</f>
        <v/>
      </c>
      <c r="F1293">
        <f>E1273</f>
        <v/>
      </c>
      <c r="G1293">
        <f>F1293-E1293</f>
        <v/>
      </c>
      <c r="H1293">
        <f>IF(OR(NOT(ISNUMBER(D1293)),ABS(D1293-E1293)&gt;$O$3,AND($O$11=1,B1293&lt;$O$12)),1,0)</f>
        <v/>
      </c>
      <c r="I1293">
        <f>IF(H1293=1,NA(),D1293)</f>
        <v/>
      </c>
      <c r="J1293">
        <f>IF(AND(ISNUMBER(D1293),D1293&gt;=$O$4,OR($O$11=0,B1293&gt;=$O$12)),1,0)</f>
        <v/>
      </c>
      <c r="K1293">
        <f>B1293-$O$14</f>
        <v/>
      </c>
    </row>
    <row r="1294">
      <c r="A1294" t="n">
        <v>3876</v>
      </c>
      <c r="B1294" t="n">
        <v>129.2</v>
      </c>
      <c r="C1294" t="inlineStr">
        <is>
          <t>876</t>
        </is>
      </c>
      <c r="D1294" t="n">
        <v>8.76</v>
      </c>
      <c r="E1294">
        <f>MEDIAN(D1274:D1314)</f>
        <v/>
      </c>
      <c r="F1294">
        <f>E1274</f>
        <v/>
      </c>
      <c r="G1294">
        <f>F1294-E1294</f>
        <v/>
      </c>
      <c r="H1294">
        <f>IF(OR(NOT(ISNUMBER(D1294)),ABS(D1294-E1294)&gt;$O$3,AND($O$11=1,B1294&lt;$O$12)),1,0)</f>
        <v/>
      </c>
      <c r="I1294">
        <f>IF(H1294=1,NA(),D1294)</f>
        <v/>
      </c>
      <c r="J1294">
        <f>IF(AND(ISNUMBER(D1294),D1294&gt;=$O$4,OR($O$11=0,B1294&gt;=$O$12)),1,0)</f>
        <v/>
      </c>
      <c r="K1294">
        <f>B1294-$O$14</f>
        <v/>
      </c>
    </row>
    <row r="1295">
      <c r="A1295" t="n">
        <v>3879</v>
      </c>
      <c r="B1295" t="n">
        <v>129.3</v>
      </c>
      <c r="C1295" t="inlineStr">
        <is>
          <t>876</t>
        </is>
      </c>
      <c r="D1295" t="n">
        <v>8.76</v>
      </c>
      <c r="E1295">
        <f>MEDIAN(D1275:D1315)</f>
        <v/>
      </c>
      <c r="F1295">
        <f>E1275</f>
        <v/>
      </c>
      <c r="G1295">
        <f>F1295-E1295</f>
        <v/>
      </c>
      <c r="H1295">
        <f>IF(OR(NOT(ISNUMBER(D1295)),ABS(D1295-E1295)&gt;$O$3,AND($O$11=1,B1295&lt;$O$12)),1,0)</f>
        <v/>
      </c>
      <c r="I1295">
        <f>IF(H1295=1,NA(),D1295)</f>
        <v/>
      </c>
      <c r="J1295">
        <f>IF(AND(ISNUMBER(D1295),D1295&gt;=$O$4,OR($O$11=0,B1295&gt;=$O$12)),1,0)</f>
        <v/>
      </c>
      <c r="K1295">
        <f>B1295-$O$14</f>
        <v/>
      </c>
    </row>
    <row r="1296">
      <c r="A1296" t="n">
        <v>3882</v>
      </c>
      <c r="B1296" t="n">
        <v>129.4</v>
      </c>
      <c r="C1296" t="inlineStr">
        <is>
          <t>876</t>
        </is>
      </c>
      <c r="D1296" t="n">
        <v>8.76</v>
      </c>
      <c r="E1296">
        <f>MEDIAN(D1276:D1316)</f>
        <v/>
      </c>
      <c r="F1296">
        <f>E1276</f>
        <v/>
      </c>
      <c r="G1296">
        <f>F1296-E1296</f>
        <v/>
      </c>
      <c r="H1296">
        <f>IF(OR(NOT(ISNUMBER(D1296)),ABS(D1296-E1296)&gt;$O$3,AND($O$11=1,B1296&lt;$O$12)),1,0)</f>
        <v/>
      </c>
      <c r="I1296">
        <f>IF(H1296=1,NA(),D1296)</f>
        <v/>
      </c>
      <c r="J1296">
        <f>IF(AND(ISNUMBER(D1296),D1296&gt;=$O$4,OR($O$11=0,B1296&gt;=$O$12)),1,0)</f>
        <v/>
      </c>
      <c r="K1296">
        <f>B1296-$O$14</f>
        <v/>
      </c>
    </row>
    <row r="1297">
      <c r="A1297" t="n">
        <v>3885</v>
      </c>
      <c r="B1297" t="n">
        <v>129.5</v>
      </c>
      <c r="C1297" t="inlineStr">
        <is>
          <t>876</t>
        </is>
      </c>
      <c r="D1297" t="n">
        <v>8.76</v>
      </c>
      <c r="E1297">
        <f>MEDIAN(D1277:D1317)</f>
        <v/>
      </c>
      <c r="F1297">
        <f>E1277</f>
        <v/>
      </c>
      <c r="G1297">
        <f>F1297-E1297</f>
        <v/>
      </c>
      <c r="H1297">
        <f>IF(OR(NOT(ISNUMBER(D1297)),ABS(D1297-E1297)&gt;$O$3,AND($O$11=1,B1297&lt;$O$12)),1,0)</f>
        <v/>
      </c>
      <c r="I1297">
        <f>IF(H1297=1,NA(),D1297)</f>
        <v/>
      </c>
      <c r="J1297">
        <f>IF(AND(ISNUMBER(D1297),D1297&gt;=$O$4,OR($O$11=0,B1297&gt;=$O$12)),1,0)</f>
        <v/>
      </c>
      <c r="K1297">
        <f>B1297-$O$14</f>
        <v/>
      </c>
    </row>
    <row r="1298">
      <c r="A1298" t="n">
        <v>3888</v>
      </c>
      <c r="B1298" t="n">
        <v>129.6</v>
      </c>
      <c r="C1298" t="inlineStr">
        <is>
          <t>876</t>
        </is>
      </c>
      <c r="D1298" t="n">
        <v>8.76</v>
      </c>
      <c r="E1298">
        <f>MEDIAN(D1278:D1318)</f>
        <v/>
      </c>
      <c r="F1298">
        <f>E1278</f>
        <v/>
      </c>
      <c r="G1298">
        <f>F1298-E1298</f>
        <v/>
      </c>
      <c r="H1298">
        <f>IF(OR(NOT(ISNUMBER(D1298)),ABS(D1298-E1298)&gt;$O$3,AND($O$11=1,B1298&lt;$O$12)),1,0)</f>
        <v/>
      </c>
      <c r="I1298">
        <f>IF(H1298=1,NA(),D1298)</f>
        <v/>
      </c>
      <c r="J1298">
        <f>IF(AND(ISNUMBER(D1298),D1298&gt;=$O$4,OR($O$11=0,B1298&gt;=$O$12)),1,0)</f>
        <v/>
      </c>
      <c r="K1298">
        <f>B1298-$O$14</f>
        <v/>
      </c>
    </row>
    <row r="1299">
      <c r="A1299" t="n">
        <v>3891</v>
      </c>
      <c r="B1299" t="n">
        <v>129.7</v>
      </c>
      <c r="C1299" t="inlineStr">
        <is>
          <t>876</t>
        </is>
      </c>
      <c r="D1299" t="n">
        <v>8.76</v>
      </c>
      <c r="E1299">
        <f>MEDIAN(D1279:D1319)</f>
        <v/>
      </c>
      <c r="F1299">
        <f>E1279</f>
        <v/>
      </c>
      <c r="G1299">
        <f>F1299-E1299</f>
        <v/>
      </c>
      <c r="H1299">
        <f>IF(OR(NOT(ISNUMBER(D1299)),ABS(D1299-E1299)&gt;$O$3,AND($O$11=1,B1299&lt;$O$12)),1,0)</f>
        <v/>
      </c>
      <c r="I1299">
        <f>IF(H1299=1,NA(),D1299)</f>
        <v/>
      </c>
      <c r="J1299">
        <f>IF(AND(ISNUMBER(D1299),D1299&gt;=$O$4,OR($O$11=0,B1299&gt;=$O$12)),1,0)</f>
        <v/>
      </c>
      <c r="K1299">
        <f>B1299-$O$14</f>
        <v/>
      </c>
    </row>
    <row r="1300">
      <c r="A1300" t="n">
        <v>3894</v>
      </c>
      <c r="B1300" t="n">
        <v>129.8</v>
      </c>
      <c r="C1300" t="inlineStr">
        <is>
          <t>876</t>
        </is>
      </c>
      <c r="D1300" t="n">
        <v>8.76</v>
      </c>
      <c r="E1300">
        <f>MEDIAN(D1280:D1320)</f>
        <v/>
      </c>
      <c r="F1300">
        <f>E1280</f>
        <v/>
      </c>
      <c r="G1300">
        <f>F1300-E1300</f>
        <v/>
      </c>
      <c r="H1300">
        <f>IF(OR(NOT(ISNUMBER(D1300)),ABS(D1300-E1300)&gt;$O$3,AND($O$11=1,B1300&lt;$O$12)),1,0)</f>
        <v/>
      </c>
      <c r="I1300">
        <f>IF(H1300=1,NA(),D1300)</f>
        <v/>
      </c>
      <c r="J1300">
        <f>IF(AND(ISNUMBER(D1300),D1300&gt;=$O$4,OR($O$11=0,B1300&gt;=$O$12)),1,0)</f>
        <v/>
      </c>
      <c r="K1300">
        <f>B1300-$O$14</f>
        <v/>
      </c>
    </row>
    <row r="1301">
      <c r="A1301" t="n">
        <v>3897</v>
      </c>
      <c r="B1301" t="n">
        <v>129.9</v>
      </c>
      <c r="C1301" t="inlineStr">
        <is>
          <t>876</t>
        </is>
      </c>
      <c r="D1301" t="n">
        <v>8.76</v>
      </c>
      <c r="E1301">
        <f>MEDIAN(D1281:D1321)</f>
        <v/>
      </c>
      <c r="F1301">
        <f>E1281</f>
        <v/>
      </c>
      <c r="G1301">
        <f>F1301-E1301</f>
        <v/>
      </c>
      <c r="H1301">
        <f>IF(OR(NOT(ISNUMBER(D1301)),ABS(D1301-E1301)&gt;$O$3,AND($O$11=1,B1301&lt;$O$12)),1,0)</f>
        <v/>
      </c>
      <c r="I1301">
        <f>IF(H1301=1,NA(),D1301)</f>
        <v/>
      </c>
      <c r="J1301">
        <f>IF(AND(ISNUMBER(D1301),D1301&gt;=$O$4,OR($O$11=0,B1301&gt;=$O$12)),1,0)</f>
        <v/>
      </c>
      <c r="K1301">
        <f>B1301-$O$14</f>
        <v/>
      </c>
    </row>
    <row r="1302">
      <c r="A1302" t="n">
        <v>3900</v>
      </c>
      <c r="B1302" t="n">
        <v>130</v>
      </c>
      <c r="C1302" t="inlineStr">
        <is>
          <t>876</t>
        </is>
      </c>
      <c r="D1302" t="n">
        <v>8.76</v>
      </c>
      <c r="E1302">
        <f>MEDIAN(D1282:D1322)</f>
        <v/>
      </c>
      <c r="F1302">
        <f>E1282</f>
        <v/>
      </c>
      <c r="G1302">
        <f>F1302-E1302</f>
        <v/>
      </c>
      <c r="H1302">
        <f>IF(OR(NOT(ISNUMBER(D1302)),ABS(D1302-E1302)&gt;$O$3,AND($O$11=1,B1302&lt;$O$12)),1,0)</f>
        <v/>
      </c>
      <c r="I1302">
        <f>IF(H1302=1,NA(),D1302)</f>
        <v/>
      </c>
      <c r="J1302">
        <f>IF(AND(ISNUMBER(D1302),D1302&gt;=$O$4,OR($O$11=0,B1302&gt;=$O$12)),1,0)</f>
        <v/>
      </c>
      <c r="K1302">
        <f>B1302-$O$14</f>
        <v/>
      </c>
    </row>
    <row r="1303">
      <c r="A1303" t="n">
        <v>3903</v>
      </c>
      <c r="B1303" t="n">
        <v>130.1</v>
      </c>
      <c r="C1303" t="inlineStr">
        <is>
          <t>876</t>
        </is>
      </c>
      <c r="D1303" t="n">
        <v>8.76</v>
      </c>
      <c r="E1303">
        <f>MEDIAN(D1283:D1323)</f>
        <v/>
      </c>
      <c r="F1303">
        <f>E1283</f>
        <v/>
      </c>
      <c r="G1303">
        <f>F1303-E1303</f>
        <v/>
      </c>
      <c r="H1303">
        <f>IF(OR(NOT(ISNUMBER(D1303)),ABS(D1303-E1303)&gt;$O$3,AND($O$11=1,B1303&lt;$O$12)),1,0)</f>
        <v/>
      </c>
      <c r="I1303">
        <f>IF(H1303=1,NA(),D1303)</f>
        <v/>
      </c>
      <c r="J1303">
        <f>IF(AND(ISNUMBER(D1303),D1303&gt;=$O$4,OR($O$11=0,B1303&gt;=$O$12)),1,0)</f>
        <v/>
      </c>
      <c r="K1303">
        <f>B1303-$O$14</f>
        <v/>
      </c>
    </row>
    <row r="1304">
      <c r="A1304" t="n">
        <v>3906</v>
      </c>
      <c r="B1304" t="n">
        <v>130.2</v>
      </c>
      <c r="C1304" t="inlineStr">
        <is>
          <t>876</t>
        </is>
      </c>
      <c r="D1304" t="n">
        <v>8.76</v>
      </c>
      <c r="E1304">
        <f>MEDIAN(D1284:D1324)</f>
        <v/>
      </c>
      <c r="F1304">
        <f>E1284</f>
        <v/>
      </c>
      <c r="G1304">
        <f>F1304-E1304</f>
        <v/>
      </c>
      <c r="H1304">
        <f>IF(OR(NOT(ISNUMBER(D1304)),ABS(D1304-E1304)&gt;$O$3,AND($O$11=1,B1304&lt;$O$12)),1,0)</f>
        <v/>
      </c>
      <c r="I1304">
        <f>IF(H1304=1,NA(),D1304)</f>
        <v/>
      </c>
      <c r="J1304">
        <f>IF(AND(ISNUMBER(D1304),D1304&gt;=$O$4,OR($O$11=0,B1304&gt;=$O$12)),1,0)</f>
        <v/>
      </c>
      <c r="K1304">
        <f>B1304-$O$14</f>
        <v/>
      </c>
    </row>
    <row r="1305">
      <c r="A1305" t="n">
        <v>3909</v>
      </c>
      <c r="B1305" t="n">
        <v>130.3</v>
      </c>
      <c r="C1305" t="inlineStr">
        <is>
          <t>876</t>
        </is>
      </c>
      <c r="D1305" t="n">
        <v>8.76</v>
      </c>
      <c r="E1305">
        <f>MEDIAN(D1285:D1325)</f>
        <v/>
      </c>
      <c r="F1305">
        <f>E1285</f>
        <v/>
      </c>
      <c r="G1305">
        <f>F1305-E1305</f>
        <v/>
      </c>
      <c r="H1305">
        <f>IF(OR(NOT(ISNUMBER(D1305)),ABS(D1305-E1305)&gt;$O$3,AND($O$11=1,B1305&lt;$O$12)),1,0)</f>
        <v/>
      </c>
      <c r="I1305">
        <f>IF(H1305=1,NA(),D1305)</f>
        <v/>
      </c>
      <c r="J1305">
        <f>IF(AND(ISNUMBER(D1305),D1305&gt;=$O$4,OR($O$11=0,B1305&gt;=$O$12)),1,0)</f>
        <v/>
      </c>
      <c r="K1305">
        <f>B1305-$O$14</f>
        <v/>
      </c>
    </row>
    <row r="1306">
      <c r="A1306" t="n">
        <v>3912</v>
      </c>
      <c r="B1306" t="n">
        <v>130.4</v>
      </c>
      <c r="C1306" t="inlineStr">
        <is>
          <t>876</t>
        </is>
      </c>
      <c r="D1306" t="n">
        <v>8.76</v>
      </c>
      <c r="E1306">
        <f>MEDIAN(D1286:D1326)</f>
        <v/>
      </c>
      <c r="F1306">
        <f>E1286</f>
        <v/>
      </c>
      <c r="G1306">
        <f>F1306-E1306</f>
        <v/>
      </c>
      <c r="H1306">
        <f>IF(OR(NOT(ISNUMBER(D1306)),ABS(D1306-E1306)&gt;$O$3,AND($O$11=1,B1306&lt;$O$12)),1,0)</f>
        <v/>
      </c>
      <c r="I1306">
        <f>IF(H1306=1,NA(),D1306)</f>
        <v/>
      </c>
      <c r="J1306">
        <f>IF(AND(ISNUMBER(D1306),D1306&gt;=$O$4,OR($O$11=0,B1306&gt;=$O$12)),1,0)</f>
        <v/>
      </c>
      <c r="K1306">
        <f>B1306-$O$14</f>
        <v/>
      </c>
    </row>
    <row r="1307">
      <c r="A1307" t="n">
        <v>3915</v>
      </c>
      <c r="B1307" t="n">
        <v>130.5</v>
      </c>
      <c r="C1307" t="inlineStr">
        <is>
          <t>876</t>
        </is>
      </c>
      <c r="D1307" t="n">
        <v>8.76</v>
      </c>
      <c r="E1307">
        <f>MEDIAN(D1287:D1327)</f>
        <v/>
      </c>
      <c r="F1307">
        <f>E1287</f>
        <v/>
      </c>
      <c r="G1307">
        <f>F1307-E1307</f>
        <v/>
      </c>
      <c r="H1307">
        <f>IF(OR(NOT(ISNUMBER(D1307)),ABS(D1307-E1307)&gt;$O$3,AND($O$11=1,B1307&lt;$O$12)),1,0)</f>
        <v/>
      </c>
      <c r="I1307">
        <f>IF(H1307=1,NA(),D1307)</f>
        <v/>
      </c>
      <c r="J1307">
        <f>IF(AND(ISNUMBER(D1307),D1307&gt;=$O$4,OR($O$11=0,B1307&gt;=$O$12)),1,0)</f>
        <v/>
      </c>
      <c r="K1307">
        <f>B1307-$O$14</f>
        <v/>
      </c>
    </row>
    <row r="1308">
      <c r="A1308" t="n">
        <v>3918</v>
      </c>
      <c r="B1308" t="n">
        <v>130.6</v>
      </c>
      <c r="C1308" t="inlineStr">
        <is>
          <t>876</t>
        </is>
      </c>
      <c r="D1308" t="n">
        <v>8.76</v>
      </c>
      <c r="E1308">
        <f>MEDIAN(D1288:D1328)</f>
        <v/>
      </c>
      <c r="F1308">
        <f>E1288</f>
        <v/>
      </c>
      <c r="G1308">
        <f>F1308-E1308</f>
        <v/>
      </c>
      <c r="H1308">
        <f>IF(OR(NOT(ISNUMBER(D1308)),ABS(D1308-E1308)&gt;$O$3,AND($O$11=1,B1308&lt;$O$12)),1,0)</f>
        <v/>
      </c>
      <c r="I1308">
        <f>IF(H1308=1,NA(),D1308)</f>
        <v/>
      </c>
      <c r="J1308">
        <f>IF(AND(ISNUMBER(D1308),D1308&gt;=$O$4,OR($O$11=0,B1308&gt;=$O$12)),1,0)</f>
        <v/>
      </c>
      <c r="K1308">
        <f>B1308-$O$14</f>
        <v/>
      </c>
    </row>
    <row r="1309">
      <c r="A1309" t="n">
        <v>3921</v>
      </c>
      <c r="B1309" t="n">
        <v>130.7</v>
      </c>
      <c r="C1309" t="inlineStr">
        <is>
          <t>876</t>
        </is>
      </c>
      <c r="D1309" t="n">
        <v>8.76</v>
      </c>
      <c r="E1309">
        <f>MEDIAN(D1289:D1329)</f>
        <v/>
      </c>
      <c r="F1309">
        <f>E1289</f>
        <v/>
      </c>
      <c r="G1309">
        <f>F1309-E1309</f>
        <v/>
      </c>
      <c r="H1309">
        <f>IF(OR(NOT(ISNUMBER(D1309)),ABS(D1309-E1309)&gt;$O$3,AND($O$11=1,B1309&lt;$O$12)),1,0)</f>
        <v/>
      </c>
      <c r="I1309">
        <f>IF(H1309=1,NA(),D1309)</f>
        <v/>
      </c>
      <c r="J1309">
        <f>IF(AND(ISNUMBER(D1309),D1309&gt;=$O$4,OR($O$11=0,B1309&gt;=$O$12)),1,0)</f>
        <v/>
      </c>
      <c r="K1309">
        <f>B1309-$O$14</f>
        <v/>
      </c>
    </row>
    <row r="1310">
      <c r="A1310" t="n">
        <v>3924</v>
      </c>
      <c r="B1310" t="n">
        <v>130.8</v>
      </c>
      <c r="C1310" t="inlineStr">
        <is>
          <t>876</t>
        </is>
      </c>
      <c r="D1310" t="n">
        <v>8.76</v>
      </c>
      <c r="E1310">
        <f>MEDIAN(D1290:D1330)</f>
        <v/>
      </c>
      <c r="F1310">
        <f>E1290</f>
        <v/>
      </c>
      <c r="G1310">
        <f>F1310-E1310</f>
        <v/>
      </c>
      <c r="H1310">
        <f>IF(OR(NOT(ISNUMBER(D1310)),ABS(D1310-E1310)&gt;$O$3,AND($O$11=1,B1310&lt;$O$12)),1,0)</f>
        <v/>
      </c>
      <c r="I1310">
        <f>IF(H1310=1,NA(),D1310)</f>
        <v/>
      </c>
      <c r="J1310">
        <f>IF(AND(ISNUMBER(D1310),D1310&gt;=$O$4,OR($O$11=0,B1310&gt;=$O$12)),1,0)</f>
        <v/>
      </c>
      <c r="K1310">
        <f>B1310-$O$14</f>
        <v/>
      </c>
    </row>
    <row r="1311">
      <c r="A1311" t="n">
        <v>3927</v>
      </c>
      <c r="B1311" t="n">
        <v>130.9</v>
      </c>
      <c r="C1311" t="inlineStr">
        <is>
          <t>876</t>
        </is>
      </c>
      <c r="D1311" t="n">
        <v>8.76</v>
      </c>
      <c r="E1311">
        <f>MEDIAN(D1291:D1331)</f>
        <v/>
      </c>
      <c r="F1311">
        <f>E1291</f>
        <v/>
      </c>
      <c r="G1311">
        <f>F1311-E1311</f>
        <v/>
      </c>
      <c r="H1311">
        <f>IF(OR(NOT(ISNUMBER(D1311)),ABS(D1311-E1311)&gt;$O$3,AND($O$11=1,B1311&lt;$O$12)),1,0)</f>
        <v/>
      </c>
      <c r="I1311">
        <f>IF(H1311=1,NA(),D1311)</f>
        <v/>
      </c>
      <c r="J1311">
        <f>IF(AND(ISNUMBER(D1311),D1311&gt;=$O$4,OR($O$11=0,B1311&gt;=$O$12)),1,0)</f>
        <v/>
      </c>
      <c r="K1311">
        <f>B1311-$O$14</f>
        <v/>
      </c>
    </row>
    <row r="1312">
      <c r="A1312" t="n">
        <v>3930</v>
      </c>
      <c r="B1312" t="n">
        <v>131</v>
      </c>
      <c r="C1312" t="inlineStr">
        <is>
          <t>876</t>
        </is>
      </c>
      <c r="D1312" t="n">
        <v>8.76</v>
      </c>
      <c r="E1312">
        <f>MEDIAN(D1292:D1332)</f>
        <v/>
      </c>
      <c r="F1312">
        <f>E1292</f>
        <v/>
      </c>
      <c r="G1312">
        <f>F1312-E1312</f>
        <v/>
      </c>
      <c r="H1312">
        <f>IF(OR(NOT(ISNUMBER(D1312)),ABS(D1312-E1312)&gt;$O$3,AND($O$11=1,B1312&lt;$O$12)),1,0)</f>
        <v/>
      </c>
      <c r="I1312">
        <f>IF(H1312=1,NA(),D1312)</f>
        <v/>
      </c>
      <c r="J1312">
        <f>IF(AND(ISNUMBER(D1312),D1312&gt;=$O$4,OR($O$11=0,B1312&gt;=$O$12)),1,0)</f>
        <v/>
      </c>
      <c r="K1312">
        <f>B1312-$O$14</f>
        <v/>
      </c>
    </row>
    <row r="1313">
      <c r="A1313" t="n">
        <v>3933</v>
      </c>
      <c r="B1313" t="n">
        <v>131.1</v>
      </c>
      <c r="C1313" t="inlineStr">
        <is>
          <t>876</t>
        </is>
      </c>
      <c r="D1313" t="n">
        <v>8.76</v>
      </c>
      <c r="E1313">
        <f>MEDIAN(D1293:D1333)</f>
        <v/>
      </c>
      <c r="F1313">
        <f>E1293</f>
        <v/>
      </c>
      <c r="G1313">
        <f>F1313-E1313</f>
        <v/>
      </c>
      <c r="H1313">
        <f>IF(OR(NOT(ISNUMBER(D1313)),ABS(D1313-E1313)&gt;$O$3,AND($O$11=1,B1313&lt;$O$12)),1,0)</f>
        <v/>
      </c>
      <c r="I1313">
        <f>IF(H1313=1,NA(),D1313)</f>
        <v/>
      </c>
      <c r="J1313">
        <f>IF(AND(ISNUMBER(D1313),D1313&gt;=$O$4,OR($O$11=0,B1313&gt;=$O$12)),1,0)</f>
        <v/>
      </c>
      <c r="K1313">
        <f>B1313-$O$14</f>
        <v/>
      </c>
    </row>
    <row r="1314">
      <c r="A1314" t="n">
        <v>3936</v>
      </c>
      <c r="B1314" t="n">
        <v>131.2</v>
      </c>
      <c r="C1314" t="inlineStr">
        <is>
          <t>876</t>
        </is>
      </c>
      <c r="D1314" t="n">
        <v>8.76</v>
      </c>
      <c r="E1314">
        <f>MEDIAN(D1294:D1334)</f>
        <v/>
      </c>
      <c r="F1314">
        <f>E1294</f>
        <v/>
      </c>
      <c r="G1314">
        <f>F1314-E1314</f>
        <v/>
      </c>
      <c r="H1314">
        <f>IF(OR(NOT(ISNUMBER(D1314)),ABS(D1314-E1314)&gt;$O$3,AND($O$11=1,B1314&lt;$O$12)),1,0)</f>
        <v/>
      </c>
      <c r="I1314">
        <f>IF(H1314=1,NA(),D1314)</f>
        <v/>
      </c>
      <c r="J1314">
        <f>IF(AND(ISNUMBER(D1314),D1314&gt;=$O$4,OR($O$11=0,B1314&gt;=$O$12)),1,0)</f>
        <v/>
      </c>
      <c r="K1314">
        <f>B1314-$O$14</f>
        <v/>
      </c>
    </row>
    <row r="1315">
      <c r="A1315" t="n">
        <v>3939</v>
      </c>
      <c r="B1315" t="n">
        <v>131.3</v>
      </c>
      <c r="C1315" t="inlineStr">
        <is>
          <t>876</t>
        </is>
      </c>
      <c r="D1315" t="n">
        <v>8.76</v>
      </c>
      <c r="E1315">
        <f>MEDIAN(D1295:D1335)</f>
        <v/>
      </c>
      <c r="F1315">
        <f>E1295</f>
        <v/>
      </c>
      <c r="G1315">
        <f>F1315-E1315</f>
        <v/>
      </c>
      <c r="H1315">
        <f>IF(OR(NOT(ISNUMBER(D1315)),ABS(D1315-E1315)&gt;$O$3,AND($O$11=1,B1315&lt;$O$12)),1,0)</f>
        <v/>
      </c>
      <c r="I1315">
        <f>IF(H1315=1,NA(),D1315)</f>
        <v/>
      </c>
      <c r="J1315">
        <f>IF(AND(ISNUMBER(D1315),D1315&gt;=$O$4,OR($O$11=0,B1315&gt;=$O$12)),1,0)</f>
        <v/>
      </c>
      <c r="K1315">
        <f>B1315-$O$14</f>
        <v/>
      </c>
    </row>
    <row r="1316">
      <c r="A1316" t="n">
        <v>3942</v>
      </c>
      <c r="B1316" t="n">
        <v>131.4</v>
      </c>
      <c r="C1316" t="inlineStr">
        <is>
          <t>876</t>
        </is>
      </c>
      <c r="D1316" t="n">
        <v>8.76</v>
      </c>
      <c r="E1316">
        <f>MEDIAN(D1296:D1336)</f>
        <v/>
      </c>
      <c r="F1316">
        <f>E1296</f>
        <v/>
      </c>
      <c r="G1316">
        <f>F1316-E1316</f>
        <v/>
      </c>
      <c r="H1316">
        <f>IF(OR(NOT(ISNUMBER(D1316)),ABS(D1316-E1316)&gt;$O$3,AND($O$11=1,B1316&lt;$O$12)),1,0)</f>
        <v/>
      </c>
      <c r="I1316">
        <f>IF(H1316=1,NA(),D1316)</f>
        <v/>
      </c>
      <c r="J1316">
        <f>IF(AND(ISNUMBER(D1316),D1316&gt;=$O$4,OR($O$11=0,B1316&gt;=$O$12)),1,0)</f>
        <v/>
      </c>
      <c r="K1316">
        <f>B1316-$O$14</f>
        <v/>
      </c>
    </row>
    <row r="1317">
      <c r="A1317" t="n">
        <v>3945</v>
      </c>
      <c r="B1317" t="n">
        <v>131.5</v>
      </c>
      <c r="C1317" t="inlineStr">
        <is>
          <t>876</t>
        </is>
      </c>
      <c r="D1317" t="n">
        <v>8.76</v>
      </c>
      <c r="E1317">
        <f>MEDIAN(D1297:D1337)</f>
        <v/>
      </c>
      <c r="F1317">
        <f>E1297</f>
        <v/>
      </c>
      <c r="G1317">
        <f>F1317-E1317</f>
        <v/>
      </c>
      <c r="H1317">
        <f>IF(OR(NOT(ISNUMBER(D1317)),ABS(D1317-E1317)&gt;$O$3,AND($O$11=1,B1317&lt;$O$12)),1,0)</f>
        <v/>
      </c>
      <c r="I1317">
        <f>IF(H1317=1,NA(),D1317)</f>
        <v/>
      </c>
      <c r="J1317">
        <f>IF(AND(ISNUMBER(D1317),D1317&gt;=$O$4,OR($O$11=0,B1317&gt;=$O$12)),1,0)</f>
        <v/>
      </c>
      <c r="K1317">
        <f>B1317-$O$14</f>
        <v/>
      </c>
    </row>
    <row r="1318">
      <c r="A1318" t="n">
        <v>3948</v>
      </c>
      <c r="B1318" t="n">
        <v>131.6</v>
      </c>
      <c r="C1318" t="inlineStr">
        <is>
          <t>876</t>
        </is>
      </c>
      <c r="D1318" t="n">
        <v>8.76</v>
      </c>
      <c r="E1318">
        <f>MEDIAN(D1298:D1338)</f>
        <v/>
      </c>
      <c r="F1318">
        <f>E1298</f>
        <v/>
      </c>
      <c r="G1318">
        <f>F1318-E1318</f>
        <v/>
      </c>
      <c r="H1318">
        <f>IF(OR(NOT(ISNUMBER(D1318)),ABS(D1318-E1318)&gt;$O$3,AND($O$11=1,B1318&lt;$O$12)),1,0)</f>
        <v/>
      </c>
      <c r="I1318">
        <f>IF(H1318=1,NA(),D1318)</f>
        <v/>
      </c>
      <c r="J1318">
        <f>IF(AND(ISNUMBER(D1318),D1318&gt;=$O$4,OR($O$11=0,B1318&gt;=$O$12)),1,0)</f>
        <v/>
      </c>
      <c r="K1318">
        <f>B1318-$O$14</f>
        <v/>
      </c>
    </row>
    <row r="1319">
      <c r="A1319" t="n">
        <v>3951</v>
      </c>
      <c r="B1319" t="n">
        <v>131.7</v>
      </c>
      <c r="C1319" t="inlineStr">
        <is>
          <t>876</t>
        </is>
      </c>
      <c r="D1319" t="n">
        <v>8.76</v>
      </c>
      <c r="E1319">
        <f>MEDIAN(D1299:D1339)</f>
        <v/>
      </c>
      <c r="F1319">
        <f>E1299</f>
        <v/>
      </c>
      <c r="G1319">
        <f>F1319-E1319</f>
        <v/>
      </c>
      <c r="H1319">
        <f>IF(OR(NOT(ISNUMBER(D1319)),ABS(D1319-E1319)&gt;$O$3,AND($O$11=1,B1319&lt;$O$12)),1,0)</f>
        <v/>
      </c>
      <c r="I1319">
        <f>IF(H1319=1,NA(),D1319)</f>
        <v/>
      </c>
      <c r="J1319">
        <f>IF(AND(ISNUMBER(D1319),D1319&gt;=$O$4,OR($O$11=0,B1319&gt;=$O$12)),1,0)</f>
        <v/>
      </c>
      <c r="K1319">
        <f>B1319-$O$14</f>
        <v/>
      </c>
    </row>
    <row r="1320">
      <c r="A1320" t="n">
        <v>3954</v>
      </c>
      <c r="B1320" t="n">
        <v>131.8</v>
      </c>
      <c r="C1320" t="inlineStr">
        <is>
          <t>876</t>
        </is>
      </c>
      <c r="D1320" t="n">
        <v>8.76</v>
      </c>
      <c r="E1320">
        <f>MEDIAN(D1300:D1340)</f>
        <v/>
      </c>
      <c r="F1320">
        <f>E1300</f>
        <v/>
      </c>
      <c r="G1320">
        <f>F1320-E1320</f>
        <v/>
      </c>
      <c r="H1320">
        <f>IF(OR(NOT(ISNUMBER(D1320)),ABS(D1320-E1320)&gt;$O$3,AND($O$11=1,B1320&lt;$O$12)),1,0)</f>
        <v/>
      </c>
      <c r="I1320">
        <f>IF(H1320=1,NA(),D1320)</f>
        <v/>
      </c>
      <c r="J1320">
        <f>IF(AND(ISNUMBER(D1320),D1320&gt;=$O$4,OR($O$11=0,B1320&gt;=$O$12)),1,0)</f>
        <v/>
      </c>
      <c r="K1320">
        <f>B1320-$O$14</f>
        <v/>
      </c>
    </row>
    <row r="1321">
      <c r="A1321" t="n">
        <v>3957</v>
      </c>
      <c r="B1321" t="n">
        <v>131.9</v>
      </c>
      <c r="C1321" t="inlineStr">
        <is>
          <t>876</t>
        </is>
      </c>
      <c r="D1321" t="n">
        <v>8.76</v>
      </c>
      <c r="E1321">
        <f>MEDIAN(D1301:D1341)</f>
        <v/>
      </c>
      <c r="F1321">
        <f>E1301</f>
        <v/>
      </c>
      <c r="G1321">
        <f>F1321-E1321</f>
        <v/>
      </c>
      <c r="H1321">
        <f>IF(OR(NOT(ISNUMBER(D1321)),ABS(D1321-E1321)&gt;$O$3,AND($O$11=1,B1321&lt;$O$12)),1,0)</f>
        <v/>
      </c>
      <c r="I1321">
        <f>IF(H1321=1,NA(),D1321)</f>
        <v/>
      </c>
      <c r="J1321">
        <f>IF(AND(ISNUMBER(D1321),D1321&gt;=$O$4,OR($O$11=0,B1321&gt;=$O$12)),1,0)</f>
        <v/>
      </c>
      <c r="K1321">
        <f>B1321-$O$14</f>
        <v/>
      </c>
    </row>
    <row r="1322">
      <c r="A1322" t="n">
        <v>3960</v>
      </c>
      <c r="B1322" t="n">
        <v>132</v>
      </c>
      <c r="C1322" t="inlineStr">
        <is>
          <t>876</t>
        </is>
      </c>
      <c r="D1322" t="n">
        <v>8.76</v>
      </c>
      <c r="E1322">
        <f>MEDIAN(D1302:D1342)</f>
        <v/>
      </c>
      <c r="F1322">
        <f>E1302</f>
        <v/>
      </c>
      <c r="G1322">
        <f>F1322-E1322</f>
        <v/>
      </c>
      <c r="H1322">
        <f>IF(OR(NOT(ISNUMBER(D1322)),ABS(D1322-E1322)&gt;$O$3,AND($O$11=1,B1322&lt;$O$12)),1,0)</f>
        <v/>
      </c>
      <c r="I1322">
        <f>IF(H1322=1,NA(),D1322)</f>
        <v/>
      </c>
      <c r="J1322">
        <f>IF(AND(ISNUMBER(D1322),D1322&gt;=$O$4,OR($O$11=0,B1322&gt;=$O$12)),1,0)</f>
        <v/>
      </c>
      <c r="K1322">
        <f>B1322-$O$14</f>
        <v/>
      </c>
    </row>
    <row r="1323">
      <c r="A1323" t="n">
        <v>3963</v>
      </c>
      <c r="B1323" t="n">
        <v>132.1</v>
      </c>
      <c r="C1323" t="inlineStr">
        <is>
          <t>876</t>
        </is>
      </c>
      <c r="D1323" t="n">
        <v>8.76</v>
      </c>
      <c r="E1323">
        <f>MEDIAN(D1303:D1343)</f>
        <v/>
      </c>
      <c r="F1323">
        <f>E1303</f>
        <v/>
      </c>
      <c r="G1323">
        <f>F1323-E1323</f>
        <v/>
      </c>
      <c r="H1323">
        <f>IF(OR(NOT(ISNUMBER(D1323)),ABS(D1323-E1323)&gt;$O$3,AND($O$11=1,B1323&lt;$O$12)),1,0)</f>
        <v/>
      </c>
      <c r="I1323">
        <f>IF(H1323=1,NA(),D1323)</f>
        <v/>
      </c>
      <c r="J1323">
        <f>IF(AND(ISNUMBER(D1323),D1323&gt;=$O$4,OR($O$11=0,B1323&gt;=$O$12)),1,0)</f>
        <v/>
      </c>
      <c r="K1323">
        <f>B1323-$O$14</f>
        <v/>
      </c>
    </row>
    <row r="1324">
      <c r="A1324" t="n">
        <v>3966</v>
      </c>
      <c r="B1324" t="n">
        <v>132.2</v>
      </c>
      <c r="C1324" t="inlineStr">
        <is>
          <t>876</t>
        </is>
      </c>
      <c r="D1324" t="n">
        <v>8.76</v>
      </c>
      <c r="E1324">
        <f>MEDIAN(D1304:D1344)</f>
        <v/>
      </c>
      <c r="F1324">
        <f>E1304</f>
        <v/>
      </c>
      <c r="G1324">
        <f>F1324-E1324</f>
        <v/>
      </c>
      <c r="H1324">
        <f>IF(OR(NOT(ISNUMBER(D1324)),ABS(D1324-E1324)&gt;$O$3,AND($O$11=1,B1324&lt;$O$12)),1,0)</f>
        <v/>
      </c>
      <c r="I1324">
        <f>IF(H1324=1,NA(),D1324)</f>
        <v/>
      </c>
      <c r="J1324">
        <f>IF(AND(ISNUMBER(D1324),D1324&gt;=$O$4,OR($O$11=0,B1324&gt;=$O$12)),1,0)</f>
        <v/>
      </c>
      <c r="K1324">
        <f>B1324-$O$14</f>
        <v/>
      </c>
    </row>
    <row r="1325">
      <c r="A1325" t="n">
        <v>3969</v>
      </c>
      <c r="B1325" t="n">
        <v>132.3</v>
      </c>
      <c r="C1325" t="inlineStr">
        <is>
          <t>876</t>
        </is>
      </c>
      <c r="D1325" t="n">
        <v>8.76</v>
      </c>
      <c r="E1325">
        <f>MEDIAN(D1305:D1345)</f>
        <v/>
      </c>
      <c r="F1325">
        <f>E1305</f>
        <v/>
      </c>
      <c r="G1325">
        <f>F1325-E1325</f>
        <v/>
      </c>
      <c r="H1325">
        <f>IF(OR(NOT(ISNUMBER(D1325)),ABS(D1325-E1325)&gt;$O$3,AND($O$11=1,B1325&lt;$O$12)),1,0)</f>
        <v/>
      </c>
      <c r="I1325">
        <f>IF(H1325=1,NA(),D1325)</f>
        <v/>
      </c>
      <c r="J1325">
        <f>IF(AND(ISNUMBER(D1325),D1325&gt;=$O$4,OR($O$11=0,B1325&gt;=$O$12)),1,0)</f>
        <v/>
      </c>
      <c r="K1325">
        <f>B1325-$O$14</f>
        <v/>
      </c>
    </row>
    <row r="1326">
      <c r="A1326" t="n">
        <v>3972</v>
      </c>
      <c r="B1326" t="n">
        <v>132.4</v>
      </c>
      <c r="C1326" t="inlineStr">
        <is>
          <t>876</t>
        </is>
      </c>
      <c r="D1326" t="n">
        <v>8.76</v>
      </c>
      <c r="E1326">
        <f>MEDIAN(D1306:D1346)</f>
        <v/>
      </c>
      <c r="F1326">
        <f>E1306</f>
        <v/>
      </c>
      <c r="G1326">
        <f>F1326-E1326</f>
        <v/>
      </c>
      <c r="H1326">
        <f>IF(OR(NOT(ISNUMBER(D1326)),ABS(D1326-E1326)&gt;$O$3,AND($O$11=1,B1326&lt;$O$12)),1,0)</f>
        <v/>
      </c>
      <c r="I1326">
        <f>IF(H1326=1,NA(),D1326)</f>
        <v/>
      </c>
      <c r="J1326">
        <f>IF(AND(ISNUMBER(D1326),D1326&gt;=$O$4,OR($O$11=0,B1326&gt;=$O$12)),1,0)</f>
        <v/>
      </c>
      <c r="K1326">
        <f>B1326-$O$14</f>
        <v/>
      </c>
    </row>
    <row r="1327">
      <c r="A1327" t="n">
        <v>3975</v>
      </c>
      <c r="B1327" t="n">
        <v>132.5</v>
      </c>
      <c r="C1327" t="inlineStr">
        <is>
          <t>876</t>
        </is>
      </c>
      <c r="D1327" t="n">
        <v>8.76</v>
      </c>
      <c r="E1327">
        <f>MEDIAN(D1307:D1347)</f>
        <v/>
      </c>
      <c r="F1327">
        <f>E1307</f>
        <v/>
      </c>
      <c r="G1327">
        <f>F1327-E1327</f>
        <v/>
      </c>
      <c r="H1327">
        <f>IF(OR(NOT(ISNUMBER(D1327)),ABS(D1327-E1327)&gt;$O$3,AND($O$11=1,B1327&lt;$O$12)),1,0)</f>
        <v/>
      </c>
      <c r="I1327">
        <f>IF(H1327=1,NA(),D1327)</f>
        <v/>
      </c>
      <c r="J1327">
        <f>IF(AND(ISNUMBER(D1327),D1327&gt;=$O$4,OR($O$11=0,B1327&gt;=$O$12)),1,0)</f>
        <v/>
      </c>
      <c r="K1327">
        <f>B1327-$O$14</f>
        <v/>
      </c>
    </row>
    <row r="1328">
      <c r="A1328" t="n">
        <v>3978</v>
      </c>
      <c r="B1328" t="n">
        <v>132.6</v>
      </c>
      <c r="C1328" t="inlineStr">
        <is>
          <t>876</t>
        </is>
      </c>
      <c r="D1328" t="n">
        <v>8.76</v>
      </c>
      <c r="E1328">
        <f>MEDIAN(D1308:D1348)</f>
        <v/>
      </c>
      <c r="F1328">
        <f>E1308</f>
        <v/>
      </c>
      <c r="G1328">
        <f>F1328-E1328</f>
        <v/>
      </c>
      <c r="H1328">
        <f>IF(OR(NOT(ISNUMBER(D1328)),ABS(D1328-E1328)&gt;$O$3,AND($O$11=1,B1328&lt;$O$12)),1,0)</f>
        <v/>
      </c>
      <c r="I1328">
        <f>IF(H1328=1,NA(),D1328)</f>
        <v/>
      </c>
      <c r="J1328">
        <f>IF(AND(ISNUMBER(D1328),D1328&gt;=$O$4,OR($O$11=0,B1328&gt;=$O$12)),1,0)</f>
        <v/>
      </c>
      <c r="K1328">
        <f>B1328-$O$14</f>
        <v/>
      </c>
    </row>
    <row r="1329">
      <c r="A1329" t="n">
        <v>3981</v>
      </c>
      <c r="B1329" t="n">
        <v>132.7</v>
      </c>
      <c r="C1329" t="inlineStr">
        <is>
          <t>876</t>
        </is>
      </c>
      <c r="D1329" t="n">
        <v>8.76</v>
      </c>
      <c r="E1329">
        <f>MEDIAN(D1309:D1349)</f>
        <v/>
      </c>
      <c r="F1329">
        <f>E1309</f>
        <v/>
      </c>
      <c r="G1329">
        <f>F1329-E1329</f>
        <v/>
      </c>
      <c r="H1329">
        <f>IF(OR(NOT(ISNUMBER(D1329)),ABS(D1329-E1329)&gt;$O$3,AND($O$11=1,B1329&lt;$O$12)),1,0)</f>
        <v/>
      </c>
      <c r="I1329">
        <f>IF(H1329=1,NA(),D1329)</f>
        <v/>
      </c>
      <c r="J1329">
        <f>IF(AND(ISNUMBER(D1329),D1329&gt;=$O$4,OR($O$11=0,B1329&gt;=$O$12)),1,0)</f>
        <v/>
      </c>
      <c r="K1329">
        <f>B1329-$O$14</f>
        <v/>
      </c>
    </row>
    <row r="1330">
      <c r="A1330" t="n">
        <v>3984</v>
      </c>
      <c r="B1330" t="n">
        <v>132.8</v>
      </c>
      <c r="C1330" t="inlineStr">
        <is>
          <t>876</t>
        </is>
      </c>
      <c r="D1330" t="n">
        <v>8.76</v>
      </c>
      <c r="E1330">
        <f>MEDIAN(D1310:D1350)</f>
        <v/>
      </c>
      <c r="F1330">
        <f>E1310</f>
        <v/>
      </c>
      <c r="G1330">
        <f>F1330-E1330</f>
        <v/>
      </c>
      <c r="H1330">
        <f>IF(OR(NOT(ISNUMBER(D1330)),ABS(D1330-E1330)&gt;$O$3,AND($O$11=1,B1330&lt;$O$12)),1,0)</f>
        <v/>
      </c>
      <c r="I1330">
        <f>IF(H1330=1,NA(),D1330)</f>
        <v/>
      </c>
      <c r="J1330">
        <f>IF(AND(ISNUMBER(D1330),D1330&gt;=$O$4,OR($O$11=0,B1330&gt;=$O$12)),1,0)</f>
        <v/>
      </c>
      <c r="K1330">
        <f>B1330-$O$14</f>
        <v/>
      </c>
    </row>
    <row r="1331">
      <c r="A1331" t="n">
        <v>3987</v>
      </c>
      <c r="B1331" t="n">
        <v>132.9</v>
      </c>
      <c r="C1331" t="inlineStr">
        <is>
          <t>876</t>
        </is>
      </c>
      <c r="D1331" t="n">
        <v>8.76</v>
      </c>
      <c r="E1331">
        <f>MEDIAN(D1311:D1351)</f>
        <v/>
      </c>
      <c r="F1331">
        <f>E1311</f>
        <v/>
      </c>
      <c r="G1331">
        <f>F1331-E1331</f>
        <v/>
      </c>
      <c r="H1331">
        <f>IF(OR(NOT(ISNUMBER(D1331)),ABS(D1331-E1331)&gt;$O$3,AND($O$11=1,B1331&lt;$O$12)),1,0)</f>
        <v/>
      </c>
      <c r="I1331">
        <f>IF(H1331=1,NA(),D1331)</f>
        <v/>
      </c>
      <c r="J1331">
        <f>IF(AND(ISNUMBER(D1331),D1331&gt;=$O$4,OR($O$11=0,B1331&gt;=$O$12)),1,0)</f>
        <v/>
      </c>
      <c r="K1331">
        <f>B1331-$O$14</f>
        <v/>
      </c>
    </row>
    <row r="1332">
      <c r="A1332" t="n">
        <v>3990</v>
      </c>
      <c r="B1332" t="n">
        <v>133</v>
      </c>
      <c r="C1332" t="inlineStr">
        <is>
          <t>876</t>
        </is>
      </c>
      <c r="D1332" t="n">
        <v>8.76</v>
      </c>
      <c r="E1332">
        <f>MEDIAN(D1312:D1352)</f>
        <v/>
      </c>
      <c r="F1332">
        <f>E1312</f>
        <v/>
      </c>
      <c r="G1332">
        <f>F1332-E1332</f>
        <v/>
      </c>
      <c r="H1332">
        <f>IF(OR(NOT(ISNUMBER(D1332)),ABS(D1332-E1332)&gt;$O$3,AND($O$11=1,B1332&lt;$O$12)),1,0)</f>
        <v/>
      </c>
      <c r="I1332">
        <f>IF(H1332=1,NA(),D1332)</f>
        <v/>
      </c>
      <c r="J1332">
        <f>IF(AND(ISNUMBER(D1332),D1332&gt;=$O$4,OR($O$11=0,B1332&gt;=$O$12)),1,0)</f>
        <v/>
      </c>
      <c r="K1332">
        <f>B1332-$O$14</f>
        <v/>
      </c>
    </row>
    <row r="1333">
      <c r="A1333" t="n">
        <v>3993</v>
      </c>
      <c r="B1333" t="n">
        <v>133.1</v>
      </c>
      <c r="C1333" t="inlineStr">
        <is>
          <t>876</t>
        </is>
      </c>
      <c r="D1333" t="n">
        <v>8.76</v>
      </c>
      <c r="E1333">
        <f>MEDIAN(D1313:D1353)</f>
        <v/>
      </c>
      <c r="F1333">
        <f>E1313</f>
        <v/>
      </c>
      <c r="G1333">
        <f>F1333-E1333</f>
        <v/>
      </c>
      <c r="H1333">
        <f>IF(OR(NOT(ISNUMBER(D1333)),ABS(D1333-E1333)&gt;$O$3,AND($O$11=1,B1333&lt;$O$12)),1,0)</f>
        <v/>
      </c>
      <c r="I1333">
        <f>IF(H1333=1,NA(),D1333)</f>
        <v/>
      </c>
      <c r="J1333">
        <f>IF(AND(ISNUMBER(D1333),D1333&gt;=$O$4,OR($O$11=0,B1333&gt;=$O$12)),1,0)</f>
        <v/>
      </c>
      <c r="K1333">
        <f>B1333-$O$14</f>
        <v/>
      </c>
    </row>
    <row r="1334">
      <c r="A1334" t="n">
        <v>3996</v>
      </c>
      <c r="B1334" t="n">
        <v>133.2</v>
      </c>
      <c r="C1334" t="inlineStr">
        <is>
          <t>876</t>
        </is>
      </c>
      <c r="D1334" t="n">
        <v>8.76</v>
      </c>
      <c r="E1334">
        <f>MEDIAN(D1314:D1354)</f>
        <v/>
      </c>
      <c r="F1334">
        <f>E1314</f>
        <v/>
      </c>
      <c r="G1334">
        <f>F1334-E1334</f>
        <v/>
      </c>
      <c r="H1334">
        <f>IF(OR(NOT(ISNUMBER(D1334)),ABS(D1334-E1334)&gt;$O$3,AND($O$11=1,B1334&lt;$O$12)),1,0)</f>
        <v/>
      </c>
      <c r="I1334">
        <f>IF(H1334=1,NA(),D1334)</f>
        <v/>
      </c>
      <c r="J1334">
        <f>IF(AND(ISNUMBER(D1334),D1334&gt;=$O$4,OR($O$11=0,B1334&gt;=$O$12)),1,0)</f>
        <v/>
      </c>
      <c r="K1334">
        <f>B1334-$O$14</f>
        <v/>
      </c>
    </row>
    <row r="1335">
      <c r="A1335" t="n">
        <v>3999</v>
      </c>
      <c r="B1335" t="n">
        <v>133.3</v>
      </c>
      <c r="C1335" t="inlineStr">
        <is>
          <t>876</t>
        </is>
      </c>
      <c r="D1335" t="n">
        <v>8.76</v>
      </c>
      <c r="E1335">
        <f>MEDIAN(D1315:D1355)</f>
        <v/>
      </c>
      <c r="F1335">
        <f>E1315</f>
        <v/>
      </c>
      <c r="G1335">
        <f>F1335-E1335</f>
        <v/>
      </c>
      <c r="H1335">
        <f>IF(OR(NOT(ISNUMBER(D1335)),ABS(D1335-E1335)&gt;$O$3,AND($O$11=1,B1335&lt;$O$12)),1,0)</f>
        <v/>
      </c>
      <c r="I1335">
        <f>IF(H1335=1,NA(),D1335)</f>
        <v/>
      </c>
      <c r="J1335">
        <f>IF(AND(ISNUMBER(D1335),D1335&gt;=$O$4,OR($O$11=0,B1335&gt;=$O$12)),1,0)</f>
        <v/>
      </c>
      <c r="K1335">
        <f>B1335-$O$14</f>
        <v/>
      </c>
    </row>
    <row r="1336">
      <c r="A1336" t="n">
        <v>4002</v>
      </c>
      <c r="B1336" t="n">
        <v>133.4</v>
      </c>
      <c r="C1336" t="inlineStr">
        <is>
          <t>876</t>
        </is>
      </c>
      <c r="D1336" t="n">
        <v>8.76</v>
      </c>
      <c r="E1336">
        <f>MEDIAN(D1316:D1356)</f>
        <v/>
      </c>
      <c r="F1336">
        <f>E1316</f>
        <v/>
      </c>
      <c r="G1336">
        <f>F1336-E1336</f>
        <v/>
      </c>
      <c r="H1336">
        <f>IF(OR(NOT(ISNUMBER(D1336)),ABS(D1336-E1336)&gt;$O$3,AND($O$11=1,B1336&lt;$O$12)),1,0)</f>
        <v/>
      </c>
      <c r="I1336">
        <f>IF(H1336=1,NA(),D1336)</f>
        <v/>
      </c>
      <c r="J1336">
        <f>IF(AND(ISNUMBER(D1336),D1336&gt;=$O$4,OR($O$11=0,B1336&gt;=$O$12)),1,0)</f>
        <v/>
      </c>
      <c r="K1336">
        <f>B1336-$O$14</f>
        <v/>
      </c>
    </row>
    <row r="1337">
      <c r="A1337" t="n">
        <v>4005</v>
      </c>
      <c r="B1337" t="n">
        <v>133.5</v>
      </c>
      <c r="C1337" t="inlineStr">
        <is>
          <t>876</t>
        </is>
      </c>
      <c r="D1337" t="n">
        <v>8.76</v>
      </c>
      <c r="E1337">
        <f>MEDIAN(D1317:D1357)</f>
        <v/>
      </c>
      <c r="F1337">
        <f>E1317</f>
        <v/>
      </c>
      <c r="G1337">
        <f>F1337-E1337</f>
        <v/>
      </c>
      <c r="H1337">
        <f>IF(OR(NOT(ISNUMBER(D1337)),ABS(D1337-E1337)&gt;$O$3,AND($O$11=1,B1337&lt;$O$12)),1,0)</f>
        <v/>
      </c>
      <c r="I1337">
        <f>IF(H1337=1,NA(),D1337)</f>
        <v/>
      </c>
      <c r="J1337">
        <f>IF(AND(ISNUMBER(D1337),D1337&gt;=$O$4,OR($O$11=0,B1337&gt;=$O$12)),1,0)</f>
        <v/>
      </c>
      <c r="K1337">
        <f>B1337-$O$14</f>
        <v/>
      </c>
    </row>
    <row r="1338">
      <c r="A1338" t="n">
        <v>4008</v>
      </c>
      <c r="B1338" t="n">
        <v>133.6</v>
      </c>
      <c r="C1338" t="inlineStr">
        <is>
          <t>876</t>
        </is>
      </c>
      <c r="D1338" t="n">
        <v>8.76</v>
      </c>
      <c r="E1338">
        <f>MEDIAN(D1318:D1358)</f>
        <v/>
      </c>
      <c r="F1338">
        <f>E1318</f>
        <v/>
      </c>
      <c r="G1338">
        <f>F1338-E1338</f>
        <v/>
      </c>
      <c r="H1338">
        <f>IF(OR(NOT(ISNUMBER(D1338)),ABS(D1338-E1338)&gt;$O$3,AND($O$11=1,B1338&lt;$O$12)),1,0)</f>
        <v/>
      </c>
      <c r="I1338">
        <f>IF(H1338=1,NA(),D1338)</f>
        <v/>
      </c>
      <c r="J1338">
        <f>IF(AND(ISNUMBER(D1338),D1338&gt;=$O$4,OR($O$11=0,B1338&gt;=$O$12)),1,0)</f>
        <v/>
      </c>
      <c r="K1338">
        <f>B1338-$O$14</f>
        <v/>
      </c>
    </row>
    <row r="1339">
      <c r="A1339" t="n">
        <v>4011</v>
      </c>
      <c r="B1339" t="n">
        <v>133.7</v>
      </c>
      <c r="C1339" t="inlineStr">
        <is>
          <t>876</t>
        </is>
      </c>
      <c r="D1339" t="n">
        <v>8.76</v>
      </c>
      <c r="E1339">
        <f>MEDIAN(D1319:D1359)</f>
        <v/>
      </c>
      <c r="F1339">
        <f>E1319</f>
        <v/>
      </c>
      <c r="G1339">
        <f>F1339-E1339</f>
        <v/>
      </c>
      <c r="H1339">
        <f>IF(OR(NOT(ISNUMBER(D1339)),ABS(D1339-E1339)&gt;$O$3,AND($O$11=1,B1339&lt;$O$12)),1,0)</f>
        <v/>
      </c>
      <c r="I1339">
        <f>IF(H1339=1,NA(),D1339)</f>
        <v/>
      </c>
      <c r="J1339">
        <f>IF(AND(ISNUMBER(D1339),D1339&gt;=$O$4,OR($O$11=0,B1339&gt;=$O$12)),1,0)</f>
        <v/>
      </c>
      <c r="K1339">
        <f>B1339-$O$14</f>
        <v/>
      </c>
    </row>
    <row r="1340">
      <c r="A1340" t="n">
        <v>4014</v>
      </c>
      <c r="B1340" t="n">
        <v>133.8</v>
      </c>
      <c r="C1340" t="inlineStr">
        <is>
          <t>876</t>
        </is>
      </c>
      <c r="D1340" t="n">
        <v>8.76</v>
      </c>
      <c r="E1340">
        <f>MEDIAN(D1320:D1360)</f>
        <v/>
      </c>
      <c r="F1340">
        <f>E1320</f>
        <v/>
      </c>
      <c r="G1340">
        <f>F1340-E1340</f>
        <v/>
      </c>
      <c r="H1340">
        <f>IF(OR(NOT(ISNUMBER(D1340)),ABS(D1340-E1340)&gt;$O$3,AND($O$11=1,B1340&lt;$O$12)),1,0)</f>
        <v/>
      </c>
      <c r="I1340">
        <f>IF(H1340=1,NA(),D1340)</f>
        <v/>
      </c>
      <c r="J1340">
        <f>IF(AND(ISNUMBER(D1340),D1340&gt;=$O$4,OR($O$11=0,B1340&gt;=$O$12)),1,0)</f>
        <v/>
      </c>
      <c r="K1340">
        <f>B1340-$O$14</f>
        <v/>
      </c>
    </row>
    <row r="1341">
      <c r="A1341" t="n">
        <v>4017</v>
      </c>
      <c r="B1341" t="n">
        <v>133.9</v>
      </c>
      <c r="C1341" t="inlineStr">
        <is>
          <t>876</t>
        </is>
      </c>
      <c r="D1341" t="n">
        <v>8.76</v>
      </c>
      <c r="E1341">
        <f>MEDIAN(D1321:D1361)</f>
        <v/>
      </c>
      <c r="F1341">
        <f>E1321</f>
        <v/>
      </c>
      <c r="G1341">
        <f>F1341-E1341</f>
        <v/>
      </c>
      <c r="H1341">
        <f>IF(OR(NOT(ISNUMBER(D1341)),ABS(D1341-E1341)&gt;$O$3,AND($O$11=1,B1341&lt;$O$12)),1,0)</f>
        <v/>
      </c>
      <c r="I1341">
        <f>IF(H1341=1,NA(),D1341)</f>
        <v/>
      </c>
      <c r="J1341">
        <f>IF(AND(ISNUMBER(D1341),D1341&gt;=$O$4,OR($O$11=0,B1341&gt;=$O$12)),1,0)</f>
        <v/>
      </c>
      <c r="K1341">
        <f>B1341-$O$14</f>
        <v/>
      </c>
    </row>
    <row r="1342">
      <c r="A1342" t="n">
        <v>4020</v>
      </c>
      <c r="B1342" t="n">
        <v>134</v>
      </c>
      <c r="C1342" t="inlineStr">
        <is>
          <t>876</t>
        </is>
      </c>
      <c r="D1342" t="n">
        <v>8.76</v>
      </c>
      <c r="E1342">
        <f>MEDIAN(D1322:D1362)</f>
        <v/>
      </c>
      <c r="F1342">
        <f>E1322</f>
        <v/>
      </c>
      <c r="G1342">
        <f>F1342-E1342</f>
        <v/>
      </c>
      <c r="H1342">
        <f>IF(OR(NOT(ISNUMBER(D1342)),ABS(D1342-E1342)&gt;$O$3,AND($O$11=1,B1342&lt;$O$12)),1,0)</f>
        <v/>
      </c>
      <c r="I1342">
        <f>IF(H1342=1,NA(),D1342)</f>
        <v/>
      </c>
      <c r="J1342">
        <f>IF(AND(ISNUMBER(D1342),D1342&gt;=$O$4,OR($O$11=0,B1342&gt;=$O$12)),1,0)</f>
        <v/>
      </c>
      <c r="K1342">
        <f>B1342-$O$14</f>
        <v/>
      </c>
    </row>
    <row r="1343">
      <c r="A1343" t="n">
        <v>4023</v>
      </c>
      <c r="B1343" t="n">
        <v>134.1</v>
      </c>
      <c r="C1343" t="inlineStr">
        <is>
          <t>876</t>
        </is>
      </c>
      <c r="D1343" t="n">
        <v>8.76</v>
      </c>
      <c r="E1343">
        <f>MEDIAN(D1323:D1363)</f>
        <v/>
      </c>
      <c r="F1343">
        <f>E1323</f>
        <v/>
      </c>
      <c r="G1343">
        <f>F1343-E1343</f>
        <v/>
      </c>
      <c r="H1343">
        <f>IF(OR(NOT(ISNUMBER(D1343)),ABS(D1343-E1343)&gt;$O$3,AND($O$11=1,B1343&lt;$O$12)),1,0)</f>
        <v/>
      </c>
      <c r="I1343">
        <f>IF(H1343=1,NA(),D1343)</f>
        <v/>
      </c>
      <c r="J1343">
        <f>IF(AND(ISNUMBER(D1343),D1343&gt;=$O$4,OR($O$11=0,B1343&gt;=$O$12)),1,0)</f>
        <v/>
      </c>
      <c r="K1343">
        <f>B1343-$O$14</f>
        <v/>
      </c>
    </row>
    <row r="1344">
      <c r="A1344" t="n">
        <v>4026</v>
      </c>
      <c r="B1344" t="n">
        <v>134.2</v>
      </c>
      <c r="C1344" t="inlineStr">
        <is>
          <t>876</t>
        </is>
      </c>
      <c r="D1344" t="n">
        <v>8.76</v>
      </c>
      <c r="E1344">
        <f>MEDIAN(D1324:D1364)</f>
        <v/>
      </c>
      <c r="F1344">
        <f>E1324</f>
        <v/>
      </c>
      <c r="G1344">
        <f>F1344-E1344</f>
        <v/>
      </c>
      <c r="H1344">
        <f>IF(OR(NOT(ISNUMBER(D1344)),ABS(D1344-E1344)&gt;$O$3,AND($O$11=1,B1344&lt;$O$12)),1,0)</f>
        <v/>
      </c>
      <c r="I1344">
        <f>IF(H1344=1,NA(),D1344)</f>
        <v/>
      </c>
      <c r="J1344">
        <f>IF(AND(ISNUMBER(D1344),D1344&gt;=$O$4,OR($O$11=0,B1344&gt;=$O$12)),1,0)</f>
        <v/>
      </c>
      <c r="K1344">
        <f>B1344-$O$14</f>
        <v/>
      </c>
    </row>
    <row r="1345">
      <c r="A1345" t="n">
        <v>4029</v>
      </c>
      <c r="B1345" t="n">
        <v>134.3</v>
      </c>
      <c r="C1345" t="inlineStr">
        <is>
          <t>876</t>
        </is>
      </c>
      <c r="D1345" t="n">
        <v>8.76</v>
      </c>
      <c r="E1345">
        <f>MEDIAN(D1325:D1365)</f>
        <v/>
      </c>
      <c r="F1345">
        <f>E1325</f>
        <v/>
      </c>
      <c r="G1345">
        <f>F1345-E1345</f>
        <v/>
      </c>
      <c r="H1345">
        <f>IF(OR(NOT(ISNUMBER(D1345)),ABS(D1345-E1345)&gt;$O$3,AND($O$11=1,B1345&lt;$O$12)),1,0)</f>
        <v/>
      </c>
      <c r="I1345">
        <f>IF(H1345=1,NA(),D1345)</f>
        <v/>
      </c>
      <c r="J1345">
        <f>IF(AND(ISNUMBER(D1345),D1345&gt;=$O$4,OR($O$11=0,B1345&gt;=$O$12)),1,0)</f>
        <v/>
      </c>
      <c r="K1345">
        <f>B1345-$O$14</f>
        <v/>
      </c>
    </row>
    <row r="1346">
      <c r="A1346" t="n">
        <v>4032</v>
      </c>
      <c r="B1346" t="n">
        <v>134.4</v>
      </c>
      <c r="C1346" t="inlineStr">
        <is>
          <t>876</t>
        </is>
      </c>
      <c r="D1346" t="n">
        <v>8.76</v>
      </c>
      <c r="E1346">
        <f>MEDIAN(D1326:D1366)</f>
        <v/>
      </c>
      <c r="F1346">
        <f>E1326</f>
        <v/>
      </c>
      <c r="G1346">
        <f>F1346-E1346</f>
        <v/>
      </c>
      <c r="H1346">
        <f>IF(OR(NOT(ISNUMBER(D1346)),ABS(D1346-E1346)&gt;$O$3,AND($O$11=1,B1346&lt;$O$12)),1,0)</f>
        <v/>
      </c>
      <c r="I1346">
        <f>IF(H1346=1,NA(),D1346)</f>
        <v/>
      </c>
      <c r="J1346">
        <f>IF(AND(ISNUMBER(D1346),D1346&gt;=$O$4,OR($O$11=0,B1346&gt;=$O$12)),1,0)</f>
        <v/>
      </c>
      <c r="K1346">
        <f>B1346-$O$14</f>
        <v/>
      </c>
    </row>
    <row r="1347">
      <c r="A1347" t="n">
        <v>4035</v>
      </c>
      <c r="B1347" t="n">
        <v>134.5</v>
      </c>
      <c r="C1347" t="inlineStr">
        <is>
          <t>876</t>
        </is>
      </c>
      <c r="D1347" t="n">
        <v>8.76</v>
      </c>
      <c r="E1347">
        <f>MEDIAN(D1327:D1367)</f>
        <v/>
      </c>
      <c r="F1347">
        <f>E1327</f>
        <v/>
      </c>
      <c r="G1347">
        <f>F1347-E1347</f>
        <v/>
      </c>
      <c r="H1347">
        <f>IF(OR(NOT(ISNUMBER(D1347)),ABS(D1347-E1347)&gt;$O$3,AND($O$11=1,B1347&lt;$O$12)),1,0)</f>
        <v/>
      </c>
      <c r="I1347">
        <f>IF(H1347=1,NA(),D1347)</f>
        <v/>
      </c>
      <c r="J1347">
        <f>IF(AND(ISNUMBER(D1347),D1347&gt;=$O$4,OR($O$11=0,B1347&gt;=$O$12)),1,0)</f>
        <v/>
      </c>
      <c r="K1347">
        <f>B1347-$O$14</f>
        <v/>
      </c>
    </row>
    <row r="1348">
      <c r="A1348" t="n">
        <v>4038</v>
      </c>
      <c r="B1348" t="n">
        <v>134.6</v>
      </c>
      <c r="C1348" t="inlineStr">
        <is>
          <t>877</t>
        </is>
      </c>
      <c r="D1348" t="n">
        <v>8.77</v>
      </c>
      <c r="E1348">
        <f>MEDIAN(D1328:D1368)</f>
        <v/>
      </c>
      <c r="F1348">
        <f>E1328</f>
        <v/>
      </c>
      <c r="G1348">
        <f>F1348-E1348</f>
        <v/>
      </c>
      <c r="H1348">
        <f>IF(OR(NOT(ISNUMBER(D1348)),ABS(D1348-E1348)&gt;$O$3,AND($O$11=1,B1348&lt;$O$12)),1,0)</f>
        <v/>
      </c>
      <c r="I1348">
        <f>IF(H1348=1,NA(),D1348)</f>
        <v/>
      </c>
      <c r="J1348">
        <f>IF(AND(ISNUMBER(D1348),D1348&gt;=$O$4,OR($O$11=0,B1348&gt;=$O$12)),1,0)</f>
        <v/>
      </c>
      <c r="K1348">
        <f>B1348-$O$14</f>
        <v/>
      </c>
    </row>
    <row r="1349">
      <c r="A1349" t="n">
        <v>4041</v>
      </c>
      <c r="B1349" t="n">
        <v>134.7</v>
      </c>
      <c r="C1349" t="inlineStr">
        <is>
          <t>877</t>
        </is>
      </c>
      <c r="D1349" t="n">
        <v>8.77</v>
      </c>
      <c r="E1349">
        <f>MEDIAN(D1329:D1369)</f>
        <v/>
      </c>
      <c r="F1349">
        <f>E1329</f>
        <v/>
      </c>
      <c r="G1349">
        <f>F1349-E1349</f>
        <v/>
      </c>
      <c r="H1349">
        <f>IF(OR(NOT(ISNUMBER(D1349)),ABS(D1349-E1349)&gt;$O$3,AND($O$11=1,B1349&lt;$O$12)),1,0)</f>
        <v/>
      </c>
      <c r="I1349">
        <f>IF(H1349=1,NA(),D1349)</f>
        <v/>
      </c>
      <c r="J1349">
        <f>IF(AND(ISNUMBER(D1349),D1349&gt;=$O$4,OR($O$11=0,B1349&gt;=$O$12)),1,0)</f>
        <v/>
      </c>
      <c r="K1349">
        <f>B1349-$O$14</f>
        <v/>
      </c>
    </row>
    <row r="1350">
      <c r="A1350" t="n">
        <v>4044</v>
      </c>
      <c r="B1350" t="n">
        <v>134.8</v>
      </c>
      <c r="C1350" t="inlineStr">
        <is>
          <t>877</t>
        </is>
      </c>
      <c r="D1350" t="n">
        <v>8.77</v>
      </c>
      <c r="E1350">
        <f>MEDIAN(D1330:D1370)</f>
        <v/>
      </c>
      <c r="F1350">
        <f>E1330</f>
        <v/>
      </c>
      <c r="G1350">
        <f>F1350-E1350</f>
        <v/>
      </c>
      <c r="H1350">
        <f>IF(OR(NOT(ISNUMBER(D1350)),ABS(D1350-E1350)&gt;$O$3,AND($O$11=1,B1350&lt;$O$12)),1,0)</f>
        <v/>
      </c>
      <c r="I1350">
        <f>IF(H1350=1,NA(),D1350)</f>
        <v/>
      </c>
      <c r="J1350">
        <f>IF(AND(ISNUMBER(D1350),D1350&gt;=$O$4,OR($O$11=0,B1350&gt;=$O$12)),1,0)</f>
        <v/>
      </c>
      <c r="K1350">
        <f>B1350-$O$14</f>
        <v/>
      </c>
    </row>
    <row r="1351">
      <c r="A1351" t="n">
        <v>4047</v>
      </c>
      <c r="B1351" t="n">
        <v>134.9</v>
      </c>
      <c r="C1351" t="inlineStr">
        <is>
          <t>877</t>
        </is>
      </c>
      <c r="D1351" t="n">
        <v>8.77</v>
      </c>
      <c r="E1351">
        <f>MEDIAN(D1331:D1371)</f>
        <v/>
      </c>
      <c r="F1351">
        <f>E1331</f>
        <v/>
      </c>
      <c r="G1351">
        <f>F1351-E1351</f>
        <v/>
      </c>
      <c r="H1351">
        <f>IF(OR(NOT(ISNUMBER(D1351)),ABS(D1351-E1351)&gt;$O$3,AND($O$11=1,B1351&lt;$O$12)),1,0)</f>
        <v/>
      </c>
      <c r="I1351">
        <f>IF(H1351=1,NA(),D1351)</f>
        <v/>
      </c>
      <c r="J1351">
        <f>IF(AND(ISNUMBER(D1351),D1351&gt;=$O$4,OR($O$11=0,B1351&gt;=$O$12)),1,0)</f>
        <v/>
      </c>
      <c r="K1351">
        <f>B1351-$O$14</f>
        <v/>
      </c>
    </row>
    <row r="1352">
      <c r="A1352" t="n">
        <v>4050</v>
      </c>
      <c r="B1352" t="n">
        <v>135</v>
      </c>
      <c r="C1352" t="inlineStr">
        <is>
          <t>877</t>
        </is>
      </c>
      <c r="D1352" t="n">
        <v>8.77</v>
      </c>
      <c r="E1352">
        <f>MEDIAN(D1332:D1372)</f>
        <v/>
      </c>
      <c r="F1352">
        <f>E1332</f>
        <v/>
      </c>
      <c r="G1352">
        <f>F1352-E1352</f>
        <v/>
      </c>
      <c r="H1352">
        <f>IF(OR(NOT(ISNUMBER(D1352)),ABS(D1352-E1352)&gt;$O$3,AND($O$11=1,B1352&lt;$O$12)),1,0)</f>
        <v/>
      </c>
      <c r="I1352">
        <f>IF(H1352=1,NA(),D1352)</f>
        <v/>
      </c>
      <c r="J1352">
        <f>IF(AND(ISNUMBER(D1352),D1352&gt;=$O$4,OR($O$11=0,B1352&gt;=$O$12)),1,0)</f>
        <v/>
      </c>
      <c r="K1352">
        <f>B1352-$O$14</f>
        <v/>
      </c>
    </row>
    <row r="1353">
      <c r="A1353" t="n">
        <v>4053</v>
      </c>
      <c r="B1353" t="n">
        <v>135.1</v>
      </c>
      <c r="C1353" t="inlineStr">
        <is>
          <t>877</t>
        </is>
      </c>
      <c r="D1353" t="n">
        <v>8.77</v>
      </c>
      <c r="E1353">
        <f>MEDIAN(D1333:D1373)</f>
        <v/>
      </c>
      <c r="F1353">
        <f>E1333</f>
        <v/>
      </c>
      <c r="G1353">
        <f>F1353-E1353</f>
        <v/>
      </c>
      <c r="H1353">
        <f>IF(OR(NOT(ISNUMBER(D1353)),ABS(D1353-E1353)&gt;$O$3,AND($O$11=1,B1353&lt;$O$12)),1,0)</f>
        <v/>
      </c>
      <c r="I1353">
        <f>IF(H1353=1,NA(),D1353)</f>
        <v/>
      </c>
      <c r="J1353">
        <f>IF(AND(ISNUMBER(D1353),D1353&gt;=$O$4,OR($O$11=0,B1353&gt;=$O$12)),1,0)</f>
        <v/>
      </c>
      <c r="K1353">
        <f>B1353-$O$14</f>
        <v/>
      </c>
    </row>
    <row r="1354">
      <c r="A1354" t="n">
        <v>4056</v>
      </c>
      <c r="B1354" t="n">
        <v>135.2</v>
      </c>
      <c r="C1354" t="inlineStr">
        <is>
          <t>878</t>
        </is>
      </c>
      <c r="D1354" t="n">
        <v>8.779999999999999</v>
      </c>
      <c r="E1354">
        <f>MEDIAN(D1334:D1374)</f>
        <v/>
      </c>
      <c r="F1354">
        <f>E1334</f>
        <v/>
      </c>
      <c r="G1354">
        <f>F1354-E1354</f>
        <v/>
      </c>
      <c r="H1354">
        <f>IF(OR(NOT(ISNUMBER(D1354)),ABS(D1354-E1354)&gt;$O$3,AND($O$11=1,B1354&lt;$O$12)),1,0)</f>
        <v/>
      </c>
      <c r="I1354">
        <f>IF(H1354=1,NA(),D1354)</f>
        <v/>
      </c>
      <c r="J1354">
        <f>IF(AND(ISNUMBER(D1354),D1354&gt;=$O$4,OR($O$11=0,B1354&gt;=$O$12)),1,0)</f>
        <v/>
      </c>
      <c r="K1354">
        <f>B1354-$O$14</f>
        <v/>
      </c>
    </row>
    <row r="1355">
      <c r="A1355" t="n">
        <v>4059</v>
      </c>
      <c r="B1355" t="n">
        <v>135.3</v>
      </c>
      <c r="C1355" t="inlineStr">
        <is>
          <t>878</t>
        </is>
      </c>
      <c r="D1355" t="n">
        <v>8.779999999999999</v>
      </c>
      <c r="E1355">
        <f>MEDIAN(D1335:D1375)</f>
        <v/>
      </c>
      <c r="F1355">
        <f>E1335</f>
        <v/>
      </c>
      <c r="G1355">
        <f>F1355-E1355</f>
        <v/>
      </c>
      <c r="H1355">
        <f>IF(OR(NOT(ISNUMBER(D1355)),ABS(D1355-E1355)&gt;$O$3,AND($O$11=1,B1355&lt;$O$12)),1,0)</f>
        <v/>
      </c>
      <c r="I1355">
        <f>IF(H1355=1,NA(),D1355)</f>
        <v/>
      </c>
      <c r="J1355">
        <f>IF(AND(ISNUMBER(D1355),D1355&gt;=$O$4,OR($O$11=0,B1355&gt;=$O$12)),1,0)</f>
        <v/>
      </c>
      <c r="K1355">
        <f>B1355-$O$14</f>
        <v/>
      </c>
    </row>
    <row r="1356">
      <c r="A1356" t="n">
        <v>4062</v>
      </c>
      <c r="B1356" t="n">
        <v>135.4</v>
      </c>
      <c r="C1356" t="inlineStr">
        <is>
          <t>878</t>
        </is>
      </c>
      <c r="D1356" t="n">
        <v>8.779999999999999</v>
      </c>
      <c r="E1356">
        <f>MEDIAN(D1336:D1376)</f>
        <v/>
      </c>
      <c r="F1356">
        <f>E1336</f>
        <v/>
      </c>
      <c r="G1356">
        <f>F1356-E1356</f>
        <v/>
      </c>
      <c r="H1356">
        <f>IF(OR(NOT(ISNUMBER(D1356)),ABS(D1356-E1356)&gt;$O$3,AND($O$11=1,B1356&lt;$O$12)),1,0)</f>
        <v/>
      </c>
      <c r="I1356">
        <f>IF(H1356=1,NA(),D1356)</f>
        <v/>
      </c>
      <c r="J1356">
        <f>IF(AND(ISNUMBER(D1356),D1356&gt;=$O$4,OR($O$11=0,B1356&gt;=$O$12)),1,0)</f>
        <v/>
      </c>
      <c r="K1356">
        <f>B1356-$O$14</f>
        <v/>
      </c>
    </row>
    <row r="1357">
      <c r="A1357" t="n">
        <v>4065</v>
      </c>
      <c r="B1357" t="n">
        <v>135.5</v>
      </c>
      <c r="C1357" t="inlineStr">
        <is>
          <t>878</t>
        </is>
      </c>
      <c r="D1357" t="n">
        <v>8.779999999999999</v>
      </c>
      <c r="E1357">
        <f>MEDIAN(D1337:D1377)</f>
        <v/>
      </c>
      <c r="F1357">
        <f>E1337</f>
        <v/>
      </c>
      <c r="G1357">
        <f>F1357-E1357</f>
        <v/>
      </c>
      <c r="H1357">
        <f>IF(OR(NOT(ISNUMBER(D1357)),ABS(D1357-E1357)&gt;$O$3,AND($O$11=1,B1357&lt;$O$12)),1,0)</f>
        <v/>
      </c>
      <c r="I1357">
        <f>IF(H1357=1,NA(),D1357)</f>
        <v/>
      </c>
      <c r="J1357">
        <f>IF(AND(ISNUMBER(D1357),D1357&gt;=$O$4,OR($O$11=0,B1357&gt;=$O$12)),1,0)</f>
        <v/>
      </c>
      <c r="K1357">
        <f>B1357-$O$14</f>
        <v/>
      </c>
    </row>
    <row r="1358">
      <c r="A1358" t="n">
        <v>4068</v>
      </c>
      <c r="B1358" t="n">
        <v>135.6</v>
      </c>
      <c r="C1358" t="inlineStr">
        <is>
          <t>878</t>
        </is>
      </c>
      <c r="D1358" t="n">
        <v>8.779999999999999</v>
      </c>
      <c r="E1358">
        <f>MEDIAN(D1338:D1378)</f>
        <v/>
      </c>
      <c r="F1358">
        <f>E1338</f>
        <v/>
      </c>
      <c r="G1358">
        <f>F1358-E1358</f>
        <v/>
      </c>
      <c r="H1358">
        <f>IF(OR(NOT(ISNUMBER(D1358)),ABS(D1358-E1358)&gt;$O$3,AND($O$11=1,B1358&lt;$O$12)),1,0)</f>
        <v/>
      </c>
      <c r="I1358">
        <f>IF(H1358=1,NA(),D1358)</f>
        <v/>
      </c>
      <c r="J1358">
        <f>IF(AND(ISNUMBER(D1358),D1358&gt;=$O$4,OR($O$11=0,B1358&gt;=$O$12)),1,0)</f>
        <v/>
      </c>
      <c r="K1358">
        <f>B1358-$O$14</f>
        <v/>
      </c>
    </row>
    <row r="1359">
      <c r="A1359" t="n">
        <v>4071</v>
      </c>
      <c r="B1359" t="n">
        <v>135.7</v>
      </c>
      <c r="C1359" t="inlineStr">
        <is>
          <t>880</t>
        </is>
      </c>
      <c r="D1359" t="n">
        <v>8.800000000000001</v>
      </c>
      <c r="E1359">
        <f>MEDIAN(D1339:D1379)</f>
        <v/>
      </c>
      <c r="F1359">
        <f>E1339</f>
        <v/>
      </c>
      <c r="G1359">
        <f>F1359-E1359</f>
        <v/>
      </c>
      <c r="H1359">
        <f>IF(OR(NOT(ISNUMBER(D1359)),ABS(D1359-E1359)&gt;$O$3,AND($O$11=1,B1359&lt;$O$12)),1,0)</f>
        <v/>
      </c>
      <c r="I1359">
        <f>IF(H1359=1,NA(),D1359)</f>
        <v/>
      </c>
      <c r="J1359">
        <f>IF(AND(ISNUMBER(D1359),D1359&gt;=$O$4,OR($O$11=0,B1359&gt;=$O$12)),1,0)</f>
        <v/>
      </c>
      <c r="K1359">
        <f>B1359-$O$14</f>
        <v/>
      </c>
    </row>
    <row r="1360">
      <c r="A1360" t="n">
        <v>4074</v>
      </c>
      <c r="B1360" t="n">
        <v>135.8</v>
      </c>
      <c r="C1360" t="inlineStr">
        <is>
          <t>881</t>
        </is>
      </c>
      <c r="D1360" t="n">
        <v>8.81</v>
      </c>
      <c r="E1360">
        <f>MEDIAN(D1340:D1380)</f>
        <v/>
      </c>
      <c r="F1360">
        <f>E1340</f>
        <v/>
      </c>
      <c r="G1360">
        <f>F1360-E1360</f>
        <v/>
      </c>
      <c r="H1360">
        <f>IF(OR(NOT(ISNUMBER(D1360)),ABS(D1360-E1360)&gt;$O$3,AND($O$11=1,B1360&lt;$O$12)),1,0)</f>
        <v/>
      </c>
      <c r="I1360">
        <f>IF(H1360=1,NA(),D1360)</f>
        <v/>
      </c>
      <c r="J1360">
        <f>IF(AND(ISNUMBER(D1360),D1360&gt;=$O$4,OR($O$11=0,B1360&gt;=$O$12)),1,0)</f>
        <v/>
      </c>
      <c r="K1360">
        <f>B1360-$O$14</f>
        <v/>
      </c>
    </row>
    <row r="1361">
      <c r="A1361" t="n">
        <v>4077</v>
      </c>
      <c r="B1361" t="n">
        <v>135.9</v>
      </c>
      <c r="C1361" t="inlineStr">
        <is>
          <t>881</t>
        </is>
      </c>
      <c r="D1361" t="n">
        <v>8.81</v>
      </c>
      <c r="E1361">
        <f>MEDIAN(D1341:D1381)</f>
        <v/>
      </c>
      <c r="F1361">
        <f>E1341</f>
        <v/>
      </c>
      <c r="G1361">
        <f>F1361-E1361</f>
        <v/>
      </c>
      <c r="H1361">
        <f>IF(OR(NOT(ISNUMBER(D1361)),ABS(D1361-E1361)&gt;$O$3,AND($O$11=1,B1361&lt;$O$12)),1,0)</f>
        <v/>
      </c>
      <c r="I1361">
        <f>IF(H1361=1,NA(),D1361)</f>
        <v/>
      </c>
      <c r="J1361">
        <f>IF(AND(ISNUMBER(D1361),D1361&gt;=$O$4,OR($O$11=0,B1361&gt;=$O$12)),1,0)</f>
        <v/>
      </c>
      <c r="K1361">
        <f>B1361-$O$14</f>
        <v/>
      </c>
    </row>
    <row r="1362">
      <c r="A1362" t="n">
        <v>4080</v>
      </c>
      <c r="B1362" t="n">
        <v>136</v>
      </c>
      <c r="C1362" t="inlineStr">
        <is>
          <t>881</t>
        </is>
      </c>
      <c r="D1362" t="n">
        <v>8.81</v>
      </c>
      <c r="E1362">
        <f>MEDIAN(D1342:D1382)</f>
        <v/>
      </c>
      <c r="F1362">
        <f>E1342</f>
        <v/>
      </c>
      <c r="G1362">
        <f>F1362-E1362</f>
        <v/>
      </c>
      <c r="H1362">
        <f>IF(OR(NOT(ISNUMBER(D1362)),ABS(D1362-E1362)&gt;$O$3,AND($O$11=1,B1362&lt;$O$12)),1,0)</f>
        <v/>
      </c>
      <c r="I1362">
        <f>IF(H1362=1,NA(),D1362)</f>
        <v/>
      </c>
      <c r="J1362">
        <f>IF(AND(ISNUMBER(D1362),D1362&gt;=$O$4,OR($O$11=0,B1362&gt;=$O$12)),1,0)</f>
        <v/>
      </c>
      <c r="K1362">
        <f>B1362-$O$14</f>
        <v/>
      </c>
    </row>
    <row r="1363">
      <c r="A1363" t="n">
        <v>4083</v>
      </c>
      <c r="B1363" t="n">
        <v>136.1</v>
      </c>
      <c r="C1363" t="inlineStr">
        <is>
          <t>881</t>
        </is>
      </c>
      <c r="D1363" t="n">
        <v>8.81</v>
      </c>
      <c r="E1363">
        <f>MEDIAN(D1343:D1383)</f>
        <v/>
      </c>
      <c r="F1363">
        <f>E1343</f>
        <v/>
      </c>
      <c r="G1363">
        <f>F1363-E1363</f>
        <v/>
      </c>
      <c r="H1363">
        <f>IF(OR(NOT(ISNUMBER(D1363)),ABS(D1363-E1363)&gt;$O$3,AND($O$11=1,B1363&lt;$O$12)),1,0)</f>
        <v/>
      </c>
      <c r="I1363">
        <f>IF(H1363=1,NA(),D1363)</f>
        <v/>
      </c>
      <c r="J1363">
        <f>IF(AND(ISNUMBER(D1363),D1363&gt;=$O$4,OR($O$11=0,B1363&gt;=$O$12)),1,0)</f>
        <v/>
      </c>
      <c r="K1363">
        <f>B1363-$O$14</f>
        <v/>
      </c>
    </row>
    <row r="1364">
      <c r="A1364" t="n">
        <v>4086</v>
      </c>
      <c r="B1364" t="n">
        <v>136.2</v>
      </c>
      <c r="C1364" t="inlineStr">
        <is>
          <t>881</t>
        </is>
      </c>
      <c r="D1364" t="n">
        <v>8.81</v>
      </c>
      <c r="E1364">
        <f>MEDIAN(D1344:D1384)</f>
        <v/>
      </c>
      <c r="F1364">
        <f>E1344</f>
        <v/>
      </c>
      <c r="G1364">
        <f>F1364-E1364</f>
        <v/>
      </c>
      <c r="H1364">
        <f>IF(OR(NOT(ISNUMBER(D1364)),ABS(D1364-E1364)&gt;$O$3,AND($O$11=1,B1364&lt;$O$12)),1,0)</f>
        <v/>
      </c>
      <c r="I1364">
        <f>IF(H1364=1,NA(),D1364)</f>
        <v/>
      </c>
      <c r="J1364">
        <f>IF(AND(ISNUMBER(D1364),D1364&gt;=$O$4,OR($O$11=0,B1364&gt;=$O$12)),1,0)</f>
        <v/>
      </c>
      <c r="K1364">
        <f>B1364-$O$14</f>
        <v/>
      </c>
    </row>
    <row r="1365">
      <c r="A1365" t="n">
        <v>4089</v>
      </c>
      <c r="B1365" t="n">
        <v>136.3</v>
      </c>
      <c r="C1365" t="inlineStr">
        <is>
          <t>881</t>
        </is>
      </c>
      <c r="D1365" t="n">
        <v>8.81</v>
      </c>
      <c r="E1365">
        <f>MEDIAN(D1345:D1385)</f>
        <v/>
      </c>
      <c r="F1365">
        <f>E1345</f>
        <v/>
      </c>
      <c r="G1365">
        <f>F1365-E1365</f>
        <v/>
      </c>
      <c r="H1365">
        <f>IF(OR(NOT(ISNUMBER(D1365)),ABS(D1365-E1365)&gt;$O$3,AND($O$11=1,B1365&lt;$O$12)),1,0)</f>
        <v/>
      </c>
      <c r="I1365">
        <f>IF(H1365=1,NA(),D1365)</f>
        <v/>
      </c>
      <c r="J1365">
        <f>IF(AND(ISNUMBER(D1365),D1365&gt;=$O$4,OR($O$11=0,B1365&gt;=$O$12)),1,0)</f>
        <v/>
      </c>
      <c r="K1365">
        <f>B1365-$O$14</f>
        <v/>
      </c>
    </row>
    <row r="1366">
      <c r="A1366" t="n">
        <v>4092</v>
      </c>
      <c r="B1366" t="n">
        <v>136.4</v>
      </c>
      <c r="C1366" t="inlineStr">
        <is>
          <t>881</t>
        </is>
      </c>
      <c r="D1366" t="n">
        <v>8.81</v>
      </c>
      <c r="E1366">
        <f>MEDIAN(D1346:D1386)</f>
        <v/>
      </c>
      <c r="F1366">
        <f>E1346</f>
        <v/>
      </c>
      <c r="G1366">
        <f>F1366-E1366</f>
        <v/>
      </c>
      <c r="H1366">
        <f>IF(OR(NOT(ISNUMBER(D1366)),ABS(D1366-E1366)&gt;$O$3,AND($O$11=1,B1366&lt;$O$12)),1,0)</f>
        <v/>
      </c>
      <c r="I1366">
        <f>IF(H1366=1,NA(),D1366)</f>
        <v/>
      </c>
      <c r="J1366">
        <f>IF(AND(ISNUMBER(D1366),D1366&gt;=$O$4,OR($O$11=0,B1366&gt;=$O$12)),1,0)</f>
        <v/>
      </c>
      <c r="K1366">
        <f>B1366-$O$14</f>
        <v/>
      </c>
    </row>
    <row r="1367">
      <c r="A1367" t="n">
        <v>4095</v>
      </c>
      <c r="B1367" t="n">
        <v>136.5</v>
      </c>
      <c r="C1367" t="inlineStr">
        <is>
          <t>881</t>
        </is>
      </c>
      <c r="D1367" t="n">
        <v>8.81</v>
      </c>
      <c r="E1367">
        <f>MEDIAN(D1347:D1387)</f>
        <v/>
      </c>
      <c r="F1367">
        <f>E1347</f>
        <v/>
      </c>
      <c r="G1367">
        <f>F1367-E1367</f>
        <v/>
      </c>
      <c r="H1367">
        <f>IF(OR(NOT(ISNUMBER(D1367)),ABS(D1367-E1367)&gt;$O$3,AND($O$11=1,B1367&lt;$O$12)),1,0)</f>
        <v/>
      </c>
      <c r="I1367">
        <f>IF(H1367=1,NA(),D1367)</f>
        <v/>
      </c>
      <c r="J1367">
        <f>IF(AND(ISNUMBER(D1367),D1367&gt;=$O$4,OR($O$11=0,B1367&gt;=$O$12)),1,0)</f>
        <v/>
      </c>
      <c r="K1367">
        <f>B1367-$O$14</f>
        <v/>
      </c>
    </row>
    <row r="1368">
      <c r="A1368" t="n">
        <v>4098</v>
      </c>
      <c r="B1368" t="n">
        <v>136.6</v>
      </c>
      <c r="C1368" t="inlineStr">
        <is>
          <t>88?</t>
        </is>
      </c>
      <c r="E1368">
        <f>MEDIAN(D1348:D1388)</f>
        <v/>
      </c>
      <c r="F1368">
        <f>E1348</f>
        <v/>
      </c>
      <c r="G1368">
        <f>F1368-E1368</f>
        <v/>
      </c>
      <c r="H1368">
        <f>IF(OR(NOT(ISNUMBER(D1368)),ABS(D1368-E1368)&gt;$O$3,AND($O$11=1,B1368&lt;$O$12)),1,0)</f>
        <v/>
      </c>
      <c r="I1368">
        <f>IF(H1368=1,NA(),D1368)</f>
        <v/>
      </c>
      <c r="J1368">
        <f>IF(AND(ISNUMBER(D1368),D1368&gt;=$O$4,OR($O$11=0,B1368&gt;=$O$12)),1,0)</f>
        <v/>
      </c>
      <c r="K1368">
        <f>B1368-$O$14</f>
        <v/>
      </c>
    </row>
    <row r="1369">
      <c r="A1369" t="n">
        <v>4101</v>
      </c>
      <c r="B1369" t="n">
        <v>136.7</v>
      </c>
      <c r="C1369" t="inlineStr">
        <is>
          <t>880</t>
        </is>
      </c>
      <c r="D1369" t="n">
        <v>8.800000000000001</v>
      </c>
      <c r="E1369">
        <f>MEDIAN(D1349:D1389)</f>
        <v/>
      </c>
      <c r="F1369">
        <f>E1349</f>
        <v/>
      </c>
      <c r="G1369">
        <f>F1369-E1369</f>
        <v/>
      </c>
      <c r="H1369">
        <f>IF(OR(NOT(ISNUMBER(D1369)),ABS(D1369-E1369)&gt;$O$3,AND($O$11=1,B1369&lt;$O$12)),1,0)</f>
        <v/>
      </c>
      <c r="I1369">
        <f>IF(H1369=1,NA(),D1369)</f>
        <v/>
      </c>
      <c r="J1369">
        <f>IF(AND(ISNUMBER(D1369),D1369&gt;=$O$4,OR($O$11=0,B1369&gt;=$O$12)),1,0)</f>
        <v/>
      </c>
      <c r="K1369">
        <f>B1369-$O$14</f>
        <v/>
      </c>
    </row>
    <row r="1370">
      <c r="A1370" t="n">
        <v>4104</v>
      </c>
      <c r="B1370" t="n">
        <v>136.8</v>
      </c>
      <c r="C1370" t="inlineStr">
        <is>
          <t>880</t>
        </is>
      </c>
      <c r="D1370" t="n">
        <v>8.800000000000001</v>
      </c>
      <c r="E1370">
        <f>MEDIAN(D1350:D1390)</f>
        <v/>
      </c>
      <c r="F1370">
        <f>E1350</f>
        <v/>
      </c>
      <c r="G1370">
        <f>F1370-E1370</f>
        <v/>
      </c>
      <c r="H1370">
        <f>IF(OR(NOT(ISNUMBER(D1370)),ABS(D1370-E1370)&gt;$O$3,AND($O$11=1,B1370&lt;$O$12)),1,0)</f>
        <v/>
      </c>
      <c r="I1370">
        <f>IF(H1370=1,NA(),D1370)</f>
        <v/>
      </c>
      <c r="J1370">
        <f>IF(AND(ISNUMBER(D1370),D1370&gt;=$O$4,OR($O$11=0,B1370&gt;=$O$12)),1,0)</f>
        <v/>
      </c>
      <c r="K1370">
        <f>B1370-$O$14</f>
        <v/>
      </c>
    </row>
    <row r="1371">
      <c r="A1371" t="n">
        <v>4107</v>
      </c>
      <c r="B1371" t="n">
        <v>136.9</v>
      </c>
      <c r="C1371" t="inlineStr">
        <is>
          <t>880</t>
        </is>
      </c>
      <c r="D1371" t="n">
        <v>8.800000000000001</v>
      </c>
      <c r="E1371">
        <f>MEDIAN(D1351:D1391)</f>
        <v/>
      </c>
      <c r="F1371">
        <f>E1351</f>
        <v/>
      </c>
      <c r="G1371">
        <f>F1371-E1371</f>
        <v/>
      </c>
      <c r="H1371">
        <f>IF(OR(NOT(ISNUMBER(D1371)),ABS(D1371-E1371)&gt;$O$3,AND($O$11=1,B1371&lt;$O$12)),1,0)</f>
        <v/>
      </c>
      <c r="I1371">
        <f>IF(H1371=1,NA(),D1371)</f>
        <v/>
      </c>
      <c r="J1371">
        <f>IF(AND(ISNUMBER(D1371),D1371&gt;=$O$4,OR($O$11=0,B1371&gt;=$O$12)),1,0)</f>
        <v/>
      </c>
      <c r="K1371">
        <f>B1371-$O$14</f>
        <v/>
      </c>
    </row>
    <row r="1372">
      <c r="A1372" t="n">
        <v>4110</v>
      </c>
      <c r="B1372" t="n">
        <v>137</v>
      </c>
      <c r="C1372" t="inlineStr">
        <is>
          <t>880</t>
        </is>
      </c>
      <c r="D1372" t="n">
        <v>8.800000000000001</v>
      </c>
      <c r="E1372">
        <f>MEDIAN(D1352:D1392)</f>
        <v/>
      </c>
      <c r="F1372">
        <f>E1352</f>
        <v/>
      </c>
      <c r="G1372">
        <f>F1372-E1372</f>
        <v/>
      </c>
      <c r="H1372">
        <f>IF(OR(NOT(ISNUMBER(D1372)),ABS(D1372-E1372)&gt;$O$3,AND($O$11=1,B1372&lt;$O$12)),1,0)</f>
        <v/>
      </c>
      <c r="I1372">
        <f>IF(H1372=1,NA(),D1372)</f>
        <v/>
      </c>
      <c r="J1372">
        <f>IF(AND(ISNUMBER(D1372),D1372&gt;=$O$4,OR($O$11=0,B1372&gt;=$O$12)),1,0)</f>
        <v/>
      </c>
      <c r="K1372">
        <f>B1372-$O$14</f>
        <v/>
      </c>
    </row>
    <row r="1373">
      <c r="A1373" t="n">
        <v>4113</v>
      </c>
      <c r="B1373" t="n">
        <v>137.1</v>
      </c>
      <c r="C1373" t="inlineStr">
        <is>
          <t>880</t>
        </is>
      </c>
      <c r="D1373" t="n">
        <v>8.800000000000001</v>
      </c>
      <c r="E1373">
        <f>MEDIAN(D1353:D1393)</f>
        <v/>
      </c>
      <c r="F1373">
        <f>E1353</f>
        <v/>
      </c>
      <c r="G1373">
        <f>F1373-E1373</f>
        <v/>
      </c>
      <c r="H1373">
        <f>IF(OR(NOT(ISNUMBER(D1373)),ABS(D1373-E1373)&gt;$O$3,AND($O$11=1,B1373&lt;$O$12)),1,0)</f>
        <v/>
      </c>
      <c r="I1373">
        <f>IF(H1373=1,NA(),D1373)</f>
        <v/>
      </c>
      <c r="J1373">
        <f>IF(AND(ISNUMBER(D1373),D1373&gt;=$O$4,OR($O$11=0,B1373&gt;=$O$12)),1,0)</f>
        <v/>
      </c>
      <c r="K1373">
        <f>B1373-$O$14</f>
        <v/>
      </c>
    </row>
    <row r="1374">
      <c r="A1374" t="n">
        <v>4116</v>
      </c>
      <c r="B1374" t="n">
        <v>137.2</v>
      </c>
      <c r="C1374" t="inlineStr">
        <is>
          <t>880</t>
        </is>
      </c>
      <c r="D1374" t="n">
        <v>8.800000000000001</v>
      </c>
      <c r="E1374">
        <f>MEDIAN(D1354:D1394)</f>
        <v/>
      </c>
      <c r="F1374">
        <f>E1354</f>
        <v/>
      </c>
      <c r="G1374">
        <f>F1374-E1374</f>
        <v/>
      </c>
      <c r="H1374">
        <f>IF(OR(NOT(ISNUMBER(D1374)),ABS(D1374-E1374)&gt;$O$3,AND($O$11=1,B1374&lt;$O$12)),1,0)</f>
        <v/>
      </c>
      <c r="I1374">
        <f>IF(H1374=1,NA(),D1374)</f>
        <v/>
      </c>
      <c r="J1374">
        <f>IF(AND(ISNUMBER(D1374),D1374&gt;=$O$4,OR($O$11=0,B1374&gt;=$O$12)),1,0)</f>
        <v/>
      </c>
      <c r="K1374">
        <f>B1374-$O$14</f>
        <v/>
      </c>
    </row>
    <row r="1375">
      <c r="A1375" t="n">
        <v>4119</v>
      </c>
      <c r="B1375" t="n">
        <v>137.3</v>
      </c>
      <c r="C1375" t="inlineStr">
        <is>
          <t>880</t>
        </is>
      </c>
      <c r="D1375" t="n">
        <v>8.800000000000001</v>
      </c>
      <c r="E1375">
        <f>MEDIAN(D1355:D1395)</f>
        <v/>
      </c>
      <c r="F1375">
        <f>E1355</f>
        <v/>
      </c>
      <c r="G1375">
        <f>F1375-E1375</f>
        <v/>
      </c>
      <c r="H1375">
        <f>IF(OR(NOT(ISNUMBER(D1375)),ABS(D1375-E1375)&gt;$O$3,AND($O$11=1,B1375&lt;$O$12)),1,0)</f>
        <v/>
      </c>
      <c r="I1375">
        <f>IF(H1375=1,NA(),D1375)</f>
        <v/>
      </c>
      <c r="J1375">
        <f>IF(AND(ISNUMBER(D1375),D1375&gt;=$O$4,OR($O$11=0,B1375&gt;=$O$12)),1,0)</f>
        <v/>
      </c>
      <c r="K1375">
        <f>B1375-$O$14</f>
        <v/>
      </c>
    </row>
    <row r="1376">
      <c r="A1376" t="n">
        <v>4122</v>
      </c>
      <c r="B1376" t="n">
        <v>137.4</v>
      </c>
      <c r="C1376" t="inlineStr">
        <is>
          <t>880</t>
        </is>
      </c>
      <c r="D1376" t="n">
        <v>8.800000000000001</v>
      </c>
      <c r="E1376">
        <f>MEDIAN(D1356:D1396)</f>
        <v/>
      </c>
      <c r="F1376">
        <f>E1356</f>
        <v/>
      </c>
      <c r="G1376">
        <f>F1376-E1376</f>
        <v/>
      </c>
      <c r="H1376">
        <f>IF(OR(NOT(ISNUMBER(D1376)),ABS(D1376-E1376)&gt;$O$3,AND($O$11=1,B1376&lt;$O$12)),1,0)</f>
        <v/>
      </c>
      <c r="I1376">
        <f>IF(H1376=1,NA(),D1376)</f>
        <v/>
      </c>
      <c r="J1376">
        <f>IF(AND(ISNUMBER(D1376),D1376&gt;=$O$4,OR($O$11=0,B1376&gt;=$O$12)),1,0)</f>
        <v/>
      </c>
      <c r="K1376">
        <f>B1376-$O$14</f>
        <v/>
      </c>
    </row>
    <row r="1377">
      <c r="A1377" t="n">
        <v>4125</v>
      </c>
      <c r="B1377" t="n">
        <v>137.5</v>
      </c>
      <c r="C1377" t="inlineStr">
        <is>
          <t>880</t>
        </is>
      </c>
      <c r="D1377" t="n">
        <v>8.800000000000001</v>
      </c>
      <c r="E1377">
        <f>MEDIAN(D1357:D1397)</f>
        <v/>
      </c>
      <c r="F1377">
        <f>E1357</f>
        <v/>
      </c>
      <c r="G1377">
        <f>F1377-E1377</f>
        <v/>
      </c>
      <c r="H1377">
        <f>IF(OR(NOT(ISNUMBER(D1377)),ABS(D1377-E1377)&gt;$O$3,AND($O$11=1,B1377&lt;$O$12)),1,0)</f>
        <v/>
      </c>
      <c r="I1377">
        <f>IF(H1377=1,NA(),D1377)</f>
        <v/>
      </c>
      <c r="J1377">
        <f>IF(AND(ISNUMBER(D1377),D1377&gt;=$O$4,OR($O$11=0,B1377&gt;=$O$12)),1,0)</f>
        <v/>
      </c>
      <c r="K1377">
        <f>B1377-$O$14</f>
        <v/>
      </c>
    </row>
    <row r="1378">
      <c r="A1378" t="n">
        <v>4128</v>
      </c>
      <c r="B1378" t="n">
        <v>137.6</v>
      </c>
      <c r="C1378" t="inlineStr">
        <is>
          <t>880</t>
        </is>
      </c>
      <c r="D1378" t="n">
        <v>8.800000000000001</v>
      </c>
      <c r="E1378">
        <f>MEDIAN(D1358:D1398)</f>
        <v/>
      </c>
      <c r="F1378">
        <f>E1358</f>
        <v/>
      </c>
      <c r="G1378">
        <f>F1378-E1378</f>
        <v/>
      </c>
      <c r="H1378">
        <f>IF(OR(NOT(ISNUMBER(D1378)),ABS(D1378-E1378)&gt;$O$3,AND($O$11=1,B1378&lt;$O$12)),1,0)</f>
        <v/>
      </c>
      <c r="I1378">
        <f>IF(H1378=1,NA(),D1378)</f>
        <v/>
      </c>
      <c r="J1378">
        <f>IF(AND(ISNUMBER(D1378),D1378&gt;=$O$4,OR($O$11=0,B1378&gt;=$O$12)),1,0)</f>
        <v/>
      </c>
      <c r="K1378">
        <f>B1378-$O$14</f>
        <v/>
      </c>
    </row>
    <row r="1379">
      <c r="A1379" t="n">
        <v>4131</v>
      </c>
      <c r="B1379" t="n">
        <v>137.7</v>
      </c>
      <c r="C1379" t="inlineStr">
        <is>
          <t>880</t>
        </is>
      </c>
      <c r="D1379" t="n">
        <v>8.800000000000001</v>
      </c>
      <c r="E1379">
        <f>MEDIAN(D1359:D1399)</f>
        <v/>
      </c>
      <c r="F1379">
        <f>E1359</f>
        <v/>
      </c>
      <c r="G1379">
        <f>F1379-E1379</f>
        <v/>
      </c>
      <c r="H1379">
        <f>IF(OR(NOT(ISNUMBER(D1379)),ABS(D1379-E1379)&gt;$O$3,AND($O$11=1,B1379&lt;$O$12)),1,0)</f>
        <v/>
      </c>
      <c r="I1379">
        <f>IF(H1379=1,NA(),D1379)</f>
        <v/>
      </c>
      <c r="J1379">
        <f>IF(AND(ISNUMBER(D1379),D1379&gt;=$O$4,OR($O$11=0,B1379&gt;=$O$12)),1,0)</f>
        <v/>
      </c>
      <c r="K1379">
        <f>B1379-$O$14</f>
        <v/>
      </c>
    </row>
    <row r="1380">
      <c r="A1380" t="n">
        <v>4134</v>
      </c>
      <c r="B1380" t="n">
        <v>137.8</v>
      </c>
      <c r="C1380" t="inlineStr">
        <is>
          <t>880</t>
        </is>
      </c>
      <c r="D1380" t="n">
        <v>8.800000000000001</v>
      </c>
      <c r="E1380">
        <f>MEDIAN(D1360:D1400)</f>
        <v/>
      </c>
      <c r="F1380">
        <f>E1360</f>
        <v/>
      </c>
      <c r="G1380">
        <f>F1380-E1380</f>
        <v/>
      </c>
      <c r="H1380">
        <f>IF(OR(NOT(ISNUMBER(D1380)),ABS(D1380-E1380)&gt;$O$3,AND($O$11=1,B1380&lt;$O$12)),1,0)</f>
        <v/>
      </c>
      <c r="I1380">
        <f>IF(H1380=1,NA(),D1380)</f>
        <v/>
      </c>
      <c r="J1380">
        <f>IF(AND(ISNUMBER(D1380),D1380&gt;=$O$4,OR($O$11=0,B1380&gt;=$O$12)),1,0)</f>
        <v/>
      </c>
      <c r="K1380">
        <f>B1380-$O$14</f>
        <v/>
      </c>
    </row>
    <row r="1381">
      <c r="A1381" t="n">
        <v>4137</v>
      </c>
      <c r="B1381" t="n">
        <v>137.9</v>
      </c>
      <c r="C1381" t="inlineStr">
        <is>
          <t>880</t>
        </is>
      </c>
      <c r="D1381" t="n">
        <v>8.800000000000001</v>
      </c>
      <c r="E1381">
        <f>MEDIAN(D1361:D1401)</f>
        <v/>
      </c>
      <c r="F1381">
        <f>E1361</f>
        <v/>
      </c>
      <c r="G1381">
        <f>F1381-E1381</f>
        <v/>
      </c>
      <c r="H1381">
        <f>IF(OR(NOT(ISNUMBER(D1381)),ABS(D1381-E1381)&gt;$O$3,AND($O$11=1,B1381&lt;$O$12)),1,0)</f>
        <v/>
      </c>
      <c r="I1381">
        <f>IF(H1381=1,NA(),D1381)</f>
        <v/>
      </c>
      <c r="J1381">
        <f>IF(AND(ISNUMBER(D1381),D1381&gt;=$O$4,OR($O$11=0,B1381&gt;=$O$12)),1,0)</f>
        <v/>
      </c>
      <c r="K1381">
        <f>B1381-$O$14</f>
        <v/>
      </c>
    </row>
    <row r="1382">
      <c r="A1382" t="n">
        <v>4140</v>
      </c>
      <c r="B1382" t="n">
        <v>138</v>
      </c>
      <c r="C1382" t="inlineStr">
        <is>
          <t>880</t>
        </is>
      </c>
      <c r="D1382" t="n">
        <v>8.800000000000001</v>
      </c>
      <c r="E1382">
        <f>MEDIAN(D1362:D1402)</f>
        <v/>
      </c>
      <c r="F1382">
        <f>E1362</f>
        <v/>
      </c>
      <c r="G1382">
        <f>F1382-E1382</f>
        <v/>
      </c>
      <c r="H1382">
        <f>IF(OR(NOT(ISNUMBER(D1382)),ABS(D1382-E1382)&gt;$O$3,AND($O$11=1,B1382&lt;$O$12)),1,0)</f>
        <v/>
      </c>
      <c r="I1382">
        <f>IF(H1382=1,NA(),D1382)</f>
        <v/>
      </c>
      <c r="J1382">
        <f>IF(AND(ISNUMBER(D1382),D1382&gt;=$O$4,OR($O$11=0,B1382&gt;=$O$12)),1,0)</f>
        <v/>
      </c>
      <c r="K1382">
        <f>B1382-$O$14</f>
        <v/>
      </c>
    </row>
    <row r="1383">
      <c r="A1383" t="n">
        <v>4143</v>
      </c>
      <c r="B1383" t="n">
        <v>138.1</v>
      </c>
      <c r="C1383" t="inlineStr">
        <is>
          <t>880</t>
        </is>
      </c>
      <c r="D1383" t="n">
        <v>8.800000000000001</v>
      </c>
      <c r="E1383">
        <f>MEDIAN(D1363:D1403)</f>
        <v/>
      </c>
      <c r="F1383">
        <f>E1363</f>
        <v/>
      </c>
      <c r="G1383">
        <f>F1383-E1383</f>
        <v/>
      </c>
      <c r="H1383">
        <f>IF(OR(NOT(ISNUMBER(D1383)),ABS(D1383-E1383)&gt;$O$3,AND($O$11=1,B1383&lt;$O$12)),1,0)</f>
        <v/>
      </c>
      <c r="I1383">
        <f>IF(H1383=1,NA(),D1383)</f>
        <v/>
      </c>
      <c r="J1383">
        <f>IF(AND(ISNUMBER(D1383),D1383&gt;=$O$4,OR($O$11=0,B1383&gt;=$O$12)),1,0)</f>
        <v/>
      </c>
      <c r="K1383">
        <f>B1383-$O$14</f>
        <v/>
      </c>
    </row>
    <row r="1384">
      <c r="A1384" t="n">
        <v>4146</v>
      </c>
      <c r="B1384" t="n">
        <v>138.2</v>
      </c>
      <c r="C1384" t="inlineStr">
        <is>
          <t>880</t>
        </is>
      </c>
      <c r="D1384" t="n">
        <v>8.800000000000001</v>
      </c>
      <c r="E1384">
        <f>MEDIAN(D1364:D1404)</f>
        <v/>
      </c>
      <c r="F1384">
        <f>E1364</f>
        <v/>
      </c>
      <c r="G1384">
        <f>F1384-E1384</f>
        <v/>
      </c>
      <c r="H1384">
        <f>IF(OR(NOT(ISNUMBER(D1384)),ABS(D1384-E1384)&gt;$O$3,AND($O$11=1,B1384&lt;$O$12)),1,0)</f>
        <v/>
      </c>
      <c r="I1384">
        <f>IF(H1384=1,NA(),D1384)</f>
        <v/>
      </c>
      <c r="J1384">
        <f>IF(AND(ISNUMBER(D1384),D1384&gt;=$O$4,OR($O$11=0,B1384&gt;=$O$12)),1,0)</f>
        <v/>
      </c>
      <c r="K1384">
        <f>B1384-$O$14</f>
        <v/>
      </c>
    </row>
    <row r="1385">
      <c r="A1385" t="n">
        <v>4149</v>
      </c>
      <c r="B1385" t="n">
        <v>138.3</v>
      </c>
      <c r="C1385" t="inlineStr">
        <is>
          <t>880</t>
        </is>
      </c>
      <c r="D1385" t="n">
        <v>8.800000000000001</v>
      </c>
      <c r="E1385">
        <f>MEDIAN(D1365:D1405)</f>
        <v/>
      </c>
      <c r="F1385">
        <f>E1365</f>
        <v/>
      </c>
      <c r="G1385">
        <f>F1385-E1385</f>
        <v/>
      </c>
      <c r="H1385">
        <f>IF(OR(NOT(ISNUMBER(D1385)),ABS(D1385-E1385)&gt;$O$3,AND($O$11=1,B1385&lt;$O$12)),1,0)</f>
        <v/>
      </c>
      <c r="I1385">
        <f>IF(H1385=1,NA(),D1385)</f>
        <v/>
      </c>
      <c r="J1385">
        <f>IF(AND(ISNUMBER(D1385),D1385&gt;=$O$4,OR($O$11=0,B1385&gt;=$O$12)),1,0)</f>
        <v/>
      </c>
      <c r="K1385">
        <f>B1385-$O$14</f>
        <v/>
      </c>
    </row>
    <row r="1386">
      <c r="A1386" t="n">
        <v>4152</v>
      </c>
      <c r="B1386" t="n">
        <v>138.4</v>
      </c>
      <c r="C1386" t="inlineStr">
        <is>
          <t>880</t>
        </is>
      </c>
      <c r="D1386" t="n">
        <v>8.800000000000001</v>
      </c>
      <c r="E1386">
        <f>MEDIAN(D1366:D1406)</f>
        <v/>
      </c>
      <c r="F1386">
        <f>E1366</f>
        <v/>
      </c>
      <c r="G1386">
        <f>F1386-E1386</f>
        <v/>
      </c>
      <c r="H1386">
        <f>IF(OR(NOT(ISNUMBER(D1386)),ABS(D1386-E1386)&gt;$O$3,AND($O$11=1,B1386&lt;$O$12)),1,0)</f>
        <v/>
      </c>
      <c r="I1386">
        <f>IF(H1386=1,NA(),D1386)</f>
        <v/>
      </c>
      <c r="J1386">
        <f>IF(AND(ISNUMBER(D1386),D1386&gt;=$O$4,OR($O$11=0,B1386&gt;=$O$12)),1,0)</f>
        <v/>
      </c>
      <c r="K1386">
        <f>B1386-$O$14</f>
        <v/>
      </c>
    </row>
    <row r="1387">
      <c r="A1387" t="n">
        <v>4155</v>
      </c>
      <c r="B1387" t="n">
        <v>138.5</v>
      </c>
      <c r="C1387" t="inlineStr">
        <is>
          <t>880</t>
        </is>
      </c>
      <c r="D1387" t="n">
        <v>8.800000000000001</v>
      </c>
      <c r="E1387">
        <f>MEDIAN(D1367:D1407)</f>
        <v/>
      </c>
      <c r="F1387">
        <f>E1367</f>
        <v/>
      </c>
      <c r="G1387">
        <f>F1387-E1387</f>
        <v/>
      </c>
      <c r="H1387">
        <f>IF(OR(NOT(ISNUMBER(D1387)),ABS(D1387-E1387)&gt;$O$3,AND($O$11=1,B1387&lt;$O$12)),1,0)</f>
        <v/>
      </c>
      <c r="I1387">
        <f>IF(H1387=1,NA(),D1387)</f>
        <v/>
      </c>
      <c r="J1387">
        <f>IF(AND(ISNUMBER(D1387),D1387&gt;=$O$4,OR($O$11=0,B1387&gt;=$O$12)),1,0)</f>
        <v/>
      </c>
      <c r="K1387">
        <f>B1387-$O$14</f>
        <v/>
      </c>
    </row>
    <row r="1388">
      <c r="A1388" t="n">
        <v>4158</v>
      </c>
      <c r="B1388" t="n">
        <v>138.6</v>
      </c>
      <c r="C1388" t="inlineStr">
        <is>
          <t>880</t>
        </is>
      </c>
      <c r="D1388" t="n">
        <v>8.800000000000001</v>
      </c>
      <c r="E1388">
        <f>MEDIAN(D1368:D1408)</f>
        <v/>
      </c>
      <c r="F1388">
        <f>E1368</f>
        <v/>
      </c>
      <c r="G1388">
        <f>F1388-E1388</f>
        <v/>
      </c>
      <c r="H1388">
        <f>IF(OR(NOT(ISNUMBER(D1388)),ABS(D1388-E1388)&gt;$O$3,AND($O$11=1,B1388&lt;$O$12)),1,0)</f>
        <v/>
      </c>
      <c r="I1388">
        <f>IF(H1388=1,NA(),D1388)</f>
        <v/>
      </c>
      <c r="J1388">
        <f>IF(AND(ISNUMBER(D1388),D1388&gt;=$O$4,OR($O$11=0,B1388&gt;=$O$12)),1,0)</f>
        <v/>
      </c>
      <c r="K1388">
        <f>B1388-$O$14</f>
        <v/>
      </c>
    </row>
    <row r="1389">
      <c r="A1389" t="n">
        <v>4161</v>
      </c>
      <c r="B1389" t="n">
        <v>138.7</v>
      </c>
      <c r="C1389" t="inlineStr">
        <is>
          <t>880</t>
        </is>
      </c>
      <c r="D1389" t="n">
        <v>8.800000000000001</v>
      </c>
      <c r="E1389">
        <f>MEDIAN(D1369:D1409)</f>
        <v/>
      </c>
      <c r="F1389">
        <f>E1369</f>
        <v/>
      </c>
      <c r="G1389">
        <f>F1389-E1389</f>
        <v/>
      </c>
      <c r="H1389">
        <f>IF(OR(NOT(ISNUMBER(D1389)),ABS(D1389-E1389)&gt;$O$3,AND($O$11=1,B1389&lt;$O$12)),1,0)</f>
        <v/>
      </c>
      <c r="I1389">
        <f>IF(H1389=1,NA(),D1389)</f>
        <v/>
      </c>
      <c r="J1389">
        <f>IF(AND(ISNUMBER(D1389),D1389&gt;=$O$4,OR($O$11=0,B1389&gt;=$O$12)),1,0)</f>
        <v/>
      </c>
      <c r="K1389">
        <f>B1389-$O$14</f>
        <v/>
      </c>
    </row>
    <row r="1390">
      <c r="A1390" t="n">
        <v>4164</v>
      </c>
      <c r="B1390" t="n">
        <v>138.8</v>
      </c>
      <c r="C1390" t="inlineStr">
        <is>
          <t>880</t>
        </is>
      </c>
      <c r="D1390" t="n">
        <v>8.800000000000001</v>
      </c>
      <c r="E1390">
        <f>MEDIAN(D1370:D1410)</f>
        <v/>
      </c>
      <c r="F1390">
        <f>E1370</f>
        <v/>
      </c>
      <c r="G1390">
        <f>F1390-E1390</f>
        <v/>
      </c>
      <c r="H1390">
        <f>IF(OR(NOT(ISNUMBER(D1390)),ABS(D1390-E1390)&gt;$O$3,AND($O$11=1,B1390&lt;$O$12)),1,0)</f>
        <v/>
      </c>
      <c r="I1390">
        <f>IF(H1390=1,NA(),D1390)</f>
        <v/>
      </c>
      <c r="J1390">
        <f>IF(AND(ISNUMBER(D1390),D1390&gt;=$O$4,OR($O$11=0,B1390&gt;=$O$12)),1,0)</f>
        <v/>
      </c>
      <c r="K1390">
        <f>B1390-$O$14</f>
        <v/>
      </c>
    </row>
    <row r="1391">
      <c r="A1391" t="n">
        <v>4167</v>
      </c>
      <c r="B1391" t="n">
        <v>138.9</v>
      </c>
      <c r="C1391" t="inlineStr">
        <is>
          <t>880</t>
        </is>
      </c>
      <c r="D1391" t="n">
        <v>8.800000000000001</v>
      </c>
      <c r="E1391">
        <f>MEDIAN(D1371:D1411)</f>
        <v/>
      </c>
      <c r="F1391">
        <f>E1371</f>
        <v/>
      </c>
      <c r="G1391">
        <f>F1391-E1391</f>
        <v/>
      </c>
      <c r="H1391">
        <f>IF(OR(NOT(ISNUMBER(D1391)),ABS(D1391-E1391)&gt;$O$3,AND($O$11=1,B1391&lt;$O$12)),1,0)</f>
        <v/>
      </c>
      <c r="I1391">
        <f>IF(H1391=1,NA(),D1391)</f>
        <v/>
      </c>
      <c r="J1391">
        <f>IF(AND(ISNUMBER(D1391),D1391&gt;=$O$4,OR($O$11=0,B1391&gt;=$O$12)),1,0)</f>
        <v/>
      </c>
      <c r="K1391">
        <f>B1391-$O$14</f>
        <v/>
      </c>
    </row>
    <row r="1392">
      <c r="A1392" t="n">
        <v>4170</v>
      </c>
      <c r="B1392" t="n">
        <v>139</v>
      </c>
      <c r="C1392" t="inlineStr">
        <is>
          <t>880</t>
        </is>
      </c>
      <c r="D1392" t="n">
        <v>8.800000000000001</v>
      </c>
      <c r="E1392">
        <f>MEDIAN(D1372:D1412)</f>
        <v/>
      </c>
      <c r="F1392">
        <f>E1372</f>
        <v/>
      </c>
      <c r="G1392">
        <f>F1392-E1392</f>
        <v/>
      </c>
      <c r="H1392">
        <f>IF(OR(NOT(ISNUMBER(D1392)),ABS(D1392-E1392)&gt;$O$3,AND($O$11=1,B1392&lt;$O$12)),1,0)</f>
        <v/>
      </c>
      <c r="I1392">
        <f>IF(H1392=1,NA(),D1392)</f>
        <v/>
      </c>
      <c r="J1392">
        <f>IF(AND(ISNUMBER(D1392),D1392&gt;=$O$4,OR($O$11=0,B1392&gt;=$O$12)),1,0)</f>
        <v/>
      </c>
      <c r="K1392">
        <f>B1392-$O$14</f>
        <v/>
      </c>
    </row>
    <row r="1393">
      <c r="A1393" t="n">
        <v>4173</v>
      </c>
      <c r="B1393" t="n">
        <v>139.1</v>
      </c>
      <c r="C1393" t="inlineStr">
        <is>
          <t>880</t>
        </is>
      </c>
      <c r="D1393" t="n">
        <v>8.800000000000001</v>
      </c>
      <c r="E1393">
        <f>MEDIAN(D1373:D1413)</f>
        <v/>
      </c>
      <c r="F1393">
        <f>E1373</f>
        <v/>
      </c>
      <c r="G1393">
        <f>F1393-E1393</f>
        <v/>
      </c>
      <c r="H1393">
        <f>IF(OR(NOT(ISNUMBER(D1393)),ABS(D1393-E1393)&gt;$O$3,AND($O$11=1,B1393&lt;$O$12)),1,0)</f>
        <v/>
      </c>
      <c r="I1393">
        <f>IF(H1393=1,NA(),D1393)</f>
        <v/>
      </c>
      <c r="J1393">
        <f>IF(AND(ISNUMBER(D1393),D1393&gt;=$O$4,OR($O$11=0,B1393&gt;=$O$12)),1,0)</f>
        <v/>
      </c>
      <c r="K1393">
        <f>B1393-$O$14</f>
        <v/>
      </c>
    </row>
    <row r="1394">
      <c r="A1394" t="n">
        <v>4176</v>
      </c>
      <c r="B1394" t="n">
        <v>139.2</v>
      </c>
      <c r="C1394" t="inlineStr">
        <is>
          <t>880</t>
        </is>
      </c>
      <c r="D1394" t="n">
        <v>8.800000000000001</v>
      </c>
      <c r="E1394">
        <f>MEDIAN(D1374:D1414)</f>
        <v/>
      </c>
      <c r="F1394">
        <f>E1374</f>
        <v/>
      </c>
      <c r="G1394">
        <f>F1394-E1394</f>
        <v/>
      </c>
      <c r="H1394">
        <f>IF(OR(NOT(ISNUMBER(D1394)),ABS(D1394-E1394)&gt;$O$3,AND($O$11=1,B1394&lt;$O$12)),1,0)</f>
        <v/>
      </c>
      <c r="I1394">
        <f>IF(H1394=1,NA(),D1394)</f>
        <v/>
      </c>
      <c r="J1394">
        <f>IF(AND(ISNUMBER(D1394),D1394&gt;=$O$4,OR($O$11=0,B1394&gt;=$O$12)),1,0)</f>
        <v/>
      </c>
      <c r="K1394">
        <f>B1394-$O$14</f>
        <v/>
      </c>
    </row>
    <row r="1395">
      <c r="A1395" t="n">
        <v>4179</v>
      </c>
      <c r="B1395" t="n">
        <v>139.3</v>
      </c>
      <c r="C1395" t="inlineStr">
        <is>
          <t>880</t>
        </is>
      </c>
      <c r="D1395" t="n">
        <v>8.800000000000001</v>
      </c>
      <c r="E1395">
        <f>MEDIAN(D1375:D1415)</f>
        <v/>
      </c>
      <c r="F1395">
        <f>E1375</f>
        <v/>
      </c>
      <c r="G1395">
        <f>F1395-E1395</f>
        <v/>
      </c>
      <c r="H1395">
        <f>IF(OR(NOT(ISNUMBER(D1395)),ABS(D1395-E1395)&gt;$O$3,AND($O$11=1,B1395&lt;$O$12)),1,0)</f>
        <v/>
      </c>
      <c r="I1395">
        <f>IF(H1395=1,NA(),D1395)</f>
        <v/>
      </c>
      <c r="J1395">
        <f>IF(AND(ISNUMBER(D1395),D1395&gt;=$O$4,OR($O$11=0,B1395&gt;=$O$12)),1,0)</f>
        <v/>
      </c>
      <c r="K1395">
        <f>B1395-$O$14</f>
        <v/>
      </c>
    </row>
    <row r="1396">
      <c r="A1396" t="n">
        <v>4182</v>
      </c>
      <c r="B1396" t="n">
        <v>139.4</v>
      </c>
      <c r="C1396" t="inlineStr">
        <is>
          <t>880</t>
        </is>
      </c>
      <c r="D1396" t="n">
        <v>8.800000000000001</v>
      </c>
      <c r="E1396">
        <f>MEDIAN(D1376:D1416)</f>
        <v/>
      </c>
      <c r="F1396">
        <f>E1376</f>
        <v/>
      </c>
      <c r="G1396">
        <f>F1396-E1396</f>
        <v/>
      </c>
      <c r="H1396">
        <f>IF(OR(NOT(ISNUMBER(D1396)),ABS(D1396-E1396)&gt;$O$3,AND($O$11=1,B1396&lt;$O$12)),1,0)</f>
        <v/>
      </c>
      <c r="I1396">
        <f>IF(H1396=1,NA(),D1396)</f>
        <v/>
      </c>
      <c r="J1396">
        <f>IF(AND(ISNUMBER(D1396),D1396&gt;=$O$4,OR($O$11=0,B1396&gt;=$O$12)),1,0)</f>
        <v/>
      </c>
      <c r="K1396">
        <f>B1396-$O$14</f>
        <v/>
      </c>
    </row>
    <row r="1397">
      <c r="A1397" t="n">
        <v>4185</v>
      </c>
      <c r="B1397" t="n">
        <v>139.5</v>
      </c>
      <c r="C1397" t="inlineStr">
        <is>
          <t>880</t>
        </is>
      </c>
      <c r="D1397" t="n">
        <v>8.800000000000001</v>
      </c>
      <c r="E1397">
        <f>MEDIAN(D1377:D1417)</f>
        <v/>
      </c>
      <c r="F1397">
        <f>E1377</f>
        <v/>
      </c>
      <c r="G1397">
        <f>F1397-E1397</f>
        <v/>
      </c>
      <c r="H1397">
        <f>IF(OR(NOT(ISNUMBER(D1397)),ABS(D1397-E1397)&gt;$O$3,AND($O$11=1,B1397&lt;$O$12)),1,0)</f>
        <v/>
      </c>
      <c r="I1397">
        <f>IF(H1397=1,NA(),D1397)</f>
        <v/>
      </c>
      <c r="J1397">
        <f>IF(AND(ISNUMBER(D1397),D1397&gt;=$O$4,OR($O$11=0,B1397&gt;=$O$12)),1,0)</f>
        <v/>
      </c>
      <c r="K1397">
        <f>B1397-$O$14</f>
        <v/>
      </c>
    </row>
    <row r="1398">
      <c r="A1398" t="n">
        <v>4188</v>
      </c>
      <c r="B1398" t="n">
        <v>139.6</v>
      </c>
      <c r="C1398" t="inlineStr">
        <is>
          <t>880</t>
        </is>
      </c>
      <c r="D1398" t="n">
        <v>8.800000000000001</v>
      </c>
      <c r="E1398">
        <f>MEDIAN(D1378:D1418)</f>
        <v/>
      </c>
      <c r="F1398">
        <f>E1378</f>
        <v/>
      </c>
      <c r="G1398">
        <f>F1398-E1398</f>
        <v/>
      </c>
      <c r="H1398">
        <f>IF(OR(NOT(ISNUMBER(D1398)),ABS(D1398-E1398)&gt;$O$3,AND($O$11=1,B1398&lt;$O$12)),1,0)</f>
        <v/>
      </c>
      <c r="I1398">
        <f>IF(H1398=1,NA(),D1398)</f>
        <v/>
      </c>
      <c r="J1398">
        <f>IF(AND(ISNUMBER(D1398),D1398&gt;=$O$4,OR($O$11=0,B1398&gt;=$O$12)),1,0)</f>
        <v/>
      </c>
      <c r="K1398">
        <f>B1398-$O$14</f>
        <v/>
      </c>
    </row>
    <row r="1399">
      <c r="A1399" t="n">
        <v>4191</v>
      </c>
      <c r="B1399" t="n">
        <v>139.7</v>
      </c>
      <c r="C1399" t="inlineStr">
        <is>
          <t>880</t>
        </is>
      </c>
      <c r="D1399" t="n">
        <v>8.800000000000001</v>
      </c>
      <c r="E1399">
        <f>MEDIAN(D1379:D1419)</f>
        <v/>
      </c>
      <c r="F1399">
        <f>E1379</f>
        <v/>
      </c>
      <c r="G1399">
        <f>F1399-E1399</f>
        <v/>
      </c>
      <c r="H1399">
        <f>IF(OR(NOT(ISNUMBER(D1399)),ABS(D1399-E1399)&gt;$O$3,AND($O$11=1,B1399&lt;$O$12)),1,0)</f>
        <v/>
      </c>
      <c r="I1399">
        <f>IF(H1399=1,NA(),D1399)</f>
        <v/>
      </c>
      <c r="J1399">
        <f>IF(AND(ISNUMBER(D1399),D1399&gt;=$O$4,OR($O$11=0,B1399&gt;=$O$12)),1,0)</f>
        <v/>
      </c>
      <c r="K1399">
        <f>B1399-$O$14</f>
        <v/>
      </c>
    </row>
    <row r="1400">
      <c r="A1400" t="n">
        <v>4194</v>
      </c>
      <c r="B1400" t="n">
        <v>139.8</v>
      </c>
      <c r="C1400" t="inlineStr">
        <is>
          <t>880</t>
        </is>
      </c>
      <c r="D1400" t="n">
        <v>8.800000000000001</v>
      </c>
      <c r="E1400">
        <f>MEDIAN(D1380:D1420)</f>
        <v/>
      </c>
      <c r="F1400">
        <f>E1380</f>
        <v/>
      </c>
      <c r="G1400">
        <f>F1400-E1400</f>
        <v/>
      </c>
      <c r="H1400">
        <f>IF(OR(NOT(ISNUMBER(D1400)),ABS(D1400-E1400)&gt;$O$3,AND($O$11=1,B1400&lt;$O$12)),1,0)</f>
        <v/>
      </c>
      <c r="I1400">
        <f>IF(H1400=1,NA(),D1400)</f>
        <v/>
      </c>
      <c r="J1400">
        <f>IF(AND(ISNUMBER(D1400),D1400&gt;=$O$4,OR($O$11=0,B1400&gt;=$O$12)),1,0)</f>
        <v/>
      </c>
      <c r="K1400">
        <f>B1400-$O$14</f>
        <v/>
      </c>
    </row>
    <row r="1401">
      <c r="A1401" t="n">
        <v>4197</v>
      </c>
      <c r="B1401" t="n">
        <v>139.9</v>
      </c>
      <c r="C1401" t="inlineStr">
        <is>
          <t>881</t>
        </is>
      </c>
      <c r="D1401" t="n">
        <v>8.81</v>
      </c>
      <c r="E1401">
        <f>MEDIAN(D1381:D1421)</f>
        <v/>
      </c>
      <c r="F1401">
        <f>E1381</f>
        <v/>
      </c>
      <c r="G1401">
        <f>F1401-E1401</f>
        <v/>
      </c>
      <c r="H1401">
        <f>IF(OR(NOT(ISNUMBER(D1401)),ABS(D1401-E1401)&gt;$O$3,AND($O$11=1,B1401&lt;$O$12)),1,0)</f>
        <v/>
      </c>
      <c r="I1401">
        <f>IF(H1401=1,NA(),D1401)</f>
        <v/>
      </c>
      <c r="J1401">
        <f>IF(AND(ISNUMBER(D1401),D1401&gt;=$O$4,OR($O$11=0,B1401&gt;=$O$12)),1,0)</f>
        <v/>
      </c>
      <c r="K1401">
        <f>B1401-$O$14</f>
        <v/>
      </c>
    </row>
    <row r="1402">
      <c r="A1402" t="n">
        <v>4200</v>
      </c>
      <c r="B1402" t="n">
        <v>140</v>
      </c>
      <c r="C1402" t="inlineStr">
        <is>
          <t>881</t>
        </is>
      </c>
      <c r="D1402" t="n">
        <v>8.81</v>
      </c>
      <c r="E1402">
        <f>MEDIAN(D1382:D1422)</f>
        <v/>
      </c>
      <c r="F1402">
        <f>E1382</f>
        <v/>
      </c>
      <c r="G1402">
        <f>F1402-E1402</f>
        <v/>
      </c>
      <c r="H1402">
        <f>IF(OR(NOT(ISNUMBER(D1402)),ABS(D1402-E1402)&gt;$O$3,AND($O$11=1,B1402&lt;$O$12)),1,0)</f>
        <v/>
      </c>
      <c r="I1402">
        <f>IF(H1402=1,NA(),D1402)</f>
        <v/>
      </c>
      <c r="J1402">
        <f>IF(AND(ISNUMBER(D1402),D1402&gt;=$O$4,OR($O$11=0,B1402&gt;=$O$12)),1,0)</f>
        <v/>
      </c>
      <c r="K1402">
        <f>B1402-$O$14</f>
        <v/>
      </c>
    </row>
    <row r="1403">
      <c r="A1403" t="n">
        <v>4203</v>
      </c>
      <c r="B1403" t="n">
        <v>140.1</v>
      </c>
      <c r="C1403" t="inlineStr">
        <is>
          <t>881</t>
        </is>
      </c>
      <c r="D1403" t="n">
        <v>8.81</v>
      </c>
      <c r="E1403">
        <f>MEDIAN(D1383:D1423)</f>
        <v/>
      </c>
      <c r="F1403">
        <f>E1383</f>
        <v/>
      </c>
      <c r="G1403">
        <f>F1403-E1403</f>
        <v/>
      </c>
      <c r="H1403">
        <f>IF(OR(NOT(ISNUMBER(D1403)),ABS(D1403-E1403)&gt;$O$3,AND($O$11=1,B1403&lt;$O$12)),1,0)</f>
        <v/>
      </c>
      <c r="I1403">
        <f>IF(H1403=1,NA(),D1403)</f>
        <v/>
      </c>
      <c r="J1403">
        <f>IF(AND(ISNUMBER(D1403),D1403&gt;=$O$4,OR($O$11=0,B1403&gt;=$O$12)),1,0)</f>
        <v/>
      </c>
      <c r="K1403">
        <f>B1403-$O$14</f>
        <v/>
      </c>
    </row>
    <row r="1404">
      <c r="A1404" t="n">
        <v>4206</v>
      </c>
      <c r="B1404" t="n">
        <v>140.2</v>
      </c>
      <c r="C1404" t="inlineStr">
        <is>
          <t>881</t>
        </is>
      </c>
      <c r="D1404" t="n">
        <v>8.81</v>
      </c>
      <c r="E1404">
        <f>MEDIAN(D1384:D1424)</f>
        <v/>
      </c>
      <c r="F1404">
        <f>E1384</f>
        <v/>
      </c>
      <c r="G1404">
        <f>F1404-E1404</f>
        <v/>
      </c>
      <c r="H1404">
        <f>IF(OR(NOT(ISNUMBER(D1404)),ABS(D1404-E1404)&gt;$O$3,AND($O$11=1,B1404&lt;$O$12)),1,0)</f>
        <v/>
      </c>
      <c r="I1404">
        <f>IF(H1404=1,NA(),D1404)</f>
        <v/>
      </c>
      <c r="J1404">
        <f>IF(AND(ISNUMBER(D1404),D1404&gt;=$O$4,OR($O$11=0,B1404&gt;=$O$12)),1,0)</f>
        <v/>
      </c>
      <c r="K1404">
        <f>B1404-$O$14</f>
        <v/>
      </c>
    </row>
    <row r="1405">
      <c r="A1405" t="n">
        <v>4209</v>
      </c>
      <c r="B1405" t="n">
        <v>140.3</v>
      </c>
      <c r="C1405" t="inlineStr">
        <is>
          <t>881</t>
        </is>
      </c>
      <c r="D1405" t="n">
        <v>8.81</v>
      </c>
      <c r="E1405">
        <f>MEDIAN(D1385:D1425)</f>
        <v/>
      </c>
      <c r="F1405">
        <f>E1385</f>
        <v/>
      </c>
      <c r="G1405">
        <f>F1405-E1405</f>
        <v/>
      </c>
      <c r="H1405">
        <f>IF(OR(NOT(ISNUMBER(D1405)),ABS(D1405-E1405)&gt;$O$3,AND($O$11=1,B1405&lt;$O$12)),1,0)</f>
        <v/>
      </c>
      <c r="I1405">
        <f>IF(H1405=1,NA(),D1405)</f>
        <v/>
      </c>
      <c r="J1405">
        <f>IF(AND(ISNUMBER(D1405),D1405&gt;=$O$4,OR($O$11=0,B1405&gt;=$O$12)),1,0)</f>
        <v/>
      </c>
      <c r="K1405">
        <f>B1405-$O$14</f>
        <v/>
      </c>
    </row>
    <row r="1406">
      <c r="A1406" t="n">
        <v>4212</v>
      </c>
      <c r="B1406" t="n">
        <v>140.4</v>
      </c>
      <c r="C1406" t="inlineStr">
        <is>
          <t>881</t>
        </is>
      </c>
      <c r="D1406" t="n">
        <v>8.81</v>
      </c>
      <c r="E1406">
        <f>MEDIAN(D1386:D1426)</f>
        <v/>
      </c>
      <c r="F1406">
        <f>E1386</f>
        <v/>
      </c>
      <c r="G1406">
        <f>F1406-E1406</f>
        <v/>
      </c>
      <c r="H1406">
        <f>IF(OR(NOT(ISNUMBER(D1406)),ABS(D1406-E1406)&gt;$O$3,AND($O$11=1,B1406&lt;$O$12)),1,0)</f>
        <v/>
      </c>
      <c r="I1406">
        <f>IF(H1406=1,NA(),D1406)</f>
        <v/>
      </c>
      <c r="J1406">
        <f>IF(AND(ISNUMBER(D1406),D1406&gt;=$O$4,OR($O$11=0,B1406&gt;=$O$12)),1,0)</f>
        <v/>
      </c>
      <c r="K1406">
        <f>B1406-$O$14</f>
        <v/>
      </c>
    </row>
    <row r="1407">
      <c r="A1407" t="n">
        <v>4215</v>
      </c>
      <c r="B1407" t="n">
        <v>140.5</v>
      </c>
      <c r="C1407" t="inlineStr">
        <is>
          <t>881</t>
        </is>
      </c>
      <c r="D1407" t="n">
        <v>8.81</v>
      </c>
      <c r="E1407">
        <f>MEDIAN(D1387:D1427)</f>
        <v/>
      </c>
      <c r="F1407">
        <f>E1387</f>
        <v/>
      </c>
      <c r="G1407">
        <f>F1407-E1407</f>
        <v/>
      </c>
      <c r="H1407">
        <f>IF(OR(NOT(ISNUMBER(D1407)),ABS(D1407-E1407)&gt;$O$3,AND($O$11=1,B1407&lt;$O$12)),1,0)</f>
        <v/>
      </c>
      <c r="I1407">
        <f>IF(H1407=1,NA(),D1407)</f>
        <v/>
      </c>
      <c r="J1407">
        <f>IF(AND(ISNUMBER(D1407),D1407&gt;=$O$4,OR($O$11=0,B1407&gt;=$O$12)),1,0)</f>
        <v/>
      </c>
      <c r="K1407">
        <f>B1407-$O$14</f>
        <v/>
      </c>
    </row>
    <row r="1408">
      <c r="A1408" t="n">
        <v>4218</v>
      </c>
      <c r="B1408" t="n">
        <v>140.6</v>
      </c>
      <c r="C1408" t="inlineStr">
        <is>
          <t>881</t>
        </is>
      </c>
      <c r="D1408" t="n">
        <v>8.81</v>
      </c>
      <c r="E1408">
        <f>MEDIAN(D1388:D1428)</f>
        <v/>
      </c>
      <c r="F1408">
        <f>E1388</f>
        <v/>
      </c>
      <c r="G1408">
        <f>F1408-E1408</f>
        <v/>
      </c>
      <c r="H1408">
        <f>IF(OR(NOT(ISNUMBER(D1408)),ABS(D1408-E1408)&gt;$O$3,AND($O$11=1,B1408&lt;$O$12)),1,0)</f>
        <v/>
      </c>
      <c r="I1408">
        <f>IF(H1408=1,NA(),D1408)</f>
        <v/>
      </c>
      <c r="J1408">
        <f>IF(AND(ISNUMBER(D1408),D1408&gt;=$O$4,OR($O$11=0,B1408&gt;=$O$12)),1,0)</f>
        <v/>
      </c>
      <c r="K1408">
        <f>B1408-$O$14</f>
        <v/>
      </c>
    </row>
    <row r="1409">
      <c r="A1409" t="n">
        <v>4221</v>
      </c>
      <c r="B1409" t="n">
        <v>140.7</v>
      </c>
      <c r="C1409" t="inlineStr">
        <is>
          <t>881</t>
        </is>
      </c>
      <c r="D1409" t="n">
        <v>8.81</v>
      </c>
      <c r="E1409">
        <f>MEDIAN(D1389:D1429)</f>
        <v/>
      </c>
      <c r="F1409">
        <f>E1389</f>
        <v/>
      </c>
      <c r="G1409">
        <f>F1409-E1409</f>
        <v/>
      </c>
      <c r="H1409">
        <f>IF(OR(NOT(ISNUMBER(D1409)),ABS(D1409-E1409)&gt;$O$3,AND($O$11=1,B1409&lt;$O$12)),1,0)</f>
        <v/>
      </c>
      <c r="I1409">
        <f>IF(H1409=1,NA(),D1409)</f>
        <v/>
      </c>
      <c r="J1409">
        <f>IF(AND(ISNUMBER(D1409),D1409&gt;=$O$4,OR($O$11=0,B1409&gt;=$O$12)),1,0)</f>
        <v/>
      </c>
      <c r="K1409">
        <f>B1409-$O$14</f>
        <v/>
      </c>
    </row>
    <row r="1410">
      <c r="A1410" t="n">
        <v>4224</v>
      </c>
      <c r="B1410" t="n">
        <v>140.8</v>
      </c>
      <c r="C1410" t="inlineStr">
        <is>
          <t>881</t>
        </is>
      </c>
      <c r="D1410" t="n">
        <v>8.81</v>
      </c>
      <c r="E1410">
        <f>MEDIAN(D1390:D1430)</f>
        <v/>
      </c>
      <c r="F1410">
        <f>E1390</f>
        <v/>
      </c>
      <c r="G1410">
        <f>F1410-E1410</f>
        <v/>
      </c>
      <c r="H1410">
        <f>IF(OR(NOT(ISNUMBER(D1410)),ABS(D1410-E1410)&gt;$O$3,AND($O$11=1,B1410&lt;$O$12)),1,0)</f>
        <v/>
      </c>
      <c r="I1410">
        <f>IF(H1410=1,NA(),D1410)</f>
        <v/>
      </c>
      <c r="J1410">
        <f>IF(AND(ISNUMBER(D1410),D1410&gt;=$O$4,OR($O$11=0,B1410&gt;=$O$12)),1,0)</f>
        <v/>
      </c>
      <c r="K1410">
        <f>B1410-$O$14</f>
        <v/>
      </c>
    </row>
    <row r="1411">
      <c r="A1411" t="n">
        <v>4227</v>
      </c>
      <c r="B1411" t="n">
        <v>140.9</v>
      </c>
      <c r="C1411" t="inlineStr">
        <is>
          <t>881</t>
        </is>
      </c>
      <c r="D1411" t="n">
        <v>8.81</v>
      </c>
      <c r="E1411">
        <f>MEDIAN(D1391:D1431)</f>
        <v/>
      </c>
      <c r="F1411">
        <f>E1391</f>
        <v/>
      </c>
      <c r="G1411">
        <f>F1411-E1411</f>
        <v/>
      </c>
      <c r="H1411">
        <f>IF(OR(NOT(ISNUMBER(D1411)),ABS(D1411-E1411)&gt;$O$3,AND($O$11=1,B1411&lt;$O$12)),1,0)</f>
        <v/>
      </c>
      <c r="I1411">
        <f>IF(H1411=1,NA(),D1411)</f>
        <v/>
      </c>
      <c r="J1411">
        <f>IF(AND(ISNUMBER(D1411),D1411&gt;=$O$4,OR($O$11=0,B1411&gt;=$O$12)),1,0)</f>
        <v/>
      </c>
      <c r="K1411">
        <f>B1411-$O$14</f>
        <v/>
      </c>
    </row>
    <row r="1412">
      <c r="A1412" t="n">
        <v>4230</v>
      </c>
      <c r="B1412" t="n">
        <v>141</v>
      </c>
      <c r="C1412" t="inlineStr">
        <is>
          <t>881</t>
        </is>
      </c>
      <c r="D1412" t="n">
        <v>8.81</v>
      </c>
      <c r="E1412">
        <f>MEDIAN(D1392:D1432)</f>
        <v/>
      </c>
      <c r="F1412">
        <f>E1392</f>
        <v/>
      </c>
      <c r="G1412">
        <f>F1412-E1412</f>
        <v/>
      </c>
      <c r="H1412">
        <f>IF(OR(NOT(ISNUMBER(D1412)),ABS(D1412-E1412)&gt;$O$3,AND($O$11=1,B1412&lt;$O$12)),1,0)</f>
        <v/>
      </c>
      <c r="I1412">
        <f>IF(H1412=1,NA(),D1412)</f>
        <v/>
      </c>
      <c r="J1412">
        <f>IF(AND(ISNUMBER(D1412),D1412&gt;=$O$4,OR($O$11=0,B1412&gt;=$O$12)),1,0)</f>
        <v/>
      </c>
      <c r="K1412">
        <f>B1412-$O$14</f>
        <v/>
      </c>
    </row>
    <row r="1413">
      <c r="A1413" t="n">
        <v>4233</v>
      </c>
      <c r="B1413" t="n">
        <v>141.1</v>
      </c>
      <c r="C1413" t="inlineStr">
        <is>
          <t>881</t>
        </is>
      </c>
      <c r="D1413" t="n">
        <v>8.81</v>
      </c>
      <c r="E1413">
        <f>MEDIAN(D1393:D1433)</f>
        <v/>
      </c>
      <c r="F1413">
        <f>E1393</f>
        <v/>
      </c>
      <c r="G1413">
        <f>F1413-E1413</f>
        <v/>
      </c>
      <c r="H1413">
        <f>IF(OR(NOT(ISNUMBER(D1413)),ABS(D1413-E1413)&gt;$O$3,AND($O$11=1,B1413&lt;$O$12)),1,0)</f>
        <v/>
      </c>
      <c r="I1413">
        <f>IF(H1413=1,NA(),D1413)</f>
        <v/>
      </c>
      <c r="J1413">
        <f>IF(AND(ISNUMBER(D1413),D1413&gt;=$O$4,OR($O$11=0,B1413&gt;=$O$12)),1,0)</f>
        <v/>
      </c>
      <c r="K1413">
        <f>B1413-$O$14</f>
        <v/>
      </c>
    </row>
    <row r="1414">
      <c r="A1414" t="n">
        <v>4236</v>
      </c>
      <c r="B1414" t="n">
        <v>141.2</v>
      </c>
      <c r="C1414" t="inlineStr">
        <is>
          <t>881</t>
        </is>
      </c>
      <c r="D1414" t="n">
        <v>8.81</v>
      </c>
      <c r="E1414">
        <f>MEDIAN(D1394:D1434)</f>
        <v/>
      </c>
      <c r="F1414">
        <f>E1394</f>
        <v/>
      </c>
      <c r="G1414">
        <f>F1414-E1414</f>
        <v/>
      </c>
      <c r="H1414">
        <f>IF(OR(NOT(ISNUMBER(D1414)),ABS(D1414-E1414)&gt;$O$3,AND($O$11=1,B1414&lt;$O$12)),1,0)</f>
        <v/>
      </c>
      <c r="I1414">
        <f>IF(H1414=1,NA(),D1414)</f>
        <v/>
      </c>
      <c r="J1414">
        <f>IF(AND(ISNUMBER(D1414),D1414&gt;=$O$4,OR($O$11=0,B1414&gt;=$O$12)),1,0)</f>
        <v/>
      </c>
      <c r="K1414">
        <f>B1414-$O$14</f>
        <v/>
      </c>
    </row>
    <row r="1415">
      <c r="A1415" t="n">
        <v>4239</v>
      </c>
      <c r="B1415" t="n">
        <v>141.3</v>
      </c>
      <c r="C1415" t="inlineStr">
        <is>
          <t>881</t>
        </is>
      </c>
      <c r="D1415" t="n">
        <v>8.81</v>
      </c>
      <c r="E1415">
        <f>MEDIAN(D1395:D1435)</f>
        <v/>
      </c>
      <c r="F1415">
        <f>E1395</f>
        <v/>
      </c>
      <c r="G1415">
        <f>F1415-E1415</f>
        <v/>
      </c>
      <c r="H1415">
        <f>IF(OR(NOT(ISNUMBER(D1415)),ABS(D1415-E1415)&gt;$O$3,AND($O$11=1,B1415&lt;$O$12)),1,0)</f>
        <v/>
      </c>
      <c r="I1415">
        <f>IF(H1415=1,NA(),D1415)</f>
        <v/>
      </c>
      <c r="J1415">
        <f>IF(AND(ISNUMBER(D1415),D1415&gt;=$O$4,OR($O$11=0,B1415&gt;=$O$12)),1,0)</f>
        <v/>
      </c>
      <c r="K1415">
        <f>B1415-$O$14</f>
        <v/>
      </c>
    </row>
    <row r="1416">
      <c r="A1416" t="n">
        <v>4242</v>
      </c>
      <c r="B1416" t="n">
        <v>141.4</v>
      </c>
      <c r="C1416" t="inlineStr">
        <is>
          <t>881</t>
        </is>
      </c>
      <c r="D1416" t="n">
        <v>8.81</v>
      </c>
      <c r="E1416">
        <f>MEDIAN(D1396:D1436)</f>
        <v/>
      </c>
      <c r="F1416">
        <f>E1396</f>
        <v/>
      </c>
      <c r="G1416">
        <f>F1416-E1416</f>
        <v/>
      </c>
      <c r="H1416">
        <f>IF(OR(NOT(ISNUMBER(D1416)),ABS(D1416-E1416)&gt;$O$3,AND($O$11=1,B1416&lt;$O$12)),1,0)</f>
        <v/>
      </c>
      <c r="I1416">
        <f>IF(H1416=1,NA(),D1416)</f>
        <v/>
      </c>
      <c r="J1416">
        <f>IF(AND(ISNUMBER(D1416),D1416&gt;=$O$4,OR($O$11=0,B1416&gt;=$O$12)),1,0)</f>
        <v/>
      </c>
      <c r="K1416">
        <f>B1416-$O$14</f>
        <v/>
      </c>
    </row>
    <row r="1417">
      <c r="A1417" t="n">
        <v>4245</v>
      </c>
      <c r="B1417" t="n">
        <v>141.5</v>
      </c>
      <c r="C1417" t="inlineStr">
        <is>
          <t>881</t>
        </is>
      </c>
      <c r="D1417" t="n">
        <v>8.81</v>
      </c>
      <c r="E1417">
        <f>MEDIAN(D1397:D1437)</f>
        <v/>
      </c>
      <c r="F1417">
        <f>E1397</f>
        <v/>
      </c>
      <c r="G1417">
        <f>F1417-E1417</f>
        <v/>
      </c>
      <c r="H1417">
        <f>IF(OR(NOT(ISNUMBER(D1417)),ABS(D1417-E1417)&gt;$O$3,AND($O$11=1,B1417&lt;$O$12)),1,0)</f>
        <v/>
      </c>
      <c r="I1417">
        <f>IF(H1417=1,NA(),D1417)</f>
        <v/>
      </c>
      <c r="J1417">
        <f>IF(AND(ISNUMBER(D1417),D1417&gt;=$O$4,OR($O$11=0,B1417&gt;=$O$12)),1,0)</f>
        <v/>
      </c>
      <c r="K1417">
        <f>B1417-$O$14</f>
        <v/>
      </c>
    </row>
    <row r="1418">
      <c r="A1418" t="n">
        <v>4248</v>
      </c>
      <c r="B1418" t="n">
        <v>141.6</v>
      </c>
      <c r="C1418" t="inlineStr">
        <is>
          <t>881</t>
        </is>
      </c>
      <c r="D1418" t="n">
        <v>8.81</v>
      </c>
      <c r="E1418">
        <f>MEDIAN(D1398:D1438)</f>
        <v/>
      </c>
      <c r="F1418">
        <f>E1398</f>
        <v/>
      </c>
      <c r="G1418">
        <f>F1418-E1418</f>
        <v/>
      </c>
      <c r="H1418">
        <f>IF(OR(NOT(ISNUMBER(D1418)),ABS(D1418-E1418)&gt;$O$3,AND($O$11=1,B1418&lt;$O$12)),1,0)</f>
        <v/>
      </c>
      <c r="I1418">
        <f>IF(H1418=1,NA(),D1418)</f>
        <v/>
      </c>
      <c r="J1418">
        <f>IF(AND(ISNUMBER(D1418),D1418&gt;=$O$4,OR($O$11=0,B1418&gt;=$O$12)),1,0)</f>
        <v/>
      </c>
      <c r="K1418">
        <f>B1418-$O$14</f>
        <v/>
      </c>
    </row>
    <row r="1419">
      <c r="A1419" t="n">
        <v>4251</v>
      </c>
      <c r="B1419" t="n">
        <v>141.7</v>
      </c>
      <c r="C1419" t="inlineStr">
        <is>
          <t>881</t>
        </is>
      </c>
      <c r="D1419" t="n">
        <v>8.81</v>
      </c>
      <c r="E1419">
        <f>MEDIAN(D1399:D1439)</f>
        <v/>
      </c>
      <c r="F1419">
        <f>E1399</f>
        <v/>
      </c>
      <c r="G1419">
        <f>F1419-E1419</f>
        <v/>
      </c>
      <c r="H1419">
        <f>IF(OR(NOT(ISNUMBER(D1419)),ABS(D1419-E1419)&gt;$O$3,AND($O$11=1,B1419&lt;$O$12)),1,0)</f>
        <v/>
      </c>
      <c r="I1419">
        <f>IF(H1419=1,NA(),D1419)</f>
        <v/>
      </c>
      <c r="J1419">
        <f>IF(AND(ISNUMBER(D1419),D1419&gt;=$O$4,OR($O$11=0,B1419&gt;=$O$12)),1,0)</f>
        <v/>
      </c>
      <c r="K1419">
        <f>B1419-$O$14</f>
        <v/>
      </c>
    </row>
    <row r="1420">
      <c r="A1420" t="n">
        <v>4254</v>
      </c>
      <c r="B1420" t="n">
        <v>141.8</v>
      </c>
      <c r="C1420" t="inlineStr">
        <is>
          <t>881</t>
        </is>
      </c>
      <c r="D1420" t="n">
        <v>8.81</v>
      </c>
      <c r="E1420">
        <f>MEDIAN(D1400:D1440)</f>
        <v/>
      </c>
      <c r="F1420">
        <f>E1400</f>
        <v/>
      </c>
      <c r="G1420">
        <f>F1420-E1420</f>
        <v/>
      </c>
      <c r="H1420">
        <f>IF(OR(NOT(ISNUMBER(D1420)),ABS(D1420-E1420)&gt;$O$3,AND($O$11=1,B1420&lt;$O$12)),1,0)</f>
        <v/>
      </c>
      <c r="I1420">
        <f>IF(H1420=1,NA(),D1420)</f>
        <v/>
      </c>
      <c r="J1420">
        <f>IF(AND(ISNUMBER(D1420),D1420&gt;=$O$4,OR($O$11=0,B1420&gt;=$O$12)),1,0)</f>
        <v/>
      </c>
      <c r="K1420">
        <f>B1420-$O$14</f>
        <v/>
      </c>
    </row>
    <row r="1421">
      <c r="A1421" t="n">
        <v>4257</v>
      </c>
      <c r="B1421" t="n">
        <v>141.9</v>
      </c>
      <c r="C1421" t="inlineStr">
        <is>
          <t>881</t>
        </is>
      </c>
      <c r="D1421" t="n">
        <v>8.81</v>
      </c>
      <c r="E1421">
        <f>MEDIAN(D1401:D1441)</f>
        <v/>
      </c>
      <c r="F1421">
        <f>E1401</f>
        <v/>
      </c>
      <c r="G1421">
        <f>F1421-E1421</f>
        <v/>
      </c>
      <c r="H1421">
        <f>IF(OR(NOT(ISNUMBER(D1421)),ABS(D1421-E1421)&gt;$O$3,AND($O$11=1,B1421&lt;$O$12)),1,0)</f>
        <v/>
      </c>
      <c r="I1421">
        <f>IF(H1421=1,NA(),D1421)</f>
        <v/>
      </c>
      <c r="J1421">
        <f>IF(AND(ISNUMBER(D1421),D1421&gt;=$O$4,OR($O$11=0,B1421&gt;=$O$12)),1,0)</f>
        <v/>
      </c>
      <c r="K1421">
        <f>B1421-$O$14</f>
        <v/>
      </c>
    </row>
    <row r="1422">
      <c r="A1422" t="n">
        <v>4260</v>
      </c>
      <c r="B1422" t="n">
        <v>142</v>
      </c>
      <c r="C1422" t="inlineStr">
        <is>
          <t>881</t>
        </is>
      </c>
      <c r="D1422" t="n">
        <v>8.81</v>
      </c>
      <c r="E1422">
        <f>MEDIAN(D1402:D1442)</f>
        <v/>
      </c>
      <c r="F1422">
        <f>E1402</f>
        <v/>
      </c>
      <c r="G1422">
        <f>F1422-E1422</f>
        <v/>
      </c>
      <c r="H1422">
        <f>IF(OR(NOT(ISNUMBER(D1422)),ABS(D1422-E1422)&gt;$O$3,AND($O$11=1,B1422&lt;$O$12)),1,0)</f>
        <v/>
      </c>
      <c r="I1422">
        <f>IF(H1422=1,NA(),D1422)</f>
        <v/>
      </c>
      <c r="J1422">
        <f>IF(AND(ISNUMBER(D1422),D1422&gt;=$O$4,OR($O$11=0,B1422&gt;=$O$12)),1,0)</f>
        <v/>
      </c>
      <c r="K1422">
        <f>B1422-$O$14</f>
        <v/>
      </c>
    </row>
    <row r="1423">
      <c r="A1423" t="n">
        <v>4263</v>
      </c>
      <c r="B1423" t="n">
        <v>142.1</v>
      </c>
      <c r="C1423" t="inlineStr">
        <is>
          <t>881</t>
        </is>
      </c>
      <c r="D1423" t="n">
        <v>8.81</v>
      </c>
      <c r="E1423">
        <f>MEDIAN(D1403:D1443)</f>
        <v/>
      </c>
      <c r="F1423">
        <f>E1403</f>
        <v/>
      </c>
      <c r="G1423">
        <f>F1423-E1423</f>
        <v/>
      </c>
      <c r="H1423">
        <f>IF(OR(NOT(ISNUMBER(D1423)),ABS(D1423-E1423)&gt;$O$3,AND($O$11=1,B1423&lt;$O$12)),1,0)</f>
        <v/>
      </c>
      <c r="I1423">
        <f>IF(H1423=1,NA(),D1423)</f>
        <v/>
      </c>
      <c r="J1423">
        <f>IF(AND(ISNUMBER(D1423),D1423&gt;=$O$4,OR($O$11=0,B1423&gt;=$O$12)),1,0)</f>
        <v/>
      </c>
      <c r="K1423">
        <f>B1423-$O$14</f>
        <v/>
      </c>
    </row>
    <row r="1424">
      <c r="A1424" t="n">
        <v>4266</v>
      </c>
      <c r="B1424" t="n">
        <v>142.2</v>
      </c>
      <c r="C1424" t="inlineStr">
        <is>
          <t>881</t>
        </is>
      </c>
      <c r="D1424" t="n">
        <v>8.81</v>
      </c>
      <c r="E1424">
        <f>MEDIAN(D1404:D1444)</f>
        <v/>
      </c>
      <c r="F1424">
        <f>E1404</f>
        <v/>
      </c>
      <c r="G1424">
        <f>F1424-E1424</f>
        <v/>
      </c>
      <c r="H1424">
        <f>IF(OR(NOT(ISNUMBER(D1424)),ABS(D1424-E1424)&gt;$O$3,AND($O$11=1,B1424&lt;$O$12)),1,0)</f>
        <v/>
      </c>
      <c r="I1424">
        <f>IF(H1424=1,NA(),D1424)</f>
        <v/>
      </c>
      <c r="J1424">
        <f>IF(AND(ISNUMBER(D1424),D1424&gt;=$O$4,OR($O$11=0,B1424&gt;=$O$12)),1,0)</f>
        <v/>
      </c>
      <c r="K1424">
        <f>B1424-$O$14</f>
        <v/>
      </c>
    </row>
    <row r="1425">
      <c r="A1425" t="n">
        <v>4269</v>
      </c>
      <c r="B1425" t="n">
        <v>142.3</v>
      </c>
      <c r="C1425" t="inlineStr">
        <is>
          <t>881</t>
        </is>
      </c>
      <c r="D1425" t="n">
        <v>8.81</v>
      </c>
      <c r="E1425">
        <f>MEDIAN(D1405:D1445)</f>
        <v/>
      </c>
      <c r="F1425">
        <f>E1405</f>
        <v/>
      </c>
      <c r="G1425">
        <f>F1425-E1425</f>
        <v/>
      </c>
      <c r="H1425">
        <f>IF(OR(NOT(ISNUMBER(D1425)),ABS(D1425-E1425)&gt;$O$3,AND($O$11=1,B1425&lt;$O$12)),1,0)</f>
        <v/>
      </c>
      <c r="I1425">
        <f>IF(H1425=1,NA(),D1425)</f>
        <v/>
      </c>
      <c r="J1425">
        <f>IF(AND(ISNUMBER(D1425),D1425&gt;=$O$4,OR($O$11=0,B1425&gt;=$O$12)),1,0)</f>
        <v/>
      </c>
      <c r="K1425">
        <f>B1425-$O$14</f>
        <v/>
      </c>
    </row>
    <row r="1426">
      <c r="A1426" t="n">
        <v>4272</v>
      </c>
      <c r="B1426" t="n">
        <v>142.4</v>
      </c>
      <c r="C1426" t="inlineStr">
        <is>
          <t>881</t>
        </is>
      </c>
      <c r="D1426" t="n">
        <v>8.81</v>
      </c>
      <c r="E1426">
        <f>MEDIAN(D1406:D1446)</f>
        <v/>
      </c>
      <c r="F1426">
        <f>E1406</f>
        <v/>
      </c>
      <c r="G1426">
        <f>F1426-E1426</f>
        <v/>
      </c>
      <c r="H1426">
        <f>IF(OR(NOT(ISNUMBER(D1426)),ABS(D1426-E1426)&gt;$O$3,AND($O$11=1,B1426&lt;$O$12)),1,0)</f>
        <v/>
      </c>
      <c r="I1426">
        <f>IF(H1426=1,NA(),D1426)</f>
        <v/>
      </c>
      <c r="J1426">
        <f>IF(AND(ISNUMBER(D1426),D1426&gt;=$O$4,OR($O$11=0,B1426&gt;=$O$12)),1,0)</f>
        <v/>
      </c>
      <c r="K1426">
        <f>B1426-$O$14</f>
        <v/>
      </c>
    </row>
    <row r="1427">
      <c r="A1427" t="n">
        <v>4275</v>
      </c>
      <c r="B1427" t="n">
        <v>142.5</v>
      </c>
      <c r="C1427" t="inlineStr">
        <is>
          <t>881</t>
        </is>
      </c>
      <c r="D1427" t="n">
        <v>8.81</v>
      </c>
      <c r="E1427">
        <f>MEDIAN(D1407:D1447)</f>
        <v/>
      </c>
      <c r="F1427">
        <f>E1407</f>
        <v/>
      </c>
      <c r="G1427">
        <f>F1427-E1427</f>
        <v/>
      </c>
      <c r="H1427">
        <f>IF(OR(NOT(ISNUMBER(D1427)),ABS(D1427-E1427)&gt;$O$3,AND($O$11=1,B1427&lt;$O$12)),1,0)</f>
        <v/>
      </c>
      <c r="I1427">
        <f>IF(H1427=1,NA(),D1427)</f>
        <v/>
      </c>
      <c r="J1427">
        <f>IF(AND(ISNUMBER(D1427),D1427&gt;=$O$4,OR($O$11=0,B1427&gt;=$O$12)),1,0)</f>
        <v/>
      </c>
      <c r="K1427">
        <f>B1427-$O$14</f>
        <v/>
      </c>
    </row>
    <row r="1428">
      <c r="A1428" t="n">
        <v>4278</v>
      </c>
      <c r="B1428" t="n">
        <v>142.6</v>
      </c>
      <c r="C1428" t="inlineStr">
        <is>
          <t>881</t>
        </is>
      </c>
      <c r="D1428" t="n">
        <v>8.81</v>
      </c>
      <c r="E1428">
        <f>MEDIAN(D1408:D1448)</f>
        <v/>
      </c>
      <c r="F1428">
        <f>E1408</f>
        <v/>
      </c>
      <c r="G1428">
        <f>F1428-E1428</f>
        <v/>
      </c>
      <c r="H1428">
        <f>IF(OR(NOT(ISNUMBER(D1428)),ABS(D1428-E1428)&gt;$O$3,AND($O$11=1,B1428&lt;$O$12)),1,0)</f>
        <v/>
      </c>
      <c r="I1428">
        <f>IF(H1428=1,NA(),D1428)</f>
        <v/>
      </c>
      <c r="J1428">
        <f>IF(AND(ISNUMBER(D1428),D1428&gt;=$O$4,OR($O$11=0,B1428&gt;=$O$12)),1,0)</f>
        <v/>
      </c>
      <c r="K1428">
        <f>B1428-$O$14</f>
        <v/>
      </c>
    </row>
    <row r="1429">
      <c r="A1429" t="n">
        <v>4281</v>
      </c>
      <c r="B1429" t="n">
        <v>142.7</v>
      </c>
      <c r="C1429" t="inlineStr">
        <is>
          <t>881</t>
        </is>
      </c>
      <c r="D1429" t="n">
        <v>8.81</v>
      </c>
      <c r="E1429">
        <f>MEDIAN(D1409:D1449)</f>
        <v/>
      </c>
      <c r="F1429">
        <f>E1409</f>
        <v/>
      </c>
      <c r="G1429">
        <f>F1429-E1429</f>
        <v/>
      </c>
      <c r="H1429">
        <f>IF(OR(NOT(ISNUMBER(D1429)),ABS(D1429-E1429)&gt;$O$3,AND($O$11=1,B1429&lt;$O$12)),1,0)</f>
        <v/>
      </c>
      <c r="I1429">
        <f>IF(H1429=1,NA(),D1429)</f>
        <v/>
      </c>
      <c r="J1429">
        <f>IF(AND(ISNUMBER(D1429),D1429&gt;=$O$4,OR($O$11=0,B1429&gt;=$O$12)),1,0)</f>
        <v/>
      </c>
      <c r="K1429">
        <f>B1429-$O$14</f>
        <v/>
      </c>
    </row>
    <row r="1430">
      <c r="A1430" t="n">
        <v>4284</v>
      </c>
      <c r="B1430" t="n">
        <v>142.8</v>
      </c>
      <c r="C1430" t="inlineStr">
        <is>
          <t>881</t>
        </is>
      </c>
      <c r="D1430" t="n">
        <v>8.81</v>
      </c>
      <c r="E1430">
        <f>MEDIAN(D1410:D1450)</f>
        <v/>
      </c>
      <c r="F1430">
        <f>E1410</f>
        <v/>
      </c>
      <c r="G1430">
        <f>F1430-E1430</f>
        <v/>
      </c>
      <c r="H1430">
        <f>IF(OR(NOT(ISNUMBER(D1430)),ABS(D1430-E1430)&gt;$O$3,AND($O$11=1,B1430&lt;$O$12)),1,0)</f>
        <v/>
      </c>
      <c r="I1430">
        <f>IF(H1430=1,NA(),D1430)</f>
        <v/>
      </c>
      <c r="J1430">
        <f>IF(AND(ISNUMBER(D1430),D1430&gt;=$O$4,OR($O$11=0,B1430&gt;=$O$12)),1,0)</f>
        <v/>
      </c>
      <c r="K1430">
        <f>B1430-$O$14</f>
        <v/>
      </c>
    </row>
    <row r="1431">
      <c r="A1431" t="n">
        <v>4287</v>
      </c>
      <c r="B1431" t="n">
        <v>142.9</v>
      </c>
      <c r="C1431" t="inlineStr">
        <is>
          <t>881</t>
        </is>
      </c>
      <c r="D1431" t="n">
        <v>8.81</v>
      </c>
      <c r="E1431">
        <f>MEDIAN(D1411:D1451)</f>
        <v/>
      </c>
      <c r="F1431">
        <f>E1411</f>
        <v/>
      </c>
      <c r="G1431">
        <f>F1431-E1431</f>
        <v/>
      </c>
      <c r="H1431">
        <f>IF(OR(NOT(ISNUMBER(D1431)),ABS(D1431-E1431)&gt;$O$3,AND($O$11=1,B1431&lt;$O$12)),1,0)</f>
        <v/>
      </c>
      <c r="I1431">
        <f>IF(H1431=1,NA(),D1431)</f>
        <v/>
      </c>
      <c r="J1431">
        <f>IF(AND(ISNUMBER(D1431),D1431&gt;=$O$4,OR($O$11=0,B1431&gt;=$O$12)),1,0)</f>
        <v/>
      </c>
      <c r="K1431">
        <f>B1431-$O$14</f>
        <v/>
      </c>
    </row>
    <row r="1432">
      <c r="A1432" t="n">
        <v>4290</v>
      </c>
      <c r="B1432" t="n">
        <v>143</v>
      </c>
      <c r="C1432" t="inlineStr">
        <is>
          <t>881</t>
        </is>
      </c>
      <c r="D1432" t="n">
        <v>8.81</v>
      </c>
      <c r="E1432">
        <f>MEDIAN(D1412:D1452)</f>
        <v/>
      </c>
      <c r="F1432">
        <f>E1412</f>
        <v/>
      </c>
      <c r="G1432">
        <f>F1432-E1432</f>
        <v/>
      </c>
      <c r="H1432">
        <f>IF(OR(NOT(ISNUMBER(D1432)),ABS(D1432-E1432)&gt;$O$3,AND($O$11=1,B1432&lt;$O$12)),1,0)</f>
        <v/>
      </c>
      <c r="I1432">
        <f>IF(H1432=1,NA(),D1432)</f>
        <v/>
      </c>
      <c r="J1432">
        <f>IF(AND(ISNUMBER(D1432),D1432&gt;=$O$4,OR($O$11=0,B1432&gt;=$O$12)),1,0)</f>
        <v/>
      </c>
      <c r="K1432">
        <f>B1432-$O$14</f>
        <v/>
      </c>
    </row>
    <row r="1433">
      <c r="A1433" t="n">
        <v>4293</v>
      </c>
      <c r="B1433" t="n">
        <v>143.1</v>
      </c>
      <c r="C1433" t="inlineStr">
        <is>
          <t>881</t>
        </is>
      </c>
      <c r="D1433" t="n">
        <v>8.81</v>
      </c>
      <c r="E1433">
        <f>MEDIAN(D1413:D1453)</f>
        <v/>
      </c>
      <c r="F1433">
        <f>E1413</f>
        <v/>
      </c>
      <c r="G1433">
        <f>F1433-E1433</f>
        <v/>
      </c>
      <c r="H1433">
        <f>IF(OR(NOT(ISNUMBER(D1433)),ABS(D1433-E1433)&gt;$O$3,AND($O$11=1,B1433&lt;$O$12)),1,0)</f>
        <v/>
      </c>
      <c r="I1433">
        <f>IF(H1433=1,NA(),D1433)</f>
        <v/>
      </c>
      <c r="J1433">
        <f>IF(AND(ISNUMBER(D1433),D1433&gt;=$O$4,OR($O$11=0,B1433&gt;=$O$12)),1,0)</f>
        <v/>
      </c>
      <c r="K1433">
        <f>B1433-$O$14</f>
        <v/>
      </c>
    </row>
    <row r="1434">
      <c r="A1434" t="n">
        <v>4296</v>
      </c>
      <c r="B1434" t="n">
        <v>143.2</v>
      </c>
      <c r="C1434" t="inlineStr">
        <is>
          <t>881</t>
        </is>
      </c>
      <c r="D1434" t="n">
        <v>8.81</v>
      </c>
      <c r="E1434">
        <f>MEDIAN(D1414:D1454)</f>
        <v/>
      </c>
      <c r="F1434">
        <f>E1414</f>
        <v/>
      </c>
      <c r="G1434">
        <f>F1434-E1434</f>
        <v/>
      </c>
      <c r="H1434">
        <f>IF(OR(NOT(ISNUMBER(D1434)),ABS(D1434-E1434)&gt;$O$3,AND($O$11=1,B1434&lt;$O$12)),1,0)</f>
        <v/>
      </c>
      <c r="I1434">
        <f>IF(H1434=1,NA(),D1434)</f>
        <v/>
      </c>
      <c r="J1434">
        <f>IF(AND(ISNUMBER(D1434),D1434&gt;=$O$4,OR($O$11=0,B1434&gt;=$O$12)),1,0)</f>
        <v/>
      </c>
      <c r="K1434">
        <f>B1434-$O$14</f>
        <v/>
      </c>
    </row>
    <row r="1435">
      <c r="A1435" t="n">
        <v>4299</v>
      </c>
      <c r="B1435" t="n">
        <v>143.3</v>
      </c>
      <c r="C1435" t="inlineStr">
        <is>
          <t>881</t>
        </is>
      </c>
      <c r="D1435" t="n">
        <v>8.81</v>
      </c>
      <c r="E1435">
        <f>MEDIAN(D1415:D1455)</f>
        <v/>
      </c>
      <c r="F1435">
        <f>E1415</f>
        <v/>
      </c>
      <c r="G1435">
        <f>F1435-E1435</f>
        <v/>
      </c>
      <c r="H1435">
        <f>IF(OR(NOT(ISNUMBER(D1435)),ABS(D1435-E1435)&gt;$O$3,AND($O$11=1,B1435&lt;$O$12)),1,0)</f>
        <v/>
      </c>
      <c r="I1435">
        <f>IF(H1435=1,NA(),D1435)</f>
        <v/>
      </c>
      <c r="J1435">
        <f>IF(AND(ISNUMBER(D1435),D1435&gt;=$O$4,OR($O$11=0,B1435&gt;=$O$12)),1,0)</f>
        <v/>
      </c>
      <c r="K1435">
        <f>B1435-$O$14</f>
        <v/>
      </c>
    </row>
    <row r="1436">
      <c r="A1436" t="n">
        <v>4302</v>
      </c>
      <c r="B1436" t="n">
        <v>143.4</v>
      </c>
      <c r="C1436" t="inlineStr">
        <is>
          <t>881</t>
        </is>
      </c>
      <c r="D1436" t="n">
        <v>8.81</v>
      </c>
      <c r="E1436">
        <f>MEDIAN(D1416:D1456)</f>
        <v/>
      </c>
      <c r="F1436">
        <f>E1416</f>
        <v/>
      </c>
      <c r="G1436">
        <f>F1436-E1436</f>
        <v/>
      </c>
      <c r="H1436">
        <f>IF(OR(NOT(ISNUMBER(D1436)),ABS(D1436-E1436)&gt;$O$3,AND($O$11=1,B1436&lt;$O$12)),1,0)</f>
        <v/>
      </c>
      <c r="I1436">
        <f>IF(H1436=1,NA(),D1436)</f>
        <v/>
      </c>
      <c r="J1436">
        <f>IF(AND(ISNUMBER(D1436),D1436&gt;=$O$4,OR($O$11=0,B1436&gt;=$O$12)),1,0)</f>
        <v/>
      </c>
      <c r="K1436">
        <f>B1436-$O$14</f>
        <v/>
      </c>
    </row>
    <row r="1437">
      <c r="A1437" t="n">
        <v>4305</v>
      </c>
      <c r="B1437" t="n">
        <v>143.5</v>
      </c>
      <c r="C1437" t="inlineStr">
        <is>
          <t>881</t>
        </is>
      </c>
      <c r="D1437" t="n">
        <v>8.81</v>
      </c>
      <c r="E1437">
        <f>MEDIAN(D1417:D1457)</f>
        <v/>
      </c>
      <c r="F1437">
        <f>E1417</f>
        <v/>
      </c>
      <c r="G1437">
        <f>F1437-E1437</f>
        <v/>
      </c>
      <c r="H1437">
        <f>IF(OR(NOT(ISNUMBER(D1437)),ABS(D1437-E1437)&gt;$O$3,AND($O$11=1,B1437&lt;$O$12)),1,0)</f>
        <v/>
      </c>
      <c r="I1437">
        <f>IF(H1437=1,NA(),D1437)</f>
        <v/>
      </c>
      <c r="J1437">
        <f>IF(AND(ISNUMBER(D1437),D1437&gt;=$O$4,OR($O$11=0,B1437&gt;=$O$12)),1,0)</f>
        <v/>
      </c>
      <c r="K1437">
        <f>B1437-$O$14</f>
        <v/>
      </c>
    </row>
    <row r="1438">
      <c r="A1438" t="n">
        <v>4308</v>
      </c>
      <c r="B1438" t="n">
        <v>143.6</v>
      </c>
      <c r="C1438" t="inlineStr">
        <is>
          <t>881</t>
        </is>
      </c>
      <c r="D1438" t="n">
        <v>8.81</v>
      </c>
      <c r="E1438">
        <f>MEDIAN(D1418:D1458)</f>
        <v/>
      </c>
      <c r="F1438">
        <f>E1418</f>
        <v/>
      </c>
      <c r="G1438">
        <f>F1438-E1438</f>
        <v/>
      </c>
      <c r="H1438">
        <f>IF(OR(NOT(ISNUMBER(D1438)),ABS(D1438-E1438)&gt;$O$3,AND($O$11=1,B1438&lt;$O$12)),1,0)</f>
        <v/>
      </c>
      <c r="I1438">
        <f>IF(H1438=1,NA(),D1438)</f>
        <v/>
      </c>
      <c r="J1438">
        <f>IF(AND(ISNUMBER(D1438),D1438&gt;=$O$4,OR($O$11=0,B1438&gt;=$O$12)),1,0)</f>
        <v/>
      </c>
      <c r="K1438">
        <f>B1438-$O$14</f>
        <v/>
      </c>
    </row>
    <row r="1439">
      <c r="A1439" t="n">
        <v>4311</v>
      </c>
      <c r="B1439" t="n">
        <v>143.7</v>
      </c>
      <c r="C1439" t="inlineStr">
        <is>
          <t>881</t>
        </is>
      </c>
      <c r="D1439" t="n">
        <v>8.81</v>
      </c>
      <c r="E1439">
        <f>MEDIAN(D1419:D1459)</f>
        <v/>
      </c>
      <c r="F1439">
        <f>E1419</f>
        <v/>
      </c>
      <c r="G1439">
        <f>F1439-E1439</f>
        <v/>
      </c>
      <c r="H1439">
        <f>IF(OR(NOT(ISNUMBER(D1439)),ABS(D1439-E1439)&gt;$O$3,AND($O$11=1,B1439&lt;$O$12)),1,0)</f>
        <v/>
      </c>
      <c r="I1439">
        <f>IF(H1439=1,NA(),D1439)</f>
        <v/>
      </c>
      <c r="J1439">
        <f>IF(AND(ISNUMBER(D1439),D1439&gt;=$O$4,OR($O$11=0,B1439&gt;=$O$12)),1,0)</f>
        <v/>
      </c>
      <c r="K1439">
        <f>B1439-$O$14</f>
        <v/>
      </c>
    </row>
    <row r="1440">
      <c r="A1440" t="n">
        <v>4314</v>
      </c>
      <c r="B1440" t="n">
        <v>143.8</v>
      </c>
      <c r="C1440" t="inlineStr">
        <is>
          <t>881</t>
        </is>
      </c>
      <c r="D1440" t="n">
        <v>8.81</v>
      </c>
      <c r="E1440">
        <f>MEDIAN(D1420:D1460)</f>
        <v/>
      </c>
      <c r="F1440">
        <f>E1420</f>
        <v/>
      </c>
      <c r="G1440">
        <f>F1440-E1440</f>
        <v/>
      </c>
      <c r="H1440">
        <f>IF(OR(NOT(ISNUMBER(D1440)),ABS(D1440-E1440)&gt;$O$3,AND($O$11=1,B1440&lt;$O$12)),1,0)</f>
        <v/>
      </c>
      <c r="I1440">
        <f>IF(H1440=1,NA(),D1440)</f>
        <v/>
      </c>
      <c r="J1440">
        <f>IF(AND(ISNUMBER(D1440),D1440&gt;=$O$4,OR($O$11=0,B1440&gt;=$O$12)),1,0)</f>
        <v/>
      </c>
      <c r="K1440">
        <f>B1440-$O$14</f>
        <v/>
      </c>
    </row>
    <row r="1441">
      <c r="A1441" t="n">
        <v>4317</v>
      </c>
      <c r="B1441" t="n">
        <v>143.9</v>
      </c>
      <c r="C1441" t="inlineStr">
        <is>
          <t>881</t>
        </is>
      </c>
      <c r="D1441" t="n">
        <v>8.81</v>
      </c>
      <c r="E1441">
        <f>MEDIAN(D1421:D1461)</f>
        <v/>
      </c>
      <c r="F1441">
        <f>E1421</f>
        <v/>
      </c>
      <c r="G1441">
        <f>F1441-E1441</f>
        <v/>
      </c>
      <c r="H1441">
        <f>IF(OR(NOT(ISNUMBER(D1441)),ABS(D1441-E1441)&gt;$O$3,AND($O$11=1,B1441&lt;$O$12)),1,0)</f>
        <v/>
      </c>
      <c r="I1441">
        <f>IF(H1441=1,NA(),D1441)</f>
        <v/>
      </c>
      <c r="J1441">
        <f>IF(AND(ISNUMBER(D1441),D1441&gt;=$O$4,OR($O$11=0,B1441&gt;=$O$12)),1,0)</f>
        <v/>
      </c>
      <c r="K1441">
        <f>B1441-$O$14</f>
        <v/>
      </c>
    </row>
    <row r="1442">
      <c r="A1442" t="n">
        <v>4320</v>
      </c>
      <c r="B1442" t="n">
        <v>144</v>
      </c>
      <c r="C1442" t="inlineStr">
        <is>
          <t>881</t>
        </is>
      </c>
      <c r="D1442" t="n">
        <v>8.81</v>
      </c>
      <c r="E1442">
        <f>MEDIAN(D1422:D1462)</f>
        <v/>
      </c>
      <c r="F1442">
        <f>E1422</f>
        <v/>
      </c>
      <c r="G1442">
        <f>F1442-E1442</f>
        <v/>
      </c>
      <c r="H1442">
        <f>IF(OR(NOT(ISNUMBER(D1442)),ABS(D1442-E1442)&gt;$O$3,AND($O$11=1,B1442&lt;$O$12)),1,0)</f>
        <v/>
      </c>
      <c r="I1442">
        <f>IF(H1442=1,NA(),D1442)</f>
        <v/>
      </c>
      <c r="J1442">
        <f>IF(AND(ISNUMBER(D1442),D1442&gt;=$O$4,OR($O$11=0,B1442&gt;=$O$12)),1,0)</f>
        <v/>
      </c>
      <c r="K1442">
        <f>B1442-$O$14</f>
        <v/>
      </c>
    </row>
    <row r="1443">
      <c r="A1443" t="n">
        <v>4323</v>
      </c>
      <c r="B1443" t="n">
        <v>144.1</v>
      </c>
      <c r="C1443" t="inlineStr">
        <is>
          <t>881</t>
        </is>
      </c>
      <c r="D1443" t="n">
        <v>8.81</v>
      </c>
      <c r="E1443">
        <f>MEDIAN(D1423:D1463)</f>
        <v/>
      </c>
      <c r="F1443">
        <f>E1423</f>
        <v/>
      </c>
      <c r="G1443">
        <f>F1443-E1443</f>
        <v/>
      </c>
      <c r="H1443">
        <f>IF(OR(NOT(ISNUMBER(D1443)),ABS(D1443-E1443)&gt;$O$3,AND($O$11=1,B1443&lt;$O$12)),1,0)</f>
        <v/>
      </c>
      <c r="I1443">
        <f>IF(H1443=1,NA(),D1443)</f>
        <v/>
      </c>
      <c r="J1443">
        <f>IF(AND(ISNUMBER(D1443),D1443&gt;=$O$4,OR($O$11=0,B1443&gt;=$O$12)),1,0)</f>
        <v/>
      </c>
      <c r="K1443">
        <f>B1443-$O$14</f>
        <v/>
      </c>
    </row>
    <row r="1444">
      <c r="A1444" t="n">
        <v>4326</v>
      </c>
      <c r="B1444" t="n">
        <v>144.2</v>
      </c>
      <c r="C1444" t="inlineStr">
        <is>
          <t>881</t>
        </is>
      </c>
      <c r="D1444" t="n">
        <v>8.81</v>
      </c>
      <c r="E1444">
        <f>MEDIAN(D1424:D1464)</f>
        <v/>
      </c>
      <c r="F1444">
        <f>E1424</f>
        <v/>
      </c>
      <c r="G1444">
        <f>F1444-E1444</f>
        <v/>
      </c>
      <c r="H1444">
        <f>IF(OR(NOT(ISNUMBER(D1444)),ABS(D1444-E1444)&gt;$O$3,AND($O$11=1,B1444&lt;$O$12)),1,0)</f>
        <v/>
      </c>
      <c r="I1444">
        <f>IF(H1444=1,NA(),D1444)</f>
        <v/>
      </c>
      <c r="J1444">
        <f>IF(AND(ISNUMBER(D1444),D1444&gt;=$O$4,OR($O$11=0,B1444&gt;=$O$12)),1,0)</f>
        <v/>
      </c>
      <c r="K1444">
        <f>B1444-$O$14</f>
        <v/>
      </c>
    </row>
    <row r="1445">
      <c r="A1445" t="n">
        <v>4329</v>
      </c>
      <c r="B1445" t="n">
        <v>144.3</v>
      </c>
      <c r="C1445" t="inlineStr">
        <is>
          <t>881</t>
        </is>
      </c>
      <c r="D1445" t="n">
        <v>8.81</v>
      </c>
      <c r="E1445">
        <f>MEDIAN(D1425:D1465)</f>
        <v/>
      </c>
      <c r="F1445">
        <f>E1425</f>
        <v/>
      </c>
      <c r="G1445">
        <f>F1445-E1445</f>
        <v/>
      </c>
      <c r="H1445">
        <f>IF(OR(NOT(ISNUMBER(D1445)),ABS(D1445-E1445)&gt;$O$3,AND($O$11=1,B1445&lt;$O$12)),1,0)</f>
        <v/>
      </c>
      <c r="I1445">
        <f>IF(H1445=1,NA(),D1445)</f>
        <v/>
      </c>
      <c r="J1445">
        <f>IF(AND(ISNUMBER(D1445),D1445&gt;=$O$4,OR($O$11=0,B1445&gt;=$O$12)),1,0)</f>
        <v/>
      </c>
      <c r="K1445">
        <f>B1445-$O$14</f>
        <v/>
      </c>
    </row>
    <row r="1446">
      <c r="A1446" t="n">
        <v>4332</v>
      </c>
      <c r="B1446" t="n">
        <v>144.4</v>
      </c>
      <c r="C1446" t="inlineStr">
        <is>
          <t>881</t>
        </is>
      </c>
      <c r="D1446" t="n">
        <v>8.81</v>
      </c>
      <c r="E1446">
        <f>MEDIAN(D1426:D1466)</f>
        <v/>
      </c>
      <c r="F1446">
        <f>E1426</f>
        <v/>
      </c>
      <c r="G1446">
        <f>F1446-E1446</f>
        <v/>
      </c>
      <c r="H1446">
        <f>IF(OR(NOT(ISNUMBER(D1446)),ABS(D1446-E1446)&gt;$O$3,AND($O$11=1,B1446&lt;$O$12)),1,0)</f>
        <v/>
      </c>
      <c r="I1446">
        <f>IF(H1446=1,NA(),D1446)</f>
        <v/>
      </c>
      <c r="J1446">
        <f>IF(AND(ISNUMBER(D1446),D1446&gt;=$O$4,OR($O$11=0,B1446&gt;=$O$12)),1,0)</f>
        <v/>
      </c>
      <c r="K1446">
        <f>B1446-$O$14</f>
        <v/>
      </c>
    </row>
    <row r="1447">
      <c r="A1447" t="n">
        <v>4335</v>
      </c>
      <c r="B1447" t="n">
        <v>144.5</v>
      </c>
      <c r="C1447" t="inlineStr">
        <is>
          <t>881</t>
        </is>
      </c>
      <c r="D1447" t="n">
        <v>8.81</v>
      </c>
      <c r="E1447">
        <f>MEDIAN(D1427:D1467)</f>
        <v/>
      </c>
      <c r="F1447">
        <f>E1427</f>
        <v/>
      </c>
      <c r="G1447">
        <f>F1447-E1447</f>
        <v/>
      </c>
      <c r="H1447">
        <f>IF(OR(NOT(ISNUMBER(D1447)),ABS(D1447-E1447)&gt;$O$3,AND($O$11=1,B1447&lt;$O$12)),1,0)</f>
        <v/>
      </c>
      <c r="I1447">
        <f>IF(H1447=1,NA(),D1447)</f>
        <v/>
      </c>
      <c r="J1447">
        <f>IF(AND(ISNUMBER(D1447),D1447&gt;=$O$4,OR($O$11=0,B1447&gt;=$O$12)),1,0)</f>
        <v/>
      </c>
      <c r="K1447">
        <f>B1447-$O$14</f>
        <v/>
      </c>
    </row>
    <row r="1448">
      <c r="A1448" t="n">
        <v>4338</v>
      </c>
      <c r="B1448" t="n">
        <v>144.6</v>
      </c>
      <c r="C1448" t="inlineStr">
        <is>
          <t>881</t>
        </is>
      </c>
      <c r="D1448" t="n">
        <v>8.81</v>
      </c>
      <c r="E1448">
        <f>MEDIAN(D1428:D1468)</f>
        <v/>
      </c>
      <c r="F1448">
        <f>E1428</f>
        <v/>
      </c>
      <c r="G1448">
        <f>F1448-E1448</f>
        <v/>
      </c>
      <c r="H1448">
        <f>IF(OR(NOT(ISNUMBER(D1448)),ABS(D1448-E1448)&gt;$O$3,AND($O$11=1,B1448&lt;$O$12)),1,0)</f>
        <v/>
      </c>
      <c r="I1448">
        <f>IF(H1448=1,NA(),D1448)</f>
        <v/>
      </c>
      <c r="J1448">
        <f>IF(AND(ISNUMBER(D1448),D1448&gt;=$O$4,OR($O$11=0,B1448&gt;=$O$12)),1,0)</f>
        <v/>
      </c>
      <c r="K1448">
        <f>B1448-$O$14</f>
        <v/>
      </c>
    </row>
    <row r="1449">
      <c r="A1449" t="n">
        <v>4341</v>
      </c>
      <c r="B1449" t="n">
        <v>144.7</v>
      </c>
      <c r="C1449" t="inlineStr">
        <is>
          <t>881</t>
        </is>
      </c>
      <c r="D1449" t="n">
        <v>8.81</v>
      </c>
      <c r="E1449">
        <f>MEDIAN(D1429:D1469)</f>
        <v/>
      </c>
      <c r="F1449">
        <f>E1429</f>
        <v/>
      </c>
      <c r="G1449">
        <f>F1449-E1449</f>
        <v/>
      </c>
      <c r="H1449">
        <f>IF(OR(NOT(ISNUMBER(D1449)),ABS(D1449-E1449)&gt;$O$3,AND($O$11=1,B1449&lt;$O$12)),1,0)</f>
        <v/>
      </c>
      <c r="I1449">
        <f>IF(H1449=1,NA(),D1449)</f>
        <v/>
      </c>
      <c r="J1449">
        <f>IF(AND(ISNUMBER(D1449),D1449&gt;=$O$4,OR($O$11=0,B1449&gt;=$O$12)),1,0)</f>
        <v/>
      </c>
      <c r="K1449">
        <f>B1449-$O$14</f>
        <v/>
      </c>
    </row>
    <row r="1450">
      <c r="A1450" t="n">
        <v>4344</v>
      </c>
      <c r="B1450" t="n">
        <v>144.8</v>
      </c>
      <c r="C1450" t="inlineStr">
        <is>
          <t>881</t>
        </is>
      </c>
      <c r="D1450" t="n">
        <v>8.81</v>
      </c>
      <c r="E1450">
        <f>MEDIAN(D1430:D1470)</f>
        <v/>
      </c>
      <c r="F1450">
        <f>E1430</f>
        <v/>
      </c>
      <c r="G1450">
        <f>F1450-E1450</f>
        <v/>
      </c>
      <c r="H1450">
        <f>IF(OR(NOT(ISNUMBER(D1450)),ABS(D1450-E1450)&gt;$O$3,AND($O$11=1,B1450&lt;$O$12)),1,0)</f>
        <v/>
      </c>
      <c r="I1450">
        <f>IF(H1450=1,NA(),D1450)</f>
        <v/>
      </c>
      <c r="J1450">
        <f>IF(AND(ISNUMBER(D1450),D1450&gt;=$O$4,OR($O$11=0,B1450&gt;=$O$12)),1,0)</f>
        <v/>
      </c>
      <c r="K1450">
        <f>B1450-$O$14</f>
        <v/>
      </c>
    </row>
    <row r="1451">
      <c r="A1451" t="n">
        <v>4347</v>
      </c>
      <c r="B1451" t="n">
        <v>144.9</v>
      </c>
      <c r="C1451" t="inlineStr">
        <is>
          <t>881</t>
        </is>
      </c>
      <c r="D1451" t="n">
        <v>8.81</v>
      </c>
      <c r="E1451">
        <f>MEDIAN(D1431:D1471)</f>
        <v/>
      </c>
      <c r="F1451">
        <f>E1431</f>
        <v/>
      </c>
      <c r="G1451">
        <f>F1451-E1451</f>
        <v/>
      </c>
      <c r="H1451">
        <f>IF(OR(NOT(ISNUMBER(D1451)),ABS(D1451-E1451)&gt;$O$3,AND($O$11=1,B1451&lt;$O$12)),1,0)</f>
        <v/>
      </c>
      <c r="I1451">
        <f>IF(H1451=1,NA(),D1451)</f>
        <v/>
      </c>
      <c r="J1451">
        <f>IF(AND(ISNUMBER(D1451),D1451&gt;=$O$4,OR($O$11=0,B1451&gt;=$O$12)),1,0)</f>
        <v/>
      </c>
      <c r="K1451">
        <f>B1451-$O$14</f>
        <v/>
      </c>
    </row>
    <row r="1452">
      <c r="A1452" t="n">
        <v>4350</v>
      </c>
      <c r="B1452" t="n">
        <v>145</v>
      </c>
      <c r="C1452" t="inlineStr">
        <is>
          <t>881</t>
        </is>
      </c>
      <c r="D1452" t="n">
        <v>8.81</v>
      </c>
      <c r="E1452">
        <f>MEDIAN(D1432:D1472)</f>
        <v/>
      </c>
      <c r="F1452">
        <f>E1432</f>
        <v/>
      </c>
      <c r="G1452">
        <f>F1452-E1452</f>
        <v/>
      </c>
      <c r="H1452">
        <f>IF(OR(NOT(ISNUMBER(D1452)),ABS(D1452-E1452)&gt;$O$3,AND($O$11=1,B1452&lt;$O$12)),1,0)</f>
        <v/>
      </c>
      <c r="I1452">
        <f>IF(H1452=1,NA(),D1452)</f>
        <v/>
      </c>
      <c r="J1452">
        <f>IF(AND(ISNUMBER(D1452),D1452&gt;=$O$4,OR($O$11=0,B1452&gt;=$O$12)),1,0)</f>
        <v/>
      </c>
      <c r="K1452">
        <f>B1452-$O$14</f>
        <v/>
      </c>
    </row>
    <row r="1453">
      <c r="A1453" t="n">
        <v>4353</v>
      </c>
      <c r="B1453" t="n">
        <v>145.1</v>
      </c>
      <c r="C1453" t="inlineStr">
        <is>
          <t>881</t>
        </is>
      </c>
      <c r="D1453" t="n">
        <v>8.81</v>
      </c>
      <c r="E1453">
        <f>MEDIAN(D1433:D1473)</f>
        <v/>
      </c>
      <c r="F1453">
        <f>E1433</f>
        <v/>
      </c>
      <c r="G1453">
        <f>F1453-E1453</f>
        <v/>
      </c>
      <c r="H1453">
        <f>IF(OR(NOT(ISNUMBER(D1453)),ABS(D1453-E1453)&gt;$O$3,AND($O$11=1,B1453&lt;$O$12)),1,0)</f>
        <v/>
      </c>
      <c r="I1453">
        <f>IF(H1453=1,NA(),D1453)</f>
        <v/>
      </c>
      <c r="J1453">
        <f>IF(AND(ISNUMBER(D1453),D1453&gt;=$O$4,OR($O$11=0,B1453&gt;=$O$12)),1,0)</f>
        <v/>
      </c>
      <c r="K1453">
        <f>B1453-$O$14</f>
        <v/>
      </c>
    </row>
    <row r="1454">
      <c r="A1454" t="n">
        <v>4356</v>
      </c>
      <c r="B1454" t="n">
        <v>145.2</v>
      </c>
      <c r="C1454" t="inlineStr">
        <is>
          <t>881</t>
        </is>
      </c>
      <c r="D1454" t="n">
        <v>8.81</v>
      </c>
      <c r="E1454">
        <f>MEDIAN(D1434:D1474)</f>
        <v/>
      </c>
      <c r="F1454">
        <f>E1434</f>
        <v/>
      </c>
      <c r="G1454">
        <f>F1454-E1454</f>
        <v/>
      </c>
      <c r="H1454">
        <f>IF(OR(NOT(ISNUMBER(D1454)),ABS(D1454-E1454)&gt;$O$3,AND($O$11=1,B1454&lt;$O$12)),1,0)</f>
        <v/>
      </c>
      <c r="I1454">
        <f>IF(H1454=1,NA(),D1454)</f>
        <v/>
      </c>
      <c r="J1454">
        <f>IF(AND(ISNUMBER(D1454),D1454&gt;=$O$4,OR($O$11=0,B1454&gt;=$O$12)),1,0)</f>
        <v/>
      </c>
      <c r="K1454">
        <f>B1454-$O$14</f>
        <v/>
      </c>
    </row>
    <row r="1455">
      <c r="A1455" t="n">
        <v>4359</v>
      </c>
      <c r="B1455" t="n">
        <v>145.3</v>
      </c>
      <c r="C1455" t="inlineStr">
        <is>
          <t>881</t>
        </is>
      </c>
      <c r="D1455" t="n">
        <v>8.81</v>
      </c>
      <c r="E1455">
        <f>MEDIAN(D1435:D1475)</f>
        <v/>
      </c>
      <c r="F1455">
        <f>E1435</f>
        <v/>
      </c>
      <c r="G1455">
        <f>F1455-E1455</f>
        <v/>
      </c>
      <c r="H1455">
        <f>IF(OR(NOT(ISNUMBER(D1455)),ABS(D1455-E1455)&gt;$O$3,AND($O$11=1,B1455&lt;$O$12)),1,0)</f>
        <v/>
      </c>
      <c r="I1455">
        <f>IF(H1455=1,NA(),D1455)</f>
        <v/>
      </c>
      <c r="J1455">
        <f>IF(AND(ISNUMBER(D1455),D1455&gt;=$O$4,OR($O$11=0,B1455&gt;=$O$12)),1,0)</f>
        <v/>
      </c>
      <c r="K1455">
        <f>B1455-$O$14</f>
        <v/>
      </c>
    </row>
    <row r="1456">
      <c r="A1456" t="n">
        <v>4362</v>
      </c>
      <c r="B1456" t="n">
        <v>145.4</v>
      </c>
      <c r="C1456" t="inlineStr">
        <is>
          <t>881</t>
        </is>
      </c>
      <c r="D1456" t="n">
        <v>8.81</v>
      </c>
      <c r="E1456">
        <f>MEDIAN(D1436:D1476)</f>
        <v/>
      </c>
      <c r="F1456">
        <f>E1436</f>
        <v/>
      </c>
      <c r="G1456">
        <f>F1456-E1456</f>
        <v/>
      </c>
      <c r="H1456">
        <f>IF(OR(NOT(ISNUMBER(D1456)),ABS(D1456-E1456)&gt;$O$3,AND($O$11=1,B1456&lt;$O$12)),1,0)</f>
        <v/>
      </c>
      <c r="I1456">
        <f>IF(H1456=1,NA(),D1456)</f>
        <v/>
      </c>
      <c r="J1456">
        <f>IF(AND(ISNUMBER(D1456),D1456&gt;=$O$4,OR($O$11=0,B1456&gt;=$O$12)),1,0)</f>
        <v/>
      </c>
      <c r="K1456">
        <f>B1456-$O$14</f>
        <v/>
      </c>
    </row>
    <row r="1457">
      <c r="A1457" t="n">
        <v>4365</v>
      </c>
      <c r="B1457" t="n">
        <v>145.5</v>
      </c>
      <c r="C1457" t="inlineStr">
        <is>
          <t>882</t>
        </is>
      </c>
      <c r="D1457" t="n">
        <v>8.82</v>
      </c>
      <c r="E1457">
        <f>MEDIAN(D1437:D1477)</f>
        <v/>
      </c>
      <c r="F1457">
        <f>E1437</f>
        <v/>
      </c>
      <c r="G1457">
        <f>F1457-E1457</f>
        <v/>
      </c>
      <c r="H1457">
        <f>IF(OR(NOT(ISNUMBER(D1457)),ABS(D1457-E1457)&gt;$O$3,AND($O$11=1,B1457&lt;$O$12)),1,0)</f>
        <v/>
      </c>
      <c r="I1457">
        <f>IF(H1457=1,NA(),D1457)</f>
        <v/>
      </c>
      <c r="J1457">
        <f>IF(AND(ISNUMBER(D1457),D1457&gt;=$O$4,OR($O$11=0,B1457&gt;=$O$12)),1,0)</f>
        <v/>
      </c>
      <c r="K1457">
        <f>B1457-$O$14</f>
        <v/>
      </c>
    </row>
    <row r="1458">
      <c r="A1458" t="n">
        <v>4368</v>
      </c>
      <c r="B1458" t="n">
        <v>145.6</v>
      </c>
      <c r="C1458" t="inlineStr">
        <is>
          <t>882</t>
        </is>
      </c>
      <c r="D1458" t="n">
        <v>8.82</v>
      </c>
      <c r="E1458">
        <f>MEDIAN(D1438:D1478)</f>
        <v/>
      </c>
      <c r="F1458">
        <f>E1438</f>
        <v/>
      </c>
      <c r="G1458">
        <f>F1458-E1458</f>
        <v/>
      </c>
      <c r="H1458">
        <f>IF(OR(NOT(ISNUMBER(D1458)),ABS(D1458-E1458)&gt;$O$3,AND($O$11=1,B1458&lt;$O$12)),1,0)</f>
        <v/>
      </c>
      <c r="I1458">
        <f>IF(H1458=1,NA(),D1458)</f>
        <v/>
      </c>
      <c r="J1458">
        <f>IF(AND(ISNUMBER(D1458),D1458&gt;=$O$4,OR($O$11=0,B1458&gt;=$O$12)),1,0)</f>
        <v/>
      </c>
      <c r="K1458">
        <f>B1458-$O$14</f>
        <v/>
      </c>
    </row>
    <row r="1459">
      <c r="A1459" t="n">
        <v>4371</v>
      </c>
      <c r="B1459" t="n">
        <v>145.7</v>
      </c>
      <c r="C1459" t="inlineStr">
        <is>
          <t>882</t>
        </is>
      </c>
      <c r="D1459" t="n">
        <v>8.82</v>
      </c>
      <c r="E1459">
        <f>MEDIAN(D1439:D1479)</f>
        <v/>
      </c>
      <c r="F1459">
        <f>E1439</f>
        <v/>
      </c>
      <c r="G1459">
        <f>F1459-E1459</f>
        <v/>
      </c>
      <c r="H1459">
        <f>IF(OR(NOT(ISNUMBER(D1459)),ABS(D1459-E1459)&gt;$O$3,AND($O$11=1,B1459&lt;$O$12)),1,0)</f>
        <v/>
      </c>
      <c r="I1459">
        <f>IF(H1459=1,NA(),D1459)</f>
        <v/>
      </c>
      <c r="J1459">
        <f>IF(AND(ISNUMBER(D1459),D1459&gt;=$O$4,OR($O$11=0,B1459&gt;=$O$12)),1,0)</f>
        <v/>
      </c>
      <c r="K1459">
        <f>B1459-$O$14</f>
        <v/>
      </c>
    </row>
    <row r="1460">
      <c r="A1460" t="n">
        <v>4374</v>
      </c>
      <c r="B1460" t="n">
        <v>145.8</v>
      </c>
      <c r="C1460" t="inlineStr">
        <is>
          <t>882</t>
        </is>
      </c>
      <c r="D1460" t="n">
        <v>8.82</v>
      </c>
      <c r="E1460">
        <f>MEDIAN(D1440:D1480)</f>
        <v/>
      </c>
      <c r="F1460">
        <f>E1440</f>
        <v/>
      </c>
      <c r="G1460">
        <f>F1460-E1460</f>
        <v/>
      </c>
      <c r="H1460">
        <f>IF(OR(NOT(ISNUMBER(D1460)),ABS(D1460-E1460)&gt;$O$3,AND($O$11=1,B1460&lt;$O$12)),1,0)</f>
        <v/>
      </c>
      <c r="I1460">
        <f>IF(H1460=1,NA(),D1460)</f>
        <v/>
      </c>
      <c r="J1460">
        <f>IF(AND(ISNUMBER(D1460),D1460&gt;=$O$4,OR($O$11=0,B1460&gt;=$O$12)),1,0)</f>
        <v/>
      </c>
      <c r="K1460">
        <f>B1460-$O$14</f>
        <v/>
      </c>
    </row>
    <row r="1461">
      <c r="A1461" t="n">
        <v>4377</v>
      </c>
      <c r="B1461" t="n">
        <v>145.9</v>
      </c>
      <c r="C1461" t="inlineStr">
        <is>
          <t>882</t>
        </is>
      </c>
      <c r="D1461" t="n">
        <v>8.82</v>
      </c>
      <c r="E1461">
        <f>MEDIAN(D1441:D1481)</f>
        <v/>
      </c>
      <c r="F1461">
        <f>E1441</f>
        <v/>
      </c>
      <c r="G1461">
        <f>F1461-E1461</f>
        <v/>
      </c>
      <c r="H1461">
        <f>IF(OR(NOT(ISNUMBER(D1461)),ABS(D1461-E1461)&gt;$O$3,AND($O$11=1,B1461&lt;$O$12)),1,0)</f>
        <v/>
      </c>
      <c r="I1461">
        <f>IF(H1461=1,NA(),D1461)</f>
        <v/>
      </c>
      <c r="J1461">
        <f>IF(AND(ISNUMBER(D1461),D1461&gt;=$O$4,OR($O$11=0,B1461&gt;=$O$12)),1,0)</f>
        <v/>
      </c>
      <c r="K1461">
        <f>B1461-$O$14</f>
        <v/>
      </c>
    </row>
    <row r="1462">
      <c r="A1462" t="n">
        <v>4380</v>
      </c>
      <c r="B1462" t="n">
        <v>146</v>
      </c>
      <c r="C1462" t="inlineStr">
        <is>
          <t>882</t>
        </is>
      </c>
      <c r="D1462" t="n">
        <v>8.82</v>
      </c>
      <c r="E1462">
        <f>MEDIAN(D1442:D1482)</f>
        <v/>
      </c>
      <c r="F1462">
        <f>E1442</f>
        <v/>
      </c>
      <c r="G1462">
        <f>F1462-E1462</f>
        <v/>
      </c>
      <c r="H1462">
        <f>IF(OR(NOT(ISNUMBER(D1462)),ABS(D1462-E1462)&gt;$O$3,AND($O$11=1,B1462&lt;$O$12)),1,0)</f>
        <v/>
      </c>
      <c r="I1462">
        <f>IF(H1462=1,NA(),D1462)</f>
        <v/>
      </c>
      <c r="J1462">
        <f>IF(AND(ISNUMBER(D1462),D1462&gt;=$O$4,OR($O$11=0,B1462&gt;=$O$12)),1,0)</f>
        <v/>
      </c>
      <c r="K1462">
        <f>B1462-$O$14</f>
        <v/>
      </c>
    </row>
    <row r="1463">
      <c r="A1463" t="n">
        <v>4383</v>
      </c>
      <c r="B1463" t="n">
        <v>146.1</v>
      </c>
      <c r="C1463" t="inlineStr">
        <is>
          <t>882</t>
        </is>
      </c>
      <c r="D1463" t="n">
        <v>8.82</v>
      </c>
      <c r="E1463">
        <f>MEDIAN(D1443:D1483)</f>
        <v/>
      </c>
      <c r="F1463">
        <f>E1443</f>
        <v/>
      </c>
      <c r="G1463">
        <f>F1463-E1463</f>
        <v/>
      </c>
      <c r="H1463">
        <f>IF(OR(NOT(ISNUMBER(D1463)),ABS(D1463-E1463)&gt;$O$3,AND($O$11=1,B1463&lt;$O$12)),1,0)</f>
        <v/>
      </c>
      <c r="I1463">
        <f>IF(H1463=1,NA(),D1463)</f>
        <v/>
      </c>
      <c r="J1463">
        <f>IF(AND(ISNUMBER(D1463),D1463&gt;=$O$4,OR($O$11=0,B1463&gt;=$O$12)),1,0)</f>
        <v/>
      </c>
      <c r="K1463">
        <f>B1463-$O$14</f>
        <v/>
      </c>
    </row>
    <row r="1464">
      <c r="A1464" t="n">
        <v>4386</v>
      </c>
      <c r="B1464" t="n">
        <v>146.2</v>
      </c>
      <c r="C1464" t="inlineStr">
        <is>
          <t>882</t>
        </is>
      </c>
      <c r="D1464" t="n">
        <v>8.82</v>
      </c>
      <c r="E1464">
        <f>MEDIAN(D1444:D1484)</f>
        <v/>
      </c>
      <c r="F1464">
        <f>E1444</f>
        <v/>
      </c>
      <c r="G1464">
        <f>F1464-E1464</f>
        <v/>
      </c>
      <c r="H1464">
        <f>IF(OR(NOT(ISNUMBER(D1464)),ABS(D1464-E1464)&gt;$O$3,AND($O$11=1,B1464&lt;$O$12)),1,0)</f>
        <v/>
      </c>
      <c r="I1464">
        <f>IF(H1464=1,NA(),D1464)</f>
        <v/>
      </c>
      <c r="J1464">
        <f>IF(AND(ISNUMBER(D1464),D1464&gt;=$O$4,OR($O$11=0,B1464&gt;=$O$12)),1,0)</f>
        <v/>
      </c>
      <c r="K1464">
        <f>B1464-$O$14</f>
        <v/>
      </c>
    </row>
    <row r="1465">
      <c r="A1465" t="n">
        <v>4389</v>
      </c>
      <c r="B1465" t="n">
        <v>146.3</v>
      </c>
      <c r="C1465" t="inlineStr">
        <is>
          <t>883</t>
        </is>
      </c>
      <c r="D1465" t="n">
        <v>8.83</v>
      </c>
      <c r="E1465">
        <f>MEDIAN(D1445:D1485)</f>
        <v/>
      </c>
      <c r="F1465">
        <f>E1445</f>
        <v/>
      </c>
      <c r="G1465">
        <f>F1465-E1465</f>
        <v/>
      </c>
      <c r="H1465">
        <f>IF(OR(NOT(ISNUMBER(D1465)),ABS(D1465-E1465)&gt;$O$3,AND($O$11=1,B1465&lt;$O$12)),1,0)</f>
        <v/>
      </c>
      <c r="I1465">
        <f>IF(H1465=1,NA(),D1465)</f>
        <v/>
      </c>
      <c r="J1465">
        <f>IF(AND(ISNUMBER(D1465),D1465&gt;=$O$4,OR($O$11=0,B1465&gt;=$O$12)),1,0)</f>
        <v/>
      </c>
      <c r="K1465">
        <f>B1465-$O$14</f>
        <v/>
      </c>
    </row>
    <row r="1466">
      <c r="A1466" t="n">
        <v>4392</v>
      </c>
      <c r="B1466" t="n">
        <v>146.4</v>
      </c>
      <c r="C1466" t="inlineStr">
        <is>
          <t>883</t>
        </is>
      </c>
      <c r="D1466" t="n">
        <v>8.83</v>
      </c>
      <c r="E1466">
        <f>MEDIAN(D1446:D1486)</f>
        <v/>
      </c>
      <c r="F1466">
        <f>E1446</f>
        <v/>
      </c>
      <c r="G1466">
        <f>F1466-E1466</f>
        <v/>
      </c>
      <c r="H1466">
        <f>IF(OR(NOT(ISNUMBER(D1466)),ABS(D1466-E1466)&gt;$O$3,AND($O$11=1,B1466&lt;$O$12)),1,0)</f>
        <v/>
      </c>
      <c r="I1466">
        <f>IF(H1466=1,NA(),D1466)</f>
        <v/>
      </c>
      <c r="J1466">
        <f>IF(AND(ISNUMBER(D1466),D1466&gt;=$O$4,OR($O$11=0,B1466&gt;=$O$12)),1,0)</f>
        <v/>
      </c>
      <c r="K1466">
        <f>B1466-$O$14</f>
        <v/>
      </c>
    </row>
    <row r="1467">
      <c r="A1467" t="n">
        <v>4395</v>
      </c>
      <c r="B1467" t="n">
        <v>146.5</v>
      </c>
      <c r="C1467" t="inlineStr">
        <is>
          <t>883</t>
        </is>
      </c>
      <c r="D1467" t="n">
        <v>8.83</v>
      </c>
      <c r="E1467">
        <f>MEDIAN(D1447:D1487)</f>
        <v/>
      </c>
      <c r="F1467">
        <f>E1447</f>
        <v/>
      </c>
      <c r="G1467">
        <f>F1467-E1467</f>
        <v/>
      </c>
      <c r="H1467">
        <f>IF(OR(NOT(ISNUMBER(D1467)),ABS(D1467-E1467)&gt;$O$3,AND($O$11=1,B1467&lt;$O$12)),1,0)</f>
        <v/>
      </c>
      <c r="I1467">
        <f>IF(H1467=1,NA(),D1467)</f>
        <v/>
      </c>
      <c r="J1467">
        <f>IF(AND(ISNUMBER(D1467),D1467&gt;=$O$4,OR($O$11=0,B1467&gt;=$O$12)),1,0)</f>
        <v/>
      </c>
      <c r="K1467">
        <f>B1467-$O$14</f>
        <v/>
      </c>
    </row>
    <row r="1468">
      <c r="A1468" t="n">
        <v>4398</v>
      </c>
      <c r="B1468" t="n">
        <v>146.6</v>
      </c>
      <c r="C1468" t="inlineStr">
        <is>
          <t>883</t>
        </is>
      </c>
      <c r="D1468" t="n">
        <v>8.83</v>
      </c>
      <c r="E1468">
        <f>MEDIAN(D1448:D1488)</f>
        <v/>
      </c>
      <c r="F1468">
        <f>E1448</f>
        <v/>
      </c>
      <c r="G1468">
        <f>F1468-E1468</f>
        <v/>
      </c>
      <c r="H1468">
        <f>IF(OR(NOT(ISNUMBER(D1468)),ABS(D1468-E1468)&gt;$O$3,AND($O$11=1,B1468&lt;$O$12)),1,0)</f>
        <v/>
      </c>
      <c r="I1468">
        <f>IF(H1468=1,NA(),D1468)</f>
        <v/>
      </c>
      <c r="J1468">
        <f>IF(AND(ISNUMBER(D1468),D1468&gt;=$O$4,OR($O$11=0,B1468&gt;=$O$12)),1,0)</f>
        <v/>
      </c>
      <c r="K1468">
        <f>B1468-$O$14</f>
        <v/>
      </c>
    </row>
    <row r="1469">
      <c r="A1469" t="n">
        <v>4401</v>
      </c>
      <c r="B1469" t="n">
        <v>146.7</v>
      </c>
      <c r="C1469" t="inlineStr">
        <is>
          <t>883</t>
        </is>
      </c>
      <c r="D1469" t="n">
        <v>8.83</v>
      </c>
      <c r="E1469">
        <f>MEDIAN(D1449:D1489)</f>
        <v/>
      </c>
      <c r="F1469">
        <f>E1449</f>
        <v/>
      </c>
      <c r="G1469">
        <f>F1469-E1469</f>
        <v/>
      </c>
      <c r="H1469">
        <f>IF(OR(NOT(ISNUMBER(D1469)),ABS(D1469-E1469)&gt;$O$3,AND($O$11=1,B1469&lt;$O$12)),1,0)</f>
        <v/>
      </c>
      <c r="I1469">
        <f>IF(H1469=1,NA(),D1469)</f>
        <v/>
      </c>
      <c r="J1469">
        <f>IF(AND(ISNUMBER(D1469),D1469&gt;=$O$4,OR($O$11=0,B1469&gt;=$O$12)),1,0)</f>
        <v/>
      </c>
      <c r="K1469">
        <f>B1469-$O$14</f>
        <v/>
      </c>
    </row>
    <row r="1470">
      <c r="A1470" t="n">
        <v>4404</v>
      </c>
      <c r="B1470" t="n">
        <v>146.8</v>
      </c>
      <c r="C1470" t="inlineStr">
        <is>
          <t>883</t>
        </is>
      </c>
      <c r="D1470" t="n">
        <v>8.83</v>
      </c>
      <c r="E1470">
        <f>MEDIAN(D1450:D1490)</f>
        <v/>
      </c>
      <c r="F1470">
        <f>E1450</f>
        <v/>
      </c>
      <c r="G1470">
        <f>F1470-E1470</f>
        <v/>
      </c>
      <c r="H1470">
        <f>IF(OR(NOT(ISNUMBER(D1470)),ABS(D1470-E1470)&gt;$O$3,AND($O$11=1,B1470&lt;$O$12)),1,0)</f>
        <v/>
      </c>
      <c r="I1470">
        <f>IF(H1470=1,NA(),D1470)</f>
        <v/>
      </c>
      <c r="J1470">
        <f>IF(AND(ISNUMBER(D1470),D1470&gt;=$O$4,OR($O$11=0,B1470&gt;=$O$12)),1,0)</f>
        <v/>
      </c>
      <c r="K1470">
        <f>B1470-$O$14</f>
        <v/>
      </c>
    </row>
    <row r="1471">
      <c r="A1471" t="n">
        <v>4407</v>
      </c>
      <c r="B1471" t="n">
        <v>146.9</v>
      </c>
      <c r="C1471" t="inlineStr">
        <is>
          <t>884</t>
        </is>
      </c>
      <c r="D1471" t="n">
        <v>8.84</v>
      </c>
      <c r="E1471">
        <f>MEDIAN(D1451:D1491)</f>
        <v/>
      </c>
      <c r="F1471">
        <f>E1451</f>
        <v/>
      </c>
      <c r="G1471">
        <f>F1471-E1471</f>
        <v/>
      </c>
      <c r="H1471">
        <f>IF(OR(NOT(ISNUMBER(D1471)),ABS(D1471-E1471)&gt;$O$3,AND($O$11=1,B1471&lt;$O$12)),1,0)</f>
        <v/>
      </c>
      <c r="I1471">
        <f>IF(H1471=1,NA(),D1471)</f>
        <v/>
      </c>
      <c r="J1471">
        <f>IF(AND(ISNUMBER(D1471),D1471&gt;=$O$4,OR($O$11=0,B1471&gt;=$O$12)),1,0)</f>
        <v/>
      </c>
      <c r="K1471">
        <f>B1471-$O$14</f>
        <v/>
      </c>
    </row>
    <row r="1472">
      <c r="A1472" t="n">
        <v>4410</v>
      </c>
      <c r="B1472" t="n">
        <v>147</v>
      </c>
      <c r="C1472" t="inlineStr">
        <is>
          <t>884</t>
        </is>
      </c>
      <c r="D1472" t="n">
        <v>8.84</v>
      </c>
      <c r="E1472">
        <f>MEDIAN(D1452:D1492)</f>
        <v/>
      </c>
      <c r="F1472">
        <f>E1452</f>
        <v/>
      </c>
      <c r="G1472">
        <f>F1472-E1472</f>
        <v/>
      </c>
      <c r="H1472">
        <f>IF(OR(NOT(ISNUMBER(D1472)),ABS(D1472-E1472)&gt;$O$3,AND($O$11=1,B1472&lt;$O$12)),1,0)</f>
        <v/>
      </c>
      <c r="I1472">
        <f>IF(H1472=1,NA(),D1472)</f>
        <v/>
      </c>
      <c r="J1472">
        <f>IF(AND(ISNUMBER(D1472),D1472&gt;=$O$4,OR($O$11=0,B1472&gt;=$O$12)),1,0)</f>
        <v/>
      </c>
      <c r="K1472">
        <f>B1472-$O$14</f>
        <v/>
      </c>
    </row>
    <row r="1473">
      <c r="A1473" t="n">
        <v>4413</v>
      </c>
      <c r="B1473" t="n">
        <v>147.1</v>
      </c>
      <c r="C1473" t="inlineStr">
        <is>
          <t>884</t>
        </is>
      </c>
      <c r="D1473" t="n">
        <v>8.84</v>
      </c>
      <c r="E1473">
        <f>MEDIAN(D1453:D1493)</f>
        <v/>
      </c>
      <c r="F1473">
        <f>E1453</f>
        <v/>
      </c>
      <c r="G1473">
        <f>F1473-E1473</f>
        <v/>
      </c>
      <c r="H1473">
        <f>IF(OR(NOT(ISNUMBER(D1473)),ABS(D1473-E1473)&gt;$O$3,AND($O$11=1,B1473&lt;$O$12)),1,0)</f>
        <v/>
      </c>
      <c r="I1473">
        <f>IF(H1473=1,NA(),D1473)</f>
        <v/>
      </c>
      <c r="J1473">
        <f>IF(AND(ISNUMBER(D1473),D1473&gt;=$O$4,OR($O$11=0,B1473&gt;=$O$12)),1,0)</f>
        <v/>
      </c>
      <c r="K1473">
        <f>B1473-$O$14</f>
        <v/>
      </c>
    </row>
    <row r="1474">
      <c r="A1474" t="n">
        <v>4416</v>
      </c>
      <c r="B1474" t="n">
        <v>147.2</v>
      </c>
      <c r="C1474" t="inlineStr">
        <is>
          <t>885</t>
        </is>
      </c>
      <c r="D1474" t="n">
        <v>8.85</v>
      </c>
      <c r="E1474">
        <f>MEDIAN(D1454:D1494)</f>
        <v/>
      </c>
      <c r="F1474">
        <f>E1454</f>
        <v/>
      </c>
      <c r="G1474">
        <f>F1474-E1474</f>
        <v/>
      </c>
      <c r="H1474">
        <f>IF(OR(NOT(ISNUMBER(D1474)),ABS(D1474-E1474)&gt;$O$3,AND($O$11=1,B1474&lt;$O$12)),1,0)</f>
        <v/>
      </c>
      <c r="I1474">
        <f>IF(H1474=1,NA(),D1474)</f>
        <v/>
      </c>
      <c r="J1474">
        <f>IF(AND(ISNUMBER(D1474),D1474&gt;=$O$4,OR($O$11=0,B1474&gt;=$O$12)),1,0)</f>
        <v/>
      </c>
      <c r="K1474">
        <f>B1474-$O$14</f>
        <v/>
      </c>
    </row>
    <row r="1475">
      <c r="A1475" t="n">
        <v>4419</v>
      </c>
      <c r="B1475" t="n">
        <v>147.3</v>
      </c>
      <c r="C1475" t="inlineStr">
        <is>
          <t>885</t>
        </is>
      </c>
      <c r="D1475" t="n">
        <v>8.85</v>
      </c>
      <c r="E1475">
        <f>MEDIAN(D1455:D1495)</f>
        <v/>
      </c>
      <c r="F1475">
        <f>E1455</f>
        <v/>
      </c>
      <c r="G1475">
        <f>F1475-E1475</f>
        <v/>
      </c>
      <c r="H1475">
        <f>IF(OR(NOT(ISNUMBER(D1475)),ABS(D1475-E1475)&gt;$O$3,AND($O$11=1,B1475&lt;$O$12)),1,0)</f>
        <v/>
      </c>
      <c r="I1475">
        <f>IF(H1475=1,NA(),D1475)</f>
        <v/>
      </c>
      <c r="J1475">
        <f>IF(AND(ISNUMBER(D1475),D1475&gt;=$O$4,OR($O$11=0,B1475&gt;=$O$12)),1,0)</f>
        <v/>
      </c>
      <c r="K1475">
        <f>B1475-$O$14</f>
        <v/>
      </c>
    </row>
    <row r="1476">
      <c r="A1476" t="n">
        <v>4422</v>
      </c>
      <c r="B1476" t="n">
        <v>147.4</v>
      </c>
      <c r="C1476" t="inlineStr">
        <is>
          <t>885</t>
        </is>
      </c>
      <c r="D1476" t="n">
        <v>8.85</v>
      </c>
      <c r="E1476">
        <f>MEDIAN(D1456:D1496)</f>
        <v/>
      </c>
      <c r="F1476">
        <f>E1456</f>
        <v/>
      </c>
      <c r="G1476">
        <f>F1476-E1476</f>
        <v/>
      </c>
      <c r="H1476">
        <f>IF(OR(NOT(ISNUMBER(D1476)),ABS(D1476-E1476)&gt;$O$3,AND($O$11=1,B1476&lt;$O$12)),1,0)</f>
        <v/>
      </c>
      <c r="I1476">
        <f>IF(H1476=1,NA(),D1476)</f>
        <v/>
      </c>
      <c r="J1476">
        <f>IF(AND(ISNUMBER(D1476),D1476&gt;=$O$4,OR($O$11=0,B1476&gt;=$O$12)),1,0)</f>
        <v/>
      </c>
      <c r="K1476">
        <f>B1476-$O$14</f>
        <v/>
      </c>
    </row>
    <row r="1477">
      <c r="A1477" t="n">
        <v>4425</v>
      </c>
      <c r="B1477" t="n">
        <v>147.5</v>
      </c>
      <c r="C1477" t="inlineStr">
        <is>
          <t>885</t>
        </is>
      </c>
      <c r="D1477" t="n">
        <v>8.85</v>
      </c>
      <c r="E1477">
        <f>MEDIAN(D1457:D1497)</f>
        <v/>
      </c>
      <c r="F1477">
        <f>E1457</f>
        <v/>
      </c>
      <c r="G1477">
        <f>F1477-E1477</f>
        <v/>
      </c>
      <c r="H1477">
        <f>IF(OR(NOT(ISNUMBER(D1477)),ABS(D1477-E1477)&gt;$O$3,AND($O$11=1,B1477&lt;$O$12)),1,0)</f>
        <v/>
      </c>
      <c r="I1477">
        <f>IF(H1477=1,NA(),D1477)</f>
        <v/>
      </c>
      <c r="J1477">
        <f>IF(AND(ISNUMBER(D1477),D1477&gt;=$O$4,OR($O$11=0,B1477&gt;=$O$12)),1,0)</f>
        <v/>
      </c>
      <c r="K1477">
        <f>B1477-$O$14</f>
        <v/>
      </c>
    </row>
    <row r="1478">
      <c r="A1478" t="n">
        <v>4428</v>
      </c>
      <c r="B1478" t="n">
        <v>147.6</v>
      </c>
      <c r="C1478" t="inlineStr">
        <is>
          <t>885</t>
        </is>
      </c>
      <c r="D1478" t="n">
        <v>8.85</v>
      </c>
      <c r="E1478">
        <f>MEDIAN(D1458:D1498)</f>
        <v/>
      </c>
      <c r="F1478">
        <f>E1458</f>
        <v/>
      </c>
      <c r="G1478">
        <f>F1478-E1478</f>
        <v/>
      </c>
      <c r="H1478">
        <f>IF(OR(NOT(ISNUMBER(D1478)),ABS(D1478-E1478)&gt;$O$3,AND($O$11=1,B1478&lt;$O$12)),1,0)</f>
        <v/>
      </c>
      <c r="I1478">
        <f>IF(H1478=1,NA(),D1478)</f>
        <v/>
      </c>
      <c r="J1478">
        <f>IF(AND(ISNUMBER(D1478),D1478&gt;=$O$4,OR($O$11=0,B1478&gt;=$O$12)),1,0)</f>
        <v/>
      </c>
      <c r="K1478">
        <f>B1478-$O$14</f>
        <v/>
      </c>
    </row>
    <row r="1479">
      <c r="A1479" t="n">
        <v>4431</v>
      </c>
      <c r="B1479" t="n">
        <v>147.7</v>
      </c>
      <c r="C1479" t="inlineStr">
        <is>
          <t>885</t>
        </is>
      </c>
      <c r="D1479" t="n">
        <v>8.85</v>
      </c>
      <c r="E1479">
        <f>MEDIAN(D1459:D1499)</f>
        <v/>
      </c>
      <c r="F1479">
        <f>E1459</f>
        <v/>
      </c>
      <c r="G1479">
        <f>F1479-E1479</f>
        <v/>
      </c>
      <c r="H1479">
        <f>IF(OR(NOT(ISNUMBER(D1479)),ABS(D1479-E1479)&gt;$O$3,AND($O$11=1,B1479&lt;$O$12)),1,0)</f>
        <v/>
      </c>
      <c r="I1479">
        <f>IF(H1479=1,NA(),D1479)</f>
        <v/>
      </c>
      <c r="J1479">
        <f>IF(AND(ISNUMBER(D1479),D1479&gt;=$O$4,OR($O$11=0,B1479&gt;=$O$12)),1,0)</f>
        <v/>
      </c>
      <c r="K1479">
        <f>B1479-$O$14</f>
        <v/>
      </c>
    </row>
    <row r="1480">
      <c r="A1480" t="n">
        <v>4434</v>
      </c>
      <c r="B1480" t="n">
        <v>147.8</v>
      </c>
      <c r="C1480" t="inlineStr">
        <is>
          <t>885</t>
        </is>
      </c>
      <c r="D1480" t="n">
        <v>8.85</v>
      </c>
      <c r="E1480">
        <f>MEDIAN(D1460:D1500)</f>
        <v/>
      </c>
      <c r="F1480">
        <f>E1460</f>
        <v/>
      </c>
      <c r="G1480">
        <f>F1480-E1480</f>
        <v/>
      </c>
      <c r="H1480">
        <f>IF(OR(NOT(ISNUMBER(D1480)),ABS(D1480-E1480)&gt;$O$3,AND($O$11=1,B1480&lt;$O$12)),1,0)</f>
        <v/>
      </c>
      <c r="I1480">
        <f>IF(H1480=1,NA(),D1480)</f>
        <v/>
      </c>
      <c r="J1480">
        <f>IF(AND(ISNUMBER(D1480),D1480&gt;=$O$4,OR($O$11=0,B1480&gt;=$O$12)),1,0)</f>
        <v/>
      </c>
      <c r="K1480">
        <f>B1480-$O$14</f>
        <v/>
      </c>
    </row>
    <row r="1481">
      <c r="A1481" t="n">
        <v>4437</v>
      </c>
      <c r="B1481" t="n">
        <v>147.9</v>
      </c>
      <c r="C1481" t="inlineStr">
        <is>
          <t>885</t>
        </is>
      </c>
      <c r="D1481" t="n">
        <v>8.85</v>
      </c>
      <c r="E1481">
        <f>MEDIAN(D1461:D1501)</f>
        <v/>
      </c>
      <c r="F1481">
        <f>E1461</f>
        <v/>
      </c>
      <c r="G1481">
        <f>F1481-E1481</f>
        <v/>
      </c>
      <c r="H1481">
        <f>IF(OR(NOT(ISNUMBER(D1481)),ABS(D1481-E1481)&gt;$O$3,AND($O$11=1,B1481&lt;$O$12)),1,0)</f>
        <v/>
      </c>
      <c r="I1481">
        <f>IF(H1481=1,NA(),D1481)</f>
        <v/>
      </c>
      <c r="J1481">
        <f>IF(AND(ISNUMBER(D1481),D1481&gt;=$O$4,OR($O$11=0,B1481&gt;=$O$12)),1,0)</f>
        <v/>
      </c>
      <c r="K1481">
        <f>B1481-$O$14</f>
        <v/>
      </c>
    </row>
    <row r="1482">
      <c r="A1482" t="n">
        <v>4440</v>
      </c>
      <c r="B1482" t="n">
        <v>148</v>
      </c>
      <c r="C1482" t="inlineStr">
        <is>
          <t>885</t>
        </is>
      </c>
      <c r="D1482" t="n">
        <v>8.85</v>
      </c>
      <c r="E1482">
        <f>MEDIAN(D1462:D1502)</f>
        <v/>
      </c>
      <c r="F1482">
        <f>E1462</f>
        <v/>
      </c>
      <c r="G1482">
        <f>F1482-E1482</f>
        <v/>
      </c>
      <c r="H1482">
        <f>IF(OR(NOT(ISNUMBER(D1482)),ABS(D1482-E1482)&gt;$O$3,AND($O$11=1,B1482&lt;$O$12)),1,0)</f>
        <v/>
      </c>
      <c r="I1482">
        <f>IF(H1482=1,NA(),D1482)</f>
        <v/>
      </c>
      <c r="J1482">
        <f>IF(AND(ISNUMBER(D1482),D1482&gt;=$O$4,OR($O$11=0,B1482&gt;=$O$12)),1,0)</f>
        <v/>
      </c>
      <c r="K1482">
        <f>B1482-$O$14</f>
        <v/>
      </c>
    </row>
    <row r="1483">
      <c r="A1483" t="n">
        <v>4443</v>
      </c>
      <c r="B1483" t="n">
        <v>148.1</v>
      </c>
      <c r="C1483" t="inlineStr">
        <is>
          <t>885</t>
        </is>
      </c>
      <c r="D1483" t="n">
        <v>8.85</v>
      </c>
      <c r="E1483">
        <f>MEDIAN(D1463:D1503)</f>
        <v/>
      </c>
      <c r="F1483">
        <f>E1463</f>
        <v/>
      </c>
      <c r="G1483">
        <f>F1483-E1483</f>
        <v/>
      </c>
      <c r="H1483">
        <f>IF(OR(NOT(ISNUMBER(D1483)),ABS(D1483-E1483)&gt;$O$3,AND($O$11=1,B1483&lt;$O$12)),1,0)</f>
        <v/>
      </c>
      <c r="I1483">
        <f>IF(H1483=1,NA(),D1483)</f>
        <v/>
      </c>
      <c r="J1483">
        <f>IF(AND(ISNUMBER(D1483),D1483&gt;=$O$4,OR($O$11=0,B1483&gt;=$O$12)),1,0)</f>
        <v/>
      </c>
      <c r="K1483">
        <f>B1483-$O$14</f>
        <v/>
      </c>
    </row>
    <row r="1484">
      <c r="A1484" t="n">
        <v>4446</v>
      </c>
      <c r="B1484" t="n">
        <v>148.2</v>
      </c>
      <c r="C1484" t="inlineStr">
        <is>
          <t>885</t>
        </is>
      </c>
      <c r="D1484" t="n">
        <v>8.85</v>
      </c>
      <c r="E1484">
        <f>MEDIAN(D1464:D1504)</f>
        <v/>
      </c>
      <c r="F1484">
        <f>E1464</f>
        <v/>
      </c>
      <c r="G1484">
        <f>F1484-E1484</f>
        <v/>
      </c>
      <c r="H1484">
        <f>IF(OR(NOT(ISNUMBER(D1484)),ABS(D1484-E1484)&gt;$O$3,AND($O$11=1,B1484&lt;$O$12)),1,0)</f>
        <v/>
      </c>
      <c r="I1484">
        <f>IF(H1484=1,NA(),D1484)</f>
        <v/>
      </c>
      <c r="J1484">
        <f>IF(AND(ISNUMBER(D1484),D1484&gt;=$O$4,OR($O$11=0,B1484&gt;=$O$12)),1,0)</f>
        <v/>
      </c>
      <c r="K1484">
        <f>B1484-$O$14</f>
        <v/>
      </c>
    </row>
    <row r="1485">
      <c r="A1485" t="n">
        <v>4449</v>
      </c>
      <c r="B1485" t="n">
        <v>148.3</v>
      </c>
      <c r="C1485" t="inlineStr">
        <is>
          <t>885</t>
        </is>
      </c>
      <c r="D1485" t="n">
        <v>8.85</v>
      </c>
      <c r="E1485">
        <f>MEDIAN(D1465:D1505)</f>
        <v/>
      </c>
      <c r="F1485">
        <f>E1465</f>
        <v/>
      </c>
      <c r="G1485">
        <f>F1485-E1485</f>
        <v/>
      </c>
      <c r="H1485">
        <f>IF(OR(NOT(ISNUMBER(D1485)),ABS(D1485-E1485)&gt;$O$3,AND($O$11=1,B1485&lt;$O$12)),1,0)</f>
        <v/>
      </c>
      <c r="I1485">
        <f>IF(H1485=1,NA(),D1485)</f>
        <v/>
      </c>
      <c r="J1485">
        <f>IF(AND(ISNUMBER(D1485),D1485&gt;=$O$4,OR($O$11=0,B1485&gt;=$O$12)),1,0)</f>
        <v/>
      </c>
      <c r="K1485">
        <f>B1485-$O$14</f>
        <v/>
      </c>
    </row>
    <row r="1486">
      <c r="A1486" t="n">
        <v>4452</v>
      </c>
      <c r="B1486" t="n">
        <v>148.4</v>
      </c>
      <c r="C1486" t="inlineStr">
        <is>
          <t>885</t>
        </is>
      </c>
      <c r="D1486" t="n">
        <v>8.85</v>
      </c>
      <c r="E1486">
        <f>MEDIAN(D1466:D1506)</f>
        <v/>
      </c>
      <c r="F1486">
        <f>E1466</f>
        <v/>
      </c>
      <c r="G1486">
        <f>F1486-E1486</f>
        <v/>
      </c>
      <c r="H1486">
        <f>IF(OR(NOT(ISNUMBER(D1486)),ABS(D1486-E1486)&gt;$O$3,AND($O$11=1,B1486&lt;$O$12)),1,0)</f>
        <v/>
      </c>
      <c r="I1486">
        <f>IF(H1486=1,NA(),D1486)</f>
        <v/>
      </c>
      <c r="J1486">
        <f>IF(AND(ISNUMBER(D1486),D1486&gt;=$O$4,OR($O$11=0,B1486&gt;=$O$12)),1,0)</f>
        <v/>
      </c>
      <c r="K1486">
        <f>B1486-$O$14</f>
        <v/>
      </c>
    </row>
    <row r="1487">
      <c r="A1487" t="n">
        <v>4455</v>
      </c>
      <c r="B1487" t="n">
        <v>148.5</v>
      </c>
      <c r="C1487" t="inlineStr">
        <is>
          <t>885</t>
        </is>
      </c>
      <c r="D1487" t="n">
        <v>8.85</v>
      </c>
      <c r="E1487">
        <f>MEDIAN(D1467:D1507)</f>
        <v/>
      </c>
      <c r="F1487">
        <f>E1467</f>
        <v/>
      </c>
      <c r="G1487">
        <f>F1487-E1487</f>
        <v/>
      </c>
      <c r="H1487">
        <f>IF(OR(NOT(ISNUMBER(D1487)),ABS(D1487-E1487)&gt;$O$3,AND($O$11=1,B1487&lt;$O$12)),1,0)</f>
        <v/>
      </c>
      <c r="I1487">
        <f>IF(H1487=1,NA(),D1487)</f>
        <v/>
      </c>
      <c r="J1487">
        <f>IF(AND(ISNUMBER(D1487),D1487&gt;=$O$4,OR($O$11=0,B1487&gt;=$O$12)),1,0)</f>
        <v/>
      </c>
      <c r="K1487">
        <f>B1487-$O$14</f>
        <v/>
      </c>
    </row>
    <row r="1488">
      <c r="A1488" t="n">
        <v>4458</v>
      </c>
      <c r="B1488" t="n">
        <v>148.6</v>
      </c>
      <c r="C1488" t="inlineStr">
        <is>
          <t>885</t>
        </is>
      </c>
      <c r="D1488" t="n">
        <v>8.85</v>
      </c>
      <c r="E1488">
        <f>MEDIAN(D1468:D1508)</f>
        <v/>
      </c>
      <c r="F1488">
        <f>E1468</f>
        <v/>
      </c>
      <c r="G1488">
        <f>F1488-E1488</f>
        <v/>
      </c>
      <c r="H1488">
        <f>IF(OR(NOT(ISNUMBER(D1488)),ABS(D1488-E1488)&gt;$O$3,AND($O$11=1,B1488&lt;$O$12)),1,0)</f>
        <v/>
      </c>
      <c r="I1488">
        <f>IF(H1488=1,NA(),D1488)</f>
        <v/>
      </c>
      <c r="J1488">
        <f>IF(AND(ISNUMBER(D1488),D1488&gt;=$O$4,OR($O$11=0,B1488&gt;=$O$12)),1,0)</f>
        <v/>
      </c>
      <c r="K1488">
        <f>B1488-$O$14</f>
        <v/>
      </c>
    </row>
    <row r="1489">
      <c r="A1489" t="n">
        <v>4461</v>
      </c>
      <c r="B1489" t="n">
        <v>148.7</v>
      </c>
      <c r="C1489" t="inlineStr">
        <is>
          <t>885</t>
        </is>
      </c>
      <c r="D1489" t="n">
        <v>8.85</v>
      </c>
      <c r="E1489">
        <f>MEDIAN(D1469:D1509)</f>
        <v/>
      </c>
      <c r="F1489">
        <f>E1469</f>
        <v/>
      </c>
      <c r="G1489">
        <f>F1489-E1489</f>
        <v/>
      </c>
      <c r="H1489">
        <f>IF(OR(NOT(ISNUMBER(D1489)),ABS(D1489-E1489)&gt;$O$3,AND($O$11=1,B1489&lt;$O$12)),1,0)</f>
        <v/>
      </c>
      <c r="I1489">
        <f>IF(H1489=1,NA(),D1489)</f>
        <v/>
      </c>
      <c r="J1489">
        <f>IF(AND(ISNUMBER(D1489),D1489&gt;=$O$4,OR($O$11=0,B1489&gt;=$O$12)),1,0)</f>
        <v/>
      </c>
      <c r="K1489">
        <f>B1489-$O$14</f>
        <v/>
      </c>
    </row>
    <row r="1490">
      <c r="A1490" t="n">
        <v>4464</v>
      </c>
      <c r="B1490" t="n">
        <v>148.8</v>
      </c>
      <c r="C1490" t="inlineStr">
        <is>
          <t>885</t>
        </is>
      </c>
      <c r="D1490" t="n">
        <v>8.85</v>
      </c>
      <c r="E1490">
        <f>MEDIAN(D1470:D1510)</f>
        <v/>
      </c>
      <c r="F1490">
        <f>E1470</f>
        <v/>
      </c>
      <c r="G1490">
        <f>F1490-E1490</f>
        <v/>
      </c>
      <c r="H1490">
        <f>IF(OR(NOT(ISNUMBER(D1490)),ABS(D1490-E1490)&gt;$O$3,AND($O$11=1,B1490&lt;$O$12)),1,0)</f>
        <v/>
      </c>
      <c r="I1490">
        <f>IF(H1490=1,NA(),D1490)</f>
        <v/>
      </c>
      <c r="J1490">
        <f>IF(AND(ISNUMBER(D1490),D1490&gt;=$O$4,OR($O$11=0,B1490&gt;=$O$12)),1,0)</f>
        <v/>
      </c>
      <c r="K1490">
        <f>B1490-$O$14</f>
        <v/>
      </c>
    </row>
    <row r="1491">
      <c r="A1491" t="n">
        <v>4467</v>
      </c>
      <c r="B1491" t="n">
        <v>148.9</v>
      </c>
      <c r="C1491" t="inlineStr">
        <is>
          <t>885</t>
        </is>
      </c>
      <c r="D1491" t="n">
        <v>8.85</v>
      </c>
      <c r="E1491">
        <f>MEDIAN(D1471:D1511)</f>
        <v/>
      </c>
      <c r="F1491">
        <f>E1471</f>
        <v/>
      </c>
      <c r="G1491">
        <f>F1491-E1491</f>
        <v/>
      </c>
      <c r="H1491">
        <f>IF(OR(NOT(ISNUMBER(D1491)),ABS(D1491-E1491)&gt;$O$3,AND($O$11=1,B1491&lt;$O$12)),1,0)</f>
        <v/>
      </c>
      <c r="I1491">
        <f>IF(H1491=1,NA(),D1491)</f>
        <v/>
      </c>
      <c r="J1491">
        <f>IF(AND(ISNUMBER(D1491),D1491&gt;=$O$4,OR($O$11=0,B1491&gt;=$O$12)),1,0)</f>
        <v/>
      </c>
      <c r="K1491">
        <f>B1491-$O$14</f>
        <v/>
      </c>
    </row>
    <row r="1492">
      <c r="A1492" t="n">
        <v>4470</v>
      </c>
      <c r="B1492" t="n">
        <v>149</v>
      </c>
      <c r="C1492" t="inlineStr">
        <is>
          <t>885</t>
        </is>
      </c>
      <c r="D1492" t="n">
        <v>8.85</v>
      </c>
      <c r="E1492">
        <f>MEDIAN(D1472:D1512)</f>
        <v/>
      </c>
      <c r="F1492">
        <f>E1472</f>
        <v/>
      </c>
      <c r="G1492">
        <f>F1492-E1492</f>
        <v/>
      </c>
      <c r="H1492">
        <f>IF(OR(NOT(ISNUMBER(D1492)),ABS(D1492-E1492)&gt;$O$3,AND($O$11=1,B1492&lt;$O$12)),1,0)</f>
        <v/>
      </c>
      <c r="I1492">
        <f>IF(H1492=1,NA(),D1492)</f>
        <v/>
      </c>
      <c r="J1492">
        <f>IF(AND(ISNUMBER(D1492),D1492&gt;=$O$4,OR($O$11=0,B1492&gt;=$O$12)),1,0)</f>
        <v/>
      </c>
      <c r="K1492">
        <f>B1492-$O$14</f>
        <v/>
      </c>
    </row>
    <row r="1493">
      <c r="A1493" t="n">
        <v>4473</v>
      </c>
      <c r="B1493" t="n">
        <v>149.1</v>
      </c>
      <c r="C1493" t="inlineStr">
        <is>
          <t>885</t>
        </is>
      </c>
      <c r="D1493" t="n">
        <v>8.85</v>
      </c>
      <c r="E1493">
        <f>MEDIAN(D1473:D1513)</f>
        <v/>
      </c>
      <c r="F1493">
        <f>E1473</f>
        <v/>
      </c>
      <c r="G1493">
        <f>F1493-E1493</f>
        <v/>
      </c>
      <c r="H1493">
        <f>IF(OR(NOT(ISNUMBER(D1493)),ABS(D1493-E1493)&gt;$O$3,AND($O$11=1,B1493&lt;$O$12)),1,0)</f>
        <v/>
      </c>
      <c r="I1493">
        <f>IF(H1493=1,NA(),D1493)</f>
        <v/>
      </c>
      <c r="J1493">
        <f>IF(AND(ISNUMBER(D1493),D1493&gt;=$O$4,OR($O$11=0,B1493&gt;=$O$12)),1,0)</f>
        <v/>
      </c>
      <c r="K1493">
        <f>B1493-$O$14</f>
        <v/>
      </c>
    </row>
    <row r="1494">
      <c r="A1494" t="n">
        <v>4476</v>
      </c>
      <c r="B1494" t="n">
        <v>149.2</v>
      </c>
      <c r="C1494" t="inlineStr">
        <is>
          <t>885</t>
        </is>
      </c>
      <c r="D1494" t="n">
        <v>8.85</v>
      </c>
      <c r="E1494">
        <f>MEDIAN(D1474:D1514)</f>
        <v/>
      </c>
      <c r="F1494">
        <f>E1474</f>
        <v/>
      </c>
      <c r="G1494">
        <f>F1494-E1494</f>
        <v/>
      </c>
      <c r="H1494">
        <f>IF(OR(NOT(ISNUMBER(D1494)),ABS(D1494-E1494)&gt;$O$3,AND($O$11=1,B1494&lt;$O$12)),1,0)</f>
        <v/>
      </c>
      <c r="I1494">
        <f>IF(H1494=1,NA(),D1494)</f>
        <v/>
      </c>
      <c r="J1494">
        <f>IF(AND(ISNUMBER(D1494),D1494&gt;=$O$4,OR($O$11=0,B1494&gt;=$O$12)),1,0)</f>
        <v/>
      </c>
      <c r="K1494">
        <f>B1494-$O$14</f>
        <v/>
      </c>
    </row>
    <row r="1495">
      <c r="A1495" t="n">
        <v>4479</v>
      </c>
      <c r="B1495" t="n">
        <v>149.3</v>
      </c>
      <c r="C1495" t="inlineStr">
        <is>
          <t>885</t>
        </is>
      </c>
      <c r="D1495" t="n">
        <v>8.85</v>
      </c>
      <c r="E1495">
        <f>MEDIAN(D1475:D1515)</f>
        <v/>
      </c>
      <c r="F1495">
        <f>E1475</f>
        <v/>
      </c>
      <c r="G1495">
        <f>F1495-E1495</f>
        <v/>
      </c>
      <c r="H1495">
        <f>IF(OR(NOT(ISNUMBER(D1495)),ABS(D1495-E1495)&gt;$O$3,AND($O$11=1,B1495&lt;$O$12)),1,0)</f>
        <v/>
      </c>
      <c r="I1495">
        <f>IF(H1495=1,NA(),D1495)</f>
        <v/>
      </c>
      <c r="J1495">
        <f>IF(AND(ISNUMBER(D1495),D1495&gt;=$O$4,OR($O$11=0,B1495&gt;=$O$12)),1,0)</f>
        <v/>
      </c>
      <c r="K1495">
        <f>B1495-$O$14</f>
        <v/>
      </c>
    </row>
    <row r="1496">
      <c r="A1496" t="n">
        <v>4482</v>
      </c>
      <c r="B1496" t="n">
        <v>149.4</v>
      </c>
      <c r="C1496" t="inlineStr">
        <is>
          <t>885</t>
        </is>
      </c>
      <c r="D1496" t="n">
        <v>8.85</v>
      </c>
      <c r="E1496">
        <f>MEDIAN(D1476:D1516)</f>
        <v/>
      </c>
      <c r="F1496">
        <f>E1476</f>
        <v/>
      </c>
      <c r="G1496">
        <f>F1496-E1496</f>
        <v/>
      </c>
      <c r="H1496">
        <f>IF(OR(NOT(ISNUMBER(D1496)),ABS(D1496-E1496)&gt;$O$3,AND($O$11=1,B1496&lt;$O$12)),1,0)</f>
        <v/>
      </c>
      <c r="I1496">
        <f>IF(H1496=1,NA(),D1496)</f>
        <v/>
      </c>
      <c r="J1496">
        <f>IF(AND(ISNUMBER(D1496),D1496&gt;=$O$4,OR($O$11=0,B1496&gt;=$O$12)),1,0)</f>
        <v/>
      </c>
      <c r="K1496">
        <f>B1496-$O$14</f>
        <v/>
      </c>
    </row>
    <row r="1497">
      <c r="A1497" t="n">
        <v>4485</v>
      </c>
      <c r="B1497" t="n">
        <v>149.5</v>
      </c>
      <c r="C1497" t="inlineStr">
        <is>
          <t>885</t>
        </is>
      </c>
      <c r="D1497" t="n">
        <v>8.85</v>
      </c>
      <c r="E1497">
        <f>MEDIAN(D1477:D1517)</f>
        <v/>
      </c>
      <c r="F1497">
        <f>E1477</f>
        <v/>
      </c>
      <c r="G1497">
        <f>F1497-E1497</f>
        <v/>
      </c>
      <c r="H1497">
        <f>IF(OR(NOT(ISNUMBER(D1497)),ABS(D1497-E1497)&gt;$O$3,AND($O$11=1,B1497&lt;$O$12)),1,0)</f>
        <v/>
      </c>
      <c r="I1497">
        <f>IF(H1497=1,NA(),D1497)</f>
        <v/>
      </c>
      <c r="J1497">
        <f>IF(AND(ISNUMBER(D1497),D1497&gt;=$O$4,OR($O$11=0,B1497&gt;=$O$12)),1,0)</f>
        <v/>
      </c>
      <c r="K1497">
        <f>B1497-$O$14</f>
        <v/>
      </c>
    </row>
    <row r="1498">
      <c r="A1498" t="n">
        <v>4488</v>
      </c>
      <c r="B1498" t="n">
        <v>149.6</v>
      </c>
      <c r="C1498" t="inlineStr">
        <is>
          <t>885</t>
        </is>
      </c>
      <c r="D1498" t="n">
        <v>8.85</v>
      </c>
      <c r="E1498">
        <f>MEDIAN(D1478:D1518)</f>
        <v/>
      </c>
      <c r="F1498">
        <f>E1478</f>
        <v/>
      </c>
      <c r="G1498">
        <f>F1498-E1498</f>
        <v/>
      </c>
      <c r="H1498">
        <f>IF(OR(NOT(ISNUMBER(D1498)),ABS(D1498-E1498)&gt;$O$3,AND($O$11=1,B1498&lt;$O$12)),1,0)</f>
        <v/>
      </c>
      <c r="I1498">
        <f>IF(H1498=1,NA(),D1498)</f>
        <v/>
      </c>
      <c r="J1498">
        <f>IF(AND(ISNUMBER(D1498),D1498&gt;=$O$4,OR($O$11=0,B1498&gt;=$O$12)),1,0)</f>
        <v/>
      </c>
      <c r="K1498">
        <f>B1498-$O$14</f>
        <v/>
      </c>
    </row>
    <row r="1499">
      <c r="A1499" t="n">
        <v>4491</v>
      </c>
      <c r="B1499" t="n">
        <v>149.7</v>
      </c>
      <c r="C1499" t="inlineStr">
        <is>
          <t>885</t>
        </is>
      </c>
      <c r="D1499" t="n">
        <v>8.85</v>
      </c>
      <c r="E1499">
        <f>MEDIAN(D1479:D1519)</f>
        <v/>
      </c>
      <c r="F1499">
        <f>E1479</f>
        <v/>
      </c>
      <c r="G1499">
        <f>F1499-E1499</f>
        <v/>
      </c>
      <c r="H1499">
        <f>IF(OR(NOT(ISNUMBER(D1499)),ABS(D1499-E1499)&gt;$O$3,AND($O$11=1,B1499&lt;$O$12)),1,0)</f>
        <v/>
      </c>
      <c r="I1499">
        <f>IF(H1499=1,NA(),D1499)</f>
        <v/>
      </c>
      <c r="J1499">
        <f>IF(AND(ISNUMBER(D1499),D1499&gt;=$O$4,OR($O$11=0,B1499&gt;=$O$12)),1,0)</f>
        <v/>
      </c>
      <c r="K1499">
        <f>B1499-$O$14</f>
        <v/>
      </c>
    </row>
    <row r="1500">
      <c r="A1500" t="n">
        <v>4494</v>
      </c>
      <c r="B1500" t="n">
        <v>149.8</v>
      </c>
      <c r="C1500" t="inlineStr">
        <is>
          <t>886</t>
        </is>
      </c>
      <c r="D1500" t="n">
        <v>8.859999999999999</v>
      </c>
      <c r="E1500">
        <f>MEDIAN(D1480:D1520)</f>
        <v/>
      </c>
      <c r="F1500">
        <f>E1480</f>
        <v/>
      </c>
      <c r="G1500">
        <f>F1500-E1500</f>
        <v/>
      </c>
      <c r="H1500">
        <f>IF(OR(NOT(ISNUMBER(D1500)),ABS(D1500-E1500)&gt;$O$3,AND($O$11=1,B1500&lt;$O$12)),1,0)</f>
        <v/>
      </c>
      <c r="I1500">
        <f>IF(H1500=1,NA(),D1500)</f>
        <v/>
      </c>
      <c r="J1500">
        <f>IF(AND(ISNUMBER(D1500),D1500&gt;=$O$4,OR($O$11=0,B1500&gt;=$O$12)),1,0)</f>
        <v/>
      </c>
      <c r="K1500">
        <f>B1500-$O$14</f>
        <v/>
      </c>
    </row>
    <row r="1501">
      <c r="A1501" t="n">
        <v>4497</v>
      </c>
      <c r="B1501" t="n">
        <v>149.9</v>
      </c>
      <c r="C1501" t="inlineStr">
        <is>
          <t>886</t>
        </is>
      </c>
      <c r="D1501" t="n">
        <v>8.859999999999999</v>
      </c>
      <c r="E1501">
        <f>MEDIAN(D1481:D1521)</f>
        <v/>
      </c>
      <c r="F1501">
        <f>E1481</f>
        <v/>
      </c>
      <c r="G1501">
        <f>F1501-E1501</f>
        <v/>
      </c>
      <c r="H1501">
        <f>IF(OR(NOT(ISNUMBER(D1501)),ABS(D1501-E1501)&gt;$O$3,AND($O$11=1,B1501&lt;$O$12)),1,0)</f>
        <v/>
      </c>
      <c r="I1501">
        <f>IF(H1501=1,NA(),D1501)</f>
        <v/>
      </c>
      <c r="J1501">
        <f>IF(AND(ISNUMBER(D1501),D1501&gt;=$O$4,OR($O$11=0,B1501&gt;=$O$12)),1,0)</f>
        <v/>
      </c>
      <c r="K1501">
        <f>B1501-$O$14</f>
        <v/>
      </c>
    </row>
    <row r="1502">
      <c r="A1502" t="n">
        <v>4500</v>
      </c>
      <c r="B1502" t="n">
        <v>150</v>
      </c>
      <c r="C1502" t="inlineStr">
        <is>
          <t>886</t>
        </is>
      </c>
      <c r="D1502" t="n">
        <v>8.859999999999999</v>
      </c>
      <c r="E1502">
        <f>MEDIAN(D1482:D1522)</f>
        <v/>
      </c>
      <c r="F1502">
        <f>E1482</f>
        <v/>
      </c>
      <c r="G1502">
        <f>F1502-E1502</f>
        <v/>
      </c>
      <c r="H1502">
        <f>IF(OR(NOT(ISNUMBER(D1502)),ABS(D1502-E1502)&gt;$O$3,AND($O$11=1,B1502&lt;$O$12)),1,0)</f>
        <v/>
      </c>
      <c r="I1502">
        <f>IF(H1502=1,NA(),D1502)</f>
        <v/>
      </c>
      <c r="J1502">
        <f>IF(AND(ISNUMBER(D1502),D1502&gt;=$O$4,OR($O$11=0,B1502&gt;=$O$12)),1,0)</f>
        <v/>
      </c>
      <c r="K1502">
        <f>B1502-$O$14</f>
        <v/>
      </c>
    </row>
    <row r="1503">
      <c r="A1503" t="n">
        <v>4503</v>
      </c>
      <c r="B1503" t="n">
        <v>150.1</v>
      </c>
      <c r="C1503" t="inlineStr">
        <is>
          <t>886</t>
        </is>
      </c>
      <c r="D1503" t="n">
        <v>8.859999999999999</v>
      </c>
      <c r="E1503">
        <f>MEDIAN(D1483:D1523)</f>
        <v/>
      </c>
      <c r="F1503">
        <f>E1483</f>
        <v/>
      </c>
      <c r="G1503">
        <f>F1503-E1503</f>
        <v/>
      </c>
      <c r="H1503">
        <f>IF(OR(NOT(ISNUMBER(D1503)),ABS(D1503-E1503)&gt;$O$3,AND($O$11=1,B1503&lt;$O$12)),1,0)</f>
        <v/>
      </c>
      <c r="I1503">
        <f>IF(H1503=1,NA(),D1503)</f>
        <v/>
      </c>
      <c r="J1503">
        <f>IF(AND(ISNUMBER(D1503),D1503&gt;=$O$4,OR($O$11=0,B1503&gt;=$O$12)),1,0)</f>
        <v/>
      </c>
      <c r="K1503">
        <f>B1503-$O$14</f>
        <v/>
      </c>
    </row>
    <row r="1504">
      <c r="A1504" t="n">
        <v>4506</v>
      </c>
      <c r="B1504" t="n">
        <v>150.2</v>
      </c>
      <c r="C1504" t="inlineStr">
        <is>
          <t>886</t>
        </is>
      </c>
      <c r="D1504" t="n">
        <v>8.859999999999999</v>
      </c>
      <c r="E1504">
        <f>MEDIAN(D1484:D1524)</f>
        <v/>
      </c>
      <c r="F1504">
        <f>E1484</f>
        <v/>
      </c>
      <c r="G1504">
        <f>F1504-E1504</f>
        <v/>
      </c>
      <c r="H1504">
        <f>IF(OR(NOT(ISNUMBER(D1504)),ABS(D1504-E1504)&gt;$O$3,AND($O$11=1,B1504&lt;$O$12)),1,0)</f>
        <v/>
      </c>
      <c r="I1504">
        <f>IF(H1504=1,NA(),D1504)</f>
        <v/>
      </c>
      <c r="J1504">
        <f>IF(AND(ISNUMBER(D1504),D1504&gt;=$O$4,OR($O$11=0,B1504&gt;=$O$12)),1,0)</f>
        <v/>
      </c>
      <c r="K1504">
        <f>B1504-$O$14</f>
        <v/>
      </c>
    </row>
    <row r="1505">
      <c r="A1505" t="n">
        <v>4509</v>
      </c>
      <c r="B1505" t="n">
        <v>150.3</v>
      </c>
      <c r="C1505" t="inlineStr">
        <is>
          <t>886</t>
        </is>
      </c>
      <c r="D1505" t="n">
        <v>8.859999999999999</v>
      </c>
      <c r="E1505">
        <f>MEDIAN(D1485:D1525)</f>
        <v/>
      </c>
      <c r="F1505">
        <f>E1485</f>
        <v/>
      </c>
      <c r="G1505">
        <f>F1505-E1505</f>
        <v/>
      </c>
      <c r="H1505">
        <f>IF(OR(NOT(ISNUMBER(D1505)),ABS(D1505-E1505)&gt;$O$3,AND($O$11=1,B1505&lt;$O$12)),1,0)</f>
        <v/>
      </c>
      <c r="I1505">
        <f>IF(H1505=1,NA(),D1505)</f>
        <v/>
      </c>
      <c r="J1505">
        <f>IF(AND(ISNUMBER(D1505),D1505&gt;=$O$4,OR($O$11=0,B1505&gt;=$O$12)),1,0)</f>
        <v/>
      </c>
      <c r="K1505">
        <f>B1505-$O$14</f>
        <v/>
      </c>
    </row>
    <row r="1506">
      <c r="A1506" t="n">
        <v>4512</v>
      </c>
      <c r="B1506" t="n">
        <v>150.4</v>
      </c>
      <c r="C1506" t="inlineStr">
        <is>
          <t>886</t>
        </is>
      </c>
      <c r="D1506" t="n">
        <v>8.859999999999999</v>
      </c>
      <c r="E1506">
        <f>MEDIAN(D1486:D1526)</f>
        <v/>
      </c>
      <c r="F1506">
        <f>E1486</f>
        <v/>
      </c>
      <c r="G1506">
        <f>F1506-E1506</f>
        <v/>
      </c>
      <c r="H1506">
        <f>IF(OR(NOT(ISNUMBER(D1506)),ABS(D1506-E1506)&gt;$O$3,AND($O$11=1,B1506&lt;$O$12)),1,0)</f>
        <v/>
      </c>
      <c r="I1506">
        <f>IF(H1506=1,NA(),D1506)</f>
        <v/>
      </c>
      <c r="J1506">
        <f>IF(AND(ISNUMBER(D1506),D1506&gt;=$O$4,OR($O$11=0,B1506&gt;=$O$12)),1,0)</f>
        <v/>
      </c>
      <c r="K1506">
        <f>B1506-$O$14</f>
        <v/>
      </c>
    </row>
    <row r="1507">
      <c r="A1507" t="n">
        <v>4515</v>
      </c>
      <c r="B1507" t="n">
        <v>150.5</v>
      </c>
      <c r="C1507" t="inlineStr">
        <is>
          <t>886</t>
        </is>
      </c>
      <c r="D1507" t="n">
        <v>8.859999999999999</v>
      </c>
      <c r="E1507">
        <f>MEDIAN(D1487:D1527)</f>
        <v/>
      </c>
      <c r="F1507">
        <f>E1487</f>
        <v/>
      </c>
      <c r="G1507">
        <f>F1507-E1507</f>
        <v/>
      </c>
      <c r="H1507">
        <f>IF(OR(NOT(ISNUMBER(D1507)),ABS(D1507-E1507)&gt;$O$3,AND($O$11=1,B1507&lt;$O$12)),1,0)</f>
        <v/>
      </c>
      <c r="I1507">
        <f>IF(H1507=1,NA(),D1507)</f>
        <v/>
      </c>
      <c r="J1507">
        <f>IF(AND(ISNUMBER(D1507),D1507&gt;=$O$4,OR($O$11=0,B1507&gt;=$O$12)),1,0)</f>
        <v/>
      </c>
      <c r="K1507">
        <f>B1507-$O$14</f>
        <v/>
      </c>
    </row>
    <row r="1508">
      <c r="A1508" t="n">
        <v>4518</v>
      </c>
      <c r="B1508" t="n">
        <v>150.6</v>
      </c>
      <c r="C1508" t="inlineStr">
        <is>
          <t>886</t>
        </is>
      </c>
      <c r="D1508" t="n">
        <v>8.859999999999999</v>
      </c>
      <c r="E1508">
        <f>MEDIAN(D1488:D1528)</f>
        <v/>
      </c>
      <c r="F1508">
        <f>E1488</f>
        <v/>
      </c>
      <c r="G1508">
        <f>F1508-E1508</f>
        <v/>
      </c>
      <c r="H1508">
        <f>IF(OR(NOT(ISNUMBER(D1508)),ABS(D1508-E1508)&gt;$O$3,AND($O$11=1,B1508&lt;$O$12)),1,0)</f>
        <v/>
      </c>
      <c r="I1508">
        <f>IF(H1508=1,NA(),D1508)</f>
        <v/>
      </c>
      <c r="J1508">
        <f>IF(AND(ISNUMBER(D1508),D1508&gt;=$O$4,OR($O$11=0,B1508&gt;=$O$12)),1,0)</f>
        <v/>
      </c>
      <c r="K1508">
        <f>B1508-$O$14</f>
        <v/>
      </c>
    </row>
    <row r="1509">
      <c r="A1509" t="n">
        <v>4521</v>
      </c>
      <c r="B1509" t="n">
        <v>150.7</v>
      </c>
      <c r="C1509" t="inlineStr">
        <is>
          <t>886</t>
        </is>
      </c>
      <c r="D1509" t="n">
        <v>8.859999999999999</v>
      </c>
      <c r="E1509">
        <f>MEDIAN(D1489:D1529)</f>
        <v/>
      </c>
      <c r="F1509">
        <f>E1489</f>
        <v/>
      </c>
      <c r="G1509">
        <f>F1509-E1509</f>
        <v/>
      </c>
      <c r="H1509">
        <f>IF(OR(NOT(ISNUMBER(D1509)),ABS(D1509-E1509)&gt;$O$3,AND($O$11=1,B1509&lt;$O$12)),1,0)</f>
        <v/>
      </c>
      <c r="I1509">
        <f>IF(H1509=1,NA(),D1509)</f>
        <v/>
      </c>
      <c r="J1509">
        <f>IF(AND(ISNUMBER(D1509),D1509&gt;=$O$4,OR($O$11=0,B1509&gt;=$O$12)),1,0)</f>
        <v/>
      </c>
      <c r="K1509">
        <f>B1509-$O$14</f>
        <v/>
      </c>
    </row>
    <row r="1510">
      <c r="A1510" t="n">
        <v>4524</v>
      </c>
      <c r="B1510" t="n">
        <v>150.8</v>
      </c>
      <c r="C1510" t="inlineStr">
        <is>
          <t>886</t>
        </is>
      </c>
      <c r="D1510" t="n">
        <v>8.859999999999999</v>
      </c>
      <c r="E1510">
        <f>MEDIAN(D1490:D1530)</f>
        <v/>
      </c>
      <c r="F1510">
        <f>E1490</f>
        <v/>
      </c>
      <c r="G1510">
        <f>F1510-E1510</f>
        <v/>
      </c>
      <c r="H1510">
        <f>IF(OR(NOT(ISNUMBER(D1510)),ABS(D1510-E1510)&gt;$O$3,AND($O$11=1,B1510&lt;$O$12)),1,0)</f>
        <v/>
      </c>
      <c r="I1510">
        <f>IF(H1510=1,NA(),D1510)</f>
        <v/>
      </c>
      <c r="J1510">
        <f>IF(AND(ISNUMBER(D1510),D1510&gt;=$O$4,OR($O$11=0,B1510&gt;=$O$12)),1,0)</f>
        <v/>
      </c>
      <c r="K1510">
        <f>B1510-$O$14</f>
        <v/>
      </c>
    </row>
    <row r="1511">
      <c r="A1511" t="n">
        <v>4527</v>
      </c>
      <c r="B1511" t="n">
        <v>150.9</v>
      </c>
      <c r="C1511" t="inlineStr">
        <is>
          <t>886</t>
        </is>
      </c>
      <c r="D1511" t="n">
        <v>8.859999999999999</v>
      </c>
      <c r="E1511">
        <f>MEDIAN(D1491:D1531)</f>
        <v/>
      </c>
      <c r="F1511">
        <f>E1491</f>
        <v/>
      </c>
      <c r="G1511">
        <f>F1511-E1511</f>
        <v/>
      </c>
      <c r="H1511">
        <f>IF(OR(NOT(ISNUMBER(D1511)),ABS(D1511-E1511)&gt;$O$3,AND($O$11=1,B1511&lt;$O$12)),1,0)</f>
        <v/>
      </c>
      <c r="I1511">
        <f>IF(H1511=1,NA(),D1511)</f>
        <v/>
      </c>
      <c r="J1511">
        <f>IF(AND(ISNUMBER(D1511),D1511&gt;=$O$4,OR($O$11=0,B1511&gt;=$O$12)),1,0)</f>
        <v/>
      </c>
      <c r="K1511">
        <f>B1511-$O$14</f>
        <v/>
      </c>
    </row>
    <row r="1512">
      <c r="A1512" t="n">
        <v>4530</v>
      </c>
      <c r="B1512" t="n">
        <v>151</v>
      </c>
      <c r="C1512" t="inlineStr">
        <is>
          <t>886</t>
        </is>
      </c>
      <c r="D1512" t="n">
        <v>8.859999999999999</v>
      </c>
      <c r="E1512">
        <f>MEDIAN(D1492:D1532)</f>
        <v/>
      </c>
      <c r="F1512">
        <f>E1492</f>
        <v/>
      </c>
      <c r="G1512">
        <f>F1512-E1512</f>
        <v/>
      </c>
      <c r="H1512">
        <f>IF(OR(NOT(ISNUMBER(D1512)),ABS(D1512-E1512)&gt;$O$3,AND($O$11=1,B1512&lt;$O$12)),1,0)</f>
        <v/>
      </c>
      <c r="I1512">
        <f>IF(H1512=1,NA(),D1512)</f>
        <v/>
      </c>
      <c r="J1512">
        <f>IF(AND(ISNUMBER(D1512),D1512&gt;=$O$4,OR($O$11=0,B1512&gt;=$O$12)),1,0)</f>
        <v/>
      </c>
      <c r="K1512">
        <f>B1512-$O$14</f>
        <v/>
      </c>
    </row>
    <row r="1513">
      <c r="A1513" t="n">
        <v>4533</v>
      </c>
      <c r="B1513" t="n">
        <v>151.1</v>
      </c>
      <c r="C1513" t="inlineStr">
        <is>
          <t>886</t>
        </is>
      </c>
      <c r="D1513" t="n">
        <v>8.859999999999999</v>
      </c>
      <c r="E1513">
        <f>MEDIAN(D1493:D1533)</f>
        <v/>
      </c>
      <c r="F1513">
        <f>E1493</f>
        <v/>
      </c>
      <c r="G1513">
        <f>F1513-E1513</f>
        <v/>
      </c>
      <c r="H1513">
        <f>IF(OR(NOT(ISNUMBER(D1513)),ABS(D1513-E1513)&gt;$O$3,AND($O$11=1,B1513&lt;$O$12)),1,0)</f>
        <v/>
      </c>
      <c r="I1513">
        <f>IF(H1513=1,NA(),D1513)</f>
        <v/>
      </c>
      <c r="J1513">
        <f>IF(AND(ISNUMBER(D1513),D1513&gt;=$O$4,OR($O$11=0,B1513&gt;=$O$12)),1,0)</f>
        <v/>
      </c>
      <c r="K1513">
        <f>B1513-$O$14</f>
        <v/>
      </c>
    </row>
    <row r="1514">
      <c r="A1514" t="n">
        <v>4536</v>
      </c>
      <c r="B1514" t="n">
        <v>151.2</v>
      </c>
      <c r="C1514" t="inlineStr">
        <is>
          <t>886</t>
        </is>
      </c>
      <c r="D1514" t="n">
        <v>8.859999999999999</v>
      </c>
      <c r="E1514">
        <f>MEDIAN(D1494:D1534)</f>
        <v/>
      </c>
      <c r="F1514">
        <f>E1494</f>
        <v/>
      </c>
      <c r="G1514">
        <f>F1514-E1514</f>
        <v/>
      </c>
      <c r="H1514">
        <f>IF(OR(NOT(ISNUMBER(D1514)),ABS(D1514-E1514)&gt;$O$3,AND($O$11=1,B1514&lt;$O$12)),1,0)</f>
        <v/>
      </c>
      <c r="I1514">
        <f>IF(H1514=1,NA(),D1514)</f>
        <v/>
      </c>
      <c r="J1514">
        <f>IF(AND(ISNUMBER(D1514),D1514&gt;=$O$4,OR($O$11=0,B1514&gt;=$O$12)),1,0)</f>
        <v/>
      </c>
      <c r="K1514">
        <f>B1514-$O$14</f>
        <v/>
      </c>
    </row>
    <row r="1515">
      <c r="A1515" t="n">
        <v>4539</v>
      </c>
      <c r="B1515" t="n">
        <v>151.3</v>
      </c>
      <c r="C1515" t="inlineStr">
        <is>
          <t>886</t>
        </is>
      </c>
      <c r="D1515" t="n">
        <v>8.859999999999999</v>
      </c>
      <c r="E1515">
        <f>MEDIAN(D1495:D1535)</f>
        <v/>
      </c>
      <c r="F1515">
        <f>E1495</f>
        <v/>
      </c>
      <c r="G1515">
        <f>F1515-E1515</f>
        <v/>
      </c>
      <c r="H1515">
        <f>IF(OR(NOT(ISNUMBER(D1515)),ABS(D1515-E1515)&gt;$O$3,AND($O$11=1,B1515&lt;$O$12)),1,0)</f>
        <v/>
      </c>
      <c r="I1515">
        <f>IF(H1515=1,NA(),D1515)</f>
        <v/>
      </c>
      <c r="J1515">
        <f>IF(AND(ISNUMBER(D1515),D1515&gt;=$O$4,OR($O$11=0,B1515&gt;=$O$12)),1,0)</f>
        <v/>
      </c>
      <c r="K1515">
        <f>B1515-$O$14</f>
        <v/>
      </c>
    </row>
    <row r="1516">
      <c r="A1516" t="n">
        <v>4542</v>
      </c>
      <c r="B1516" t="n">
        <v>151.4</v>
      </c>
      <c r="C1516" t="inlineStr">
        <is>
          <t>886</t>
        </is>
      </c>
      <c r="D1516" t="n">
        <v>8.859999999999999</v>
      </c>
      <c r="E1516">
        <f>MEDIAN(D1496:D1536)</f>
        <v/>
      </c>
      <c r="F1516">
        <f>E1496</f>
        <v/>
      </c>
      <c r="G1516">
        <f>F1516-E1516</f>
        <v/>
      </c>
      <c r="H1516">
        <f>IF(OR(NOT(ISNUMBER(D1516)),ABS(D1516-E1516)&gt;$O$3,AND($O$11=1,B1516&lt;$O$12)),1,0)</f>
        <v/>
      </c>
      <c r="I1516">
        <f>IF(H1516=1,NA(),D1516)</f>
        <v/>
      </c>
      <c r="J1516">
        <f>IF(AND(ISNUMBER(D1516),D1516&gt;=$O$4,OR($O$11=0,B1516&gt;=$O$12)),1,0)</f>
        <v/>
      </c>
      <c r="K1516">
        <f>B1516-$O$14</f>
        <v/>
      </c>
    </row>
    <row r="1517">
      <c r="A1517" t="n">
        <v>4545</v>
      </c>
      <c r="B1517" t="n">
        <v>151.5</v>
      </c>
      <c r="C1517" t="inlineStr">
        <is>
          <t>886</t>
        </is>
      </c>
      <c r="D1517" t="n">
        <v>8.859999999999999</v>
      </c>
      <c r="E1517">
        <f>MEDIAN(D1497:D1537)</f>
        <v/>
      </c>
      <c r="F1517">
        <f>E1497</f>
        <v/>
      </c>
      <c r="G1517">
        <f>F1517-E1517</f>
        <v/>
      </c>
      <c r="H1517">
        <f>IF(OR(NOT(ISNUMBER(D1517)),ABS(D1517-E1517)&gt;$O$3,AND($O$11=1,B1517&lt;$O$12)),1,0)</f>
        <v/>
      </c>
      <c r="I1517">
        <f>IF(H1517=1,NA(),D1517)</f>
        <v/>
      </c>
      <c r="J1517">
        <f>IF(AND(ISNUMBER(D1517),D1517&gt;=$O$4,OR($O$11=0,B1517&gt;=$O$12)),1,0)</f>
        <v/>
      </c>
      <c r="K1517">
        <f>B1517-$O$14</f>
        <v/>
      </c>
    </row>
    <row r="1518">
      <c r="A1518" t="n">
        <v>4548</v>
      </c>
      <c r="B1518" t="n">
        <v>151.6</v>
      </c>
      <c r="C1518" t="inlineStr">
        <is>
          <t>886</t>
        </is>
      </c>
      <c r="D1518" t="n">
        <v>8.859999999999999</v>
      </c>
      <c r="E1518">
        <f>MEDIAN(D1498:D1538)</f>
        <v/>
      </c>
      <c r="F1518">
        <f>E1498</f>
        <v/>
      </c>
      <c r="G1518">
        <f>F1518-E1518</f>
        <v/>
      </c>
      <c r="H1518">
        <f>IF(OR(NOT(ISNUMBER(D1518)),ABS(D1518-E1518)&gt;$O$3,AND($O$11=1,B1518&lt;$O$12)),1,0)</f>
        <v/>
      </c>
      <c r="I1518">
        <f>IF(H1518=1,NA(),D1518)</f>
        <v/>
      </c>
      <c r="J1518">
        <f>IF(AND(ISNUMBER(D1518),D1518&gt;=$O$4,OR($O$11=0,B1518&gt;=$O$12)),1,0)</f>
        <v/>
      </c>
      <c r="K1518">
        <f>B1518-$O$14</f>
        <v/>
      </c>
    </row>
    <row r="1519">
      <c r="A1519" t="n">
        <v>4551</v>
      </c>
      <c r="B1519" t="n">
        <v>151.7</v>
      </c>
      <c r="C1519" t="inlineStr">
        <is>
          <t>886</t>
        </is>
      </c>
      <c r="D1519" t="n">
        <v>8.859999999999999</v>
      </c>
      <c r="E1519">
        <f>MEDIAN(D1499:D1539)</f>
        <v/>
      </c>
      <c r="F1519">
        <f>E1499</f>
        <v/>
      </c>
      <c r="G1519">
        <f>F1519-E1519</f>
        <v/>
      </c>
      <c r="H1519">
        <f>IF(OR(NOT(ISNUMBER(D1519)),ABS(D1519-E1519)&gt;$O$3,AND($O$11=1,B1519&lt;$O$12)),1,0)</f>
        <v/>
      </c>
      <c r="I1519">
        <f>IF(H1519=1,NA(),D1519)</f>
        <v/>
      </c>
      <c r="J1519">
        <f>IF(AND(ISNUMBER(D1519),D1519&gt;=$O$4,OR($O$11=0,B1519&gt;=$O$12)),1,0)</f>
        <v/>
      </c>
      <c r="K1519">
        <f>B1519-$O$14</f>
        <v/>
      </c>
    </row>
    <row r="1520">
      <c r="A1520" t="n">
        <v>4554</v>
      </c>
      <c r="B1520" t="n">
        <v>151.8</v>
      </c>
      <c r="C1520" t="inlineStr">
        <is>
          <t>886</t>
        </is>
      </c>
      <c r="D1520" t="n">
        <v>8.859999999999999</v>
      </c>
      <c r="E1520">
        <f>MEDIAN(D1500:D1540)</f>
        <v/>
      </c>
      <c r="F1520">
        <f>E1500</f>
        <v/>
      </c>
      <c r="G1520">
        <f>F1520-E1520</f>
        <v/>
      </c>
      <c r="H1520">
        <f>IF(OR(NOT(ISNUMBER(D1520)),ABS(D1520-E1520)&gt;$O$3,AND($O$11=1,B1520&lt;$O$12)),1,0)</f>
        <v/>
      </c>
      <c r="I1520">
        <f>IF(H1520=1,NA(),D1520)</f>
        <v/>
      </c>
      <c r="J1520">
        <f>IF(AND(ISNUMBER(D1520),D1520&gt;=$O$4,OR($O$11=0,B1520&gt;=$O$12)),1,0)</f>
        <v/>
      </c>
      <c r="K1520">
        <f>B1520-$O$14</f>
        <v/>
      </c>
    </row>
    <row r="1521">
      <c r="A1521" t="n">
        <v>4557</v>
      </c>
      <c r="B1521" t="n">
        <v>151.9</v>
      </c>
      <c r="C1521" t="inlineStr">
        <is>
          <t>886</t>
        </is>
      </c>
      <c r="D1521" t="n">
        <v>8.859999999999999</v>
      </c>
      <c r="E1521">
        <f>MEDIAN(D1501:D1541)</f>
        <v/>
      </c>
      <c r="F1521">
        <f>E1501</f>
        <v/>
      </c>
      <c r="G1521">
        <f>F1521-E1521</f>
        <v/>
      </c>
      <c r="H1521">
        <f>IF(OR(NOT(ISNUMBER(D1521)),ABS(D1521-E1521)&gt;$O$3,AND($O$11=1,B1521&lt;$O$12)),1,0)</f>
        <v/>
      </c>
      <c r="I1521">
        <f>IF(H1521=1,NA(),D1521)</f>
        <v/>
      </c>
      <c r="J1521">
        <f>IF(AND(ISNUMBER(D1521),D1521&gt;=$O$4,OR($O$11=0,B1521&gt;=$O$12)),1,0)</f>
        <v/>
      </c>
      <c r="K1521">
        <f>B1521-$O$14</f>
        <v/>
      </c>
    </row>
    <row r="1522">
      <c r="A1522" t="n">
        <v>4560</v>
      </c>
      <c r="B1522" t="n">
        <v>152</v>
      </c>
      <c r="C1522" t="inlineStr">
        <is>
          <t>886</t>
        </is>
      </c>
      <c r="D1522" t="n">
        <v>8.859999999999999</v>
      </c>
      <c r="E1522">
        <f>MEDIAN(D1502:D1542)</f>
        <v/>
      </c>
      <c r="F1522">
        <f>E1502</f>
        <v/>
      </c>
      <c r="G1522">
        <f>F1522-E1522</f>
        <v/>
      </c>
      <c r="H1522">
        <f>IF(OR(NOT(ISNUMBER(D1522)),ABS(D1522-E1522)&gt;$O$3,AND($O$11=1,B1522&lt;$O$12)),1,0)</f>
        <v/>
      </c>
      <c r="I1522">
        <f>IF(H1522=1,NA(),D1522)</f>
        <v/>
      </c>
      <c r="J1522">
        <f>IF(AND(ISNUMBER(D1522),D1522&gt;=$O$4,OR($O$11=0,B1522&gt;=$O$12)),1,0)</f>
        <v/>
      </c>
      <c r="K1522">
        <f>B1522-$O$14</f>
        <v/>
      </c>
    </row>
    <row r="1523">
      <c r="A1523" t="n">
        <v>4563</v>
      </c>
      <c r="B1523" t="n">
        <v>152.1</v>
      </c>
      <c r="C1523" t="inlineStr">
        <is>
          <t>886</t>
        </is>
      </c>
      <c r="D1523" t="n">
        <v>8.859999999999999</v>
      </c>
      <c r="E1523">
        <f>MEDIAN(D1503:D1543)</f>
        <v/>
      </c>
      <c r="F1523">
        <f>E1503</f>
        <v/>
      </c>
      <c r="G1523">
        <f>F1523-E1523</f>
        <v/>
      </c>
      <c r="H1523">
        <f>IF(OR(NOT(ISNUMBER(D1523)),ABS(D1523-E1523)&gt;$O$3,AND($O$11=1,B1523&lt;$O$12)),1,0)</f>
        <v/>
      </c>
      <c r="I1523">
        <f>IF(H1523=1,NA(),D1523)</f>
        <v/>
      </c>
      <c r="J1523">
        <f>IF(AND(ISNUMBER(D1523),D1523&gt;=$O$4,OR($O$11=0,B1523&gt;=$O$12)),1,0)</f>
        <v/>
      </c>
      <c r="K1523">
        <f>B1523-$O$14</f>
        <v/>
      </c>
    </row>
    <row r="1524">
      <c r="A1524" t="n">
        <v>4566</v>
      </c>
      <c r="B1524" t="n">
        <v>152.2</v>
      </c>
      <c r="C1524" t="inlineStr">
        <is>
          <t>886</t>
        </is>
      </c>
      <c r="D1524" t="n">
        <v>8.859999999999999</v>
      </c>
      <c r="E1524">
        <f>MEDIAN(D1504:D1544)</f>
        <v/>
      </c>
      <c r="F1524">
        <f>E1504</f>
        <v/>
      </c>
      <c r="G1524">
        <f>F1524-E1524</f>
        <v/>
      </c>
      <c r="H1524">
        <f>IF(OR(NOT(ISNUMBER(D1524)),ABS(D1524-E1524)&gt;$O$3,AND($O$11=1,B1524&lt;$O$12)),1,0)</f>
        <v/>
      </c>
      <c r="I1524">
        <f>IF(H1524=1,NA(),D1524)</f>
        <v/>
      </c>
      <c r="J1524">
        <f>IF(AND(ISNUMBER(D1524),D1524&gt;=$O$4,OR($O$11=0,B1524&gt;=$O$12)),1,0)</f>
        <v/>
      </c>
      <c r="K1524">
        <f>B1524-$O$14</f>
        <v/>
      </c>
    </row>
    <row r="1525">
      <c r="A1525" t="n">
        <v>4569</v>
      </c>
      <c r="B1525" t="n">
        <v>152.3</v>
      </c>
      <c r="C1525" t="inlineStr">
        <is>
          <t>886</t>
        </is>
      </c>
      <c r="D1525" t="n">
        <v>8.859999999999999</v>
      </c>
      <c r="E1525">
        <f>MEDIAN(D1505:D1545)</f>
        <v/>
      </c>
      <c r="F1525">
        <f>E1505</f>
        <v/>
      </c>
      <c r="G1525">
        <f>F1525-E1525</f>
        <v/>
      </c>
      <c r="H1525">
        <f>IF(OR(NOT(ISNUMBER(D1525)),ABS(D1525-E1525)&gt;$O$3,AND($O$11=1,B1525&lt;$O$12)),1,0)</f>
        <v/>
      </c>
      <c r="I1525">
        <f>IF(H1525=1,NA(),D1525)</f>
        <v/>
      </c>
      <c r="J1525">
        <f>IF(AND(ISNUMBER(D1525),D1525&gt;=$O$4,OR($O$11=0,B1525&gt;=$O$12)),1,0)</f>
        <v/>
      </c>
      <c r="K1525">
        <f>B1525-$O$14</f>
        <v/>
      </c>
    </row>
    <row r="1526">
      <c r="A1526" t="n">
        <v>4572</v>
      </c>
      <c r="B1526" t="n">
        <v>152.4</v>
      </c>
      <c r="C1526" t="inlineStr">
        <is>
          <t>886</t>
        </is>
      </c>
      <c r="D1526" t="n">
        <v>8.859999999999999</v>
      </c>
      <c r="E1526">
        <f>MEDIAN(D1506:D1546)</f>
        <v/>
      </c>
      <c r="F1526">
        <f>E1506</f>
        <v/>
      </c>
      <c r="G1526">
        <f>F1526-E1526</f>
        <v/>
      </c>
      <c r="H1526">
        <f>IF(OR(NOT(ISNUMBER(D1526)),ABS(D1526-E1526)&gt;$O$3,AND($O$11=1,B1526&lt;$O$12)),1,0)</f>
        <v/>
      </c>
      <c r="I1526">
        <f>IF(H1526=1,NA(),D1526)</f>
        <v/>
      </c>
      <c r="J1526">
        <f>IF(AND(ISNUMBER(D1526),D1526&gt;=$O$4,OR($O$11=0,B1526&gt;=$O$12)),1,0)</f>
        <v/>
      </c>
      <c r="K1526">
        <f>B1526-$O$14</f>
        <v/>
      </c>
    </row>
    <row r="1527">
      <c r="A1527" t="n">
        <v>4575</v>
      </c>
      <c r="B1527" t="n">
        <v>152.5</v>
      </c>
      <c r="C1527" t="inlineStr">
        <is>
          <t>886</t>
        </is>
      </c>
      <c r="D1527" t="n">
        <v>8.859999999999999</v>
      </c>
      <c r="E1527">
        <f>MEDIAN(D1507:D1547)</f>
        <v/>
      </c>
      <c r="F1527">
        <f>E1507</f>
        <v/>
      </c>
      <c r="G1527">
        <f>F1527-E1527</f>
        <v/>
      </c>
      <c r="H1527">
        <f>IF(OR(NOT(ISNUMBER(D1527)),ABS(D1527-E1527)&gt;$O$3,AND($O$11=1,B1527&lt;$O$12)),1,0)</f>
        <v/>
      </c>
      <c r="I1527">
        <f>IF(H1527=1,NA(),D1527)</f>
        <v/>
      </c>
      <c r="J1527">
        <f>IF(AND(ISNUMBER(D1527),D1527&gt;=$O$4,OR($O$11=0,B1527&gt;=$O$12)),1,0)</f>
        <v/>
      </c>
      <c r="K1527">
        <f>B1527-$O$14</f>
        <v/>
      </c>
    </row>
    <row r="1528">
      <c r="A1528" t="n">
        <v>4578</v>
      </c>
      <c r="B1528" t="n">
        <v>152.6</v>
      </c>
      <c r="C1528" t="inlineStr">
        <is>
          <t>886</t>
        </is>
      </c>
      <c r="D1528" t="n">
        <v>8.859999999999999</v>
      </c>
      <c r="E1528">
        <f>MEDIAN(D1508:D1548)</f>
        <v/>
      </c>
      <c r="F1528">
        <f>E1508</f>
        <v/>
      </c>
      <c r="G1528">
        <f>F1528-E1528</f>
        <v/>
      </c>
      <c r="H1528">
        <f>IF(OR(NOT(ISNUMBER(D1528)),ABS(D1528-E1528)&gt;$O$3,AND($O$11=1,B1528&lt;$O$12)),1,0)</f>
        <v/>
      </c>
      <c r="I1528">
        <f>IF(H1528=1,NA(),D1528)</f>
        <v/>
      </c>
      <c r="J1528">
        <f>IF(AND(ISNUMBER(D1528),D1528&gt;=$O$4,OR($O$11=0,B1528&gt;=$O$12)),1,0)</f>
        <v/>
      </c>
      <c r="K1528">
        <f>B1528-$O$14</f>
        <v/>
      </c>
    </row>
    <row r="1529">
      <c r="A1529" t="n">
        <v>4581</v>
      </c>
      <c r="B1529" t="n">
        <v>152.7</v>
      </c>
      <c r="C1529" t="inlineStr">
        <is>
          <t>886</t>
        </is>
      </c>
      <c r="D1529" t="n">
        <v>8.859999999999999</v>
      </c>
      <c r="E1529">
        <f>MEDIAN(D1509:D1549)</f>
        <v/>
      </c>
      <c r="F1529">
        <f>E1509</f>
        <v/>
      </c>
      <c r="G1529">
        <f>F1529-E1529</f>
        <v/>
      </c>
      <c r="H1529">
        <f>IF(OR(NOT(ISNUMBER(D1529)),ABS(D1529-E1529)&gt;$O$3,AND($O$11=1,B1529&lt;$O$12)),1,0)</f>
        <v/>
      </c>
      <c r="I1529">
        <f>IF(H1529=1,NA(),D1529)</f>
        <v/>
      </c>
      <c r="J1529">
        <f>IF(AND(ISNUMBER(D1529),D1529&gt;=$O$4,OR($O$11=0,B1529&gt;=$O$12)),1,0)</f>
        <v/>
      </c>
      <c r="K1529">
        <f>B1529-$O$14</f>
        <v/>
      </c>
    </row>
    <row r="1530">
      <c r="A1530" t="n">
        <v>4584</v>
      </c>
      <c r="B1530" t="n">
        <v>152.8</v>
      </c>
      <c r="C1530" t="inlineStr">
        <is>
          <t>886</t>
        </is>
      </c>
      <c r="D1530" t="n">
        <v>8.859999999999999</v>
      </c>
      <c r="E1530">
        <f>MEDIAN(D1510:D1550)</f>
        <v/>
      </c>
      <c r="F1530">
        <f>E1510</f>
        <v/>
      </c>
      <c r="G1530">
        <f>F1530-E1530</f>
        <v/>
      </c>
      <c r="H1530">
        <f>IF(OR(NOT(ISNUMBER(D1530)),ABS(D1530-E1530)&gt;$O$3,AND($O$11=1,B1530&lt;$O$12)),1,0)</f>
        <v/>
      </c>
      <c r="I1530">
        <f>IF(H1530=1,NA(),D1530)</f>
        <v/>
      </c>
      <c r="J1530">
        <f>IF(AND(ISNUMBER(D1530),D1530&gt;=$O$4,OR($O$11=0,B1530&gt;=$O$12)),1,0)</f>
        <v/>
      </c>
      <c r="K1530">
        <f>B1530-$O$14</f>
        <v/>
      </c>
    </row>
    <row r="1531">
      <c r="A1531" t="n">
        <v>4587</v>
      </c>
      <c r="B1531" t="n">
        <v>152.9</v>
      </c>
      <c r="C1531" t="inlineStr">
        <is>
          <t>887</t>
        </is>
      </c>
      <c r="D1531" t="n">
        <v>8.869999999999999</v>
      </c>
      <c r="E1531">
        <f>MEDIAN(D1511:D1551)</f>
        <v/>
      </c>
      <c r="F1531">
        <f>E1511</f>
        <v/>
      </c>
      <c r="G1531">
        <f>F1531-E1531</f>
        <v/>
      </c>
      <c r="H1531">
        <f>IF(OR(NOT(ISNUMBER(D1531)),ABS(D1531-E1531)&gt;$O$3,AND($O$11=1,B1531&lt;$O$12)),1,0)</f>
        <v/>
      </c>
      <c r="I1531">
        <f>IF(H1531=1,NA(),D1531)</f>
        <v/>
      </c>
      <c r="J1531">
        <f>IF(AND(ISNUMBER(D1531),D1531&gt;=$O$4,OR($O$11=0,B1531&gt;=$O$12)),1,0)</f>
        <v/>
      </c>
      <c r="K1531">
        <f>B1531-$O$14</f>
        <v/>
      </c>
    </row>
    <row r="1532">
      <c r="A1532" t="n">
        <v>4590</v>
      </c>
      <c r="B1532" t="n">
        <v>153</v>
      </c>
      <c r="C1532" t="inlineStr">
        <is>
          <t>887</t>
        </is>
      </c>
      <c r="D1532" t="n">
        <v>8.869999999999999</v>
      </c>
      <c r="E1532">
        <f>MEDIAN(D1512:D1552)</f>
        <v/>
      </c>
      <c r="F1532">
        <f>E1512</f>
        <v/>
      </c>
      <c r="G1532">
        <f>F1532-E1532</f>
        <v/>
      </c>
      <c r="H1532">
        <f>IF(OR(NOT(ISNUMBER(D1532)),ABS(D1532-E1532)&gt;$O$3,AND($O$11=1,B1532&lt;$O$12)),1,0)</f>
        <v/>
      </c>
      <c r="I1532">
        <f>IF(H1532=1,NA(),D1532)</f>
        <v/>
      </c>
      <c r="J1532">
        <f>IF(AND(ISNUMBER(D1532),D1532&gt;=$O$4,OR($O$11=0,B1532&gt;=$O$12)),1,0)</f>
        <v/>
      </c>
      <c r="K1532">
        <f>B1532-$O$14</f>
        <v/>
      </c>
    </row>
    <row r="1533">
      <c r="A1533" t="n">
        <v>4593</v>
      </c>
      <c r="B1533" t="n">
        <v>153.1</v>
      </c>
      <c r="C1533" t="inlineStr">
        <is>
          <t>887</t>
        </is>
      </c>
      <c r="D1533" t="n">
        <v>8.869999999999999</v>
      </c>
      <c r="E1533">
        <f>MEDIAN(D1513:D1553)</f>
        <v/>
      </c>
      <c r="F1533">
        <f>E1513</f>
        <v/>
      </c>
      <c r="G1533">
        <f>F1533-E1533</f>
        <v/>
      </c>
      <c r="H1533">
        <f>IF(OR(NOT(ISNUMBER(D1533)),ABS(D1533-E1533)&gt;$O$3,AND($O$11=1,B1533&lt;$O$12)),1,0)</f>
        <v/>
      </c>
      <c r="I1533">
        <f>IF(H1533=1,NA(),D1533)</f>
        <v/>
      </c>
      <c r="J1533">
        <f>IF(AND(ISNUMBER(D1533),D1533&gt;=$O$4,OR($O$11=0,B1533&gt;=$O$12)),1,0)</f>
        <v/>
      </c>
      <c r="K1533">
        <f>B1533-$O$14</f>
        <v/>
      </c>
    </row>
    <row r="1534">
      <c r="A1534" t="n">
        <v>4596</v>
      </c>
      <c r="B1534" t="n">
        <v>153.2</v>
      </c>
      <c r="C1534" t="inlineStr">
        <is>
          <t>888</t>
        </is>
      </c>
      <c r="D1534" t="n">
        <v>8.880000000000001</v>
      </c>
      <c r="E1534">
        <f>MEDIAN(D1514:D1554)</f>
        <v/>
      </c>
      <c r="F1534">
        <f>E1514</f>
        <v/>
      </c>
      <c r="G1534">
        <f>F1534-E1534</f>
        <v/>
      </c>
      <c r="H1534">
        <f>IF(OR(NOT(ISNUMBER(D1534)),ABS(D1534-E1534)&gt;$O$3,AND($O$11=1,B1534&lt;$O$12)),1,0)</f>
        <v/>
      </c>
      <c r="I1534">
        <f>IF(H1534=1,NA(),D1534)</f>
        <v/>
      </c>
      <c r="J1534">
        <f>IF(AND(ISNUMBER(D1534),D1534&gt;=$O$4,OR($O$11=0,B1534&gt;=$O$12)),1,0)</f>
        <v/>
      </c>
      <c r="K1534">
        <f>B1534-$O$14</f>
        <v/>
      </c>
    </row>
    <row r="1535">
      <c r="A1535" t="n">
        <v>4599</v>
      </c>
      <c r="B1535" t="n">
        <v>153.3</v>
      </c>
      <c r="C1535" t="inlineStr">
        <is>
          <t>888</t>
        </is>
      </c>
      <c r="D1535" t="n">
        <v>8.880000000000001</v>
      </c>
      <c r="E1535">
        <f>MEDIAN(D1515:D1555)</f>
        <v/>
      </c>
      <c r="F1535">
        <f>E1515</f>
        <v/>
      </c>
      <c r="G1535">
        <f>F1535-E1535</f>
        <v/>
      </c>
      <c r="H1535">
        <f>IF(OR(NOT(ISNUMBER(D1535)),ABS(D1535-E1535)&gt;$O$3,AND($O$11=1,B1535&lt;$O$12)),1,0)</f>
        <v/>
      </c>
      <c r="I1535">
        <f>IF(H1535=1,NA(),D1535)</f>
        <v/>
      </c>
      <c r="J1535">
        <f>IF(AND(ISNUMBER(D1535),D1535&gt;=$O$4,OR($O$11=0,B1535&gt;=$O$12)),1,0)</f>
        <v/>
      </c>
      <c r="K1535">
        <f>B1535-$O$14</f>
        <v/>
      </c>
    </row>
    <row r="1536">
      <c r="A1536" t="n">
        <v>4602</v>
      </c>
      <c r="B1536" t="n">
        <v>153.4</v>
      </c>
      <c r="C1536" t="inlineStr">
        <is>
          <t>888</t>
        </is>
      </c>
      <c r="D1536" t="n">
        <v>8.880000000000001</v>
      </c>
      <c r="E1536">
        <f>MEDIAN(D1516:D1556)</f>
        <v/>
      </c>
      <c r="F1536">
        <f>E1516</f>
        <v/>
      </c>
      <c r="G1536">
        <f>F1536-E1536</f>
        <v/>
      </c>
      <c r="H1536">
        <f>IF(OR(NOT(ISNUMBER(D1536)),ABS(D1536-E1536)&gt;$O$3,AND($O$11=1,B1536&lt;$O$12)),1,0)</f>
        <v/>
      </c>
      <c r="I1536">
        <f>IF(H1536=1,NA(),D1536)</f>
        <v/>
      </c>
      <c r="J1536">
        <f>IF(AND(ISNUMBER(D1536),D1536&gt;=$O$4,OR($O$11=0,B1536&gt;=$O$12)),1,0)</f>
        <v/>
      </c>
      <c r="K1536">
        <f>B1536-$O$14</f>
        <v/>
      </c>
    </row>
    <row r="1537">
      <c r="A1537" t="n">
        <v>4605</v>
      </c>
      <c r="B1537" t="n">
        <v>153.5</v>
      </c>
      <c r="C1537" t="inlineStr">
        <is>
          <t>888</t>
        </is>
      </c>
      <c r="D1537" t="n">
        <v>8.880000000000001</v>
      </c>
      <c r="E1537">
        <f>MEDIAN(D1517:D1557)</f>
        <v/>
      </c>
      <c r="F1537">
        <f>E1517</f>
        <v/>
      </c>
      <c r="G1537">
        <f>F1537-E1537</f>
        <v/>
      </c>
      <c r="H1537">
        <f>IF(OR(NOT(ISNUMBER(D1537)),ABS(D1537-E1537)&gt;$O$3,AND($O$11=1,B1537&lt;$O$12)),1,0)</f>
        <v/>
      </c>
      <c r="I1537">
        <f>IF(H1537=1,NA(),D1537)</f>
        <v/>
      </c>
      <c r="J1537">
        <f>IF(AND(ISNUMBER(D1537),D1537&gt;=$O$4,OR($O$11=0,B1537&gt;=$O$12)),1,0)</f>
        <v/>
      </c>
      <c r="K1537">
        <f>B1537-$O$14</f>
        <v/>
      </c>
    </row>
    <row r="1538">
      <c r="A1538" t="n">
        <v>4608</v>
      </c>
      <c r="B1538" t="n">
        <v>153.6</v>
      </c>
      <c r="C1538" t="inlineStr">
        <is>
          <t>888</t>
        </is>
      </c>
      <c r="D1538" t="n">
        <v>8.880000000000001</v>
      </c>
      <c r="E1538">
        <f>MEDIAN(D1518:D1558)</f>
        <v/>
      </c>
      <c r="F1538">
        <f>E1518</f>
        <v/>
      </c>
      <c r="G1538">
        <f>F1538-E1538</f>
        <v/>
      </c>
      <c r="H1538">
        <f>IF(OR(NOT(ISNUMBER(D1538)),ABS(D1538-E1538)&gt;$O$3,AND($O$11=1,B1538&lt;$O$12)),1,0)</f>
        <v/>
      </c>
      <c r="I1538">
        <f>IF(H1538=1,NA(),D1538)</f>
        <v/>
      </c>
      <c r="J1538">
        <f>IF(AND(ISNUMBER(D1538),D1538&gt;=$O$4,OR($O$11=0,B1538&gt;=$O$12)),1,0)</f>
        <v/>
      </c>
      <c r="K1538">
        <f>B1538-$O$14</f>
        <v/>
      </c>
    </row>
    <row r="1539">
      <c r="A1539" t="n">
        <v>4611</v>
      </c>
      <c r="B1539" t="n">
        <v>153.7</v>
      </c>
      <c r="C1539" t="inlineStr">
        <is>
          <t>888</t>
        </is>
      </c>
      <c r="D1539" t="n">
        <v>8.880000000000001</v>
      </c>
      <c r="E1539">
        <f>MEDIAN(D1519:D1559)</f>
        <v/>
      </c>
      <c r="F1539">
        <f>E1519</f>
        <v/>
      </c>
      <c r="G1539">
        <f>F1539-E1539</f>
        <v/>
      </c>
      <c r="H1539">
        <f>IF(OR(NOT(ISNUMBER(D1539)),ABS(D1539-E1539)&gt;$O$3,AND($O$11=1,B1539&lt;$O$12)),1,0)</f>
        <v/>
      </c>
      <c r="I1539">
        <f>IF(H1539=1,NA(),D1539)</f>
        <v/>
      </c>
      <c r="J1539">
        <f>IF(AND(ISNUMBER(D1539),D1539&gt;=$O$4,OR($O$11=0,B1539&gt;=$O$12)),1,0)</f>
        <v/>
      </c>
      <c r="K1539">
        <f>B1539-$O$14</f>
        <v/>
      </c>
    </row>
    <row r="1540">
      <c r="A1540" t="n">
        <v>4614</v>
      </c>
      <c r="B1540" t="n">
        <v>153.8</v>
      </c>
      <c r="C1540" t="inlineStr">
        <is>
          <t>888</t>
        </is>
      </c>
      <c r="D1540" t="n">
        <v>8.880000000000001</v>
      </c>
      <c r="E1540">
        <f>MEDIAN(D1520:D1560)</f>
        <v/>
      </c>
      <c r="F1540">
        <f>E1520</f>
        <v/>
      </c>
      <c r="G1540">
        <f>F1540-E1540</f>
        <v/>
      </c>
      <c r="H1540">
        <f>IF(OR(NOT(ISNUMBER(D1540)),ABS(D1540-E1540)&gt;$O$3,AND($O$11=1,B1540&lt;$O$12)),1,0)</f>
        <v/>
      </c>
      <c r="I1540">
        <f>IF(H1540=1,NA(),D1540)</f>
        <v/>
      </c>
      <c r="J1540">
        <f>IF(AND(ISNUMBER(D1540),D1540&gt;=$O$4,OR($O$11=0,B1540&gt;=$O$12)),1,0)</f>
        <v/>
      </c>
      <c r="K1540">
        <f>B1540-$O$14</f>
        <v/>
      </c>
    </row>
    <row r="1541">
      <c r="A1541" t="n">
        <v>4617</v>
      </c>
      <c r="B1541" t="n">
        <v>153.9</v>
      </c>
      <c r="C1541" t="inlineStr">
        <is>
          <t>889</t>
        </is>
      </c>
      <c r="D1541" t="n">
        <v>8.890000000000001</v>
      </c>
      <c r="E1541">
        <f>MEDIAN(D1521:D1561)</f>
        <v/>
      </c>
      <c r="F1541">
        <f>E1521</f>
        <v/>
      </c>
      <c r="G1541">
        <f>F1541-E1541</f>
        <v/>
      </c>
      <c r="H1541">
        <f>IF(OR(NOT(ISNUMBER(D1541)),ABS(D1541-E1541)&gt;$O$3,AND($O$11=1,B1541&lt;$O$12)),1,0)</f>
        <v/>
      </c>
      <c r="I1541">
        <f>IF(H1541=1,NA(),D1541)</f>
        <v/>
      </c>
      <c r="J1541">
        <f>IF(AND(ISNUMBER(D1541),D1541&gt;=$O$4,OR($O$11=0,B1541&gt;=$O$12)),1,0)</f>
        <v/>
      </c>
      <c r="K1541">
        <f>B1541-$O$14</f>
        <v/>
      </c>
    </row>
    <row r="1542">
      <c r="A1542" t="n">
        <v>4620</v>
      </c>
      <c r="B1542" t="n">
        <v>154</v>
      </c>
      <c r="C1542" t="inlineStr">
        <is>
          <t>891</t>
        </is>
      </c>
      <c r="D1542" t="n">
        <v>8.91</v>
      </c>
      <c r="E1542">
        <f>MEDIAN(D1522:D1562)</f>
        <v/>
      </c>
      <c r="F1542">
        <f>E1522</f>
        <v/>
      </c>
      <c r="G1542">
        <f>F1542-E1542</f>
        <v/>
      </c>
      <c r="H1542">
        <f>IF(OR(NOT(ISNUMBER(D1542)),ABS(D1542-E1542)&gt;$O$3,AND($O$11=1,B1542&lt;$O$12)),1,0)</f>
        <v/>
      </c>
      <c r="I1542">
        <f>IF(H1542=1,NA(),D1542)</f>
        <v/>
      </c>
      <c r="J1542">
        <f>IF(AND(ISNUMBER(D1542),D1542&gt;=$O$4,OR($O$11=0,B1542&gt;=$O$12)),1,0)</f>
        <v/>
      </c>
      <c r="K1542">
        <f>B1542-$O$14</f>
        <v/>
      </c>
    </row>
    <row r="1543">
      <c r="A1543" t="n">
        <v>4623</v>
      </c>
      <c r="B1543" t="n">
        <v>154.1</v>
      </c>
      <c r="C1543" t="inlineStr">
        <is>
          <t>890</t>
        </is>
      </c>
      <c r="D1543" t="n">
        <v>8.9</v>
      </c>
      <c r="E1543">
        <f>MEDIAN(D1523:D1563)</f>
        <v/>
      </c>
      <c r="F1543">
        <f>E1523</f>
        <v/>
      </c>
      <c r="G1543">
        <f>F1543-E1543</f>
        <v/>
      </c>
      <c r="H1543">
        <f>IF(OR(NOT(ISNUMBER(D1543)),ABS(D1543-E1543)&gt;$O$3,AND($O$11=1,B1543&lt;$O$12)),1,0)</f>
        <v/>
      </c>
      <c r="I1543">
        <f>IF(H1543=1,NA(),D1543)</f>
        <v/>
      </c>
      <c r="J1543">
        <f>IF(AND(ISNUMBER(D1543),D1543&gt;=$O$4,OR($O$11=0,B1543&gt;=$O$12)),1,0)</f>
        <v/>
      </c>
      <c r="K1543">
        <f>B1543-$O$14</f>
        <v/>
      </c>
    </row>
    <row r="1544">
      <c r="A1544" t="n">
        <v>4626</v>
      </c>
      <c r="B1544" t="n">
        <v>154.2</v>
      </c>
      <c r="C1544" t="inlineStr">
        <is>
          <t>890</t>
        </is>
      </c>
      <c r="D1544" t="n">
        <v>8.9</v>
      </c>
      <c r="E1544">
        <f>MEDIAN(D1524:D1564)</f>
        <v/>
      </c>
      <c r="F1544">
        <f>E1524</f>
        <v/>
      </c>
      <c r="G1544">
        <f>F1544-E1544</f>
        <v/>
      </c>
      <c r="H1544">
        <f>IF(OR(NOT(ISNUMBER(D1544)),ABS(D1544-E1544)&gt;$O$3,AND($O$11=1,B1544&lt;$O$12)),1,0)</f>
        <v/>
      </c>
      <c r="I1544">
        <f>IF(H1544=1,NA(),D1544)</f>
        <v/>
      </c>
      <c r="J1544">
        <f>IF(AND(ISNUMBER(D1544),D1544&gt;=$O$4,OR($O$11=0,B1544&gt;=$O$12)),1,0)</f>
        <v/>
      </c>
      <c r="K1544">
        <f>B1544-$O$14</f>
        <v/>
      </c>
    </row>
    <row r="1545">
      <c r="A1545" t="n">
        <v>4629</v>
      </c>
      <c r="B1545" t="n">
        <v>154.3</v>
      </c>
      <c r="C1545" t="inlineStr">
        <is>
          <t>890</t>
        </is>
      </c>
      <c r="D1545" t="n">
        <v>8.9</v>
      </c>
      <c r="E1545">
        <f>MEDIAN(D1525:D1565)</f>
        <v/>
      </c>
      <c r="F1545">
        <f>E1525</f>
        <v/>
      </c>
      <c r="G1545">
        <f>F1545-E1545</f>
        <v/>
      </c>
      <c r="H1545">
        <f>IF(OR(NOT(ISNUMBER(D1545)),ABS(D1545-E1545)&gt;$O$3,AND($O$11=1,B1545&lt;$O$12)),1,0)</f>
        <v/>
      </c>
      <c r="I1545">
        <f>IF(H1545=1,NA(),D1545)</f>
        <v/>
      </c>
      <c r="J1545">
        <f>IF(AND(ISNUMBER(D1545),D1545&gt;=$O$4,OR($O$11=0,B1545&gt;=$O$12)),1,0)</f>
        <v/>
      </c>
      <c r="K1545">
        <f>B1545-$O$14</f>
        <v/>
      </c>
    </row>
    <row r="1546">
      <c r="A1546" t="n">
        <v>4632</v>
      </c>
      <c r="B1546" t="n">
        <v>154.4</v>
      </c>
      <c r="C1546" t="inlineStr">
        <is>
          <t>890</t>
        </is>
      </c>
      <c r="D1546" t="n">
        <v>8.9</v>
      </c>
      <c r="E1546">
        <f>MEDIAN(D1526:D1566)</f>
        <v/>
      </c>
      <c r="F1546">
        <f>E1526</f>
        <v/>
      </c>
      <c r="G1546">
        <f>F1546-E1546</f>
        <v/>
      </c>
      <c r="H1546">
        <f>IF(OR(NOT(ISNUMBER(D1546)),ABS(D1546-E1546)&gt;$O$3,AND($O$11=1,B1546&lt;$O$12)),1,0)</f>
        <v/>
      </c>
      <c r="I1546">
        <f>IF(H1546=1,NA(),D1546)</f>
        <v/>
      </c>
      <c r="J1546">
        <f>IF(AND(ISNUMBER(D1546),D1546&gt;=$O$4,OR($O$11=0,B1546&gt;=$O$12)),1,0)</f>
        <v/>
      </c>
      <c r="K1546">
        <f>B1546-$O$14</f>
        <v/>
      </c>
    </row>
    <row r="1547">
      <c r="A1547" t="n">
        <v>4635</v>
      </c>
      <c r="B1547" t="n">
        <v>154.5</v>
      </c>
      <c r="C1547" t="inlineStr">
        <is>
          <t>890</t>
        </is>
      </c>
      <c r="D1547" t="n">
        <v>8.9</v>
      </c>
      <c r="E1547">
        <f>MEDIAN(D1527:D1567)</f>
        <v/>
      </c>
      <c r="F1547">
        <f>E1527</f>
        <v/>
      </c>
      <c r="G1547">
        <f>F1547-E1547</f>
        <v/>
      </c>
      <c r="H1547">
        <f>IF(OR(NOT(ISNUMBER(D1547)),ABS(D1547-E1547)&gt;$O$3,AND($O$11=1,B1547&lt;$O$12)),1,0)</f>
        <v/>
      </c>
      <c r="I1547">
        <f>IF(H1547=1,NA(),D1547)</f>
        <v/>
      </c>
      <c r="J1547">
        <f>IF(AND(ISNUMBER(D1547),D1547&gt;=$O$4,OR($O$11=0,B1547&gt;=$O$12)),1,0)</f>
        <v/>
      </c>
      <c r="K1547">
        <f>B1547-$O$14</f>
        <v/>
      </c>
    </row>
    <row r="1548">
      <c r="A1548" t="n">
        <v>4638</v>
      </c>
      <c r="B1548" t="n">
        <v>154.6</v>
      </c>
      <c r="C1548" t="inlineStr">
        <is>
          <t>890</t>
        </is>
      </c>
      <c r="D1548" t="n">
        <v>8.9</v>
      </c>
      <c r="E1548">
        <f>MEDIAN(D1528:D1568)</f>
        <v/>
      </c>
      <c r="F1548">
        <f>E1528</f>
        <v/>
      </c>
      <c r="G1548">
        <f>F1548-E1548</f>
        <v/>
      </c>
      <c r="H1548">
        <f>IF(OR(NOT(ISNUMBER(D1548)),ABS(D1548-E1548)&gt;$O$3,AND($O$11=1,B1548&lt;$O$12)),1,0)</f>
        <v/>
      </c>
      <c r="I1548">
        <f>IF(H1548=1,NA(),D1548)</f>
        <v/>
      </c>
      <c r="J1548">
        <f>IF(AND(ISNUMBER(D1548),D1548&gt;=$O$4,OR($O$11=0,B1548&gt;=$O$12)),1,0)</f>
        <v/>
      </c>
      <c r="K1548">
        <f>B1548-$O$14</f>
        <v/>
      </c>
    </row>
    <row r="1549">
      <c r="A1549" t="n">
        <v>4641</v>
      </c>
      <c r="B1549" t="n">
        <v>154.7</v>
      </c>
      <c r="C1549" t="inlineStr">
        <is>
          <t>890</t>
        </is>
      </c>
      <c r="D1549" t="n">
        <v>8.9</v>
      </c>
      <c r="E1549">
        <f>MEDIAN(D1529:D1569)</f>
        <v/>
      </c>
      <c r="F1549">
        <f>E1529</f>
        <v/>
      </c>
      <c r="G1549">
        <f>F1549-E1549</f>
        <v/>
      </c>
      <c r="H1549">
        <f>IF(OR(NOT(ISNUMBER(D1549)),ABS(D1549-E1549)&gt;$O$3,AND($O$11=1,B1549&lt;$O$12)),1,0)</f>
        <v/>
      </c>
      <c r="I1549">
        <f>IF(H1549=1,NA(),D1549)</f>
        <v/>
      </c>
      <c r="J1549">
        <f>IF(AND(ISNUMBER(D1549),D1549&gt;=$O$4,OR($O$11=0,B1549&gt;=$O$12)),1,0)</f>
        <v/>
      </c>
      <c r="K1549">
        <f>B1549-$O$14</f>
        <v/>
      </c>
    </row>
    <row r="1550">
      <c r="A1550" t="n">
        <v>4644</v>
      </c>
      <c r="B1550" t="n">
        <v>154.8</v>
      </c>
      <c r="C1550" t="inlineStr">
        <is>
          <t>890</t>
        </is>
      </c>
      <c r="D1550" t="n">
        <v>8.9</v>
      </c>
      <c r="E1550">
        <f>MEDIAN(D1530:D1570)</f>
        <v/>
      </c>
      <c r="F1550">
        <f>E1530</f>
        <v/>
      </c>
      <c r="G1550">
        <f>F1550-E1550</f>
        <v/>
      </c>
      <c r="H1550">
        <f>IF(OR(NOT(ISNUMBER(D1550)),ABS(D1550-E1550)&gt;$O$3,AND($O$11=1,B1550&lt;$O$12)),1,0)</f>
        <v/>
      </c>
      <c r="I1550">
        <f>IF(H1550=1,NA(),D1550)</f>
        <v/>
      </c>
      <c r="J1550">
        <f>IF(AND(ISNUMBER(D1550),D1550&gt;=$O$4,OR($O$11=0,B1550&gt;=$O$12)),1,0)</f>
        <v/>
      </c>
      <c r="K1550">
        <f>B1550-$O$14</f>
        <v/>
      </c>
    </row>
    <row r="1551">
      <c r="A1551" t="n">
        <v>4647</v>
      </c>
      <c r="B1551" t="n">
        <v>154.9</v>
      </c>
      <c r="C1551" t="inlineStr">
        <is>
          <t>890</t>
        </is>
      </c>
      <c r="D1551" t="n">
        <v>8.9</v>
      </c>
      <c r="E1551">
        <f>MEDIAN(D1531:D1571)</f>
        <v/>
      </c>
      <c r="F1551">
        <f>E1531</f>
        <v/>
      </c>
      <c r="G1551">
        <f>F1551-E1551</f>
        <v/>
      </c>
      <c r="H1551">
        <f>IF(OR(NOT(ISNUMBER(D1551)),ABS(D1551-E1551)&gt;$O$3,AND($O$11=1,B1551&lt;$O$12)),1,0)</f>
        <v/>
      </c>
      <c r="I1551">
        <f>IF(H1551=1,NA(),D1551)</f>
        <v/>
      </c>
      <c r="J1551">
        <f>IF(AND(ISNUMBER(D1551),D1551&gt;=$O$4,OR($O$11=0,B1551&gt;=$O$12)),1,0)</f>
        <v/>
      </c>
      <c r="K1551">
        <f>B1551-$O$14</f>
        <v/>
      </c>
    </row>
    <row r="1552">
      <c r="A1552" t="n">
        <v>4650</v>
      </c>
      <c r="B1552" t="n">
        <v>155</v>
      </c>
      <c r="C1552" t="inlineStr">
        <is>
          <t>890</t>
        </is>
      </c>
      <c r="D1552" t="n">
        <v>8.9</v>
      </c>
      <c r="E1552">
        <f>MEDIAN(D1532:D1572)</f>
        <v/>
      </c>
      <c r="F1552">
        <f>E1532</f>
        <v/>
      </c>
      <c r="G1552">
        <f>F1552-E1552</f>
        <v/>
      </c>
      <c r="H1552">
        <f>IF(OR(NOT(ISNUMBER(D1552)),ABS(D1552-E1552)&gt;$O$3,AND($O$11=1,B1552&lt;$O$12)),1,0)</f>
        <v/>
      </c>
      <c r="I1552">
        <f>IF(H1552=1,NA(),D1552)</f>
        <v/>
      </c>
      <c r="J1552">
        <f>IF(AND(ISNUMBER(D1552),D1552&gt;=$O$4,OR($O$11=0,B1552&gt;=$O$12)),1,0)</f>
        <v/>
      </c>
      <c r="K1552">
        <f>B1552-$O$14</f>
        <v/>
      </c>
    </row>
    <row r="1553">
      <c r="A1553" t="n">
        <v>4653</v>
      </c>
      <c r="B1553" t="n">
        <v>155.1</v>
      </c>
      <c r="C1553" t="inlineStr">
        <is>
          <t>890</t>
        </is>
      </c>
      <c r="D1553" t="n">
        <v>8.9</v>
      </c>
      <c r="E1553">
        <f>MEDIAN(D1533:D1573)</f>
        <v/>
      </c>
      <c r="F1553">
        <f>E1533</f>
        <v/>
      </c>
      <c r="G1553">
        <f>F1553-E1553</f>
        <v/>
      </c>
      <c r="H1553">
        <f>IF(OR(NOT(ISNUMBER(D1553)),ABS(D1553-E1553)&gt;$O$3,AND($O$11=1,B1553&lt;$O$12)),1,0)</f>
        <v/>
      </c>
      <c r="I1553">
        <f>IF(H1553=1,NA(),D1553)</f>
        <v/>
      </c>
      <c r="J1553">
        <f>IF(AND(ISNUMBER(D1553),D1553&gt;=$O$4,OR($O$11=0,B1553&gt;=$O$12)),1,0)</f>
        <v/>
      </c>
      <c r="K1553">
        <f>B1553-$O$14</f>
        <v/>
      </c>
    </row>
    <row r="1554">
      <c r="A1554" t="n">
        <v>4656</v>
      </c>
      <c r="B1554" t="n">
        <v>155.2</v>
      </c>
      <c r="C1554" t="inlineStr">
        <is>
          <t>890</t>
        </is>
      </c>
      <c r="D1554" t="n">
        <v>8.9</v>
      </c>
      <c r="E1554">
        <f>MEDIAN(D1534:D1574)</f>
        <v/>
      </c>
      <c r="F1554">
        <f>E1534</f>
        <v/>
      </c>
      <c r="G1554">
        <f>F1554-E1554</f>
        <v/>
      </c>
      <c r="H1554">
        <f>IF(OR(NOT(ISNUMBER(D1554)),ABS(D1554-E1554)&gt;$O$3,AND($O$11=1,B1554&lt;$O$12)),1,0)</f>
        <v/>
      </c>
      <c r="I1554">
        <f>IF(H1554=1,NA(),D1554)</f>
        <v/>
      </c>
      <c r="J1554">
        <f>IF(AND(ISNUMBER(D1554),D1554&gt;=$O$4,OR($O$11=0,B1554&gt;=$O$12)),1,0)</f>
        <v/>
      </c>
      <c r="K1554">
        <f>B1554-$O$14</f>
        <v/>
      </c>
    </row>
    <row r="1555">
      <c r="A1555" t="n">
        <v>4659</v>
      </c>
      <c r="B1555" t="n">
        <v>155.3</v>
      </c>
      <c r="C1555" t="inlineStr">
        <is>
          <t>890</t>
        </is>
      </c>
      <c r="D1555" t="n">
        <v>8.9</v>
      </c>
      <c r="E1555">
        <f>MEDIAN(D1535:D1575)</f>
        <v/>
      </c>
      <c r="F1555">
        <f>E1535</f>
        <v/>
      </c>
      <c r="G1555">
        <f>F1555-E1555</f>
        <v/>
      </c>
      <c r="H1555">
        <f>IF(OR(NOT(ISNUMBER(D1555)),ABS(D1555-E1555)&gt;$O$3,AND($O$11=1,B1555&lt;$O$12)),1,0)</f>
        <v/>
      </c>
      <c r="I1555">
        <f>IF(H1555=1,NA(),D1555)</f>
        <v/>
      </c>
      <c r="J1555">
        <f>IF(AND(ISNUMBER(D1555),D1555&gt;=$O$4,OR($O$11=0,B1555&gt;=$O$12)),1,0)</f>
        <v/>
      </c>
      <c r="K1555">
        <f>B1555-$O$14</f>
        <v/>
      </c>
    </row>
    <row r="1556">
      <c r="A1556" t="n">
        <v>4662</v>
      </c>
      <c r="B1556" t="n">
        <v>155.4</v>
      </c>
      <c r="C1556" t="inlineStr">
        <is>
          <t>890</t>
        </is>
      </c>
      <c r="D1556" t="n">
        <v>8.9</v>
      </c>
      <c r="E1556">
        <f>MEDIAN(D1536:D1576)</f>
        <v/>
      </c>
      <c r="F1556">
        <f>E1536</f>
        <v/>
      </c>
      <c r="G1556">
        <f>F1556-E1556</f>
        <v/>
      </c>
      <c r="H1556">
        <f>IF(OR(NOT(ISNUMBER(D1556)),ABS(D1556-E1556)&gt;$O$3,AND($O$11=1,B1556&lt;$O$12)),1,0)</f>
        <v/>
      </c>
      <c r="I1556">
        <f>IF(H1556=1,NA(),D1556)</f>
        <v/>
      </c>
      <c r="J1556">
        <f>IF(AND(ISNUMBER(D1556),D1556&gt;=$O$4,OR($O$11=0,B1556&gt;=$O$12)),1,0)</f>
        <v/>
      </c>
      <c r="K1556">
        <f>B1556-$O$14</f>
        <v/>
      </c>
    </row>
    <row r="1557">
      <c r="A1557" t="n">
        <v>4665</v>
      </c>
      <c r="B1557" t="n">
        <v>155.5</v>
      </c>
      <c r="C1557" t="inlineStr">
        <is>
          <t>890</t>
        </is>
      </c>
      <c r="D1557" t="n">
        <v>8.9</v>
      </c>
      <c r="E1557">
        <f>MEDIAN(D1537:D1577)</f>
        <v/>
      </c>
      <c r="F1557">
        <f>E1537</f>
        <v/>
      </c>
      <c r="G1557">
        <f>F1557-E1557</f>
        <v/>
      </c>
      <c r="H1557">
        <f>IF(OR(NOT(ISNUMBER(D1557)),ABS(D1557-E1557)&gt;$O$3,AND($O$11=1,B1557&lt;$O$12)),1,0)</f>
        <v/>
      </c>
      <c r="I1557">
        <f>IF(H1557=1,NA(),D1557)</f>
        <v/>
      </c>
      <c r="J1557">
        <f>IF(AND(ISNUMBER(D1557),D1557&gt;=$O$4,OR($O$11=0,B1557&gt;=$O$12)),1,0)</f>
        <v/>
      </c>
      <c r="K1557">
        <f>B1557-$O$14</f>
        <v/>
      </c>
    </row>
    <row r="1558">
      <c r="A1558" t="n">
        <v>4668</v>
      </c>
      <c r="B1558" t="n">
        <v>155.6</v>
      </c>
      <c r="C1558" t="inlineStr">
        <is>
          <t>890</t>
        </is>
      </c>
      <c r="D1558" t="n">
        <v>8.9</v>
      </c>
      <c r="E1558">
        <f>MEDIAN(D1538:D1578)</f>
        <v/>
      </c>
      <c r="F1558">
        <f>E1538</f>
        <v/>
      </c>
      <c r="G1558">
        <f>F1558-E1558</f>
        <v/>
      </c>
      <c r="H1558">
        <f>IF(OR(NOT(ISNUMBER(D1558)),ABS(D1558-E1558)&gt;$O$3,AND($O$11=1,B1558&lt;$O$12)),1,0)</f>
        <v/>
      </c>
      <c r="I1558">
        <f>IF(H1558=1,NA(),D1558)</f>
        <v/>
      </c>
      <c r="J1558">
        <f>IF(AND(ISNUMBER(D1558),D1558&gt;=$O$4,OR($O$11=0,B1558&gt;=$O$12)),1,0)</f>
        <v/>
      </c>
      <c r="K1558">
        <f>B1558-$O$14</f>
        <v/>
      </c>
    </row>
    <row r="1559">
      <c r="A1559" t="n">
        <v>4671</v>
      </c>
      <c r="B1559" t="n">
        <v>155.7</v>
      </c>
      <c r="C1559" t="inlineStr">
        <is>
          <t>890</t>
        </is>
      </c>
      <c r="D1559" t="n">
        <v>8.9</v>
      </c>
      <c r="E1559">
        <f>MEDIAN(D1539:D1579)</f>
        <v/>
      </c>
      <c r="F1559">
        <f>E1539</f>
        <v/>
      </c>
      <c r="G1559">
        <f>F1559-E1559</f>
        <v/>
      </c>
      <c r="H1559">
        <f>IF(OR(NOT(ISNUMBER(D1559)),ABS(D1559-E1559)&gt;$O$3,AND($O$11=1,B1559&lt;$O$12)),1,0)</f>
        <v/>
      </c>
      <c r="I1559">
        <f>IF(H1559=1,NA(),D1559)</f>
        <v/>
      </c>
      <c r="J1559">
        <f>IF(AND(ISNUMBER(D1559),D1559&gt;=$O$4,OR($O$11=0,B1559&gt;=$O$12)),1,0)</f>
        <v/>
      </c>
      <c r="K1559">
        <f>B1559-$O$14</f>
        <v/>
      </c>
    </row>
    <row r="1560">
      <c r="A1560" t="n">
        <v>4674</v>
      </c>
      <c r="B1560" t="n">
        <v>155.8</v>
      </c>
      <c r="C1560" t="inlineStr">
        <is>
          <t>890</t>
        </is>
      </c>
      <c r="D1560" t="n">
        <v>8.9</v>
      </c>
      <c r="E1560">
        <f>MEDIAN(D1540:D1580)</f>
        <v/>
      </c>
      <c r="F1560">
        <f>E1540</f>
        <v/>
      </c>
      <c r="G1560">
        <f>F1560-E1560</f>
        <v/>
      </c>
      <c r="H1560">
        <f>IF(OR(NOT(ISNUMBER(D1560)),ABS(D1560-E1560)&gt;$O$3,AND($O$11=1,B1560&lt;$O$12)),1,0)</f>
        <v/>
      </c>
      <c r="I1560">
        <f>IF(H1560=1,NA(),D1560)</f>
        <v/>
      </c>
      <c r="J1560">
        <f>IF(AND(ISNUMBER(D1560),D1560&gt;=$O$4,OR($O$11=0,B1560&gt;=$O$12)),1,0)</f>
        <v/>
      </c>
      <c r="K1560">
        <f>B1560-$O$14</f>
        <v/>
      </c>
    </row>
    <row r="1561">
      <c r="A1561" t="n">
        <v>4677</v>
      </c>
      <c r="B1561" t="n">
        <v>155.9</v>
      </c>
      <c r="C1561" t="inlineStr">
        <is>
          <t>890</t>
        </is>
      </c>
      <c r="D1561" t="n">
        <v>8.9</v>
      </c>
      <c r="E1561">
        <f>MEDIAN(D1541:D1581)</f>
        <v/>
      </c>
      <c r="F1561">
        <f>E1541</f>
        <v/>
      </c>
      <c r="G1561">
        <f>F1561-E1561</f>
        <v/>
      </c>
      <c r="H1561">
        <f>IF(OR(NOT(ISNUMBER(D1561)),ABS(D1561-E1561)&gt;$O$3,AND($O$11=1,B1561&lt;$O$12)),1,0)</f>
        <v/>
      </c>
      <c r="I1561">
        <f>IF(H1561=1,NA(),D1561)</f>
        <v/>
      </c>
      <c r="J1561">
        <f>IF(AND(ISNUMBER(D1561),D1561&gt;=$O$4,OR($O$11=0,B1561&gt;=$O$12)),1,0)</f>
        <v/>
      </c>
      <c r="K1561">
        <f>B1561-$O$14</f>
        <v/>
      </c>
    </row>
    <row r="1562">
      <c r="A1562" t="n">
        <v>4680</v>
      </c>
      <c r="B1562" t="n">
        <v>156</v>
      </c>
      <c r="C1562" t="inlineStr">
        <is>
          <t>890</t>
        </is>
      </c>
      <c r="D1562" t="n">
        <v>8.9</v>
      </c>
      <c r="E1562">
        <f>MEDIAN(D1542:D1582)</f>
        <v/>
      </c>
      <c r="F1562">
        <f>E1542</f>
        <v/>
      </c>
      <c r="G1562">
        <f>F1562-E1562</f>
        <v/>
      </c>
      <c r="H1562">
        <f>IF(OR(NOT(ISNUMBER(D1562)),ABS(D1562-E1562)&gt;$O$3,AND($O$11=1,B1562&lt;$O$12)),1,0)</f>
        <v/>
      </c>
      <c r="I1562">
        <f>IF(H1562=1,NA(),D1562)</f>
        <v/>
      </c>
      <c r="J1562">
        <f>IF(AND(ISNUMBER(D1562),D1562&gt;=$O$4,OR($O$11=0,B1562&gt;=$O$12)),1,0)</f>
        <v/>
      </c>
      <c r="K1562">
        <f>B1562-$O$14</f>
        <v/>
      </c>
    </row>
    <row r="1563">
      <c r="A1563" t="n">
        <v>4683</v>
      </c>
      <c r="B1563" t="n">
        <v>156.1</v>
      </c>
      <c r="C1563" t="inlineStr">
        <is>
          <t>890</t>
        </is>
      </c>
      <c r="D1563" t="n">
        <v>8.9</v>
      </c>
      <c r="E1563">
        <f>MEDIAN(D1543:D1583)</f>
        <v/>
      </c>
      <c r="F1563">
        <f>E1543</f>
        <v/>
      </c>
      <c r="G1563">
        <f>F1563-E1563</f>
        <v/>
      </c>
      <c r="H1563">
        <f>IF(OR(NOT(ISNUMBER(D1563)),ABS(D1563-E1563)&gt;$O$3,AND($O$11=1,B1563&lt;$O$12)),1,0)</f>
        <v/>
      </c>
      <c r="I1563">
        <f>IF(H1563=1,NA(),D1563)</f>
        <v/>
      </c>
      <c r="J1563">
        <f>IF(AND(ISNUMBER(D1563),D1563&gt;=$O$4,OR($O$11=0,B1563&gt;=$O$12)),1,0)</f>
        <v/>
      </c>
      <c r="K1563">
        <f>B1563-$O$14</f>
        <v/>
      </c>
    </row>
    <row r="1564">
      <c r="A1564" t="n">
        <v>4686</v>
      </c>
      <c r="B1564" t="n">
        <v>156.2</v>
      </c>
      <c r="C1564" t="inlineStr">
        <is>
          <t>890</t>
        </is>
      </c>
      <c r="D1564" t="n">
        <v>8.9</v>
      </c>
      <c r="E1564">
        <f>MEDIAN(D1544:D1584)</f>
        <v/>
      </c>
      <c r="F1564">
        <f>E1544</f>
        <v/>
      </c>
      <c r="G1564">
        <f>F1564-E1564</f>
        <v/>
      </c>
      <c r="H1564">
        <f>IF(OR(NOT(ISNUMBER(D1564)),ABS(D1564-E1564)&gt;$O$3,AND($O$11=1,B1564&lt;$O$12)),1,0)</f>
        <v/>
      </c>
      <c r="I1564">
        <f>IF(H1564=1,NA(),D1564)</f>
        <v/>
      </c>
      <c r="J1564">
        <f>IF(AND(ISNUMBER(D1564),D1564&gt;=$O$4,OR($O$11=0,B1564&gt;=$O$12)),1,0)</f>
        <v/>
      </c>
      <c r="K1564">
        <f>B1564-$O$14</f>
        <v/>
      </c>
    </row>
    <row r="1565">
      <c r="A1565" t="n">
        <v>4689</v>
      </c>
      <c r="B1565" t="n">
        <v>156.3</v>
      </c>
      <c r="C1565" t="inlineStr">
        <is>
          <t>890</t>
        </is>
      </c>
      <c r="D1565" t="n">
        <v>8.9</v>
      </c>
      <c r="E1565">
        <f>MEDIAN(D1545:D1585)</f>
        <v/>
      </c>
      <c r="F1565">
        <f>E1545</f>
        <v/>
      </c>
      <c r="G1565">
        <f>F1565-E1565</f>
        <v/>
      </c>
      <c r="H1565">
        <f>IF(OR(NOT(ISNUMBER(D1565)),ABS(D1565-E1565)&gt;$O$3,AND($O$11=1,B1565&lt;$O$12)),1,0)</f>
        <v/>
      </c>
      <c r="I1565">
        <f>IF(H1565=1,NA(),D1565)</f>
        <v/>
      </c>
      <c r="J1565">
        <f>IF(AND(ISNUMBER(D1565),D1565&gt;=$O$4,OR($O$11=0,B1565&gt;=$O$12)),1,0)</f>
        <v/>
      </c>
      <c r="K1565">
        <f>B1565-$O$14</f>
        <v/>
      </c>
    </row>
    <row r="1566">
      <c r="A1566" t="n">
        <v>4692</v>
      </c>
      <c r="B1566" t="n">
        <v>156.4</v>
      </c>
      <c r="C1566" t="inlineStr">
        <is>
          <t>890</t>
        </is>
      </c>
      <c r="D1566" t="n">
        <v>8.9</v>
      </c>
      <c r="E1566">
        <f>MEDIAN(D1546:D1586)</f>
        <v/>
      </c>
      <c r="F1566">
        <f>E1546</f>
        <v/>
      </c>
      <c r="G1566">
        <f>F1566-E1566</f>
        <v/>
      </c>
      <c r="H1566">
        <f>IF(OR(NOT(ISNUMBER(D1566)),ABS(D1566-E1566)&gt;$O$3,AND($O$11=1,B1566&lt;$O$12)),1,0)</f>
        <v/>
      </c>
      <c r="I1566">
        <f>IF(H1566=1,NA(),D1566)</f>
        <v/>
      </c>
      <c r="J1566">
        <f>IF(AND(ISNUMBER(D1566),D1566&gt;=$O$4,OR($O$11=0,B1566&gt;=$O$12)),1,0)</f>
        <v/>
      </c>
      <c r="K1566">
        <f>B1566-$O$14</f>
        <v/>
      </c>
    </row>
    <row r="1567">
      <c r="A1567" t="n">
        <v>4695</v>
      </c>
      <c r="B1567" t="n">
        <v>156.5</v>
      </c>
      <c r="C1567" t="inlineStr">
        <is>
          <t>890</t>
        </is>
      </c>
      <c r="D1567" t="n">
        <v>8.9</v>
      </c>
      <c r="E1567">
        <f>MEDIAN(D1547:D1587)</f>
        <v/>
      </c>
      <c r="F1567">
        <f>E1547</f>
        <v/>
      </c>
      <c r="G1567">
        <f>F1567-E1567</f>
        <v/>
      </c>
      <c r="H1567">
        <f>IF(OR(NOT(ISNUMBER(D1567)),ABS(D1567-E1567)&gt;$O$3,AND($O$11=1,B1567&lt;$O$12)),1,0)</f>
        <v/>
      </c>
      <c r="I1567">
        <f>IF(H1567=1,NA(),D1567)</f>
        <v/>
      </c>
      <c r="J1567">
        <f>IF(AND(ISNUMBER(D1567),D1567&gt;=$O$4,OR($O$11=0,B1567&gt;=$O$12)),1,0)</f>
        <v/>
      </c>
      <c r="K1567">
        <f>B1567-$O$14</f>
        <v/>
      </c>
    </row>
    <row r="1568">
      <c r="A1568" t="n">
        <v>4698</v>
      </c>
      <c r="B1568" t="n">
        <v>156.6</v>
      </c>
      <c r="C1568" t="inlineStr">
        <is>
          <t>890</t>
        </is>
      </c>
      <c r="D1568" t="n">
        <v>8.9</v>
      </c>
      <c r="E1568">
        <f>MEDIAN(D1548:D1588)</f>
        <v/>
      </c>
      <c r="F1568">
        <f>E1548</f>
        <v/>
      </c>
      <c r="G1568">
        <f>F1568-E1568</f>
        <v/>
      </c>
      <c r="H1568">
        <f>IF(OR(NOT(ISNUMBER(D1568)),ABS(D1568-E1568)&gt;$O$3,AND($O$11=1,B1568&lt;$O$12)),1,0)</f>
        <v/>
      </c>
      <c r="I1568">
        <f>IF(H1568=1,NA(),D1568)</f>
        <v/>
      </c>
      <c r="J1568">
        <f>IF(AND(ISNUMBER(D1568),D1568&gt;=$O$4,OR($O$11=0,B1568&gt;=$O$12)),1,0)</f>
        <v/>
      </c>
      <c r="K1568">
        <f>B1568-$O$14</f>
        <v/>
      </c>
    </row>
    <row r="1569">
      <c r="A1569" t="n">
        <v>4701</v>
      </c>
      <c r="B1569" t="n">
        <v>156.7</v>
      </c>
      <c r="C1569" t="inlineStr">
        <is>
          <t>890</t>
        </is>
      </c>
      <c r="D1569" t="n">
        <v>8.9</v>
      </c>
      <c r="E1569">
        <f>MEDIAN(D1549:D1589)</f>
        <v/>
      </c>
      <c r="F1569">
        <f>E1549</f>
        <v/>
      </c>
      <c r="G1569">
        <f>F1569-E1569</f>
        <v/>
      </c>
      <c r="H1569">
        <f>IF(OR(NOT(ISNUMBER(D1569)),ABS(D1569-E1569)&gt;$O$3,AND($O$11=1,B1569&lt;$O$12)),1,0)</f>
        <v/>
      </c>
      <c r="I1569">
        <f>IF(H1569=1,NA(),D1569)</f>
        <v/>
      </c>
      <c r="J1569">
        <f>IF(AND(ISNUMBER(D1569),D1569&gt;=$O$4,OR($O$11=0,B1569&gt;=$O$12)),1,0)</f>
        <v/>
      </c>
      <c r="K1569">
        <f>B1569-$O$14</f>
        <v/>
      </c>
    </row>
    <row r="1570">
      <c r="A1570" t="n">
        <v>4704</v>
      </c>
      <c r="B1570" t="n">
        <v>156.8</v>
      </c>
      <c r="C1570" t="inlineStr">
        <is>
          <t>890</t>
        </is>
      </c>
      <c r="D1570" t="n">
        <v>8.9</v>
      </c>
      <c r="E1570">
        <f>MEDIAN(D1550:D1590)</f>
        <v/>
      </c>
      <c r="F1570">
        <f>E1550</f>
        <v/>
      </c>
      <c r="G1570">
        <f>F1570-E1570</f>
        <v/>
      </c>
      <c r="H1570">
        <f>IF(OR(NOT(ISNUMBER(D1570)),ABS(D1570-E1570)&gt;$O$3,AND($O$11=1,B1570&lt;$O$12)),1,0)</f>
        <v/>
      </c>
      <c r="I1570">
        <f>IF(H1570=1,NA(),D1570)</f>
        <v/>
      </c>
      <c r="J1570">
        <f>IF(AND(ISNUMBER(D1570),D1570&gt;=$O$4,OR($O$11=0,B1570&gt;=$O$12)),1,0)</f>
        <v/>
      </c>
      <c r="K1570">
        <f>B1570-$O$14</f>
        <v/>
      </c>
    </row>
    <row r="1571">
      <c r="A1571" t="n">
        <v>4707</v>
      </c>
      <c r="B1571" t="n">
        <v>156.9</v>
      </c>
      <c r="C1571" t="inlineStr">
        <is>
          <t>890</t>
        </is>
      </c>
      <c r="D1571" t="n">
        <v>8.9</v>
      </c>
      <c r="E1571">
        <f>MEDIAN(D1551:D1591)</f>
        <v/>
      </c>
      <c r="F1571">
        <f>E1551</f>
        <v/>
      </c>
      <c r="G1571">
        <f>F1571-E1571</f>
        <v/>
      </c>
      <c r="H1571">
        <f>IF(OR(NOT(ISNUMBER(D1571)),ABS(D1571-E1571)&gt;$O$3,AND($O$11=1,B1571&lt;$O$12)),1,0)</f>
        <v/>
      </c>
      <c r="I1571">
        <f>IF(H1571=1,NA(),D1571)</f>
        <v/>
      </c>
      <c r="J1571">
        <f>IF(AND(ISNUMBER(D1571),D1571&gt;=$O$4,OR($O$11=0,B1571&gt;=$O$12)),1,0)</f>
        <v/>
      </c>
      <c r="K1571">
        <f>B1571-$O$14</f>
        <v/>
      </c>
    </row>
    <row r="1572">
      <c r="A1572" t="n">
        <v>4710</v>
      </c>
      <c r="B1572" t="n">
        <v>157</v>
      </c>
      <c r="C1572" t="inlineStr">
        <is>
          <t>890</t>
        </is>
      </c>
      <c r="D1572" t="n">
        <v>8.9</v>
      </c>
      <c r="E1572">
        <f>MEDIAN(D1552:D1592)</f>
        <v/>
      </c>
      <c r="F1572">
        <f>E1552</f>
        <v/>
      </c>
      <c r="G1572">
        <f>F1572-E1572</f>
        <v/>
      </c>
      <c r="H1572">
        <f>IF(OR(NOT(ISNUMBER(D1572)),ABS(D1572-E1572)&gt;$O$3,AND($O$11=1,B1572&lt;$O$12)),1,0)</f>
        <v/>
      </c>
      <c r="I1572">
        <f>IF(H1572=1,NA(),D1572)</f>
        <v/>
      </c>
      <c r="J1572">
        <f>IF(AND(ISNUMBER(D1572),D1572&gt;=$O$4,OR($O$11=0,B1572&gt;=$O$12)),1,0)</f>
        <v/>
      </c>
      <c r="K1572">
        <f>B1572-$O$14</f>
        <v/>
      </c>
    </row>
    <row r="1573">
      <c r="A1573" t="n">
        <v>4713</v>
      </c>
      <c r="B1573" t="n">
        <v>157.1</v>
      </c>
      <c r="C1573" t="inlineStr">
        <is>
          <t>890</t>
        </is>
      </c>
      <c r="D1573" t="n">
        <v>8.9</v>
      </c>
      <c r="E1573">
        <f>MEDIAN(D1553:D1593)</f>
        <v/>
      </c>
      <c r="F1573">
        <f>E1553</f>
        <v/>
      </c>
      <c r="G1573">
        <f>F1573-E1573</f>
        <v/>
      </c>
      <c r="H1573">
        <f>IF(OR(NOT(ISNUMBER(D1573)),ABS(D1573-E1573)&gt;$O$3,AND($O$11=1,B1573&lt;$O$12)),1,0)</f>
        <v/>
      </c>
      <c r="I1573">
        <f>IF(H1573=1,NA(),D1573)</f>
        <v/>
      </c>
      <c r="J1573">
        <f>IF(AND(ISNUMBER(D1573),D1573&gt;=$O$4,OR($O$11=0,B1573&gt;=$O$12)),1,0)</f>
        <v/>
      </c>
      <c r="K1573">
        <f>B1573-$O$14</f>
        <v/>
      </c>
    </row>
    <row r="1574">
      <c r="A1574" t="n">
        <v>4716</v>
      </c>
      <c r="B1574" t="n">
        <v>157.2</v>
      </c>
      <c r="C1574" t="inlineStr">
        <is>
          <t>890</t>
        </is>
      </c>
      <c r="D1574" t="n">
        <v>8.9</v>
      </c>
      <c r="E1574">
        <f>MEDIAN(D1554:D1594)</f>
        <v/>
      </c>
      <c r="F1574">
        <f>E1554</f>
        <v/>
      </c>
      <c r="G1574">
        <f>F1574-E1574</f>
        <v/>
      </c>
      <c r="H1574">
        <f>IF(OR(NOT(ISNUMBER(D1574)),ABS(D1574-E1574)&gt;$O$3,AND($O$11=1,B1574&lt;$O$12)),1,0)</f>
        <v/>
      </c>
      <c r="I1574">
        <f>IF(H1574=1,NA(),D1574)</f>
        <v/>
      </c>
      <c r="J1574">
        <f>IF(AND(ISNUMBER(D1574),D1574&gt;=$O$4,OR($O$11=0,B1574&gt;=$O$12)),1,0)</f>
        <v/>
      </c>
      <c r="K1574">
        <f>B1574-$O$14</f>
        <v/>
      </c>
    </row>
    <row r="1575">
      <c r="A1575" t="n">
        <v>4719</v>
      </c>
      <c r="B1575" t="n">
        <v>157.3</v>
      </c>
      <c r="C1575" t="inlineStr">
        <is>
          <t>890</t>
        </is>
      </c>
      <c r="D1575" t="n">
        <v>8.9</v>
      </c>
      <c r="E1575">
        <f>MEDIAN(D1555:D1595)</f>
        <v/>
      </c>
      <c r="F1575">
        <f>E1555</f>
        <v/>
      </c>
      <c r="G1575">
        <f>F1575-E1575</f>
        <v/>
      </c>
      <c r="H1575">
        <f>IF(OR(NOT(ISNUMBER(D1575)),ABS(D1575-E1575)&gt;$O$3,AND($O$11=1,B1575&lt;$O$12)),1,0)</f>
        <v/>
      </c>
      <c r="I1575">
        <f>IF(H1575=1,NA(),D1575)</f>
        <v/>
      </c>
      <c r="J1575">
        <f>IF(AND(ISNUMBER(D1575),D1575&gt;=$O$4,OR($O$11=0,B1575&gt;=$O$12)),1,0)</f>
        <v/>
      </c>
      <c r="K1575">
        <f>B1575-$O$14</f>
        <v/>
      </c>
    </row>
    <row r="1576">
      <c r="A1576" t="n">
        <v>4722</v>
      </c>
      <c r="B1576" t="n">
        <v>157.4</v>
      </c>
      <c r="C1576" t="inlineStr">
        <is>
          <t>890</t>
        </is>
      </c>
      <c r="D1576" t="n">
        <v>8.9</v>
      </c>
      <c r="E1576">
        <f>MEDIAN(D1556:D1596)</f>
        <v/>
      </c>
      <c r="F1576">
        <f>E1556</f>
        <v/>
      </c>
      <c r="G1576">
        <f>F1576-E1576</f>
        <v/>
      </c>
      <c r="H1576">
        <f>IF(OR(NOT(ISNUMBER(D1576)),ABS(D1576-E1576)&gt;$O$3,AND($O$11=1,B1576&lt;$O$12)),1,0)</f>
        <v/>
      </c>
      <c r="I1576">
        <f>IF(H1576=1,NA(),D1576)</f>
        <v/>
      </c>
      <c r="J1576">
        <f>IF(AND(ISNUMBER(D1576),D1576&gt;=$O$4,OR($O$11=0,B1576&gt;=$O$12)),1,0)</f>
        <v/>
      </c>
      <c r="K1576">
        <f>B1576-$O$14</f>
        <v/>
      </c>
    </row>
    <row r="1577">
      <c r="A1577" t="n">
        <v>4725</v>
      </c>
      <c r="B1577" t="n">
        <v>157.5</v>
      </c>
      <c r="C1577" t="inlineStr">
        <is>
          <t>890</t>
        </is>
      </c>
      <c r="D1577" t="n">
        <v>8.9</v>
      </c>
      <c r="E1577">
        <f>MEDIAN(D1557:D1597)</f>
        <v/>
      </c>
      <c r="F1577">
        <f>E1557</f>
        <v/>
      </c>
      <c r="G1577">
        <f>F1577-E1577</f>
        <v/>
      </c>
      <c r="H1577">
        <f>IF(OR(NOT(ISNUMBER(D1577)),ABS(D1577-E1577)&gt;$O$3,AND($O$11=1,B1577&lt;$O$12)),1,0)</f>
        <v/>
      </c>
      <c r="I1577">
        <f>IF(H1577=1,NA(),D1577)</f>
        <v/>
      </c>
      <c r="J1577">
        <f>IF(AND(ISNUMBER(D1577),D1577&gt;=$O$4,OR($O$11=0,B1577&gt;=$O$12)),1,0)</f>
        <v/>
      </c>
      <c r="K1577">
        <f>B1577-$O$14</f>
        <v/>
      </c>
    </row>
    <row r="1578">
      <c r="A1578" t="n">
        <v>4728</v>
      </c>
      <c r="B1578" t="n">
        <v>157.6</v>
      </c>
      <c r="C1578" t="inlineStr">
        <is>
          <t>890</t>
        </is>
      </c>
      <c r="D1578" t="n">
        <v>8.9</v>
      </c>
      <c r="E1578">
        <f>MEDIAN(D1558:D1598)</f>
        <v/>
      </c>
      <c r="F1578">
        <f>E1558</f>
        <v/>
      </c>
      <c r="G1578">
        <f>F1578-E1578</f>
        <v/>
      </c>
      <c r="H1578">
        <f>IF(OR(NOT(ISNUMBER(D1578)),ABS(D1578-E1578)&gt;$O$3,AND($O$11=1,B1578&lt;$O$12)),1,0)</f>
        <v/>
      </c>
      <c r="I1578">
        <f>IF(H1578=1,NA(),D1578)</f>
        <v/>
      </c>
      <c r="J1578">
        <f>IF(AND(ISNUMBER(D1578),D1578&gt;=$O$4,OR($O$11=0,B1578&gt;=$O$12)),1,0)</f>
        <v/>
      </c>
      <c r="K1578">
        <f>B1578-$O$14</f>
        <v/>
      </c>
    </row>
    <row r="1579">
      <c r="A1579" t="n">
        <v>4731</v>
      </c>
      <c r="B1579" t="n">
        <v>157.7</v>
      </c>
      <c r="C1579" t="inlineStr">
        <is>
          <t>890</t>
        </is>
      </c>
      <c r="D1579" t="n">
        <v>8.9</v>
      </c>
      <c r="E1579">
        <f>MEDIAN(D1559:D1599)</f>
        <v/>
      </c>
      <c r="F1579">
        <f>E1559</f>
        <v/>
      </c>
      <c r="G1579">
        <f>F1579-E1579</f>
        <v/>
      </c>
      <c r="H1579">
        <f>IF(OR(NOT(ISNUMBER(D1579)),ABS(D1579-E1579)&gt;$O$3,AND($O$11=1,B1579&lt;$O$12)),1,0)</f>
        <v/>
      </c>
      <c r="I1579">
        <f>IF(H1579=1,NA(),D1579)</f>
        <v/>
      </c>
      <c r="J1579">
        <f>IF(AND(ISNUMBER(D1579),D1579&gt;=$O$4,OR($O$11=0,B1579&gt;=$O$12)),1,0)</f>
        <v/>
      </c>
      <c r="K1579">
        <f>B1579-$O$14</f>
        <v/>
      </c>
    </row>
    <row r="1580">
      <c r="A1580" t="n">
        <v>4734</v>
      </c>
      <c r="B1580" t="n">
        <v>157.8</v>
      </c>
      <c r="C1580" t="inlineStr">
        <is>
          <t>890</t>
        </is>
      </c>
      <c r="D1580" t="n">
        <v>8.9</v>
      </c>
      <c r="E1580">
        <f>MEDIAN(D1560:D1600)</f>
        <v/>
      </c>
      <c r="F1580">
        <f>E1560</f>
        <v/>
      </c>
      <c r="G1580">
        <f>F1580-E1580</f>
        <v/>
      </c>
      <c r="H1580">
        <f>IF(OR(NOT(ISNUMBER(D1580)),ABS(D1580-E1580)&gt;$O$3,AND($O$11=1,B1580&lt;$O$12)),1,0)</f>
        <v/>
      </c>
      <c r="I1580">
        <f>IF(H1580=1,NA(),D1580)</f>
        <v/>
      </c>
      <c r="J1580">
        <f>IF(AND(ISNUMBER(D1580),D1580&gt;=$O$4,OR($O$11=0,B1580&gt;=$O$12)),1,0)</f>
        <v/>
      </c>
      <c r="K1580">
        <f>B1580-$O$14</f>
        <v/>
      </c>
    </row>
    <row r="1581">
      <c r="A1581" t="n">
        <v>4737</v>
      </c>
      <c r="B1581" t="n">
        <v>157.9</v>
      </c>
      <c r="C1581" t="inlineStr">
        <is>
          <t>890</t>
        </is>
      </c>
      <c r="D1581" t="n">
        <v>8.9</v>
      </c>
      <c r="E1581">
        <f>MEDIAN(D1561:D1601)</f>
        <v/>
      </c>
      <c r="F1581">
        <f>E1561</f>
        <v/>
      </c>
      <c r="G1581">
        <f>F1581-E1581</f>
        <v/>
      </c>
      <c r="H1581">
        <f>IF(OR(NOT(ISNUMBER(D1581)),ABS(D1581-E1581)&gt;$O$3,AND($O$11=1,B1581&lt;$O$12)),1,0)</f>
        <v/>
      </c>
      <c r="I1581">
        <f>IF(H1581=1,NA(),D1581)</f>
        <v/>
      </c>
      <c r="J1581">
        <f>IF(AND(ISNUMBER(D1581),D1581&gt;=$O$4,OR($O$11=0,B1581&gt;=$O$12)),1,0)</f>
        <v/>
      </c>
      <c r="K1581">
        <f>B1581-$O$14</f>
        <v/>
      </c>
    </row>
    <row r="1582">
      <c r="A1582" t="n">
        <v>4740</v>
      </c>
      <c r="B1582" t="n">
        <v>158</v>
      </c>
      <c r="C1582" t="inlineStr">
        <is>
          <t>890</t>
        </is>
      </c>
      <c r="D1582" t="n">
        <v>8.9</v>
      </c>
      <c r="E1582">
        <f>MEDIAN(D1562:D1602)</f>
        <v/>
      </c>
      <c r="F1582">
        <f>E1562</f>
        <v/>
      </c>
      <c r="G1582">
        <f>F1582-E1582</f>
        <v/>
      </c>
      <c r="H1582">
        <f>IF(OR(NOT(ISNUMBER(D1582)),ABS(D1582-E1582)&gt;$O$3,AND($O$11=1,B1582&lt;$O$12)),1,0)</f>
        <v/>
      </c>
      <c r="I1582">
        <f>IF(H1582=1,NA(),D1582)</f>
        <v/>
      </c>
      <c r="J1582">
        <f>IF(AND(ISNUMBER(D1582),D1582&gt;=$O$4,OR($O$11=0,B1582&gt;=$O$12)),1,0)</f>
        <v/>
      </c>
      <c r="K1582">
        <f>B1582-$O$14</f>
        <v/>
      </c>
    </row>
    <row r="1583">
      <c r="A1583" t="n">
        <v>4743</v>
      </c>
      <c r="B1583" t="n">
        <v>158.1</v>
      </c>
      <c r="C1583" t="inlineStr">
        <is>
          <t>890</t>
        </is>
      </c>
      <c r="D1583" t="n">
        <v>8.9</v>
      </c>
      <c r="E1583">
        <f>MEDIAN(D1563:D1603)</f>
        <v/>
      </c>
      <c r="F1583">
        <f>E1563</f>
        <v/>
      </c>
      <c r="G1583">
        <f>F1583-E1583</f>
        <v/>
      </c>
      <c r="H1583">
        <f>IF(OR(NOT(ISNUMBER(D1583)),ABS(D1583-E1583)&gt;$O$3,AND($O$11=1,B1583&lt;$O$12)),1,0)</f>
        <v/>
      </c>
      <c r="I1583">
        <f>IF(H1583=1,NA(),D1583)</f>
        <v/>
      </c>
      <c r="J1583">
        <f>IF(AND(ISNUMBER(D1583),D1583&gt;=$O$4,OR($O$11=0,B1583&gt;=$O$12)),1,0)</f>
        <v/>
      </c>
      <c r="K1583">
        <f>B1583-$O$14</f>
        <v/>
      </c>
    </row>
    <row r="1584">
      <c r="A1584" t="n">
        <v>4746</v>
      </c>
      <c r="B1584" t="n">
        <v>158.2</v>
      </c>
      <c r="C1584" t="inlineStr">
        <is>
          <t>890</t>
        </is>
      </c>
      <c r="D1584" t="n">
        <v>8.9</v>
      </c>
      <c r="E1584">
        <f>MEDIAN(D1564:D1604)</f>
        <v/>
      </c>
      <c r="F1584">
        <f>E1564</f>
        <v/>
      </c>
      <c r="G1584">
        <f>F1584-E1584</f>
        <v/>
      </c>
      <c r="H1584">
        <f>IF(OR(NOT(ISNUMBER(D1584)),ABS(D1584-E1584)&gt;$O$3,AND($O$11=1,B1584&lt;$O$12)),1,0)</f>
        <v/>
      </c>
      <c r="I1584">
        <f>IF(H1584=1,NA(),D1584)</f>
        <v/>
      </c>
      <c r="J1584">
        <f>IF(AND(ISNUMBER(D1584),D1584&gt;=$O$4,OR($O$11=0,B1584&gt;=$O$12)),1,0)</f>
        <v/>
      </c>
      <c r="K1584">
        <f>B1584-$O$14</f>
        <v/>
      </c>
    </row>
    <row r="1585">
      <c r="A1585" t="n">
        <v>4749</v>
      </c>
      <c r="B1585" t="n">
        <v>158.3</v>
      </c>
      <c r="C1585" t="inlineStr">
        <is>
          <t>890</t>
        </is>
      </c>
      <c r="D1585" t="n">
        <v>8.9</v>
      </c>
      <c r="E1585">
        <f>MEDIAN(D1565:D1605)</f>
        <v/>
      </c>
      <c r="F1585">
        <f>E1565</f>
        <v/>
      </c>
      <c r="G1585">
        <f>F1585-E1585</f>
        <v/>
      </c>
      <c r="H1585">
        <f>IF(OR(NOT(ISNUMBER(D1585)),ABS(D1585-E1585)&gt;$O$3,AND($O$11=1,B1585&lt;$O$12)),1,0)</f>
        <v/>
      </c>
      <c r="I1585">
        <f>IF(H1585=1,NA(),D1585)</f>
        <v/>
      </c>
      <c r="J1585">
        <f>IF(AND(ISNUMBER(D1585),D1585&gt;=$O$4,OR($O$11=0,B1585&gt;=$O$12)),1,0)</f>
        <v/>
      </c>
      <c r="K1585">
        <f>B1585-$O$14</f>
        <v/>
      </c>
    </row>
    <row r="1586">
      <c r="A1586" t="n">
        <v>4752</v>
      </c>
      <c r="B1586" t="n">
        <v>158.4</v>
      </c>
      <c r="C1586" t="inlineStr">
        <is>
          <t>890</t>
        </is>
      </c>
      <c r="D1586" t="n">
        <v>8.9</v>
      </c>
      <c r="E1586">
        <f>MEDIAN(D1566:D1606)</f>
        <v/>
      </c>
      <c r="F1586">
        <f>E1566</f>
        <v/>
      </c>
      <c r="G1586">
        <f>F1586-E1586</f>
        <v/>
      </c>
      <c r="H1586">
        <f>IF(OR(NOT(ISNUMBER(D1586)),ABS(D1586-E1586)&gt;$O$3,AND($O$11=1,B1586&lt;$O$12)),1,0)</f>
        <v/>
      </c>
      <c r="I1586">
        <f>IF(H1586=1,NA(),D1586)</f>
        <v/>
      </c>
      <c r="J1586">
        <f>IF(AND(ISNUMBER(D1586),D1586&gt;=$O$4,OR($O$11=0,B1586&gt;=$O$12)),1,0)</f>
        <v/>
      </c>
      <c r="K1586">
        <f>B1586-$O$14</f>
        <v/>
      </c>
    </row>
    <row r="1587">
      <c r="A1587" t="n">
        <v>4755</v>
      </c>
      <c r="B1587" t="n">
        <v>158.5</v>
      </c>
      <c r="C1587" t="inlineStr">
        <is>
          <t>890</t>
        </is>
      </c>
      <c r="D1587" t="n">
        <v>8.9</v>
      </c>
      <c r="E1587">
        <f>MEDIAN(D1567:D1607)</f>
        <v/>
      </c>
      <c r="F1587">
        <f>E1567</f>
        <v/>
      </c>
      <c r="G1587">
        <f>F1587-E1587</f>
        <v/>
      </c>
      <c r="H1587">
        <f>IF(OR(NOT(ISNUMBER(D1587)),ABS(D1587-E1587)&gt;$O$3,AND($O$11=1,B1587&lt;$O$12)),1,0)</f>
        <v/>
      </c>
      <c r="I1587">
        <f>IF(H1587=1,NA(),D1587)</f>
        <v/>
      </c>
      <c r="J1587">
        <f>IF(AND(ISNUMBER(D1587),D1587&gt;=$O$4,OR($O$11=0,B1587&gt;=$O$12)),1,0)</f>
        <v/>
      </c>
      <c r="K1587">
        <f>B1587-$O$14</f>
        <v/>
      </c>
    </row>
    <row r="1588">
      <c r="A1588" t="n">
        <v>4758</v>
      </c>
      <c r="B1588" t="n">
        <v>158.6</v>
      </c>
      <c r="C1588" t="inlineStr">
        <is>
          <t>890</t>
        </is>
      </c>
      <c r="D1588" t="n">
        <v>8.9</v>
      </c>
      <c r="E1588">
        <f>MEDIAN(D1568:D1608)</f>
        <v/>
      </c>
      <c r="F1588">
        <f>E1568</f>
        <v/>
      </c>
      <c r="G1588">
        <f>F1588-E1588</f>
        <v/>
      </c>
      <c r="H1588">
        <f>IF(OR(NOT(ISNUMBER(D1588)),ABS(D1588-E1588)&gt;$O$3,AND($O$11=1,B1588&lt;$O$12)),1,0)</f>
        <v/>
      </c>
      <c r="I1588">
        <f>IF(H1588=1,NA(),D1588)</f>
        <v/>
      </c>
      <c r="J1588">
        <f>IF(AND(ISNUMBER(D1588),D1588&gt;=$O$4,OR($O$11=0,B1588&gt;=$O$12)),1,0)</f>
        <v/>
      </c>
      <c r="K1588">
        <f>B1588-$O$14</f>
        <v/>
      </c>
    </row>
    <row r="1589">
      <c r="A1589" t="n">
        <v>4761</v>
      </c>
      <c r="B1589" t="n">
        <v>158.7</v>
      </c>
      <c r="C1589" t="inlineStr">
        <is>
          <t>890</t>
        </is>
      </c>
      <c r="D1589" t="n">
        <v>8.9</v>
      </c>
      <c r="E1589">
        <f>MEDIAN(D1569:D1609)</f>
        <v/>
      </c>
      <c r="F1589">
        <f>E1569</f>
        <v/>
      </c>
      <c r="G1589">
        <f>F1589-E1589</f>
        <v/>
      </c>
      <c r="H1589">
        <f>IF(OR(NOT(ISNUMBER(D1589)),ABS(D1589-E1589)&gt;$O$3,AND($O$11=1,B1589&lt;$O$12)),1,0)</f>
        <v/>
      </c>
      <c r="I1589">
        <f>IF(H1589=1,NA(),D1589)</f>
        <v/>
      </c>
      <c r="J1589">
        <f>IF(AND(ISNUMBER(D1589),D1589&gt;=$O$4,OR($O$11=0,B1589&gt;=$O$12)),1,0)</f>
        <v/>
      </c>
      <c r="K1589">
        <f>B1589-$O$14</f>
        <v/>
      </c>
    </row>
    <row r="1590">
      <c r="A1590" t="n">
        <v>4764</v>
      </c>
      <c r="B1590" t="n">
        <v>158.8</v>
      </c>
      <c r="C1590" t="inlineStr">
        <is>
          <t>890</t>
        </is>
      </c>
      <c r="D1590" t="n">
        <v>8.9</v>
      </c>
      <c r="E1590">
        <f>MEDIAN(D1570:D1610)</f>
        <v/>
      </c>
      <c r="F1590">
        <f>E1570</f>
        <v/>
      </c>
      <c r="G1590">
        <f>F1590-E1590</f>
        <v/>
      </c>
      <c r="H1590">
        <f>IF(OR(NOT(ISNUMBER(D1590)),ABS(D1590-E1590)&gt;$O$3,AND($O$11=1,B1590&lt;$O$12)),1,0)</f>
        <v/>
      </c>
      <c r="I1590">
        <f>IF(H1590=1,NA(),D1590)</f>
        <v/>
      </c>
      <c r="J1590">
        <f>IF(AND(ISNUMBER(D1590),D1590&gt;=$O$4,OR($O$11=0,B1590&gt;=$O$12)),1,0)</f>
        <v/>
      </c>
      <c r="K1590">
        <f>B1590-$O$14</f>
        <v/>
      </c>
    </row>
    <row r="1591">
      <c r="A1591" t="n">
        <v>4767</v>
      </c>
      <c r="B1591" t="n">
        <v>158.9</v>
      </c>
      <c r="C1591" t="inlineStr">
        <is>
          <t>890</t>
        </is>
      </c>
      <c r="D1591" t="n">
        <v>8.9</v>
      </c>
      <c r="E1591">
        <f>MEDIAN(D1571:D1611)</f>
        <v/>
      </c>
      <c r="F1591">
        <f>E1571</f>
        <v/>
      </c>
      <c r="G1591">
        <f>F1591-E1591</f>
        <v/>
      </c>
      <c r="H1591">
        <f>IF(OR(NOT(ISNUMBER(D1591)),ABS(D1591-E1591)&gt;$O$3,AND($O$11=1,B1591&lt;$O$12)),1,0)</f>
        <v/>
      </c>
      <c r="I1591">
        <f>IF(H1591=1,NA(),D1591)</f>
        <v/>
      </c>
      <c r="J1591">
        <f>IF(AND(ISNUMBER(D1591),D1591&gt;=$O$4,OR($O$11=0,B1591&gt;=$O$12)),1,0)</f>
        <v/>
      </c>
      <c r="K1591">
        <f>B1591-$O$14</f>
        <v/>
      </c>
    </row>
    <row r="1592">
      <c r="A1592" t="n">
        <v>4770</v>
      </c>
      <c r="B1592" t="n">
        <v>159</v>
      </c>
      <c r="C1592" t="inlineStr">
        <is>
          <t>890</t>
        </is>
      </c>
      <c r="D1592" t="n">
        <v>8.9</v>
      </c>
      <c r="E1592">
        <f>MEDIAN(D1572:D1612)</f>
        <v/>
      </c>
      <c r="F1592">
        <f>E1572</f>
        <v/>
      </c>
      <c r="G1592">
        <f>F1592-E1592</f>
        <v/>
      </c>
      <c r="H1592">
        <f>IF(OR(NOT(ISNUMBER(D1592)),ABS(D1592-E1592)&gt;$O$3,AND($O$11=1,B1592&lt;$O$12)),1,0)</f>
        <v/>
      </c>
      <c r="I1592">
        <f>IF(H1592=1,NA(),D1592)</f>
        <v/>
      </c>
      <c r="J1592">
        <f>IF(AND(ISNUMBER(D1592),D1592&gt;=$O$4,OR($O$11=0,B1592&gt;=$O$12)),1,0)</f>
        <v/>
      </c>
      <c r="K1592">
        <f>B1592-$O$14</f>
        <v/>
      </c>
    </row>
    <row r="1593">
      <c r="A1593" t="n">
        <v>4773</v>
      </c>
      <c r="B1593" t="n">
        <v>159.1</v>
      </c>
      <c r="C1593" t="inlineStr">
        <is>
          <t>890</t>
        </is>
      </c>
      <c r="D1593" t="n">
        <v>8.9</v>
      </c>
      <c r="E1593">
        <f>MEDIAN(D1573:D1613)</f>
        <v/>
      </c>
      <c r="F1593">
        <f>E1573</f>
        <v/>
      </c>
      <c r="G1593">
        <f>F1593-E1593</f>
        <v/>
      </c>
      <c r="H1593">
        <f>IF(OR(NOT(ISNUMBER(D1593)),ABS(D1593-E1593)&gt;$O$3,AND($O$11=1,B1593&lt;$O$12)),1,0)</f>
        <v/>
      </c>
      <c r="I1593">
        <f>IF(H1593=1,NA(),D1593)</f>
        <v/>
      </c>
      <c r="J1593">
        <f>IF(AND(ISNUMBER(D1593),D1593&gt;=$O$4,OR($O$11=0,B1593&gt;=$O$12)),1,0)</f>
        <v/>
      </c>
      <c r="K1593">
        <f>B1593-$O$14</f>
        <v/>
      </c>
    </row>
    <row r="1594">
      <c r="A1594" t="n">
        <v>4776</v>
      </c>
      <c r="B1594" t="n">
        <v>159.2</v>
      </c>
      <c r="C1594" t="inlineStr">
        <is>
          <t>890</t>
        </is>
      </c>
      <c r="D1594" t="n">
        <v>8.9</v>
      </c>
      <c r="E1594">
        <f>MEDIAN(D1574:D1614)</f>
        <v/>
      </c>
      <c r="F1594">
        <f>E1574</f>
        <v/>
      </c>
      <c r="G1594">
        <f>F1594-E1594</f>
        <v/>
      </c>
      <c r="H1594">
        <f>IF(OR(NOT(ISNUMBER(D1594)),ABS(D1594-E1594)&gt;$O$3,AND($O$11=1,B1594&lt;$O$12)),1,0)</f>
        <v/>
      </c>
      <c r="I1594">
        <f>IF(H1594=1,NA(),D1594)</f>
        <v/>
      </c>
      <c r="J1594">
        <f>IF(AND(ISNUMBER(D1594),D1594&gt;=$O$4,OR($O$11=0,B1594&gt;=$O$12)),1,0)</f>
        <v/>
      </c>
      <c r="K1594">
        <f>B1594-$O$14</f>
        <v/>
      </c>
    </row>
    <row r="1595">
      <c r="A1595" t="n">
        <v>4779</v>
      </c>
      <c r="B1595" t="n">
        <v>159.3</v>
      </c>
      <c r="C1595" t="inlineStr">
        <is>
          <t>890</t>
        </is>
      </c>
      <c r="D1595" t="n">
        <v>8.9</v>
      </c>
      <c r="E1595">
        <f>MEDIAN(D1575:D1615)</f>
        <v/>
      </c>
      <c r="F1595">
        <f>E1575</f>
        <v/>
      </c>
      <c r="G1595">
        <f>F1595-E1595</f>
        <v/>
      </c>
      <c r="H1595">
        <f>IF(OR(NOT(ISNUMBER(D1595)),ABS(D1595-E1595)&gt;$O$3,AND($O$11=1,B1595&lt;$O$12)),1,0)</f>
        <v/>
      </c>
      <c r="I1595">
        <f>IF(H1595=1,NA(),D1595)</f>
        <v/>
      </c>
      <c r="J1595">
        <f>IF(AND(ISNUMBER(D1595),D1595&gt;=$O$4,OR($O$11=0,B1595&gt;=$O$12)),1,0)</f>
        <v/>
      </c>
      <c r="K1595">
        <f>B1595-$O$14</f>
        <v/>
      </c>
    </row>
    <row r="1596">
      <c r="A1596" t="n">
        <v>4782</v>
      </c>
      <c r="B1596" t="n">
        <v>159.4</v>
      </c>
      <c r="C1596" t="inlineStr">
        <is>
          <t>891</t>
        </is>
      </c>
      <c r="D1596" t="n">
        <v>8.91</v>
      </c>
      <c r="E1596">
        <f>MEDIAN(D1576:D1616)</f>
        <v/>
      </c>
      <c r="F1596">
        <f>E1576</f>
        <v/>
      </c>
      <c r="G1596">
        <f>F1596-E1596</f>
        <v/>
      </c>
      <c r="H1596">
        <f>IF(OR(NOT(ISNUMBER(D1596)),ABS(D1596-E1596)&gt;$O$3,AND($O$11=1,B1596&lt;$O$12)),1,0)</f>
        <v/>
      </c>
      <c r="I1596">
        <f>IF(H1596=1,NA(),D1596)</f>
        <v/>
      </c>
      <c r="J1596">
        <f>IF(AND(ISNUMBER(D1596),D1596&gt;=$O$4,OR($O$11=0,B1596&gt;=$O$12)),1,0)</f>
        <v/>
      </c>
      <c r="K1596">
        <f>B1596-$O$14</f>
        <v/>
      </c>
    </row>
    <row r="1597">
      <c r="A1597" t="n">
        <v>4785</v>
      </c>
      <c r="B1597" t="n">
        <v>159.5</v>
      </c>
      <c r="C1597" t="inlineStr">
        <is>
          <t>891</t>
        </is>
      </c>
      <c r="D1597" t="n">
        <v>8.91</v>
      </c>
      <c r="E1597">
        <f>MEDIAN(D1577:D1617)</f>
        <v/>
      </c>
      <c r="F1597">
        <f>E1577</f>
        <v/>
      </c>
      <c r="G1597">
        <f>F1597-E1597</f>
        <v/>
      </c>
      <c r="H1597">
        <f>IF(OR(NOT(ISNUMBER(D1597)),ABS(D1597-E1597)&gt;$O$3,AND($O$11=1,B1597&lt;$O$12)),1,0)</f>
        <v/>
      </c>
      <c r="I1597">
        <f>IF(H1597=1,NA(),D1597)</f>
        <v/>
      </c>
      <c r="J1597">
        <f>IF(AND(ISNUMBER(D1597),D1597&gt;=$O$4,OR($O$11=0,B1597&gt;=$O$12)),1,0)</f>
        <v/>
      </c>
      <c r="K1597">
        <f>B1597-$O$14</f>
        <v/>
      </c>
    </row>
    <row r="1598">
      <c r="A1598" t="n">
        <v>4788</v>
      </c>
      <c r="B1598" t="n">
        <v>159.6</v>
      </c>
      <c r="C1598" t="inlineStr">
        <is>
          <t>891</t>
        </is>
      </c>
      <c r="D1598" t="n">
        <v>8.91</v>
      </c>
      <c r="E1598">
        <f>MEDIAN(D1578:D1618)</f>
        <v/>
      </c>
      <c r="F1598">
        <f>E1578</f>
        <v/>
      </c>
      <c r="G1598">
        <f>F1598-E1598</f>
        <v/>
      </c>
      <c r="H1598">
        <f>IF(OR(NOT(ISNUMBER(D1598)),ABS(D1598-E1598)&gt;$O$3,AND($O$11=1,B1598&lt;$O$12)),1,0)</f>
        <v/>
      </c>
      <c r="I1598">
        <f>IF(H1598=1,NA(),D1598)</f>
        <v/>
      </c>
      <c r="J1598">
        <f>IF(AND(ISNUMBER(D1598),D1598&gt;=$O$4,OR($O$11=0,B1598&gt;=$O$12)),1,0)</f>
        <v/>
      </c>
      <c r="K1598">
        <f>B1598-$O$14</f>
        <v/>
      </c>
    </row>
    <row r="1599">
      <c r="A1599" t="n">
        <v>4791</v>
      </c>
      <c r="B1599" t="n">
        <v>159.7</v>
      </c>
      <c r="C1599" t="inlineStr">
        <is>
          <t>891</t>
        </is>
      </c>
      <c r="D1599" t="n">
        <v>8.91</v>
      </c>
      <c r="E1599">
        <f>MEDIAN(D1579:D1619)</f>
        <v/>
      </c>
      <c r="F1599">
        <f>E1579</f>
        <v/>
      </c>
      <c r="G1599">
        <f>F1599-E1599</f>
        <v/>
      </c>
      <c r="H1599">
        <f>IF(OR(NOT(ISNUMBER(D1599)),ABS(D1599-E1599)&gt;$O$3,AND($O$11=1,B1599&lt;$O$12)),1,0)</f>
        <v/>
      </c>
      <c r="I1599">
        <f>IF(H1599=1,NA(),D1599)</f>
        <v/>
      </c>
      <c r="J1599">
        <f>IF(AND(ISNUMBER(D1599),D1599&gt;=$O$4,OR($O$11=0,B1599&gt;=$O$12)),1,0)</f>
        <v/>
      </c>
      <c r="K1599">
        <f>B1599-$O$14</f>
        <v/>
      </c>
    </row>
    <row r="1600">
      <c r="A1600" t="n">
        <v>4794</v>
      </c>
      <c r="B1600" t="n">
        <v>159.8</v>
      </c>
      <c r="C1600" t="inlineStr">
        <is>
          <t>891</t>
        </is>
      </c>
      <c r="D1600" t="n">
        <v>8.91</v>
      </c>
      <c r="E1600">
        <f>MEDIAN(D1580:D1620)</f>
        <v/>
      </c>
      <c r="F1600">
        <f>E1580</f>
        <v/>
      </c>
      <c r="G1600">
        <f>F1600-E1600</f>
        <v/>
      </c>
      <c r="H1600">
        <f>IF(OR(NOT(ISNUMBER(D1600)),ABS(D1600-E1600)&gt;$O$3,AND($O$11=1,B1600&lt;$O$12)),1,0)</f>
        <v/>
      </c>
      <c r="I1600">
        <f>IF(H1600=1,NA(),D1600)</f>
        <v/>
      </c>
      <c r="J1600">
        <f>IF(AND(ISNUMBER(D1600),D1600&gt;=$O$4,OR($O$11=0,B1600&gt;=$O$12)),1,0)</f>
        <v/>
      </c>
      <c r="K1600">
        <f>B1600-$O$14</f>
        <v/>
      </c>
    </row>
    <row r="1601">
      <c r="A1601" t="n">
        <v>4797</v>
      </c>
      <c r="B1601" t="n">
        <v>159.9</v>
      </c>
      <c r="C1601" t="inlineStr">
        <is>
          <t>891</t>
        </is>
      </c>
      <c r="D1601" t="n">
        <v>8.91</v>
      </c>
      <c r="E1601">
        <f>MEDIAN(D1581:D1621)</f>
        <v/>
      </c>
      <c r="F1601">
        <f>E1581</f>
        <v/>
      </c>
      <c r="G1601">
        <f>F1601-E1601</f>
        <v/>
      </c>
      <c r="H1601">
        <f>IF(OR(NOT(ISNUMBER(D1601)),ABS(D1601-E1601)&gt;$O$3,AND($O$11=1,B1601&lt;$O$12)),1,0)</f>
        <v/>
      </c>
      <c r="I1601">
        <f>IF(H1601=1,NA(),D1601)</f>
        <v/>
      </c>
      <c r="J1601">
        <f>IF(AND(ISNUMBER(D1601),D1601&gt;=$O$4,OR($O$11=0,B1601&gt;=$O$12)),1,0)</f>
        <v/>
      </c>
      <c r="K1601">
        <f>B1601-$O$14</f>
        <v/>
      </c>
    </row>
    <row r="1602">
      <c r="A1602" t="n">
        <v>4800</v>
      </c>
      <c r="B1602" t="n">
        <v>160</v>
      </c>
      <c r="C1602" t="inlineStr">
        <is>
          <t>891</t>
        </is>
      </c>
      <c r="D1602" t="n">
        <v>8.91</v>
      </c>
      <c r="E1602">
        <f>MEDIAN(D1582:D1622)</f>
        <v/>
      </c>
      <c r="F1602">
        <f>E1582</f>
        <v/>
      </c>
      <c r="G1602">
        <f>F1602-E1602</f>
        <v/>
      </c>
      <c r="H1602">
        <f>IF(OR(NOT(ISNUMBER(D1602)),ABS(D1602-E1602)&gt;$O$3,AND($O$11=1,B1602&lt;$O$12)),1,0)</f>
        <v/>
      </c>
      <c r="I1602">
        <f>IF(H1602=1,NA(),D1602)</f>
        <v/>
      </c>
      <c r="J1602">
        <f>IF(AND(ISNUMBER(D1602),D1602&gt;=$O$4,OR($O$11=0,B1602&gt;=$O$12)),1,0)</f>
        <v/>
      </c>
      <c r="K1602">
        <f>B1602-$O$14</f>
        <v/>
      </c>
    </row>
    <row r="1603">
      <c r="A1603" t="n">
        <v>4803</v>
      </c>
      <c r="B1603" t="n">
        <v>160.1</v>
      </c>
      <c r="C1603" t="inlineStr">
        <is>
          <t>891</t>
        </is>
      </c>
      <c r="D1603" t="n">
        <v>8.91</v>
      </c>
      <c r="E1603">
        <f>MEDIAN(D1583:D1623)</f>
        <v/>
      </c>
      <c r="F1603">
        <f>E1583</f>
        <v/>
      </c>
      <c r="G1603">
        <f>F1603-E1603</f>
        <v/>
      </c>
      <c r="H1603">
        <f>IF(OR(NOT(ISNUMBER(D1603)),ABS(D1603-E1603)&gt;$O$3,AND($O$11=1,B1603&lt;$O$12)),1,0)</f>
        <v/>
      </c>
      <c r="I1603">
        <f>IF(H1603=1,NA(),D1603)</f>
        <v/>
      </c>
      <c r="J1603">
        <f>IF(AND(ISNUMBER(D1603),D1603&gt;=$O$4,OR($O$11=0,B1603&gt;=$O$12)),1,0)</f>
        <v/>
      </c>
      <c r="K1603">
        <f>B1603-$O$14</f>
        <v/>
      </c>
    </row>
    <row r="1604">
      <c r="A1604" t="n">
        <v>4806</v>
      </c>
      <c r="B1604" t="n">
        <v>160.2</v>
      </c>
      <c r="C1604" t="inlineStr">
        <is>
          <t>891</t>
        </is>
      </c>
      <c r="D1604" t="n">
        <v>8.91</v>
      </c>
      <c r="E1604">
        <f>MEDIAN(D1584:D1624)</f>
        <v/>
      </c>
      <c r="F1604">
        <f>E1584</f>
        <v/>
      </c>
      <c r="G1604">
        <f>F1604-E1604</f>
        <v/>
      </c>
      <c r="H1604">
        <f>IF(OR(NOT(ISNUMBER(D1604)),ABS(D1604-E1604)&gt;$O$3,AND($O$11=1,B1604&lt;$O$12)),1,0)</f>
        <v/>
      </c>
      <c r="I1604">
        <f>IF(H1604=1,NA(),D1604)</f>
        <v/>
      </c>
      <c r="J1604">
        <f>IF(AND(ISNUMBER(D1604),D1604&gt;=$O$4,OR($O$11=0,B1604&gt;=$O$12)),1,0)</f>
        <v/>
      </c>
      <c r="K1604">
        <f>B1604-$O$14</f>
        <v/>
      </c>
    </row>
    <row r="1605">
      <c r="A1605" t="n">
        <v>4809</v>
      </c>
      <c r="B1605" t="n">
        <v>160.3</v>
      </c>
      <c r="C1605" t="inlineStr">
        <is>
          <t>891</t>
        </is>
      </c>
      <c r="D1605" t="n">
        <v>8.91</v>
      </c>
      <c r="E1605">
        <f>MEDIAN(D1585:D1625)</f>
        <v/>
      </c>
      <c r="F1605">
        <f>E1585</f>
        <v/>
      </c>
      <c r="G1605">
        <f>F1605-E1605</f>
        <v/>
      </c>
      <c r="H1605">
        <f>IF(OR(NOT(ISNUMBER(D1605)),ABS(D1605-E1605)&gt;$O$3,AND($O$11=1,B1605&lt;$O$12)),1,0)</f>
        <v/>
      </c>
      <c r="I1605">
        <f>IF(H1605=1,NA(),D1605)</f>
        <v/>
      </c>
      <c r="J1605">
        <f>IF(AND(ISNUMBER(D1605),D1605&gt;=$O$4,OR($O$11=0,B1605&gt;=$O$12)),1,0)</f>
        <v/>
      </c>
      <c r="K1605">
        <f>B1605-$O$14</f>
        <v/>
      </c>
    </row>
    <row r="1606">
      <c r="A1606" t="n">
        <v>4812</v>
      </c>
      <c r="B1606" t="n">
        <v>160.4</v>
      </c>
      <c r="C1606" t="inlineStr">
        <is>
          <t>891</t>
        </is>
      </c>
      <c r="D1606" t="n">
        <v>8.91</v>
      </c>
      <c r="E1606">
        <f>MEDIAN(D1586:D1626)</f>
        <v/>
      </c>
      <c r="F1606">
        <f>E1586</f>
        <v/>
      </c>
      <c r="G1606">
        <f>F1606-E1606</f>
        <v/>
      </c>
      <c r="H1606">
        <f>IF(OR(NOT(ISNUMBER(D1606)),ABS(D1606-E1606)&gt;$O$3,AND($O$11=1,B1606&lt;$O$12)),1,0)</f>
        <v/>
      </c>
      <c r="I1606">
        <f>IF(H1606=1,NA(),D1606)</f>
        <v/>
      </c>
      <c r="J1606">
        <f>IF(AND(ISNUMBER(D1606),D1606&gt;=$O$4,OR($O$11=0,B1606&gt;=$O$12)),1,0)</f>
        <v/>
      </c>
      <c r="K1606">
        <f>B1606-$O$14</f>
        <v/>
      </c>
    </row>
    <row r="1607">
      <c r="A1607" t="n">
        <v>4815</v>
      </c>
      <c r="B1607" t="n">
        <v>160.5</v>
      </c>
      <c r="C1607" t="inlineStr">
        <is>
          <t>891</t>
        </is>
      </c>
      <c r="D1607" t="n">
        <v>8.91</v>
      </c>
      <c r="E1607">
        <f>MEDIAN(D1587:D1627)</f>
        <v/>
      </c>
      <c r="F1607">
        <f>E1587</f>
        <v/>
      </c>
      <c r="G1607">
        <f>F1607-E1607</f>
        <v/>
      </c>
      <c r="H1607">
        <f>IF(OR(NOT(ISNUMBER(D1607)),ABS(D1607-E1607)&gt;$O$3,AND($O$11=1,B1607&lt;$O$12)),1,0)</f>
        <v/>
      </c>
      <c r="I1607">
        <f>IF(H1607=1,NA(),D1607)</f>
        <v/>
      </c>
      <c r="J1607">
        <f>IF(AND(ISNUMBER(D1607),D1607&gt;=$O$4,OR($O$11=0,B1607&gt;=$O$12)),1,0)</f>
        <v/>
      </c>
      <c r="K1607">
        <f>B1607-$O$14</f>
        <v/>
      </c>
    </row>
    <row r="1608">
      <c r="A1608" t="n">
        <v>4818</v>
      </c>
      <c r="B1608" t="n">
        <v>160.6</v>
      </c>
      <c r="C1608" t="inlineStr">
        <is>
          <t>892</t>
        </is>
      </c>
      <c r="D1608" t="n">
        <v>8.92</v>
      </c>
      <c r="E1608">
        <f>MEDIAN(D1588:D1628)</f>
        <v/>
      </c>
      <c r="F1608">
        <f>E1588</f>
        <v/>
      </c>
      <c r="G1608">
        <f>F1608-E1608</f>
        <v/>
      </c>
      <c r="H1608">
        <f>IF(OR(NOT(ISNUMBER(D1608)),ABS(D1608-E1608)&gt;$O$3,AND($O$11=1,B1608&lt;$O$12)),1,0)</f>
        <v/>
      </c>
      <c r="I1608">
        <f>IF(H1608=1,NA(),D1608)</f>
        <v/>
      </c>
      <c r="J1608">
        <f>IF(AND(ISNUMBER(D1608),D1608&gt;=$O$4,OR($O$11=0,B1608&gt;=$O$12)),1,0)</f>
        <v/>
      </c>
      <c r="K1608">
        <f>B1608-$O$14</f>
        <v/>
      </c>
    </row>
    <row r="1609">
      <c r="A1609" t="n">
        <v>4821</v>
      </c>
      <c r="B1609" t="n">
        <v>160.7</v>
      </c>
      <c r="C1609" t="inlineStr">
        <is>
          <t>892</t>
        </is>
      </c>
      <c r="D1609" t="n">
        <v>8.92</v>
      </c>
      <c r="E1609">
        <f>MEDIAN(D1589:D1629)</f>
        <v/>
      </c>
      <c r="F1609">
        <f>E1589</f>
        <v/>
      </c>
      <c r="G1609">
        <f>F1609-E1609</f>
        <v/>
      </c>
      <c r="H1609">
        <f>IF(OR(NOT(ISNUMBER(D1609)),ABS(D1609-E1609)&gt;$O$3,AND($O$11=1,B1609&lt;$O$12)),1,0)</f>
        <v/>
      </c>
      <c r="I1609">
        <f>IF(H1609=1,NA(),D1609)</f>
        <v/>
      </c>
      <c r="J1609">
        <f>IF(AND(ISNUMBER(D1609),D1609&gt;=$O$4,OR($O$11=0,B1609&gt;=$O$12)),1,0)</f>
        <v/>
      </c>
      <c r="K1609">
        <f>B1609-$O$14</f>
        <v/>
      </c>
    </row>
    <row r="1610">
      <c r="A1610" t="n">
        <v>4824</v>
      </c>
      <c r="B1610" t="n">
        <v>160.8</v>
      </c>
      <c r="C1610" t="inlineStr">
        <is>
          <t>892</t>
        </is>
      </c>
      <c r="D1610" t="n">
        <v>8.92</v>
      </c>
      <c r="E1610">
        <f>MEDIAN(D1590:D1630)</f>
        <v/>
      </c>
      <c r="F1610">
        <f>E1590</f>
        <v/>
      </c>
      <c r="G1610">
        <f>F1610-E1610</f>
        <v/>
      </c>
      <c r="H1610">
        <f>IF(OR(NOT(ISNUMBER(D1610)),ABS(D1610-E1610)&gt;$O$3,AND($O$11=1,B1610&lt;$O$12)),1,0)</f>
        <v/>
      </c>
      <c r="I1610">
        <f>IF(H1610=1,NA(),D1610)</f>
        <v/>
      </c>
      <c r="J1610">
        <f>IF(AND(ISNUMBER(D1610),D1610&gt;=$O$4,OR($O$11=0,B1610&gt;=$O$12)),1,0)</f>
        <v/>
      </c>
      <c r="K1610">
        <f>B1610-$O$14</f>
        <v/>
      </c>
    </row>
    <row r="1611">
      <c r="A1611" t="n">
        <v>4827</v>
      </c>
      <c r="B1611" t="n">
        <v>160.9</v>
      </c>
      <c r="C1611" t="inlineStr">
        <is>
          <t>892</t>
        </is>
      </c>
      <c r="D1611" t="n">
        <v>8.92</v>
      </c>
      <c r="E1611">
        <f>MEDIAN(D1591:D1631)</f>
        <v/>
      </c>
      <c r="F1611">
        <f>E1591</f>
        <v/>
      </c>
      <c r="G1611">
        <f>F1611-E1611</f>
        <v/>
      </c>
      <c r="H1611">
        <f>IF(OR(NOT(ISNUMBER(D1611)),ABS(D1611-E1611)&gt;$O$3,AND($O$11=1,B1611&lt;$O$12)),1,0)</f>
        <v/>
      </c>
      <c r="I1611">
        <f>IF(H1611=1,NA(),D1611)</f>
        <v/>
      </c>
      <c r="J1611">
        <f>IF(AND(ISNUMBER(D1611),D1611&gt;=$O$4,OR($O$11=0,B1611&gt;=$O$12)),1,0)</f>
        <v/>
      </c>
      <c r="K1611">
        <f>B1611-$O$14</f>
        <v/>
      </c>
    </row>
    <row r="1612">
      <c r="A1612" t="n">
        <v>4830</v>
      </c>
      <c r="B1612" t="n">
        <v>161</v>
      </c>
      <c r="C1612" t="inlineStr">
        <is>
          <t>892</t>
        </is>
      </c>
      <c r="D1612" t="n">
        <v>8.92</v>
      </c>
      <c r="E1612">
        <f>MEDIAN(D1592:D1632)</f>
        <v/>
      </c>
      <c r="F1612">
        <f>E1592</f>
        <v/>
      </c>
      <c r="G1612">
        <f>F1612-E1612</f>
        <v/>
      </c>
      <c r="H1612">
        <f>IF(OR(NOT(ISNUMBER(D1612)),ABS(D1612-E1612)&gt;$O$3,AND($O$11=1,B1612&lt;$O$12)),1,0)</f>
        <v/>
      </c>
      <c r="I1612">
        <f>IF(H1612=1,NA(),D1612)</f>
        <v/>
      </c>
      <c r="J1612">
        <f>IF(AND(ISNUMBER(D1612),D1612&gt;=$O$4,OR($O$11=0,B1612&gt;=$O$12)),1,0)</f>
        <v/>
      </c>
      <c r="K1612">
        <f>B1612-$O$14</f>
        <v/>
      </c>
    </row>
    <row r="1613">
      <c r="A1613" t="n">
        <v>4833</v>
      </c>
      <c r="B1613" t="n">
        <v>161.1</v>
      </c>
      <c r="C1613" t="inlineStr">
        <is>
          <t>892</t>
        </is>
      </c>
      <c r="D1613" t="n">
        <v>8.92</v>
      </c>
      <c r="E1613">
        <f>MEDIAN(D1593:D1633)</f>
        <v/>
      </c>
      <c r="F1613">
        <f>E1593</f>
        <v/>
      </c>
      <c r="G1613">
        <f>F1613-E1613</f>
        <v/>
      </c>
      <c r="H1613">
        <f>IF(OR(NOT(ISNUMBER(D1613)),ABS(D1613-E1613)&gt;$O$3,AND($O$11=1,B1613&lt;$O$12)),1,0)</f>
        <v/>
      </c>
      <c r="I1613">
        <f>IF(H1613=1,NA(),D1613)</f>
        <v/>
      </c>
      <c r="J1613">
        <f>IF(AND(ISNUMBER(D1613),D1613&gt;=$O$4,OR($O$11=0,B1613&gt;=$O$12)),1,0)</f>
        <v/>
      </c>
      <c r="K1613">
        <f>B1613-$O$14</f>
        <v/>
      </c>
    </row>
    <row r="1614">
      <c r="A1614" t="n">
        <v>4836</v>
      </c>
      <c r="B1614" t="n">
        <v>161.2</v>
      </c>
      <c r="C1614" t="inlineStr">
        <is>
          <t>892</t>
        </is>
      </c>
      <c r="D1614" t="n">
        <v>8.92</v>
      </c>
      <c r="E1614">
        <f>MEDIAN(D1594:D1634)</f>
        <v/>
      </c>
      <c r="F1614">
        <f>E1594</f>
        <v/>
      </c>
      <c r="G1614">
        <f>F1614-E1614</f>
        <v/>
      </c>
      <c r="H1614">
        <f>IF(OR(NOT(ISNUMBER(D1614)),ABS(D1614-E1614)&gt;$O$3,AND($O$11=1,B1614&lt;$O$12)),1,0)</f>
        <v/>
      </c>
      <c r="I1614">
        <f>IF(H1614=1,NA(),D1614)</f>
        <v/>
      </c>
      <c r="J1614">
        <f>IF(AND(ISNUMBER(D1614),D1614&gt;=$O$4,OR($O$11=0,B1614&gt;=$O$12)),1,0)</f>
        <v/>
      </c>
      <c r="K1614">
        <f>B1614-$O$14</f>
        <v/>
      </c>
    </row>
    <row r="1615">
      <c r="A1615" t="n">
        <v>4839</v>
      </c>
      <c r="B1615" t="n">
        <v>161.3</v>
      </c>
      <c r="C1615" t="inlineStr">
        <is>
          <t>893</t>
        </is>
      </c>
      <c r="D1615" t="n">
        <v>8.93</v>
      </c>
      <c r="E1615">
        <f>MEDIAN(D1595:D1635)</f>
        <v/>
      </c>
      <c r="F1615">
        <f>E1595</f>
        <v/>
      </c>
      <c r="G1615">
        <f>F1615-E1615</f>
        <v/>
      </c>
      <c r="H1615">
        <f>IF(OR(NOT(ISNUMBER(D1615)),ABS(D1615-E1615)&gt;$O$3,AND($O$11=1,B1615&lt;$O$12)),1,0)</f>
        <v/>
      </c>
      <c r="I1615">
        <f>IF(H1615=1,NA(),D1615)</f>
        <v/>
      </c>
      <c r="J1615">
        <f>IF(AND(ISNUMBER(D1615),D1615&gt;=$O$4,OR($O$11=0,B1615&gt;=$O$12)),1,0)</f>
        <v/>
      </c>
      <c r="K1615">
        <f>B1615-$O$14</f>
        <v/>
      </c>
    </row>
    <row r="1616">
      <c r="A1616" t="n">
        <v>4842</v>
      </c>
      <c r="B1616" t="n">
        <v>161.4</v>
      </c>
      <c r="C1616" t="inlineStr">
        <is>
          <t>893</t>
        </is>
      </c>
      <c r="D1616" t="n">
        <v>8.93</v>
      </c>
      <c r="E1616">
        <f>MEDIAN(D1596:D1636)</f>
        <v/>
      </c>
      <c r="F1616">
        <f>E1596</f>
        <v/>
      </c>
      <c r="G1616">
        <f>F1616-E1616</f>
        <v/>
      </c>
      <c r="H1616">
        <f>IF(OR(NOT(ISNUMBER(D1616)),ABS(D1616-E1616)&gt;$O$3,AND($O$11=1,B1616&lt;$O$12)),1,0)</f>
        <v/>
      </c>
      <c r="I1616">
        <f>IF(H1616=1,NA(),D1616)</f>
        <v/>
      </c>
      <c r="J1616">
        <f>IF(AND(ISNUMBER(D1616),D1616&gt;=$O$4,OR($O$11=0,B1616&gt;=$O$12)),1,0)</f>
        <v/>
      </c>
      <c r="K1616">
        <f>B1616-$O$14</f>
        <v/>
      </c>
    </row>
    <row r="1617">
      <c r="A1617" t="n">
        <v>4845</v>
      </c>
      <c r="B1617" t="n">
        <v>161.5</v>
      </c>
      <c r="C1617" t="inlineStr">
        <is>
          <t>895</t>
        </is>
      </c>
      <c r="D1617" t="n">
        <v>8.949999999999999</v>
      </c>
      <c r="E1617">
        <f>MEDIAN(D1597:D1637)</f>
        <v/>
      </c>
      <c r="F1617">
        <f>E1597</f>
        <v/>
      </c>
      <c r="G1617">
        <f>F1617-E1617</f>
        <v/>
      </c>
      <c r="H1617">
        <f>IF(OR(NOT(ISNUMBER(D1617)),ABS(D1617-E1617)&gt;$O$3,AND($O$11=1,B1617&lt;$O$12)),1,0)</f>
        <v/>
      </c>
      <c r="I1617">
        <f>IF(H1617=1,NA(),D1617)</f>
        <v/>
      </c>
      <c r="J1617">
        <f>IF(AND(ISNUMBER(D1617),D1617&gt;=$O$4,OR($O$11=0,B1617&gt;=$O$12)),1,0)</f>
        <v/>
      </c>
      <c r="K1617">
        <f>B1617-$O$14</f>
        <v/>
      </c>
    </row>
    <row r="1618">
      <c r="A1618" t="n">
        <v>4848</v>
      </c>
      <c r="B1618" t="n">
        <v>161.6</v>
      </c>
      <c r="C1618" t="inlineStr">
        <is>
          <t>895</t>
        </is>
      </c>
      <c r="D1618" t="n">
        <v>8.949999999999999</v>
      </c>
      <c r="E1618">
        <f>MEDIAN(D1598:D1638)</f>
        <v/>
      </c>
      <c r="F1618">
        <f>E1598</f>
        <v/>
      </c>
      <c r="G1618">
        <f>F1618-E1618</f>
        <v/>
      </c>
      <c r="H1618">
        <f>IF(OR(NOT(ISNUMBER(D1618)),ABS(D1618-E1618)&gt;$O$3,AND($O$11=1,B1618&lt;$O$12)),1,0)</f>
        <v/>
      </c>
      <c r="I1618">
        <f>IF(H1618=1,NA(),D1618)</f>
        <v/>
      </c>
      <c r="J1618">
        <f>IF(AND(ISNUMBER(D1618),D1618&gt;=$O$4,OR($O$11=0,B1618&gt;=$O$12)),1,0)</f>
        <v/>
      </c>
      <c r="K1618">
        <f>B1618-$O$14</f>
        <v/>
      </c>
    </row>
    <row r="1619">
      <c r="A1619" t="n">
        <v>4851</v>
      </c>
      <c r="B1619" t="n">
        <v>161.7</v>
      </c>
      <c r="C1619" t="inlineStr">
        <is>
          <t>895</t>
        </is>
      </c>
      <c r="D1619" t="n">
        <v>8.949999999999999</v>
      </c>
      <c r="E1619">
        <f>MEDIAN(D1599:D1639)</f>
        <v/>
      </c>
      <c r="F1619">
        <f>E1599</f>
        <v/>
      </c>
      <c r="G1619">
        <f>F1619-E1619</f>
        <v/>
      </c>
      <c r="H1619">
        <f>IF(OR(NOT(ISNUMBER(D1619)),ABS(D1619-E1619)&gt;$O$3,AND($O$11=1,B1619&lt;$O$12)),1,0)</f>
        <v/>
      </c>
      <c r="I1619">
        <f>IF(H1619=1,NA(),D1619)</f>
        <v/>
      </c>
      <c r="J1619">
        <f>IF(AND(ISNUMBER(D1619),D1619&gt;=$O$4,OR($O$11=0,B1619&gt;=$O$12)),1,0)</f>
        <v/>
      </c>
      <c r="K1619">
        <f>B1619-$O$14</f>
        <v/>
      </c>
    </row>
    <row r="1620">
      <c r="A1620" t="n">
        <v>4854</v>
      </c>
      <c r="B1620" t="n">
        <v>161.8</v>
      </c>
      <c r="C1620" t="inlineStr">
        <is>
          <t>894</t>
        </is>
      </c>
      <c r="D1620" t="n">
        <v>8.94</v>
      </c>
      <c r="E1620">
        <f>MEDIAN(D1600:D1640)</f>
        <v/>
      </c>
      <c r="F1620">
        <f>E1600</f>
        <v/>
      </c>
      <c r="G1620">
        <f>F1620-E1620</f>
        <v/>
      </c>
      <c r="H1620">
        <f>IF(OR(NOT(ISNUMBER(D1620)),ABS(D1620-E1620)&gt;$O$3,AND($O$11=1,B1620&lt;$O$12)),1,0)</f>
        <v/>
      </c>
      <c r="I1620">
        <f>IF(H1620=1,NA(),D1620)</f>
        <v/>
      </c>
      <c r="J1620">
        <f>IF(AND(ISNUMBER(D1620),D1620&gt;=$O$4,OR($O$11=0,B1620&gt;=$O$12)),1,0)</f>
        <v/>
      </c>
      <c r="K1620">
        <f>B1620-$O$14</f>
        <v/>
      </c>
    </row>
    <row r="1621">
      <c r="A1621" t="n">
        <v>4857</v>
      </c>
      <c r="B1621" t="n">
        <v>161.9</v>
      </c>
      <c r="C1621" t="inlineStr">
        <is>
          <t>894</t>
        </is>
      </c>
      <c r="D1621" t="n">
        <v>8.94</v>
      </c>
      <c r="E1621">
        <f>MEDIAN(D1601:D1641)</f>
        <v/>
      </c>
      <c r="F1621">
        <f>E1601</f>
        <v/>
      </c>
      <c r="G1621">
        <f>F1621-E1621</f>
        <v/>
      </c>
      <c r="H1621">
        <f>IF(OR(NOT(ISNUMBER(D1621)),ABS(D1621-E1621)&gt;$O$3,AND($O$11=1,B1621&lt;$O$12)),1,0)</f>
        <v/>
      </c>
      <c r="I1621">
        <f>IF(H1621=1,NA(),D1621)</f>
        <v/>
      </c>
      <c r="J1621">
        <f>IF(AND(ISNUMBER(D1621),D1621&gt;=$O$4,OR($O$11=0,B1621&gt;=$O$12)),1,0)</f>
        <v/>
      </c>
      <c r="K1621">
        <f>B1621-$O$14</f>
        <v/>
      </c>
    </row>
    <row r="1622">
      <c r="A1622" t="n">
        <v>4860</v>
      </c>
      <c r="B1622" t="n">
        <v>162</v>
      </c>
      <c r="C1622" t="inlineStr">
        <is>
          <t>894</t>
        </is>
      </c>
      <c r="D1622" t="n">
        <v>8.94</v>
      </c>
      <c r="E1622">
        <f>MEDIAN(D1602:D1642)</f>
        <v/>
      </c>
      <c r="F1622">
        <f>E1602</f>
        <v/>
      </c>
      <c r="G1622">
        <f>F1622-E1622</f>
        <v/>
      </c>
      <c r="H1622">
        <f>IF(OR(NOT(ISNUMBER(D1622)),ABS(D1622-E1622)&gt;$O$3,AND($O$11=1,B1622&lt;$O$12)),1,0)</f>
        <v/>
      </c>
      <c r="I1622">
        <f>IF(H1622=1,NA(),D1622)</f>
        <v/>
      </c>
      <c r="J1622">
        <f>IF(AND(ISNUMBER(D1622),D1622&gt;=$O$4,OR($O$11=0,B1622&gt;=$O$12)),1,0)</f>
        <v/>
      </c>
      <c r="K1622">
        <f>B1622-$O$14</f>
        <v/>
      </c>
    </row>
    <row r="1623">
      <c r="A1623" t="n">
        <v>4863</v>
      </c>
      <c r="B1623" t="n">
        <v>162.1</v>
      </c>
      <c r="C1623" t="inlineStr">
        <is>
          <t>894</t>
        </is>
      </c>
      <c r="D1623" t="n">
        <v>8.94</v>
      </c>
      <c r="E1623">
        <f>MEDIAN(D1603:D1643)</f>
        <v/>
      </c>
      <c r="F1623">
        <f>E1603</f>
        <v/>
      </c>
      <c r="G1623">
        <f>F1623-E1623</f>
        <v/>
      </c>
      <c r="H1623">
        <f>IF(OR(NOT(ISNUMBER(D1623)),ABS(D1623-E1623)&gt;$O$3,AND($O$11=1,B1623&lt;$O$12)),1,0)</f>
        <v/>
      </c>
      <c r="I1623">
        <f>IF(H1623=1,NA(),D1623)</f>
        <v/>
      </c>
      <c r="J1623">
        <f>IF(AND(ISNUMBER(D1623),D1623&gt;=$O$4,OR($O$11=0,B1623&gt;=$O$12)),1,0)</f>
        <v/>
      </c>
      <c r="K1623">
        <f>B1623-$O$14</f>
        <v/>
      </c>
    </row>
    <row r="1624">
      <c r="A1624" t="n">
        <v>4866</v>
      </c>
      <c r="B1624" t="n">
        <v>162.2</v>
      </c>
      <c r="C1624" t="inlineStr">
        <is>
          <t>894</t>
        </is>
      </c>
      <c r="D1624" t="n">
        <v>8.94</v>
      </c>
      <c r="E1624">
        <f>MEDIAN(D1604:D1644)</f>
        <v/>
      </c>
      <c r="F1624">
        <f>E1604</f>
        <v/>
      </c>
      <c r="G1624">
        <f>F1624-E1624</f>
        <v/>
      </c>
      <c r="H1624">
        <f>IF(OR(NOT(ISNUMBER(D1624)),ABS(D1624-E1624)&gt;$O$3,AND($O$11=1,B1624&lt;$O$12)),1,0)</f>
        <v/>
      </c>
      <c r="I1624">
        <f>IF(H1624=1,NA(),D1624)</f>
        <v/>
      </c>
      <c r="J1624">
        <f>IF(AND(ISNUMBER(D1624),D1624&gt;=$O$4,OR($O$11=0,B1624&gt;=$O$12)),1,0)</f>
        <v/>
      </c>
      <c r="K1624">
        <f>B1624-$O$14</f>
        <v/>
      </c>
    </row>
    <row r="1625">
      <c r="A1625" t="n">
        <v>4869</v>
      </c>
      <c r="B1625" t="n">
        <v>162.3</v>
      </c>
      <c r="C1625" t="inlineStr">
        <is>
          <t>894</t>
        </is>
      </c>
      <c r="D1625" t="n">
        <v>8.94</v>
      </c>
      <c r="E1625">
        <f>MEDIAN(D1605:D1645)</f>
        <v/>
      </c>
      <c r="F1625">
        <f>E1605</f>
        <v/>
      </c>
      <c r="G1625">
        <f>F1625-E1625</f>
        <v/>
      </c>
      <c r="H1625">
        <f>IF(OR(NOT(ISNUMBER(D1625)),ABS(D1625-E1625)&gt;$O$3,AND($O$11=1,B1625&lt;$O$12)),1,0)</f>
        <v/>
      </c>
      <c r="I1625">
        <f>IF(H1625=1,NA(),D1625)</f>
        <v/>
      </c>
      <c r="J1625">
        <f>IF(AND(ISNUMBER(D1625),D1625&gt;=$O$4,OR($O$11=0,B1625&gt;=$O$12)),1,0)</f>
        <v/>
      </c>
      <c r="K1625">
        <f>B1625-$O$14</f>
        <v/>
      </c>
    </row>
    <row r="1626">
      <c r="A1626" t="n">
        <v>4872</v>
      </c>
      <c r="B1626" t="n">
        <v>162.4</v>
      </c>
      <c r="C1626" t="inlineStr">
        <is>
          <t>894</t>
        </is>
      </c>
      <c r="D1626" t="n">
        <v>8.94</v>
      </c>
      <c r="E1626">
        <f>MEDIAN(D1606:D1646)</f>
        <v/>
      </c>
      <c r="F1626">
        <f>E1606</f>
        <v/>
      </c>
      <c r="G1626">
        <f>F1626-E1626</f>
        <v/>
      </c>
      <c r="H1626">
        <f>IF(OR(NOT(ISNUMBER(D1626)),ABS(D1626-E1626)&gt;$O$3,AND($O$11=1,B1626&lt;$O$12)),1,0)</f>
        <v/>
      </c>
      <c r="I1626">
        <f>IF(H1626=1,NA(),D1626)</f>
        <v/>
      </c>
      <c r="J1626">
        <f>IF(AND(ISNUMBER(D1626),D1626&gt;=$O$4,OR($O$11=0,B1626&gt;=$O$12)),1,0)</f>
        <v/>
      </c>
      <c r="K1626">
        <f>B1626-$O$14</f>
        <v/>
      </c>
    </row>
    <row r="1627">
      <c r="A1627" t="n">
        <v>4875</v>
      </c>
      <c r="B1627" t="n">
        <v>162.5</v>
      </c>
      <c r="C1627" t="inlineStr">
        <is>
          <t>894</t>
        </is>
      </c>
      <c r="D1627" t="n">
        <v>8.94</v>
      </c>
      <c r="E1627">
        <f>MEDIAN(D1607:D1647)</f>
        <v/>
      </c>
      <c r="F1627">
        <f>E1607</f>
        <v/>
      </c>
      <c r="G1627">
        <f>F1627-E1627</f>
        <v/>
      </c>
      <c r="H1627">
        <f>IF(OR(NOT(ISNUMBER(D1627)),ABS(D1627-E1627)&gt;$O$3,AND($O$11=1,B1627&lt;$O$12)),1,0)</f>
        <v/>
      </c>
      <c r="I1627">
        <f>IF(H1627=1,NA(),D1627)</f>
        <v/>
      </c>
      <c r="J1627">
        <f>IF(AND(ISNUMBER(D1627),D1627&gt;=$O$4,OR($O$11=0,B1627&gt;=$O$12)),1,0)</f>
        <v/>
      </c>
      <c r="K1627">
        <f>B1627-$O$14</f>
        <v/>
      </c>
    </row>
    <row r="1628">
      <c r="A1628" t="n">
        <v>4878</v>
      </c>
      <c r="B1628" t="n">
        <v>162.6</v>
      </c>
      <c r="C1628" t="inlineStr">
        <is>
          <t>894</t>
        </is>
      </c>
      <c r="D1628" t="n">
        <v>8.94</v>
      </c>
      <c r="E1628">
        <f>MEDIAN(D1608:D1648)</f>
        <v/>
      </c>
      <c r="F1628">
        <f>E1608</f>
        <v/>
      </c>
      <c r="G1628">
        <f>F1628-E1628</f>
        <v/>
      </c>
      <c r="H1628">
        <f>IF(OR(NOT(ISNUMBER(D1628)),ABS(D1628-E1628)&gt;$O$3,AND($O$11=1,B1628&lt;$O$12)),1,0)</f>
        <v/>
      </c>
      <c r="I1628">
        <f>IF(H1628=1,NA(),D1628)</f>
        <v/>
      </c>
      <c r="J1628">
        <f>IF(AND(ISNUMBER(D1628),D1628&gt;=$O$4,OR($O$11=0,B1628&gt;=$O$12)),1,0)</f>
        <v/>
      </c>
      <c r="K1628">
        <f>B1628-$O$14</f>
        <v/>
      </c>
    </row>
    <row r="1629">
      <c r="A1629" t="n">
        <v>4881</v>
      </c>
      <c r="B1629" t="n">
        <v>162.7</v>
      </c>
      <c r="C1629" t="inlineStr">
        <is>
          <t>894</t>
        </is>
      </c>
      <c r="D1629" t="n">
        <v>8.94</v>
      </c>
      <c r="E1629">
        <f>MEDIAN(D1609:D1649)</f>
        <v/>
      </c>
      <c r="F1629">
        <f>E1609</f>
        <v/>
      </c>
      <c r="G1629">
        <f>F1629-E1629</f>
        <v/>
      </c>
      <c r="H1629">
        <f>IF(OR(NOT(ISNUMBER(D1629)),ABS(D1629-E1629)&gt;$O$3,AND($O$11=1,B1629&lt;$O$12)),1,0)</f>
        <v/>
      </c>
      <c r="I1629">
        <f>IF(H1629=1,NA(),D1629)</f>
        <v/>
      </c>
      <c r="J1629">
        <f>IF(AND(ISNUMBER(D1629),D1629&gt;=$O$4,OR($O$11=0,B1629&gt;=$O$12)),1,0)</f>
        <v/>
      </c>
      <c r="K1629">
        <f>B1629-$O$14</f>
        <v/>
      </c>
    </row>
    <row r="1630">
      <c r="A1630" t="n">
        <v>4884</v>
      </c>
      <c r="B1630" t="n">
        <v>162.8</v>
      </c>
      <c r="C1630" t="inlineStr">
        <is>
          <t>894</t>
        </is>
      </c>
      <c r="D1630" t="n">
        <v>8.94</v>
      </c>
      <c r="E1630">
        <f>MEDIAN(D1610:D1650)</f>
        <v/>
      </c>
      <c r="F1630">
        <f>E1610</f>
        <v/>
      </c>
      <c r="G1630">
        <f>F1630-E1630</f>
        <v/>
      </c>
      <c r="H1630">
        <f>IF(OR(NOT(ISNUMBER(D1630)),ABS(D1630-E1630)&gt;$O$3,AND($O$11=1,B1630&lt;$O$12)),1,0)</f>
        <v/>
      </c>
      <c r="I1630">
        <f>IF(H1630=1,NA(),D1630)</f>
        <v/>
      </c>
      <c r="J1630">
        <f>IF(AND(ISNUMBER(D1630),D1630&gt;=$O$4,OR($O$11=0,B1630&gt;=$O$12)),1,0)</f>
        <v/>
      </c>
      <c r="K1630">
        <f>B1630-$O$14</f>
        <v/>
      </c>
    </row>
    <row r="1631">
      <c r="A1631" t="n">
        <v>4887</v>
      </c>
      <c r="B1631" t="n">
        <v>162.9</v>
      </c>
      <c r="C1631" t="inlineStr">
        <is>
          <t>894</t>
        </is>
      </c>
      <c r="D1631" t="n">
        <v>8.94</v>
      </c>
      <c r="E1631">
        <f>MEDIAN(D1611:D1651)</f>
        <v/>
      </c>
      <c r="F1631">
        <f>E1611</f>
        <v/>
      </c>
      <c r="G1631">
        <f>F1631-E1631</f>
        <v/>
      </c>
      <c r="H1631">
        <f>IF(OR(NOT(ISNUMBER(D1631)),ABS(D1631-E1631)&gt;$O$3,AND($O$11=1,B1631&lt;$O$12)),1,0)</f>
        <v/>
      </c>
      <c r="I1631">
        <f>IF(H1631=1,NA(),D1631)</f>
        <v/>
      </c>
      <c r="J1631">
        <f>IF(AND(ISNUMBER(D1631),D1631&gt;=$O$4,OR($O$11=0,B1631&gt;=$O$12)),1,0)</f>
        <v/>
      </c>
      <c r="K1631">
        <f>B1631-$O$14</f>
        <v/>
      </c>
    </row>
    <row r="1632">
      <c r="A1632" t="n">
        <v>4890</v>
      </c>
      <c r="B1632" t="n">
        <v>163</v>
      </c>
      <c r="C1632" t="inlineStr">
        <is>
          <t>894</t>
        </is>
      </c>
      <c r="D1632" t="n">
        <v>8.94</v>
      </c>
      <c r="E1632">
        <f>MEDIAN(D1612:D1652)</f>
        <v/>
      </c>
      <c r="F1632">
        <f>E1612</f>
        <v/>
      </c>
      <c r="G1632">
        <f>F1632-E1632</f>
        <v/>
      </c>
      <c r="H1632">
        <f>IF(OR(NOT(ISNUMBER(D1632)),ABS(D1632-E1632)&gt;$O$3,AND($O$11=1,B1632&lt;$O$12)),1,0)</f>
        <v/>
      </c>
      <c r="I1632">
        <f>IF(H1632=1,NA(),D1632)</f>
        <v/>
      </c>
      <c r="J1632">
        <f>IF(AND(ISNUMBER(D1632),D1632&gt;=$O$4,OR($O$11=0,B1632&gt;=$O$12)),1,0)</f>
        <v/>
      </c>
      <c r="K1632">
        <f>B1632-$O$14</f>
        <v/>
      </c>
    </row>
    <row r="1633">
      <c r="A1633" t="n">
        <v>4893</v>
      </c>
      <c r="B1633" t="n">
        <v>163.1</v>
      </c>
      <c r="C1633" t="inlineStr">
        <is>
          <t>894</t>
        </is>
      </c>
      <c r="D1633" t="n">
        <v>8.94</v>
      </c>
      <c r="E1633">
        <f>MEDIAN(D1613:D1653)</f>
        <v/>
      </c>
      <c r="F1633">
        <f>E1613</f>
        <v/>
      </c>
      <c r="G1633">
        <f>F1633-E1633</f>
        <v/>
      </c>
      <c r="H1633">
        <f>IF(OR(NOT(ISNUMBER(D1633)),ABS(D1633-E1633)&gt;$O$3,AND($O$11=1,B1633&lt;$O$12)),1,0)</f>
        <v/>
      </c>
      <c r="I1633">
        <f>IF(H1633=1,NA(),D1633)</f>
        <v/>
      </c>
      <c r="J1633">
        <f>IF(AND(ISNUMBER(D1633),D1633&gt;=$O$4,OR($O$11=0,B1633&gt;=$O$12)),1,0)</f>
        <v/>
      </c>
      <c r="K1633">
        <f>B1633-$O$14</f>
        <v/>
      </c>
    </row>
    <row r="1634">
      <c r="A1634" t="n">
        <v>4896</v>
      </c>
      <c r="B1634" t="n">
        <v>163.2</v>
      </c>
      <c r="C1634" t="inlineStr">
        <is>
          <t>894</t>
        </is>
      </c>
      <c r="D1634" t="n">
        <v>8.94</v>
      </c>
      <c r="E1634">
        <f>MEDIAN(D1614:D1654)</f>
        <v/>
      </c>
      <c r="F1634">
        <f>E1614</f>
        <v/>
      </c>
      <c r="G1634">
        <f>F1634-E1634</f>
        <v/>
      </c>
      <c r="H1634">
        <f>IF(OR(NOT(ISNUMBER(D1634)),ABS(D1634-E1634)&gt;$O$3,AND($O$11=1,B1634&lt;$O$12)),1,0)</f>
        <v/>
      </c>
      <c r="I1634">
        <f>IF(H1634=1,NA(),D1634)</f>
        <v/>
      </c>
      <c r="J1634">
        <f>IF(AND(ISNUMBER(D1634),D1634&gt;=$O$4,OR($O$11=0,B1634&gt;=$O$12)),1,0)</f>
        <v/>
      </c>
      <c r="K1634">
        <f>B1634-$O$14</f>
        <v/>
      </c>
    </row>
    <row r="1635">
      <c r="A1635" t="n">
        <v>4899</v>
      </c>
      <c r="B1635" t="n">
        <v>163.3</v>
      </c>
      <c r="C1635" t="inlineStr">
        <is>
          <t>894</t>
        </is>
      </c>
      <c r="D1635" t="n">
        <v>8.94</v>
      </c>
      <c r="E1635">
        <f>MEDIAN(D1615:D1655)</f>
        <v/>
      </c>
      <c r="F1635">
        <f>E1615</f>
        <v/>
      </c>
      <c r="G1635">
        <f>F1635-E1635</f>
        <v/>
      </c>
      <c r="H1635">
        <f>IF(OR(NOT(ISNUMBER(D1635)),ABS(D1635-E1635)&gt;$O$3,AND($O$11=1,B1635&lt;$O$12)),1,0)</f>
        <v/>
      </c>
      <c r="I1635">
        <f>IF(H1635=1,NA(),D1635)</f>
        <v/>
      </c>
      <c r="J1635">
        <f>IF(AND(ISNUMBER(D1635),D1635&gt;=$O$4,OR($O$11=0,B1635&gt;=$O$12)),1,0)</f>
        <v/>
      </c>
      <c r="K1635">
        <f>B1635-$O$14</f>
        <v/>
      </c>
    </row>
    <row r="1636">
      <c r="A1636" t="n">
        <v>4902</v>
      </c>
      <c r="B1636" t="n">
        <v>163.4</v>
      </c>
      <c r="C1636" t="inlineStr">
        <is>
          <t>894</t>
        </is>
      </c>
      <c r="D1636" t="n">
        <v>8.94</v>
      </c>
      <c r="E1636">
        <f>MEDIAN(D1616:D1656)</f>
        <v/>
      </c>
      <c r="F1636">
        <f>E1616</f>
        <v/>
      </c>
      <c r="G1636">
        <f>F1636-E1636</f>
        <v/>
      </c>
      <c r="H1636">
        <f>IF(OR(NOT(ISNUMBER(D1636)),ABS(D1636-E1636)&gt;$O$3,AND($O$11=1,B1636&lt;$O$12)),1,0)</f>
        <v/>
      </c>
      <c r="I1636">
        <f>IF(H1636=1,NA(),D1636)</f>
        <v/>
      </c>
      <c r="J1636">
        <f>IF(AND(ISNUMBER(D1636),D1636&gt;=$O$4,OR($O$11=0,B1636&gt;=$O$12)),1,0)</f>
        <v/>
      </c>
      <c r="K1636">
        <f>B1636-$O$14</f>
        <v/>
      </c>
    </row>
    <row r="1637">
      <c r="A1637" t="n">
        <v>4905</v>
      </c>
      <c r="B1637" t="n">
        <v>163.5</v>
      </c>
      <c r="C1637" t="inlineStr">
        <is>
          <t>895</t>
        </is>
      </c>
      <c r="D1637" t="n">
        <v>8.949999999999999</v>
      </c>
      <c r="E1637">
        <f>MEDIAN(D1617:D1657)</f>
        <v/>
      </c>
      <c r="F1637">
        <f>E1617</f>
        <v/>
      </c>
      <c r="G1637">
        <f>F1637-E1637</f>
        <v/>
      </c>
      <c r="H1637">
        <f>IF(OR(NOT(ISNUMBER(D1637)),ABS(D1637-E1637)&gt;$O$3,AND($O$11=1,B1637&lt;$O$12)),1,0)</f>
        <v/>
      </c>
      <c r="I1637">
        <f>IF(H1637=1,NA(),D1637)</f>
        <v/>
      </c>
      <c r="J1637">
        <f>IF(AND(ISNUMBER(D1637),D1637&gt;=$O$4,OR($O$11=0,B1637&gt;=$O$12)),1,0)</f>
        <v/>
      </c>
      <c r="K1637">
        <f>B1637-$O$14</f>
        <v/>
      </c>
    </row>
    <row r="1638">
      <c r="A1638" t="n">
        <v>4908</v>
      </c>
      <c r="B1638" t="n">
        <v>163.6</v>
      </c>
      <c r="C1638" t="inlineStr">
        <is>
          <t>895</t>
        </is>
      </c>
      <c r="D1638" t="n">
        <v>8.949999999999999</v>
      </c>
      <c r="E1638">
        <f>MEDIAN(D1618:D1658)</f>
        <v/>
      </c>
      <c r="F1638">
        <f>E1618</f>
        <v/>
      </c>
      <c r="G1638">
        <f>F1638-E1638</f>
        <v/>
      </c>
      <c r="H1638">
        <f>IF(OR(NOT(ISNUMBER(D1638)),ABS(D1638-E1638)&gt;$O$3,AND($O$11=1,B1638&lt;$O$12)),1,0)</f>
        <v/>
      </c>
      <c r="I1638">
        <f>IF(H1638=1,NA(),D1638)</f>
        <v/>
      </c>
      <c r="J1638">
        <f>IF(AND(ISNUMBER(D1638),D1638&gt;=$O$4,OR($O$11=0,B1638&gt;=$O$12)),1,0)</f>
        <v/>
      </c>
      <c r="K1638">
        <f>B1638-$O$14</f>
        <v/>
      </c>
    </row>
    <row r="1639">
      <c r="A1639" t="n">
        <v>4911</v>
      </c>
      <c r="B1639" t="n">
        <v>163.7</v>
      </c>
      <c r="C1639" t="inlineStr">
        <is>
          <t>895</t>
        </is>
      </c>
      <c r="D1639" t="n">
        <v>8.949999999999999</v>
      </c>
      <c r="E1639">
        <f>MEDIAN(D1619:D1659)</f>
        <v/>
      </c>
      <c r="F1639">
        <f>E1619</f>
        <v/>
      </c>
      <c r="G1639">
        <f>F1639-E1639</f>
        <v/>
      </c>
      <c r="H1639">
        <f>IF(OR(NOT(ISNUMBER(D1639)),ABS(D1639-E1639)&gt;$O$3,AND($O$11=1,B1639&lt;$O$12)),1,0)</f>
        <v/>
      </c>
      <c r="I1639">
        <f>IF(H1639=1,NA(),D1639)</f>
        <v/>
      </c>
      <c r="J1639">
        <f>IF(AND(ISNUMBER(D1639),D1639&gt;=$O$4,OR($O$11=0,B1639&gt;=$O$12)),1,0)</f>
        <v/>
      </c>
      <c r="K1639">
        <f>B1639-$O$14</f>
        <v/>
      </c>
    </row>
    <row r="1640">
      <c r="A1640" t="n">
        <v>4914</v>
      </c>
      <c r="B1640" t="n">
        <v>163.8</v>
      </c>
      <c r="C1640" t="inlineStr">
        <is>
          <t>895</t>
        </is>
      </c>
      <c r="D1640" t="n">
        <v>8.949999999999999</v>
      </c>
      <c r="E1640">
        <f>MEDIAN(D1620:D1660)</f>
        <v/>
      </c>
      <c r="F1640">
        <f>E1620</f>
        <v/>
      </c>
      <c r="G1640">
        <f>F1640-E1640</f>
        <v/>
      </c>
      <c r="H1640">
        <f>IF(OR(NOT(ISNUMBER(D1640)),ABS(D1640-E1640)&gt;$O$3,AND($O$11=1,B1640&lt;$O$12)),1,0)</f>
        <v/>
      </c>
      <c r="I1640">
        <f>IF(H1640=1,NA(),D1640)</f>
        <v/>
      </c>
      <c r="J1640">
        <f>IF(AND(ISNUMBER(D1640),D1640&gt;=$O$4,OR($O$11=0,B1640&gt;=$O$12)),1,0)</f>
        <v/>
      </c>
      <c r="K1640">
        <f>B1640-$O$14</f>
        <v/>
      </c>
    </row>
    <row r="1641">
      <c r="A1641" t="n">
        <v>4917</v>
      </c>
      <c r="B1641" t="n">
        <v>163.9</v>
      </c>
      <c r="C1641" t="inlineStr">
        <is>
          <t>895</t>
        </is>
      </c>
      <c r="D1641" t="n">
        <v>8.949999999999999</v>
      </c>
      <c r="E1641">
        <f>MEDIAN(D1621:D1661)</f>
        <v/>
      </c>
      <c r="F1641">
        <f>E1621</f>
        <v/>
      </c>
      <c r="G1641">
        <f>F1641-E1641</f>
        <v/>
      </c>
      <c r="H1641">
        <f>IF(OR(NOT(ISNUMBER(D1641)),ABS(D1641-E1641)&gt;$O$3,AND($O$11=1,B1641&lt;$O$12)),1,0)</f>
        <v/>
      </c>
      <c r="I1641">
        <f>IF(H1641=1,NA(),D1641)</f>
        <v/>
      </c>
      <c r="J1641">
        <f>IF(AND(ISNUMBER(D1641),D1641&gt;=$O$4,OR($O$11=0,B1641&gt;=$O$12)),1,0)</f>
        <v/>
      </c>
      <c r="K1641">
        <f>B1641-$O$14</f>
        <v/>
      </c>
    </row>
    <row r="1642">
      <c r="A1642" t="n">
        <v>4920</v>
      </c>
      <c r="B1642" t="n">
        <v>164</v>
      </c>
      <c r="C1642" t="inlineStr">
        <is>
          <t>895</t>
        </is>
      </c>
      <c r="D1642" t="n">
        <v>8.949999999999999</v>
      </c>
      <c r="E1642">
        <f>MEDIAN(D1622:D1662)</f>
        <v/>
      </c>
      <c r="F1642">
        <f>E1622</f>
        <v/>
      </c>
      <c r="G1642">
        <f>F1642-E1642</f>
        <v/>
      </c>
      <c r="H1642">
        <f>IF(OR(NOT(ISNUMBER(D1642)),ABS(D1642-E1642)&gt;$O$3,AND($O$11=1,B1642&lt;$O$12)),1,0)</f>
        <v/>
      </c>
      <c r="I1642">
        <f>IF(H1642=1,NA(),D1642)</f>
        <v/>
      </c>
      <c r="J1642">
        <f>IF(AND(ISNUMBER(D1642),D1642&gt;=$O$4,OR($O$11=0,B1642&gt;=$O$12)),1,0)</f>
        <v/>
      </c>
      <c r="K1642">
        <f>B1642-$O$14</f>
        <v/>
      </c>
    </row>
    <row r="1643">
      <c r="A1643" t="n">
        <v>4923</v>
      </c>
      <c r="B1643" t="n">
        <v>164.1</v>
      </c>
      <c r="C1643" t="inlineStr">
        <is>
          <t>895</t>
        </is>
      </c>
      <c r="D1643" t="n">
        <v>8.949999999999999</v>
      </c>
      <c r="E1643">
        <f>MEDIAN(D1623:D1663)</f>
        <v/>
      </c>
      <c r="F1643">
        <f>E1623</f>
        <v/>
      </c>
      <c r="G1643">
        <f>F1643-E1643</f>
        <v/>
      </c>
      <c r="H1643">
        <f>IF(OR(NOT(ISNUMBER(D1643)),ABS(D1643-E1643)&gt;$O$3,AND($O$11=1,B1643&lt;$O$12)),1,0)</f>
        <v/>
      </c>
      <c r="I1643">
        <f>IF(H1643=1,NA(),D1643)</f>
        <v/>
      </c>
      <c r="J1643">
        <f>IF(AND(ISNUMBER(D1643),D1643&gt;=$O$4,OR($O$11=0,B1643&gt;=$O$12)),1,0)</f>
        <v/>
      </c>
      <c r="K1643">
        <f>B1643-$O$14</f>
        <v/>
      </c>
    </row>
    <row r="1644">
      <c r="A1644" t="n">
        <v>4926</v>
      </c>
      <c r="B1644" t="n">
        <v>164.2</v>
      </c>
      <c r="C1644" t="inlineStr">
        <is>
          <t>895</t>
        </is>
      </c>
      <c r="D1644" t="n">
        <v>8.949999999999999</v>
      </c>
      <c r="E1644">
        <f>MEDIAN(D1624:D1664)</f>
        <v/>
      </c>
      <c r="F1644">
        <f>E1624</f>
        <v/>
      </c>
      <c r="G1644">
        <f>F1644-E1644</f>
        <v/>
      </c>
      <c r="H1644">
        <f>IF(OR(NOT(ISNUMBER(D1644)),ABS(D1644-E1644)&gt;$O$3,AND($O$11=1,B1644&lt;$O$12)),1,0)</f>
        <v/>
      </c>
      <c r="I1644">
        <f>IF(H1644=1,NA(),D1644)</f>
        <v/>
      </c>
      <c r="J1644">
        <f>IF(AND(ISNUMBER(D1644),D1644&gt;=$O$4,OR($O$11=0,B1644&gt;=$O$12)),1,0)</f>
        <v/>
      </c>
      <c r="K1644">
        <f>B1644-$O$14</f>
        <v/>
      </c>
    </row>
    <row r="1645">
      <c r="A1645" t="n">
        <v>4929</v>
      </c>
      <c r="B1645" t="n">
        <v>164.3</v>
      </c>
      <c r="C1645" t="inlineStr">
        <is>
          <t>895</t>
        </is>
      </c>
      <c r="D1645" t="n">
        <v>8.949999999999999</v>
      </c>
      <c r="E1645">
        <f>MEDIAN(D1625:D1665)</f>
        <v/>
      </c>
      <c r="F1645">
        <f>E1625</f>
        <v/>
      </c>
      <c r="G1645">
        <f>F1645-E1645</f>
        <v/>
      </c>
      <c r="H1645">
        <f>IF(OR(NOT(ISNUMBER(D1645)),ABS(D1645-E1645)&gt;$O$3,AND($O$11=1,B1645&lt;$O$12)),1,0)</f>
        <v/>
      </c>
      <c r="I1645">
        <f>IF(H1645=1,NA(),D1645)</f>
        <v/>
      </c>
      <c r="J1645">
        <f>IF(AND(ISNUMBER(D1645),D1645&gt;=$O$4,OR($O$11=0,B1645&gt;=$O$12)),1,0)</f>
        <v/>
      </c>
      <c r="K1645">
        <f>B1645-$O$14</f>
        <v/>
      </c>
    </row>
    <row r="1646">
      <c r="A1646" t="n">
        <v>4932</v>
      </c>
      <c r="B1646" t="n">
        <v>164.4</v>
      </c>
      <c r="C1646" t="inlineStr">
        <is>
          <t>895</t>
        </is>
      </c>
      <c r="D1646" t="n">
        <v>8.949999999999999</v>
      </c>
      <c r="E1646">
        <f>MEDIAN(D1626:D1666)</f>
        <v/>
      </c>
      <c r="F1646">
        <f>E1626</f>
        <v/>
      </c>
      <c r="G1646">
        <f>F1646-E1646</f>
        <v/>
      </c>
      <c r="H1646">
        <f>IF(OR(NOT(ISNUMBER(D1646)),ABS(D1646-E1646)&gt;$O$3,AND($O$11=1,B1646&lt;$O$12)),1,0)</f>
        <v/>
      </c>
      <c r="I1646">
        <f>IF(H1646=1,NA(),D1646)</f>
        <v/>
      </c>
      <c r="J1646">
        <f>IF(AND(ISNUMBER(D1646),D1646&gt;=$O$4,OR($O$11=0,B1646&gt;=$O$12)),1,0)</f>
        <v/>
      </c>
      <c r="K1646">
        <f>B1646-$O$14</f>
        <v/>
      </c>
    </row>
    <row r="1647">
      <c r="A1647" t="n">
        <v>4935</v>
      </c>
      <c r="B1647" t="n">
        <v>164.5</v>
      </c>
      <c r="C1647" t="inlineStr">
        <is>
          <t>895</t>
        </is>
      </c>
      <c r="D1647" t="n">
        <v>8.949999999999999</v>
      </c>
      <c r="E1647">
        <f>MEDIAN(D1627:D1667)</f>
        <v/>
      </c>
      <c r="F1647">
        <f>E1627</f>
        <v/>
      </c>
      <c r="G1647">
        <f>F1647-E1647</f>
        <v/>
      </c>
      <c r="H1647">
        <f>IF(OR(NOT(ISNUMBER(D1647)),ABS(D1647-E1647)&gt;$O$3,AND($O$11=1,B1647&lt;$O$12)),1,0)</f>
        <v/>
      </c>
      <c r="I1647">
        <f>IF(H1647=1,NA(),D1647)</f>
        <v/>
      </c>
      <c r="J1647">
        <f>IF(AND(ISNUMBER(D1647),D1647&gt;=$O$4,OR($O$11=0,B1647&gt;=$O$12)),1,0)</f>
        <v/>
      </c>
      <c r="K1647">
        <f>B1647-$O$14</f>
        <v/>
      </c>
    </row>
    <row r="1648">
      <c r="A1648" t="n">
        <v>4938</v>
      </c>
      <c r="B1648" t="n">
        <v>164.6</v>
      </c>
      <c r="C1648" t="inlineStr">
        <is>
          <t>895</t>
        </is>
      </c>
      <c r="D1648" t="n">
        <v>8.949999999999999</v>
      </c>
      <c r="E1648">
        <f>MEDIAN(D1628:D1668)</f>
        <v/>
      </c>
      <c r="F1648">
        <f>E1628</f>
        <v/>
      </c>
      <c r="G1648">
        <f>F1648-E1648</f>
        <v/>
      </c>
      <c r="H1648">
        <f>IF(OR(NOT(ISNUMBER(D1648)),ABS(D1648-E1648)&gt;$O$3,AND($O$11=1,B1648&lt;$O$12)),1,0)</f>
        <v/>
      </c>
      <c r="I1648">
        <f>IF(H1648=1,NA(),D1648)</f>
        <v/>
      </c>
      <c r="J1648">
        <f>IF(AND(ISNUMBER(D1648),D1648&gt;=$O$4,OR($O$11=0,B1648&gt;=$O$12)),1,0)</f>
        <v/>
      </c>
      <c r="K1648">
        <f>B1648-$O$14</f>
        <v/>
      </c>
    </row>
    <row r="1649">
      <c r="A1649" t="n">
        <v>4941</v>
      </c>
      <c r="B1649" t="n">
        <v>164.7</v>
      </c>
      <c r="C1649" t="inlineStr">
        <is>
          <t>895</t>
        </is>
      </c>
      <c r="D1649" t="n">
        <v>8.949999999999999</v>
      </c>
      <c r="E1649">
        <f>MEDIAN(D1629:D1669)</f>
        <v/>
      </c>
      <c r="F1649">
        <f>E1629</f>
        <v/>
      </c>
      <c r="G1649">
        <f>F1649-E1649</f>
        <v/>
      </c>
      <c r="H1649">
        <f>IF(OR(NOT(ISNUMBER(D1649)),ABS(D1649-E1649)&gt;$O$3,AND($O$11=1,B1649&lt;$O$12)),1,0)</f>
        <v/>
      </c>
      <c r="I1649">
        <f>IF(H1649=1,NA(),D1649)</f>
        <v/>
      </c>
      <c r="J1649">
        <f>IF(AND(ISNUMBER(D1649),D1649&gt;=$O$4,OR($O$11=0,B1649&gt;=$O$12)),1,0)</f>
        <v/>
      </c>
      <c r="K1649">
        <f>B1649-$O$14</f>
        <v/>
      </c>
    </row>
    <row r="1650">
      <c r="A1650" t="n">
        <v>4944</v>
      </c>
      <c r="B1650" t="n">
        <v>164.8</v>
      </c>
      <c r="C1650" t="inlineStr">
        <is>
          <t>895</t>
        </is>
      </c>
      <c r="D1650" t="n">
        <v>8.949999999999999</v>
      </c>
      <c r="E1650">
        <f>MEDIAN(D1630:D1670)</f>
        <v/>
      </c>
      <c r="F1650">
        <f>E1630</f>
        <v/>
      </c>
      <c r="G1650">
        <f>F1650-E1650</f>
        <v/>
      </c>
      <c r="H1650">
        <f>IF(OR(NOT(ISNUMBER(D1650)),ABS(D1650-E1650)&gt;$O$3,AND($O$11=1,B1650&lt;$O$12)),1,0)</f>
        <v/>
      </c>
      <c r="I1650">
        <f>IF(H1650=1,NA(),D1650)</f>
        <v/>
      </c>
      <c r="J1650">
        <f>IF(AND(ISNUMBER(D1650),D1650&gt;=$O$4,OR($O$11=0,B1650&gt;=$O$12)),1,0)</f>
        <v/>
      </c>
      <c r="K1650">
        <f>B1650-$O$14</f>
        <v/>
      </c>
    </row>
    <row r="1651">
      <c r="A1651" t="n">
        <v>4947</v>
      </c>
      <c r="B1651" t="n">
        <v>164.9</v>
      </c>
      <c r="C1651" t="inlineStr">
        <is>
          <t>895</t>
        </is>
      </c>
      <c r="D1651" t="n">
        <v>8.949999999999999</v>
      </c>
      <c r="E1651">
        <f>MEDIAN(D1631:D1671)</f>
        <v/>
      </c>
      <c r="F1651">
        <f>E1631</f>
        <v/>
      </c>
      <c r="G1651">
        <f>F1651-E1651</f>
        <v/>
      </c>
      <c r="H1651">
        <f>IF(OR(NOT(ISNUMBER(D1651)),ABS(D1651-E1651)&gt;$O$3,AND($O$11=1,B1651&lt;$O$12)),1,0)</f>
        <v/>
      </c>
      <c r="I1651">
        <f>IF(H1651=1,NA(),D1651)</f>
        <v/>
      </c>
      <c r="J1651">
        <f>IF(AND(ISNUMBER(D1651),D1651&gt;=$O$4,OR($O$11=0,B1651&gt;=$O$12)),1,0)</f>
        <v/>
      </c>
      <c r="K1651">
        <f>B1651-$O$14</f>
        <v/>
      </c>
    </row>
    <row r="1652">
      <c r="A1652" t="n">
        <v>4950</v>
      </c>
      <c r="B1652" t="n">
        <v>165</v>
      </c>
      <c r="C1652" t="inlineStr">
        <is>
          <t>895</t>
        </is>
      </c>
      <c r="D1652" t="n">
        <v>8.949999999999999</v>
      </c>
      <c r="E1652">
        <f>MEDIAN(D1632:D1672)</f>
        <v/>
      </c>
      <c r="F1652">
        <f>E1632</f>
        <v/>
      </c>
      <c r="G1652">
        <f>F1652-E1652</f>
        <v/>
      </c>
      <c r="H1652">
        <f>IF(OR(NOT(ISNUMBER(D1652)),ABS(D1652-E1652)&gt;$O$3,AND($O$11=1,B1652&lt;$O$12)),1,0)</f>
        <v/>
      </c>
      <c r="I1652">
        <f>IF(H1652=1,NA(),D1652)</f>
        <v/>
      </c>
      <c r="J1652">
        <f>IF(AND(ISNUMBER(D1652),D1652&gt;=$O$4,OR($O$11=0,B1652&gt;=$O$12)),1,0)</f>
        <v/>
      </c>
      <c r="K1652">
        <f>B1652-$O$14</f>
        <v/>
      </c>
    </row>
    <row r="1653">
      <c r="A1653" t="n">
        <v>4953</v>
      </c>
      <c r="B1653" t="n">
        <v>165.1</v>
      </c>
      <c r="C1653" t="inlineStr">
        <is>
          <t>895</t>
        </is>
      </c>
      <c r="D1653" t="n">
        <v>8.949999999999999</v>
      </c>
      <c r="E1653">
        <f>MEDIAN(D1633:D1673)</f>
        <v/>
      </c>
      <c r="F1653">
        <f>E1633</f>
        <v/>
      </c>
      <c r="G1653">
        <f>F1653-E1653</f>
        <v/>
      </c>
      <c r="H1653">
        <f>IF(OR(NOT(ISNUMBER(D1653)),ABS(D1653-E1653)&gt;$O$3,AND($O$11=1,B1653&lt;$O$12)),1,0)</f>
        <v/>
      </c>
      <c r="I1653">
        <f>IF(H1653=1,NA(),D1653)</f>
        <v/>
      </c>
      <c r="J1653">
        <f>IF(AND(ISNUMBER(D1653),D1653&gt;=$O$4,OR($O$11=0,B1653&gt;=$O$12)),1,0)</f>
        <v/>
      </c>
      <c r="K1653">
        <f>B1653-$O$14</f>
        <v/>
      </c>
    </row>
    <row r="1654">
      <c r="A1654" t="n">
        <v>4956</v>
      </c>
      <c r="B1654" t="n">
        <v>165.2</v>
      </c>
      <c r="C1654" t="inlineStr">
        <is>
          <t>895</t>
        </is>
      </c>
      <c r="D1654" t="n">
        <v>8.949999999999999</v>
      </c>
      <c r="E1654">
        <f>MEDIAN(D1634:D1674)</f>
        <v/>
      </c>
      <c r="F1654">
        <f>E1634</f>
        <v/>
      </c>
      <c r="G1654">
        <f>F1654-E1654</f>
        <v/>
      </c>
      <c r="H1654">
        <f>IF(OR(NOT(ISNUMBER(D1654)),ABS(D1654-E1654)&gt;$O$3,AND($O$11=1,B1654&lt;$O$12)),1,0)</f>
        <v/>
      </c>
      <c r="I1654">
        <f>IF(H1654=1,NA(),D1654)</f>
        <v/>
      </c>
      <c r="J1654">
        <f>IF(AND(ISNUMBER(D1654),D1654&gt;=$O$4,OR($O$11=0,B1654&gt;=$O$12)),1,0)</f>
        <v/>
      </c>
      <c r="K1654">
        <f>B1654-$O$14</f>
        <v/>
      </c>
    </row>
    <row r="1655">
      <c r="A1655" t="n">
        <v>4959</v>
      </c>
      <c r="B1655" t="n">
        <v>165.3</v>
      </c>
      <c r="C1655" t="inlineStr">
        <is>
          <t>895</t>
        </is>
      </c>
      <c r="D1655" t="n">
        <v>8.949999999999999</v>
      </c>
      <c r="E1655">
        <f>MEDIAN(D1635:D1675)</f>
        <v/>
      </c>
      <c r="F1655">
        <f>E1635</f>
        <v/>
      </c>
      <c r="G1655">
        <f>F1655-E1655</f>
        <v/>
      </c>
      <c r="H1655">
        <f>IF(OR(NOT(ISNUMBER(D1655)),ABS(D1655-E1655)&gt;$O$3,AND($O$11=1,B1655&lt;$O$12)),1,0)</f>
        <v/>
      </c>
      <c r="I1655">
        <f>IF(H1655=1,NA(),D1655)</f>
        <v/>
      </c>
      <c r="J1655">
        <f>IF(AND(ISNUMBER(D1655),D1655&gt;=$O$4,OR($O$11=0,B1655&gt;=$O$12)),1,0)</f>
        <v/>
      </c>
      <c r="K1655">
        <f>B1655-$O$14</f>
        <v/>
      </c>
    </row>
    <row r="1656">
      <c r="A1656" t="n">
        <v>4962</v>
      </c>
      <c r="B1656" t="n">
        <v>165.4</v>
      </c>
      <c r="C1656" t="inlineStr">
        <is>
          <t>895</t>
        </is>
      </c>
      <c r="D1656" t="n">
        <v>8.949999999999999</v>
      </c>
      <c r="E1656">
        <f>MEDIAN(D1636:D1676)</f>
        <v/>
      </c>
      <c r="F1656">
        <f>E1636</f>
        <v/>
      </c>
      <c r="G1656">
        <f>F1656-E1656</f>
        <v/>
      </c>
      <c r="H1656">
        <f>IF(OR(NOT(ISNUMBER(D1656)),ABS(D1656-E1656)&gt;$O$3,AND($O$11=1,B1656&lt;$O$12)),1,0)</f>
        <v/>
      </c>
      <c r="I1656">
        <f>IF(H1656=1,NA(),D1656)</f>
        <v/>
      </c>
      <c r="J1656">
        <f>IF(AND(ISNUMBER(D1656),D1656&gt;=$O$4,OR($O$11=0,B1656&gt;=$O$12)),1,0)</f>
        <v/>
      </c>
      <c r="K1656">
        <f>B1656-$O$14</f>
        <v/>
      </c>
    </row>
    <row r="1657">
      <c r="A1657" t="n">
        <v>4965</v>
      </c>
      <c r="B1657" t="n">
        <v>165.5</v>
      </c>
      <c r="C1657" t="inlineStr">
        <is>
          <t>895</t>
        </is>
      </c>
      <c r="D1657" t="n">
        <v>8.949999999999999</v>
      </c>
      <c r="E1657">
        <f>MEDIAN(D1637:D1677)</f>
        <v/>
      </c>
      <c r="F1657">
        <f>E1637</f>
        <v/>
      </c>
      <c r="G1657">
        <f>F1657-E1657</f>
        <v/>
      </c>
      <c r="H1657">
        <f>IF(OR(NOT(ISNUMBER(D1657)),ABS(D1657-E1657)&gt;$O$3,AND($O$11=1,B1657&lt;$O$12)),1,0)</f>
        <v/>
      </c>
      <c r="I1657">
        <f>IF(H1657=1,NA(),D1657)</f>
        <v/>
      </c>
      <c r="J1657">
        <f>IF(AND(ISNUMBER(D1657),D1657&gt;=$O$4,OR($O$11=0,B1657&gt;=$O$12)),1,0)</f>
        <v/>
      </c>
      <c r="K1657">
        <f>B1657-$O$14</f>
        <v/>
      </c>
    </row>
    <row r="1658">
      <c r="A1658" t="n">
        <v>4968</v>
      </c>
      <c r="B1658" t="n">
        <v>165.6</v>
      </c>
      <c r="C1658" t="inlineStr">
        <is>
          <t>894</t>
        </is>
      </c>
      <c r="D1658" t="n">
        <v>8.94</v>
      </c>
      <c r="E1658">
        <f>MEDIAN(D1638:D1678)</f>
        <v/>
      </c>
      <c r="F1658">
        <f>E1638</f>
        <v/>
      </c>
      <c r="G1658">
        <f>F1658-E1658</f>
        <v/>
      </c>
      <c r="H1658">
        <f>IF(OR(NOT(ISNUMBER(D1658)),ABS(D1658-E1658)&gt;$O$3,AND($O$11=1,B1658&lt;$O$12)),1,0)</f>
        <v/>
      </c>
      <c r="I1658">
        <f>IF(H1658=1,NA(),D1658)</f>
        <v/>
      </c>
      <c r="J1658">
        <f>IF(AND(ISNUMBER(D1658),D1658&gt;=$O$4,OR($O$11=0,B1658&gt;=$O$12)),1,0)</f>
        <v/>
      </c>
      <c r="K1658">
        <f>B1658-$O$14</f>
        <v/>
      </c>
    </row>
    <row r="1659">
      <c r="A1659" t="n">
        <v>4971</v>
      </c>
      <c r="B1659" t="n">
        <v>165.7</v>
      </c>
      <c r="C1659" t="inlineStr">
        <is>
          <t>894</t>
        </is>
      </c>
      <c r="D1659" t="n">
        <v>8.94</v>
      </c>
      <c r="E1659">
        <f>MEDIAN(D1639:D1679)</f>
        <v/>
      </c>
      <c r="F1659">
        <f>E1639</f>
        <v/>
      </c>
      <c r="G1659">
        <f>F1659-E1659</f>
        <v/>
      </c>
      <c r="H1659">
        <f>IF(OR(NOT(ISNUMBER(D1659)),ABS(D1659-E1659)&gt;$O$3,AND($O$11=1,B1659&lt;$O$12)),1,0)</f>
        <v/>
      </c>
      <c r="I1659">
        <f>IF(H1659=1,NA(),D1659)</f>
        <v/>
      </c>
      <c r="J1659">
        <f>IF(AND(ISNUMBER(D1659),D1659&gt;=$O$4,OR($O$11=0,B1659&gt;=$O$12)),1,0)</f>
        <v/>
      </c>
      <c r="K1659">
        <f>B1659-$O$14</f>
        <v/>
      </c>
    </row>
    <row r="1660">
      <c r="A1660" t="n">
        <v>4974</v>
      </c>
      <c r="B1660" t="n">
        <v>165.8</v>
      </c>
      <c r="C1660" t="inlineStr">
        <is>
          <t>894</t>
        </is>
      </c>
      <c r="D1660" t="n">
        <v>8.94</v>
      </c>
      <c r="E1660">
        <f>MEDIAN(D1640:D1680)</f>
        <v/>
      </c>
      <c r="F1660">
        <f>E1640</f>
        <v/>
      </c>
      <c r="G1660">
        <f>F1660-E1660</f>
        <v/>
      </c>
      <c r="H1660">
        <f>IF(OR(NOT(ISNUMBER(D1660)),ABS(D1660-E1660)&gt;$O$3,AND($O$11=1,B1660&lt;$O$12)),1,0)</f>
        <v/>
      </c>
      <c r="I1660">
        <f>IF(H1660=1,NA(),D1660)</f>
        <v/>
      </c>
      <c r="J1660">
        <f>IF(AND(ISNUMBER(D1660),D1660&gt;=$O$4,OR($O$11=0,B1660&gt;=$O$12)),1,0)</f>
        <v/>
      </c>
      <c r="K1660">
        <f>B1660-$O$14</f>
        <v/>
      </c>
    </row>
    <row r="1661">
      <c r="A1661" t="n">
        <v>4977</v>
      </c>
      <c r="B1661" t="n">
        <v>165.9</v>
      </c>
      <c r="C1661" t="inlineStr">
        <is>
          <t>894</t>
        </is>
      </c>
      <c r="D1661" t="n">
        <v>8.94</v>
      </c>
      <c r="E1661">
        <f>MEDIAN(D1641:D1681)</f>
        <v/>
      </c>
      <c r="F1661">
        <f>E1641</f>
        <v/>
      </c>
      <c r="G1661">
        <f>F1661-E1661</f>
        <v/>
      </c>
      <c r="H1661">
        <f>IF(OR(NOT(ISNUMBER(D1661)),ABS(D1661-E1661)&gt;$O$3,AND($O$11=1,B1661&lt;$O$12)),1,0)</f>
        <v/>
      </c>
      <c r="I1661">
        <f>IF(H1661=1,NA(),D1661)</f>
        <v/>
      </c>
      <c r="J1661">
        <f>IF(AND(ISNUMBER(D1661),D1661&gt;=$O$4,OR($O$11=0,B1661&gt;=$O$12)),1,0)</f>
        <v/>
      </c>
      <c r="K1661">
        <f>B1661-$O$14</f>
        <v/>
      </c>
    </row>
    <row r="1662">
      <c r="A1662" t="n">
        <v>4980</v>
      </c>
      <c r="B1662" t="n">
        <v>166</v>
      </c>
      <c r="C1662" t="inlineStr">
        <is>
          <t>894</t>
        </is>
      </c>
      <c r="D1662" t="n">
        <v>8.94</v>
      </c>
      <c r="E1662">
        <f>MEDIAN(D1642:D1682)</f>
        <v/>
      </c>
      <c r="F1662">
        <f>E1642</f>
        <v/>
      </c>
      <c r="G1662">
        <f>F1662-E1662</f>
        <v/>
      </c>
      <c r="H1662">
        <f>IF(OR(NOT(ISNUMBER(D1662)),ABS(D1662-E1662)&gt;$O$3,AND($O$11=1,B1662&lt;$O$12)),1,0)</f>
        <v/>
      </c>
      <c r="I1662">
        <f>IF(H1662=1,NA(),D1662)</f>
        <v/>
      </c>
      <c r="J1662">
        <f>IF(AND(ISNUMBER(D1662),D1662&gt;=$O$4,OR($O$11=0,B1662&gt;=$O$12)),1,0)</f>
        <v/>
      </c>
      <c r="K1662">
        <f>B1662-$O$14</f>
        <v/>
      </c>
    </row>
    <row r="1663">
      <c r="A1663" t="n">
        <v>4983</v>
      </c>
      <c r="B1663" t="n">
        <v>166.1</v>
      </c>
      <c r="C1663" t="inlineStr">
        <is>
          <t>894</t>
        </is>
      </c>
      <c r="D1663" t="n">
        <v>8.94</v>
      </c>
      <c r="E1663">
        <f>MEDIAN(D1643:D1683)</f>
        <v/>
      </c>
      <c r="F1663">
        <f>E1643</f>
        <v/>
      </c>
      <c r="G1663">
        <f>F1663-E1663</f>
        <v/>
      </c>
      <c r="H1663">
        <f>IF(OR(NOT(ISNUMBER(D1663)),ABS(D1663-E1663)&gt;$O$3,AND($O$11=1,B1663&lt;$O$12)),1,0)</f>
        <v/>
      </c>
      <c r="I1663">
        <f>IF(H1663=1,NA(),D1663)</f>
        <v/>
      </c>
      <c r="J1663">
        <f>IF(AND(ISNUMBER(D1663),D1663&gt;=$O$4,OR($O$11=0,B1663&gt;=$O$12)),1,0)</f>
        <v/>
      </c>
      <c r="K1663">
        <f>B1663-$O$14</f>
        <v/>
      </c>
    </row>
    <row r="1664">
      <c r="A1664" t="n">
        <v>4986</v>
      </c>
      <c r="B1664" t="n">
        <v>166.2</v>
      </c>
      <c r="C1664" t="inlineStr">
        <is>
          <t>894</t>
        </is>
      </c>
      <c r="D1664" t="n">
        <v>8.94</v>
      </c>
      <c r="E1664">
        <f>MEDIAN(D1644:D1684)</f>
        <v/>
      </c>
      <c r="F1664">
        <f>E1644</f>
        <v/>
      </c>
      <c r="G1664">
        <f>F1664-E1664</f>
        <v/>
      </c>
      <c r="H1664">
        <f>IF(OR(NOT(ISNUMBER(D1664)),ABS(D1664-E1664)&gt;$O$3,AND($O$11=1,B1664&lt;$O$12)),1,0)</f>
        <v/>
      </c>
      <c r="I1664">
        <f>IF(H1664=1,NA(),D1664)</f>
        <v/>
      </c>
      <c r="J1664">
        <f>IF(AND(ISNUMBER(D1664),D1664&gt;=$O$4,OR($O$11=0,B1664&gt;=$O$12)),1,0)</f>
        <v/>
      </c>
      <c r="K1664">
        <f>B1664-$O$14</f>
        <v/>
      </c>
    </row>
    <row r="1665">
      <c r="A1665" t="n">
        <v>4989</v>
      </c>
      <c r="B1665" t="n">
        <v>166.3</v>
      </c>
      <c r="C1665" t="inlineStr">
        <is>
          <t>894</t>
        </is>
      </c>
      <c r="D1665" t="n">
        <v>8.94</v>
      </c>
      <c r="E1665">
        <f>MEDIAN(D1645:D1685)</f>
        <v/>
      </c>
      <c r="F1665">
        <f>E1645</f>
        <v/>
      </c>
      <c r="G1665">
        <f>F1665-E1665</f>
        <v/>
      </c>
      <c r="H1665">
        <f>IF(OR(NOT(ISNUMBER(D1665)),ABS(D1665-E1665)&gt;$O$3,AND($O$11=1,B1665&lt;$O$12)),1,0)</f>
        <v/>
      </c>
      <c r="I1665">
        <f>IF(H1665=1,NA(),D1665)</f>
        <v/>
      </c>
      <c r="J1665">
        <f>IF(AND(ISNUMBER(D1665),D1665&gt;=$O$4,OR($O$11=0,B1665&gt;=$O$12)),1,0)</f>
        <v/>
      </c>
      <c r="K1665">
        <f>B1665-$O$14</f>
        <v/>
      </c>
    </row>
    <row r="1666">
      <c r="A1666" t="n">
        <v>4992</v>
      </c>
      <c r="B1666" t="n">
        <v>166.4</v>
      </c>
      <c r="C1666" t="inlineStr">
        <is>
          <t>894</t>
        </is>
      </c>
      <c r="D1666" t="n">
        <v>8.94</v>
      </c>
      <c r="E1666">
        <f>MEDIAN(D1646:D1686)</f>
        <v/>
      </c>
      <c r="F1666">
        <f>E1646</f>
        <v/>
      </c>
      <c r="G1666">
        <f>F1666-E1666</f>
        <v/>
      </c>
      <c r="H1666">
        <f>IF(OR(NOT(ISNUMBER(D1666)),ABS(D1666-E1666)&gt;$O$3,AND($O$11=1,B1666&lt;$O$12)),1,0)</f>
        <v/>
      </c>
      <c r="I1666">
        <f>IF(H1666=1,NA(),D1666)</f>
        <v/>
      </c>
      <c r="J1666">
        <f>IF(AND(ISNUMBER(D1666),D1666&gt;=$O$4,OR($O$11=0,B1666&gt;=$O$12)),1,0)</f>
        <v/>
      </c>
      <c r="K1666">
        <f>B1666-$O$14</f>
        <v/>
      </c>
    </row>
    <row r="1667">
      <c r="A1667" t="n">
        <v>4995</v>
      </c>
      <c r="B1667" t="n">
        <v>166.5</v>
      </c>
      <c r="C1667" t="inlineStr">
        <is>
          <t>894</t>
        </is>
      </c>
      <c r="D1667" t="n">
        <v>8.94</v>
      </c>
      <c r="E1667">
        <f>MEDIAN(D1647:D1687)</f>
        <v/>
      </c>
      <c r="F1667">
        <f>E1647</f>
        <v/>
      </c>
      <c r="G1667">
        <f>F1667-E1667</f>
        <v/>
      </c>
      <c r="H1667">
        <f>IF(OR(NOT(ISNUMBER(D1667)),ABS(D1667-E1667)&gt;$O$3,AND($O$11=1,B1667&lt;$O$12)),1,0)</f>
        <v/>
      </c>
      <c r="I1667">
        <f>IF(H1667=1,NA(),D1667)</f>
        <v/>
      </c>
      <c r="J1667">
        <f>IF(AND(ISNUMBER(D1667),D1667&gt;=$O$4,OR($O$11=0,B1667&gt;=$O$12)),1,0)</f>
        <v/>
      </c>
      <c r="K1667">
        <f>B1667-$O$14</f>
        <v/>
      </c>
    </row>
    <row r="1668">
      <c r="A1668" t="n">
        <v>4998</v>
      </c>
      <c r="B1668" t="n">
        <v>166.6</v>
      </c>
      <c r="C1668" t="inlineStr">
        <is>
          <t>894</t>
        </is>
      </c>
      <c r="D1668" t="n">
        <v>8.94</v>
      </c>
      <c r="E1668">
        <f>MEDIAN(D1648:D1688)</f>
        <v/>
      </c>
      <c r="F1668">
        <f>E1648</f>
        <v/>
      </c>
      <c r="G1668">
        <f>F1668-E1668</f>
        <v/>
      </c>
      <c r="H1668">
        <f>IF(OR(NOT(ISNUMBER(D1668)),ABS(D1668-E1668)&gt;$O$3,AND($O$11=1,B1668&lt;$O$12)),1,0)</f>
        <v/>
      </c>
      <c r="I1668">
        <f>IF(H1668=1,NA(),D1668)</f>
        <v/>
      </c>
      <c r="J1668">
        <f>IF(AND(ISNUMBER(D1668),D1668&gt;=$O$4,OR($O$11=0,B1668&gt;=$O$12)),1,0)</f>
        <v/>
      </c>
      <c r="K1668">
        <f>B1668-$O$14</f>
        <v/>
      </c>
    </row>
    <row r="1669">
      <c r="A1669" t="n">
        <v>5001</v>
      </c>
      <c r="B1669" t="n">
        <v>166.7</v>
      </c>
      <c r="C1669" t="inlineStr">
        <is>
          <t>894</t>
        </is>
      </c>
      <c r="D1669" t="n">
        <v>8.94</v>
      </c>
      <c r="E1669">
        <f>MEDIAN(D1649:D1689)</f>
        <v/>
      </c>
      <c r="F1669">
        <f>E1649</f>
        <v/>
      </c>
      <c r="G1669">
        <f>F1669-E1669</f>
        <v/>
      </c>
      <c r="H1669">
        <f>IF(OR(NOT(ISNUMBER(D1669)),ABS(D1669-E1669)&gt;$O$3,AND($O$11=1,B1669&lt;$O$12)),1,0)</f>
        <v/>
      </c>
      <c r="I1669">
        <f>IF(H1669=1,NA(),D1669)</f>
        <v/>
      </c>
      <c r="J1669">
        <f>IF(AND(ISNUMBER(D1669),D1669&gt;=$O$4,OR($O$11=0,B1669&gt;=$O$12)),1,0)</f>
        <v/>
      </c>
      <c r="K1669">
        <f>B1669-$O$14</f>
        <v/>
      </c>
    </row>
    <row r="1670">
      <c r="A1670" t="n">
        <v>5004</v>
      </c>
      <c r="B1670" t="n">
        <v>166.8</v>
      </c>
      <c r="C1670" t="inlineStr">
        <is>
          <t>894</t>
        </is>
      </c>
      <c r="D1670" t="n">
        <v>8.94</v>
      </c>
      <c r="E1670">
        <f>MEDIAN(D1650:D1690)</f>
        <v/>
      </c>
      <c r="F1670">
        <f>E1650</f>
        <v/>
      </c>
      <c r="G1670">
        <f>F1670-E1670</f>
        <v/>
      </c>
      <c r="H1670">
        <f>IF(OR(NOT(ISNUMBER(D1670)),ABS(D1670-E1670)&gt;$O$3,AND($O$11=1,B1670&lt;$O$12)),1,0)</f>
        <v/>
      </c>
      <c r="I1670">
        <f>IF(H1670=1,NA(),D1670)</f>
        <v/>
      </c>
      <c r="J1670">
        <f>IF(AND(ISNUMBER(D1670),D1670&gt;=$O$4,OR($O$11=0,B1670&gt;=$O$12)),1,0)</f>
        <v/>
      </c>
      <c r="K1670">
        <f>B1670-$O$14</f>
        <v/>
      </c>
    </row>
    <row r="1671">
      <c r="A1671" t="n">
        <v>5007</v>
      </c>
      <c r="B1671" t="n">
        <v>166.9</v>
      </c>
      <c r="C1671" t="inlineStr">
        <is>
          <t>894</t>
        </is>
      </c>
      <c r="D1671" t="n">
        <v>8.94</v>
      </c>
      <c r="E1671">
        <f>MEDIAN(D1651:D1691)</f>
        <v/>
      </c>
      <c r="F1671">
        <f>E1651</f>
        <v/>
      </c>
      <c r="G1671">
        <f>F1671-E1671</f>
        <v/>
      </c>
      <c r="H1671">
        <f>IF(OR(NOT(ISNUMBER(D1671)),ABS(D1671-E1671)&gt;$O$3,AND($O$11=1,B1671&lt;$O$12)),1,0)</f>
        <v/>
      </c>
      <c r="I1671">
        <f>IF(H1671=1,NA(),D1671)</f>
        <v/>
      </c>
      <c r="J1671">
        <f>IF(AND(ISNUMBER(D1671),D1671&gt;=$O$4,OR($O$11=0,B1671&gt;=$O$12)),1,0)</f>
        <v/>
      </c>
      <c r="K1671">
        <f>B1671-$O$14</f>
        <v/>
      </c>
    </row>
    <row r="1672">
      <c r="A1672" t="n">
        <v>5010</v>
      </c>
      <c r="B1672" t="n">
        <v>167</v>
      </c>
      <c r="C1672" t="inlineStr">
        <is>
          <t>894</t>
        </is>
      </c>
      <c r="D1672" t="n">
        <v>8.94</v>
      </c>
      <c r="E1672">
        <f>MEDIAN(D1652:D1692)</f>
        <v/>
      </c>
      <c r="F1672">
        <f>E1652</f>
        <v/>
      </c>
      <c r="G1672">
        <f>F1672-E1672</f>
        <v/>
      </c>
      <c r="H1672">
        <f>IF(OR(NOT(ISNUMBER(D1672)),ABS(D1672-E1672)&gt;$O$3,AND($O$11=1,B1672&lt;$O$12)),1,0)</f>
        <v/>
      </c>
      <c r="I1672">
        <f>IF(H1672=1,NA(),D1672)</f>
        <v/>
      </c>
      <c r="J1672">
        <f>IF(AND(ISNUMBER(D1672),D1672&gt;=$O$4,OR($O$11=0,B1672&gt;=$O$12)),1,0)</f>
        <v/>
      </c>
      <c r="K1672">
        <f>B1672-$O$14</f>
        <v/>
      </c>
    </row>
    <row r="1673">
      <c r="A1673" t="n">
        <v>5013</v>
      </c>
      <c r="B1673" t="n">
        <v>167.1</v>
      </c>
      <c r="C1673" t="inlineStr">
        <is>
          <t>894</t>
        </is>
      </c>
      <c r="D1673" t="n">
        <v>8.94</v>
      </c>
      <c r="E1673">
        <f>MEDIAN(D1653:D1693)</f>
        <v/>
      </c>
      <c r="F1673">
        <f>E1653</f>
        <v/>
      </c>
      <c r="G1673">
        <f>F1673-E1673</f>
        <v/>
      </c>
      <c r="H1673">
        <f>IF(OR(NOT(ISNUMBER(D1673)),ABS(D1673-E1673)&gt;$O$3,AND($O$11=1,B1673&lt;$O$12)),1,0)</f>
        <v/>
      </c>
      <c r="I1673">
        <f>IF(H1673=1,NA(),D1673)</f>
        <v/>
      </c>
      <c r="J1673">
        <f>IF(AND(ISNUMBER(D1673),D1673&gt;=$O$4,OR($O$11=0,B1673&gt;=$O$12)),1,0)</f>
        <v/>
      </c>
      <c r="K1673">
        <f>B1673-$O$14</f>
        <v/>
      </c>
    </row>
    <row r="1674">
      <c r="A1674" t="n">
        <v>5016</v>
      </c>
      <c r="B1674" t="n">
        <v>167.2</v>
      </c>
      <c r="C1674" t="inlineStr">
        <is>
          <t>894</t>
        </is>
      </c>
      <c r="D1674" t="n">
        <v>8.94</v>
      </c>
      <c r="E1674">
        <f>MEDIAN(D1654:D1694)</f>
        <v/>
      </c>
      <c r="F1674">
        <f>E1654</f>
        <v/>
      </c>
      <c r="G1674">
        <f>F1674-E1674</f>
        <v/>
      </c>
      <c r="H1674">
        <f>IF(OR(NOT(ISNUMBER(D1674)),ABS(D1674-E1674)&gt;$O$3,AND($O$11=1,B1674&lt;$O$12)),1,0)</f>
        <v/>
      </c>
      <c r="I1674">
        <f>IF(H1674=1,NA(),D1674)</f>
        <v/>
      </c>
      <c r="J1674">
        <f>IF(AND(ISNUMBER(D1674),D1674&gt;=$O$4,OR($O$11=0,B1674&gt;=$O$12)),1,0)</f>
        <v/>
      </c>
      <c r="K1674">
        <f>B1674-$O$14</f>
        <v/>
      </c>
    </row>
    <row r="1675">
      <c r="A1675" t="n">
        <v>5019</v>
      </c>
      <c r="B1675" t="n">
        <v>167.3</v>
      </c>
      <c r="C1675" t="inlineStr">
        <is>
          <t>894</t>
        </is>
      </c>
      <c r="D1675" t="n">
        <v>8.94</v>
      </c>
      <c r="E1675">
        <f>MEDIAN(D1655:D1695)</f>
        <v/>
      </c>
      <c r="F1675">
        <f>E1655</f>
        <v/>
      </c>
      <c r="G1675">
        <f>F1675-E1675</f>
        <v/>
      </c>
      <c r="H1675">
        <f>IF(OR(NOT(ISNUMBER(D1675)),ABS(D1675-E1675)&gt;$O$3,AND($O$11=1,B1675&lt;$O$12)),1,0)</f>
        <v/>
      </c>
      <c r="I1675">
        <f>IF(H1675=1,NA(),D1675)</f>
        <v/>
      </c>
      <c r="J1675">
        <f>IF(AND(ISNUMBER(D1675),D1675&gt;=$O$4,OR($O$11=0,B1675&gt;=$O$12)),1,0)</f>
        <v/>
      </c>
      <c r="K1675">
        <f>B1675-$O$14</f>
        <v/>
      </c>
    </row>
    <row r="1676">
      <c r="A1676" t="n">
        <v>5022</v>
      </c>
      <c r="B1676" t="n">
        <v>167.4</v>
      </c>
      <c r="C1676" t="inlineStr">
        <is>
          <t>894</t>
        </is>
      </c>
      <c r="D1676" t="n">
        <v>8.94</v>
      </c>
      <c r="E1676">
        <f>MEDIAN(D1656:D1696)</f>
        <v/>
      </c>
      <c r="F1676">
        <f>E1656</f>
        <v/>
      </c>
      <c r="G1676">
        <f>F1676-E1676</f>
        <v/>
      </c>
      <c r="H1676">
        <f>IF(OR(NOT(ISNUMBER(D1676)),ABS(D1676-E1676)&gt;$O$3,AND($O$11=1,B1676&lt;$O$12)),1,0)</f>
        <v/>
      </c>
      <c r="I1676">
        <f>IF(H1676=1,NA(),D1676)</f>
        <v/>
      </c>
      <c r="J1676">
        <f>IF(AND(ISNUMBER(D1676),D1676&gt;=$O$4,OR($O$11=0,B1676&gt;=$O$12)),1,0)</f>
        <v/>
      </c>
      <c r="K1676">
        <f>B1676-$O$14</f>
        <v/>
      </c>
    </row>
    <row r="1677">
      <c r="A1677" t="n">
        <v>5025</v>
      </c>
      <c r="B1677" t="n">
        <v>167.5</v>
      </c>
      <c r="C1677" t="inlineStr">
        <is>
          <t>894</t>
        </is>
      </c>
      <c r="D1677" t="n">
        <v>8.94</v>
      </c>
      <c r="E1677">
        <f>MEDIAN(D1657:D1697)</f>
        <v/>
      </c>
      <c r="F1677">
        <f>E1657</f>
        <v/>
      </c>
      <c r="G1677">
        <f>F1677-E1677</f>
        <v/>
      </c>
      <c r="H1677">
        <f>IF(OR(NOT(ISNUMBER(D1677)),ABS(D1677-E1677)&gt;$O$3,AND($O$11=1,B1677&lt;$O$12)),1,0)</f>
        <v/>
      </c>
      <c r="I1677">
        <f>IF(H1677=1,NA(),D1677)</f>
        <v/>
      </c>
      <c r="J1677">
        <f>IF(AND(ISNUMBER(D1677),D1677&gt;=$O$4,OR($O$11=0,B1677&gt;=$O$12)),1,0)</f>
        <v/>
      </c>
      <c r="K1677">
        <f>B1677-$O$14</f>
        <v/>
      </c>
    </row>
    <row r="1678">
      <c r="A1678" t="n">
        <v>5028</v>
      </c>
      <c r="B1678" t="n">
        <v>167.6</v>
      </c>
      <c r="C1678" t="inlineStr">
        <is>
          <t>895</t>
        </is>
      </c>
      <c r="D1678" t="n">
        <v>8.949999999999999</v>
      </c>
      <c r="E1678">
        <f>MEDIAN(D1658:D1698)</f>
        <v/>
      </c>
      <c r="F1678">
        <f>E1658</f>
        <v/>
      </c>
      <c r="G1678">
        <f>F1678-E1678</f>
        <v/>
      </c>
      <c r="H1678">
        <f>IF(OR(NOT(ISNUMBER(D1678)),ABS(D1678-E1678)&gt;$O$3,AND($O$11=1,B1678&lt;$O$12)),1,0)</f>
        <v/>
      </c>
      <c r="I1678">
        <f>IF(H1678=1,NA(),D1678)</f>
        <v/>
      </c>
      <c r="J1678">
        <f>IF(AND(ISNUMBER(D1678),D1678&gt;=$O$4,OR($O$11=0,B1678&gt;=$O$12)),1,0)</f>
        <v/>
      </c>
      <c r="K1678">
        <f>B1678-$O$14</f>
        <v/>
      </c>
    </row>
    <row r="1679">
      <c r="A1679" t="n">
        <v>5031</v>
      </c>
      <c r="B1679" t="n">
        <v>167.7</v>
      </c>
      <c r="C1679" t="inlineStr">
        <is>
          <t>895</t>
        </is>
      </c>
      <c r="D1679" t="n">
        <v>8.949999999999999</v>
      </c>
      <c r="E1679">
        <f>MEDIAN(D1659:D1699)</f>
        <v/>
      </c>
      <c r="F1679">
        <f>E1659</f>
        <v/>
      </c>
      <c r="G1679">
        <f>F1679-E1679</f>
        <v/>
      </c>
      <c r="H1679">
        <f>IF(OR(NOT(ISNUMBER(D1679)),ABS(D1679-E1679)&gt;$O$3,AND($O$11=1,B1679&lt;$O$12)),1,0)</f>
        <v/>
      </c>
      <c r="I1679">
        <f>IF(H1679=1,NA(),D1679)</f>
        <v/>
      </c>
      <c r="J1679">
        <f>IF(AND(ISNUMBER(D1679),D1679&gt;=$O$4,OR($O$11=0,B1679&gt;=$O$12)),1,0)</f>
        <v/>
      </c>
      <c r="K1679">
        <f>B1679-$O$14</f>
        <v/>
      </c>
    </row>
    <row r="1680">
      <c r="A1680" t="n">
        <v>5034</v>
      </c>
      <c r="B1680" t="n">
        <v>167.8</v>
      </c>
      <c r="C1680" t="inlineStr">
        <is>
          <t>895</t>
        </is>
      </c>
      <c r="D1680" t="n">
        <v>8.949999999999999</v>
      </c>
      <c r="E1680">
        <f>MEDIAN(D1660:D1700)</f>
        <v/>
      </c>
      <c r="F1680">
        <f>E1660</f>
        <v/>
      </c>
      <c r="G1680">
        <f>F1680-E1680</f>
        <v/>
      </c>
      <c r="H1680">
        <f>IF(OR(NOT(ISNUMBER(D1680)),ABS(D1680-E1680)&gt;$O$3,AND($O$11=1,B1680&lt;$O$12)),1,0)</f>
        <v/>
      </c>
      <c r="I1680">
        <f>IF(H1680=1,NA(),D1680)</f>
        <v/>
      </c>
      <c r="J1680">
        <f>IF(AND(ISNUMBER(D1680),D1680&gt;=$O$4,OR($O$11=0,B1680&gt;=$O$12)),1,0)</f>
        <v/>
      </c>
      <c r="K1680">
        <f>B1680-$O$14</f>
        <v/>
      </c>
    </row>
    <row r="1681">
      <c r="A1681" t="n">
        <v>5037</v>
      </c>
      <c r="B1681" t="n">
        <v>167.9</v>
      </c>
      <c r="C1681" t="inlineStr">
        <is>
          <t>895</t>
        </is>
      </c>
      <c r="D1681" t="n">
        <v>8.949999999999999</v>
      </c>
      <c r="E1681">
        <f>MEDIAN(D1661:D1701)</f>
        <v/>
      </c>
      <c r="F1681">
        <f>E1661</f>
        <v/>
      </c>
      <c r="G1681">
        <f>F1681-E1681</f>
        <v/>
      </c>
      <c r="H1681">
        <f>IF(OR(NOT(ISNUMBER(D1681)),ABS(D1681-E1681)&gt;$O$3,AND($O$11=1,B1681&lt;$O$12)),1,0)</f>
        <v/>
      </c>
      <c r="I1681">
        <f>IF(H1681=1,NA(),D1681)</f>
        <v/>
      </c>
      <c r="J1681">
        <f>IF(AND(ISNUMBER(D1681),D1681&gt;=$O$4,OR($O$11=0,B1681&gt;=$O$12)),1,0)</f>
        <v/>
      </c>
      <c r="K1681">
        <f>B1681-$O$14</f>
        <v/>
      </c>
    </row>
    <row r="1682">
      <c r="A1682" t="n">
        <v>5040</v>
      </c>
      <c r="B1682" t="n">
        <v>168</v>
      </c>
      <c r="C1682" t="inlineStr">
        <is>
          <t>895</t>
        </is>
      </c>
      <c r="D1682" t="n">
        <v>8.949999999999999</v>
      </c>
      <c r="E1682">
        <f>MEDIAN(D1662:D1702)</f>
        <v/>
      </c>
      <c r="F1682">
        <f>E1662</f>
        <v/>
      </c>
      <c r="G1682">
        <f>F1682-E1682</f>
        <v/>
      </c>
      <c r="H1682">
        <f>IF(OR(NOT(ISNUMBER(D1682)),ABS(D1682-E1682)&gt;$O$3,AND($O$11=1,B1682&lt;$O$12)),1,0)</f>
        <v/>
      </c>
      <c r="I1682">
        <f>IF(H1682=1,NA(),D1682)</f>
        <v/>
      </c>
      <c r="J1682">
        <f>IF(AND(ISNUMBER(D1682),D1682&gt;=$O$4,OR($O$11=0,B1682&gt;=$O$12)),1,0)</f>
        <v/>
      </c>
      <c r="K1682">
        <f>B1682-$O$14</f>
        <v/>
      </c>
    </row>
    <row r="1683">
      <c r="A1683" t="n">
        <v>5043</v>
      </c>
      <c r="B1683" t="n">
        <v>168.1</v>
      </c>
      <c r="C1683" t="inlineStr">
        <is>
          <t>895</t>
        </is>
      </c>
      <c r="D1683" t="n">
        <v>8.949999999999999</v>
      </c>
      <c r="E1683">
        <f>MEDIAN(D1663:D1703)</f>
        <v/>
      </c>
      <c r="F1683">
        <f>E1663</f>
        <v/>
      </c>
      <c r="G1683">
        <f>F1683-E1683</f>
        <v/>
      </c>
      <c r="H1683">
        <f>IF(OR(NOT(ISNUMBER(D1683)),ABS(D1683-E1683)&gt;$O$3,AND($O$11=1,B1683&lt;$O$12)),1,0)</f>
        <v/>
      </c>
      <c r="I1683">
        <f>IF(H1683=1,NA(),D1683)</f>
        <v/>
      </c>
      <c r="J1683">
        <f>IF(AND(ISNUMBER(D1683),D1683&gt;=$O$4,OR($O$11=0,B1683&gt;=$O$12)),1,0)</f>
        <v/>
      </c>
      <c r="K1683">
        <f>B1683-$O$14</f>
        <v/>
      </c>
    </row>
    <row r="1684">
      <c r="A1684" t="n">
        <v>5046</v>
      </c>
      <c r="B1684" t="n">
        <v>168.2</v>
      </c>
      <c r="C1684" t="inlineStr">
        <is>
          <t>896</t>
        </is>
      </c>
      <c r="D1684" t="n">
        <v>8.960000000000001</v>
      </c>
      <c r="E1684">
        <f>MEDIAN(D1664:D1704)</f>
        <v/>
      </c>
      <c r="F1684">
        <f>E1664</f>
        <v/>
      </c>
      <c r="G1684">
        <f>F1684-E1684</f>
        <v/>
      </c>
      <c r="H1684">
        <f>IF(OR(NOT(ISNUMBER(D1684)),ABS(D1684-E1684)&gt;$O$3,AND($O$11=1,B1684&lt;$O$12)),1,0)</f>
        <v/>
      </c>
      <c r="I1684">
        <f>IF(H1684=1,NA(),D1684)</f>
        <v/>
      </c>
      <c r="J1684">
        <f>IF(AND(ISNUMBER(D1684),D1684&gt;=$O$4,OR($O$11=0,B1684&gt;=$O$12)),1,0)</f>
        <v/>
      </c>
      <c r="K1684">
        <f>B1684-$O$14</f>
        <v/>
      </c>
    </row>
    <row r="1685">
      <c r="A1685" t="n">
        <v>5049</v>
      </c>
      <c r="B1685" t="n">
        <v>168.3</v>
      </c>
      <c r="C1685" t="inlineStr">
        <is>
          <t>896</t>
        </is>
      </c>
      <c r="D1685" t="n">
        <v>8.960000000000001</v>
      </c>
      <c r="E1685">
        <f>MEDIAN(D1665:D1705)</f>
        <v/>
      </c>
      <c r="F1685">
        <f>E1665</f>
        <v/>
      </c>
      <c r="G1685">
        <f>F1685-E1685</f>
        <v/>
      </c>
      <c r="H1685">
        <f>IF(OR(NOT(ISNUMBER(D1685)),ABS(D1685-E1685)&gt;$O$3,AND($O$11=1,B1685&lt;$O$12)),1,0)</f>
        <v/>
      </c>
      <c r="I1685">
        <f>IF(H1685=1,NA(),D1685)</f>
        <v/>
      </c>
      <c r="J1685">
        <f>IF(AND(ISNUMBER(D1685),D1685&gt;=$O$4,OR($O$11=0,B1685&gt;=$O$12)),1,0)</f>
        <v/>
      </c>
      <c r="K1685">
        <f>B1685-$O$14</f>
        <v/>
      </c>
    </row>
    <row r="1686">
      <c r="A1686" t="n">
        <v>5052</v>
      </c>
      <c r="B1686" t="n">
        <v>168.4</v>
      </c>
      <c r="C1686" t="inlineStr">
        <is>
          <t>896</t>
        </is>
      </c>
      <c r="D1686" t="n">
        <v>8.960000000000001</v>
      </c>
      <c r="E1686">
        <f>MEDIAN(D1666:D1706)</f>
        <v/>
      </c>
      <c r="F1686">
        <f>E1666</f>
        <v/>
      </c>
      <c r="G1686">
        <f>F1686-E1686</f>
        <v/>
      </c>
      <c r="H1686">
        <f>IF(OR(NOT(ISNUMBER(D1686)),ABS(D1686-E1686)&gt;$O$3,AND($O$11=1,B1686&lt;$O$12)),1,0)</f>
        <v/>
      </c>
      <c r="I1686">
        <f>IF(H1686=1,NA(),D1686)</f>
        <v/>
      </c>
      <c r="J1686">
        <f>IF(AND(ISNUMBER(D1686),D1686&gt;=$O$4,OR($O$11=0,B1686&gt;=$O$12)),1,0)</f>
        <v/>
      </c>
      <c r="K1686">
        <f>B1686-$O$14</f>
        <v/>
      </c>
    </row>
    <row r="1687">
      <c r="A1687" t="n">
        <v>5055</v>
      </c>
      <c r="B1687" t="n">
        <v>168.5</v>
      </c>
      <c r="C1687" t="inlineStr">
        <is>
          <t>896</t>
        </is>
      </c>
      <c r="D1687" t="n">
        <v>8.960000000000001</v>
      </c>
      <c r="E1687">
        <f>MEDIAN(D1667:D1707)</f>
        <v/>
      </c>
      <c r="F1687">
        <f>E1667</f>
        <v/>
      </c>
      <c r="G1687">
        <f>F1687-E1687</f>
        <v/>
      </c>
      <c r="H1687">
        <f>IF(OR(NOT(ISNUMBER(D1687)),ABS(D1687-E1687)&gt;$O$3,AND($O$11=1,B1687&lt;$O$12)),1,0)</f>
        <v/>
      </c>
      <c r="I1687">
        <f>IF(H1687=1,NA(),D1687)</f>
        <v/>
      </c>
      <c r="J1687">
        <f>IF(AND(ISNUMBER(D1687),D1687&gt;=$O$4,OR($O$11=0,B1687&gt;=$O$12)),1,0)</f>
        <v/>
      </c>
      <c r="K1687">
        <f>B1687-$O$14</f>
        <v/>
      </c>
    </row>
    <row r="1688">
      <c r="A1688" t="n">
        <v>5058</v>
      </c>
      <c r="B1688" t="n">
        <v>168.6</v>
      </c>
      <c r="C1688" t="inlineStr">
        <is>
          <t>896</t>
        </is>
      </c>
      <c r="D1688" t="n">
        <v>8.960000000000001</v>
      </c>
      <c r="E1688">
        <f>MEDIAN(D1668:D1708)</f>
        <v/>
      </c>
      <c r="F1688">
        <f>E1668</f>
        <v/>
      </c>
      <c r="G1688">
        <f>F1688-E1688</f>
        <v/>
      </c>
      <c r="H1688">
        <f>IF(OR(NOT(ISNUMBER(D1688)),ABS(D1688-E1688)&gt;$O$3,AND($O$11=1,B1688&lt;$O$12)),1,0)</f>
        <v/>
      </c>
      <c r="I1688">
        <f>IF(H1688=1,NA(),D1688)</f>
        <v/>
      </c>
      <c r="J1688">
        <f>IF(AND(ISNUMBER(D1688),D1688&gt;=$O$4,OR($O$11=0,B1688&gt;=$O$12)),1,0)</f>
        <v/>
      </c>
      <c r="K1688">
        <f>B1688-$O$14</f>
        <v/>
      </c>
    </row>
    <row r="1689">
      <c r="A1689" t="n">
        <v>5061</v>
      </c>
      <c r="B1689" t="n">
        <v>168.7</v>
      </c>
      <c r="C1689" t="inlineStr">
        <is>
          <t>897</t>
        </is>
      </c>
      <c r="D1689" t="n">
        <v>8.970000000000001</v>
      </c>
      <c r="E1689">
        <f>MEDIAN(D1669:D1709)</f>
        <v/>
      </c>
      <c r="F1689">
        <f>E1669</f>
        <v/>
      </c>
      <c r="G1689">
        <f>F1689-E1689</f>
        <v/>
      </c>
      <c r="H1689">
        <f>IF(OR(NOT(ISNUMBER(D1689)),ABS(D1689-E1689)&gt;$O$3,AND($O$11=1,B1689&lt;$O$12)),1,0)</f>
        <v/>
      </c>
      <c r="I1689">
        <f>IF(H1689=1,NA(),D1689)</f>
        <v/>
      </c>
      <c r="J1689">
        <f>IF(AND(ISNUMBER(D1689),D1689&gt;=$O$4,OR($O$11=0,B1689&gt;=$O$12)),1,0)</f>
        <v/>
      </c>
      <c r="K1689">
        <f>B1689-$O$14</f>
        <v/>
      </c>
    </row>
    <row r="1690">
      <c r="A1690" t="n">
        <v>5064</v>
      </c>
      <c r="B1690" t="n">
        <v>168.8</v>
      </c>
      <c r="C1690" t="inlineStr">
        <is>
          <t>897</t>
        </is>
      </c>
      <c r="D1690" t="n">
        <v>8.970000000000001</v>
      </c>
      <c r="E1690">
        <f>MEDIAN(D1670:D1710)</f>
        <v/>
      </c>
      <c r="F1690">
        <f>E1670</f>
        <v/>
      </c>
      <c r="G1690">
        <f>F1690-E1690</f>
        <v/>
      </c>
      <c r="H1690">
        <f>IF(OR(NOT(ISNUMBER(D1690)),ABS(D1690-E1690)&gt;$O$3,AND($O$11=1,B1690&lt;$O$12)),1,0)</f>
        <v/>
      </c>
      <c r="I1690">
        <f>IF(H1690=1,NA(),D1690)</f>
        <v/>
      </c>
      <c r="J1690">
        <f>IF(AND(ISNUMBER(D1690),D1690&gt;=$O$4,OR($O$11=0,B1690&gt;=$O$12)),1,0)</f>
        <v/>
      </c>
      <c r="K1690">
        <f>B1690-$O$14</f>
        <v/>
      </c>
    </row>
    <row r="1691">
      <c r="A1691" t="n">
        <v>5067</v>
      </c>
      <c r="B1691" t="n">
        <v>168.9</v>
      </c>
      <c r="C1691" t="inlineStr">
        <is>
          <t>897</t>
        </is>
      </c>
      <c r="D1691" t="n">
        <v>8.970000000000001</v>
      </c>
      <c r="E1691">
        <f>MEDIAN(D1671:D1711)</f>
        <v/>
      </c>
      <c r="F1691">
        <f>E1671</f>
        <v/>
      </c>
      <c r="G1691">
        <f>F1691-E1691</f>
        <v/>
      </c>
      <c r="H1691">
        <f>IF(OR(NOT(ISNUMBER(D1691)),ABS(D1691-E1691)&gt;$O$3,AND($O$11=1,B1691&lt;$O$12)),1,0)</f>
        <v/>
      </c>
      <c r="I1691">
        <f>IF(H1691=1,NA(),D1691)</f>
        <v/>
      </c>
      <c r="J1691">
        <f>IF(AND(ISNUMBER(D1691),D1691&gt;=$O$4,OR($O$11=0,B1691&gt;=$O$12)),1,0)</f>
        <v/>
      </c>
      <c r="K1691">
        <f>B1691-$O$14</f>
        <v/>
      </c>
    </row>
    <row r="1692">
      <c r="A1692" t="n">
        <v>5070</v>
      </c>
      <c r="B1692" t="n">
        <v>169</v>
      </c>
      <c r="C1692" t="inlineStr">
        <is>
          <t>897</t>
        </is>
      </c>
      <c r="D1692" t="n">
        <v>8.970000000000001</v>
      </c>
      <c r="E1692">
        <f>MEDIAN(D1672:D1712)</f>
        <v/>
      </c>
      <c r="F1692">
        <f>E1672</f>
        <v/>
      </c>
      <c r="G1692">
        <f>F1692-E1692</f>
        <v/>
      </c>
      <c r="H1692">
        <f>IF(OR(NOT(ISNUMBER(D1692)),ABS(D1692-E1692)&gt;$O$3,AND($O$11=1,B1692&lt;$O$12)),1,0)</f>
        <v/>
      </c>
      <c r="I1692">
        <f>IF(H1692=1,NA(),D1692)</f>
        <v/>
      </c>
      <c r="J1692">
        <f>IF(AND(ISNUMBER(D1692),D1692&gt;=$O$4,OR($O$11=0,B1692&gt;=$O$12)),1,0)</f>
        <v/>
      </c>
      <c r="K1692">
        <f>B1692-$O$14</f>
        <v/>
      </c>
    </row>
    <row r="1693">
      <c r="A1693" t="n">
        <v>5073</v>
      </c>
      <c r="B1693" t="n">
        <v>169.1</v>
      </c>
      <c r="C1693" t="inlineStr">
        <is>
          <t>897</t>
        </is>
      </c>
      <c r="D1693" t="n">
        <v>8.970000000000001</v>
      </c>
      <c r="E1693">
        <f>MEDIAN(D1673:D1713)</f>
        <v/>
      </c>
      <c r="F1693">
        <f>E1673</f>
        <v/>
      </c>
      <c r="G1693">
        <f>F1693-E1693</f>
        <v/>
      </c>
      <c r="H1693">
        <f>IF(OR(NOT(ISNUMBER(D1693)),ABS(D1693-E1693)&gt;$O$3,AND($O$11=1,B1693&lt;$O$12)),1,0)</f>
        <v/>
      </c>
      <c r="I1693">
        <f>IF(H1693=1,NA(),D1693)</f>
        <v/>
      </c>
      <c r="J1693">
        <f>IF(AND(ISNUMBER(D1693),D1693&gt;=$O$4,OR($O$11=0,B1693&gt;=$O$12)),1,0)</f>
        <v/>
      </c>
      <c r="K1693">
        <f>B1693-$O$14</f>
        <v/>
      </c>
    </row>
    <row r="1694">
      <c r="A1694" t="n">
        <v>5076</v>
      </c>
      <c r="B1694" t="n">
        <v>169.2</v>
      </c>
      <c r="C1694" t="inlineStr">
        <is>
          <t>897</t>
        </is>
      </c>
      <c r="D1694" t="n">
        <v>8.970000000000001</v>
      </c>
      <c r="E1694">
        <f>MEDIAN(D1674:D1714)</f>
        <v/>
      </c>
      <c r="F1694">
        <f>E1674</f>
        <v/>
      </c>
      <c r="G1694">
        <f>F1694-E1694</f>
        <v/>
      </c>
      <c r="H1694">
        <f>IF(OR(NOT(ISNUMBER(D1694)),ABS(D1694-E1694)&gt;$O$3,AND($O$11=1,B1694&lt;$O$12)),1,0)</f>
        <v/>
      </c>
      <c r="I1694">
        <f>IF(H1694=1,NA(),D1694)</f>
        <v/>
      </c>
      <c r="J1694">
        <f>IF(AND(ISNUMBER(D1694),D1694&gt;=$O$4,OR($O$11=0,B1694&gt;=$O$12)),1,0)</f>
        <v/>
      </c>
      <c r="K1694">
        <f>B1694-$O$14</f>
        <v/>
      </c>
    </row>
    <row r="1695">
      <c r="A1695" t="n">
        <v>5079</v>
      </c>
      <c r="B1695" t="n">
        <v>169.3</v>
      </c>
      <c r="C1695" t="inlineStr">
        <is>
          <t>900</t>
        </is>
      </c>
      <c r="D1695" t="n">
        <v>9</v>
      </c>
      <c r="E1695">
        <f>MEDIAN(D1675:D1715)</f>
        <v/>
      </c>
      <c r="F1695">
        <f>E1675</f>
        <v/>
      </c>
      <c r="G1695">
        <f>F1695-E1695</f>
        <v/>
      </c>
      <c r="H1695">
        <f>IF(OR(NOT(ISNUMBER(D1695)),ABS(D1695-E1695)&gt;$O$3,AND($O$11=1,B1695&lt;$O$12)),1,0)</f>
        <v/>
      </c>
      <c r="I1695">
        <f>IF(H1695=1,NA(),D1695)</f>
        <v/>
      </c>
      <c r="J1695">
        <f>IF(AND(ISNUMBER(D1695),D1695&gt;=$O$4,OR($O$11=0,B1695&gt;=$O$12)),1,0)</f>
        <v/>
      </c>
      <c r="K1695">
        <f>B1695-$O$14</f>
        <v/>
      </c>
    </row>
    <row r="1696">
      <c r="A1696" t="n">
        <v>5082</v>
      </c>
      <c r="B1696" t="n">
        <v>169.4</v>
      </c>
      <c r="C1696" t="inlineStr">
        <is>
          <t>900</t>
        </is>
      </c>
      <c r="D1696" t="n">
        <v>9</v>
      </c>
      <c r="E1696">
        <f>MEDIAN(D1676:D1716)</f>
        <v/>
      </c>
      <c r="F1696">
        <f>E1676</f>
        <v/>
      </c>
      <c r="G1696">
        <f>F1696-E1696</f>
        <v/>
      </c>
      <c r="H1696">
        <f>IF(OR(NOT(ISNUMBER(D1696)),ABS(D1696-E1696)&gt;$O$3,AND($O$11=1,B1696&lt;$O$12)),1,0)</f>
        <v/>
      </c>
      <c r="I1696">
        <f>IF(H1696=1,NA(),D1696)</f>
        <v/>
      </c>
      <c r="J1696">
        <f>IF(AND(ISNUMBER(D1696),D1696&gt;=$O$4,OR($O$11=0,B1696&gt;=$O$12)),1,0)</f>
        <v/>
      </c>
      <c r="K1696">
        <f>B1696-$O$14</f>
        <v/>
      </c>
    </row>
    <row r="1697">
      <c r="A1697" t="n">
        <v>5085</v>
      </c>
      <c r="B1697" t="n">
        <v>169.5</v>
      </c>
      <c r="C1697" t="inlineStr">
        <is>
          <t>900</t>
        </is>
      </c>
      <c r="D1697" t="n">
        <v>9</v>
      </c>
      <c r="E1697">
        <f>MEDIAN(D1677:D1717)</f>
        <v/>
      </c>
      <c r="F1697">
        <f>E1677</f>
        <v/>
      </c>
      <c r="G1697">
        <f>F1697-E1697</f>
        <v/>
      </c>
      <c r="H1697">
        <f>IF(OR(NOT(ISNUMBER(D1697)),ABS(D1697-E1697)&gt;$O$3,AND($O$11=1,B1697&lt;$O$12)),1,0)</f>
        <v/>
      </c>
      <c r="I1697">
        <f>IF(H1697=1,NA(),D1697)</f>
        <v/>
      </c>
      <c r="J1697">
        <f>IF(AND(ISNUMBER(D1697),D1697&gt;=$O$4,OR($O$11=0,B1697&gt;=$O$12)),1,0)</f>
        <v/>
      </c>
      <c r="K1697">
        <f>B1697-$O$14</f>
        <v/>
      </c>
    </row>
    <row r="1698">
      <c r="A1698" t="n">
        <v>5088</v>
      </c>
      <c r="B1698" t="n">
        <v>169.6</v>
      </c>
      <c r="C1698" t="inlineStr">
        <is>
          <t>900</t>
        </is>
      </c>
      <c r="D1698" t="n">
        <v>9</v>
      </c>
      <c r="E1698">
        <f>MEDIAN(D1678:D1718)</f>
        <v/>
      </c>
      <c r="F1698">
        <f>E1678</f>
        <v/>
      </c>
      <c r="G1698">
        <f>F1698-E1698</f>
        <v/>
      </c>
      <c r="H1698">
        <f>IF(OR(NOT(ISNUMBER(D1698)),ABS(D1698-E1698)&gt;$O$3,AND($O$11=1,B1698&lt;$O$12)),1,0)</f>
        <v/>
      </c>
      <c r="I1698">
        <f>IF(H1698=1,NA(),D1698)</f>
        <v/>
      </c>
      <c r="J1698">
        <f>IF(AND(ISNUMBER(D1698),D1698&gt;=$O$4,OR($O$11=0,B1698&gt;=$O$12)),1,0)</f>
        <v/>
      </c>
      <c r="K1698">
        <f>B1698-$O$14</f>
        <v/>
      </c>
    </row>
    <row r="1699">
      <c r="A1699" t="n">
        <v>5091</v>
      </c>
      <c r="B1699" t="n">
        <v>169.7</v>
      </c>
      <c r="C1699" t="inlineStr">
        <is>
          <t>900</t>
        </is>
      </c>
      <c r="D1699" t="n">
        <v>9</v>
      </c>
      <c r="E1699">
        <f>MEDIAN(D1679:D1719)</f>
        <v/>
      </c>
      <c r="F1699">
        <f>E1679</f>
        <v/>
      </c>
      <c r="G1699">
        <f>F1699-E1699</f>
        <v/>
      </c>
      <c r="H1699">
        <f>IF(OR(NOT(ISNUMBER(D1699)),ABS(D1699-E1699)&gt;$O$3,AND($O$11=1,B1699&lt;$O$12)),1,0)</f>
        <v/>
      </c>
      <c r="I1699">
        <f>IF(H1699=1,NA(),D1699)</f>
        <v/>
      </c>
      <c r="J1699">
        <f>IF(AND(ISNUMBER(D1699),D1699&gt;=$O$4,OR($O$11=0,B1699&gt;=$O$12)),1,0)</f>
        <v/>
      </c>
      <c r="K1699">
        <f>B1699-$O$14</f>
        <v/>
      </c>
    </row>
    <row r="1700">
      <c r="A1700" t="n">
        <v>5094</v>
      </c>
      <c r="B1700" t="n">
        <v>169.8</v>
      </c>
      <c r="C1700" t="inlineStr">
        <is>
          <t>900</t>
        </is>
      </c>
      <c r="D1700" t="n">
        <v>9</v>
      </c>
      <c r="E1700">
        <f>MEDIAN(D1680:D1720)</f>
        <v/>
      </c>
      <c r="F1700">
        <f>E1680</f>
        <v/>
      </c>
      <c r="G1700">
        <f>F1700-E1700</f>
        <v/>
      </c>
      <c r="H1700">
        <f>IF(OR(NOT(ISNUMBER(D1700)),ABS(D1700-E1700)&gt;$O$3,AND($O$11=1,B1700&lt;$O$12)),1,0)</f>
        <v/>
      </c>
      <c r="I1700">
        <f>IF(H1700=1,NA(),D1700)</f>
        <v/>
      </c>
      <c r="J1700">
        <f>IF(AND(ISNUMBER(D1700),D1700&gt;=$O$4,OR($O$11=0,B1700&gt;=$O$12)),1,0)</f>
        <v/>
      </c>
      <c r="K1700">
        <f>B1700-$O$14</f>
        <v/>
      </c>
    </row>
    <row r="1701">
      <c r="A1701" t="n">
        <v>5097</v>
      </c>
      <c r="B1701" t="n">
        <v>169.9</v>
      </c>
      <c r="C1701" t="inlineStr">
        <is>
          <t>900</t>
        </is>
      </c>
      <c r="D1701" t="n">
        <v>9</v>
      </c>
      <c r="E1701">
        <f>MEDIAN(D1681:D1721)</f>
        <v/>
      </c>
      <c r="F1701">
        <f>E1681</f>
        <v/>
      </c>
      <c r="G1701">
        <f>F1701-E1701</f>
        <v/>
      </c>
      <c r="H1701">
        <f>IF(OR(NOT(ISNUMBER(D1701)),ABS(D1701-E1701)&gt;$O$3,AND($O$11=1,B1701&lt;$O$12)),1,0)</f>
        <v/>
      </c>
      <c r="I1701">
        <f>IF(H1701=1,NA(),D1701)</f>
        <v/>
      </c>
      <c r="J1701">
        <f>IF(AND(ISNUMBER(D1701),D1701&gt;=$O$4,OR($O$11=0,B1701&gt;=$O$12)),1,0)</f>
        <v/>
      </c>
      <c r="K1701">
        <f>B1701-$O$14</f>
        <v/>
      </c>
    </row>
    <row r="1702">
      <c r="A1702" t="n">
        <v>5100</v>
      </c>
      <c r="B1702" t="n">
        <v>170</v>
      </c>
      <c r="C1702" t="inlineStr">
        <is>
          <t>900</t>
        </is>
      </c>
      <c r="D1702" t="n">
        <v>9</v>
      </c>
      <c r="E1702">
        <f>MEDIAN(D1682:D1722)</f>
        <v/>
      </c>
      <c r="F1702">
        <f>E1682</f>
        <v/>
      </c>
      <c r="G1702">
        <f>F1702-E1702</f>
        <v/>
      </c>
      <c r="H1702">
        <f>IF(OR(NOT(ISNUMBER(D1702)),ABS(D1702-E1702)&gt;$O$3,AND($O$11=1,B1702&lt;$O$12)),1,0)</f>
        <v/>
      </c>
      <c r="I1702">
        <f>IF(H1702=1,NA(),D1702)</f>
        <v/>
      </c>
      <c r="J1702">
        <f>IF(AND(ISNUMBER(D1702),D1702&gt;=$O$4,OR($O$11=0,B1702&gt;=$O$12)),1,0)</f>
        <v/>
      </c>
      <c r="K1702">
        <f>B1702-$O$14</f>
        <v/>
      </c>
    </row>
    <row r="1703">
      <c r="A1703" t="n">
        <v>5103</v>
      </c>
      <c r="B1703" t="n">
        <v>170.1</v>
      </c>
      <c r="C1703" t="inlineStr">
        <is>
          <t>900</t>
        </is>
      </c>
      <c r="D1703" t="n">
        <v>9</v>
      </c>
      <c r="E1703">
        <f>MEDIAN(D1683:D1723)</f>
        <v/>
      </c>
      <c r="F1703">
        <f>E1683</f>
        <v/>
      </c>
      <c r="G1703">
        <f>F1703-E1703</f>
        <v/>
      </c>
      <c r="H1703">
        <f>IF(OR(NOT(ISNUMBER(D1703)),ABS(D1703-E1703)&gt;$O$3,AND($O$11=1,B1703&lt;$O$12)),1,0)</f>
        <v/>
      </c>
      <c r="I1703">
        <f>IF(H1703=1,NA(),D1703)</f>
        <v/>
      </c>
      <c r="J1703">
        <f>IF(AND(ISNUMBER(D1703),D1703&gt;=$O$4,OR($O$11=0,B1703&gt;=$O$12)),1,0)</f>
        <v/>
      </c>
      <c r="K1703">
        <f>B1703-$O$14</f>
        <v/>
      </c>
    </row>
    <row r="1704">
      <c r="A1704" t="n">
        <v>5106</v>
      </c>
      <c r="B1704" t="n">
        <v>170.2</v>
      </c>
      <c r="C1704" t="inlineStr">
        <is>
          <t>900</t>
        </is>
      </c>
      <c r="D1704" t="n">
        <v>9</v>
      </c>
      <c r="E1704">
        <f>MEDIAN(D1684:D1724)</f>
        <v/>
      </c>
      <c r="F1704">
        <f>E1684</f>
        <v/>
      </c>
      <c r="G1704">
        <f>F1704-E1704</f>
        <v/>
      </c>
      <c r="H1704">
        <f>IF(OR(NOT(ISNUMBER(D1704)),ABS(D1704-E1704)&gt;$O$3,AND($O$11=1,B1704&lt;$O$12)),1,0)</f>
        <v/>
      </c>
      <c r="I1704">
        <f>IF(H1704=1,NA(),D1704)</f>
        <v/>
      </c>
      <c r="J1704">
        <f>IF(AND(ISNUMBER(D1704),D1704&gt;=$O$4,OR($O$11=0,B1704&gt;=$O$12)),1,0)</f>
        <v/>
      </c>
      <c r="K1704">
        <f>B1704-$O$14</f>
        <v/>
      </c>
    </row>
    <row r="1705">
      <c r="A1705" t="n">
        <v>5109</v>
      </c>
      <c r="B1705" t="n">
        <v>170.3</v>
      </c>
      <c r="C1705" t="inlineStr">
        <is>
          <t>900</t>
        </is>
      </c>
      <c r="D1705" t="n">
        <v>9</v>
      </c>
      <c r="E1705">
        <f>MEDIAN(D1685:D1725)</f>
        <v/>
      </c>
      <c r="F1705">
        <f>E1685</f>
        <v/>
      </c>
      <c r="G1705">
        <f>F1705-E1705</f>
        <v/>
      </c>
      <c r="H1705">
        <f>IF(OR(NOT(ISNUMBER(D1705)),ABS(D1705-E1705)&gt;$O$3,AND($O$11=1,B1705&lt;$O$12)),1,0)</f>
        <v/>
      </c>
      <c r="I1705">
        <f>IF(H1705=1,NA(),D1705)</f>
        <v/>
      </c>
      <c r="J1705">
        <f>IF(AND(ISNUMBER(D1705),D1705&gt;=$O$4,OR($O$11=0,B1705&gt;=$O$12)),1,0)</f>
        <v/>
      </c>
      <c r="K1705">
        <f>B1705-$O$14</f>
        <v/>
      </c>
    </row>
    <row r="1706">
      <c r="A1706" t="n">
        <v>5112</v>
      </c>
      <c r="B1706" t="n">
        <v>170.4</v>
      </c>
      <c r="C1706" t="inlineStr">
        <is>
          <t>900</t>
        </is>
      </c>
      <c r="D1706" t="n">
        <v>9</v>
      </c>
      <c r="E1706">
        <f>MEDIAN(D1686:D1726)</f>
        <v/>
      </c>
      <c r="F1706">
        <f>E1686</f>
        <v/>
      </c>
      <c r="G1706">
        <f>F1706-E1706</f>
        <v/>
      </c>
      <c r="H1706">
        <f>IF(OR(NOT(ISNUMBER(D1706)),ABS(D1706-E1706)&gt;$O$3,AND($O$11=1,B1706&lt;$O$12)),1,0)</f>
        <v/>
      </c>
      <c r="I1706">
        <f>IF(H1706=1,NA(),D1706)</f>
        <v/>
      </c>
      <c r="J1706">
        <f>IF(AND(ISNUMBER(D1706),D1706&gt;=$O$4,OR($O$11=0,B1706&gt;=$O$12)),1,0)</f>
        <v/>
      </c>
      <c r="K1706">
        <f>B1706-$O$14</f>
        <v/>
      </c>
    </row>
    <row r="1707">
      <c r="A1707" t="n">
        <v>5115</v>
      </c>
      <c r="B1707" t="n">
        <v>170.5</v>
      </c>
      <c r="C1707" t="inlineStr">
        <is>
          <t>900</t>
        </is>
      </c>
      <c r="D1707" t="n">
        <v>9</v>
      </c>
      <c r="E1707">
        <f>MEDIAN(D1687:D1727)</f>
        <v/>
      </c>
      <c r="F1707">
        <f>E1687</f>
        <v/>
      </c>
      <c r="G1707">
        <f>F1707-E1707</f>
        <v/>
      </c>
      <c r="H1707">
        <f>IF(OR(NOT(ISNUMBER(D1707)),ABS(D1707-E1707)&gt;$O$3,AND($O$11=1,B1707&lt;$O$12)),1,0)</f>
        <v/>
      </c>
      <c r="I1707">
        <f>IF(H1707=1,NA(),D1707)</f>
        <v/>
      </c>
      <c r="J1707">
        <f>IF(AND(ISNUMBER(D1707),D1707&gt;=$O$4,OR($O$11=0,B1707&gt;=$O$12)),1,0)</f>
        <v/>
      </c>
      <c r="K1707">
        <f>B1707-$O$14</f>
        <v/>
      </c>
    </row>
    <row r="1708">
      <c r="A1708" t="n">
        <v>5118</v>
      </c>
      <c r="B1708" t="n">
        <v>170.6</v>
      </c>
      <c r="C1708" t="inlineStr">
        <is>
          <t>900</t>
        </is>
      </c>
      <c r="D1708" t="n">
        <v>9</v>
      </c>
      <c r="E1708">
        <f>MEDIAN(D1688:D1728)</f>
        <v/>
      </c>
      <c r="F1708">
        <f>E1688</f>
        <v/>
      </c>
      <c r="G1708">
        <f>F1708-E1708</f>
        <v/>
      </c>
      <c r="H1708">
        <f>IF(OR(NOT(ISNUMBER(D1708)),ABS(D1708-E1708)&gt;$O$3,AND($O$11=1,B1708&lt;$O$12)),1,0)</f>
        <v/>
      </c>
      <c r="I1708">
        <f>IF(H1708=1,NA(),D1708)</f>
        <v/>
      </c>
      <c r="J1708">
        <f>IF(AND(ISNUMBER(D1708),D1708&gt;=$O$4,OR($O$11=0,B1708&gt;=$O$12)),1,0)</f>
        <v/>
      </c>
      <c r="K1708">
        <f>B1708-$O$14</f>
        <v/>
      </c>
    </row>
    <row r="1709">
      <c r="A1709" t="n">
        <v>5121</v>
      </c>
      <c r="B1709" t="n">
        <v>170.7</v>
      </c>
      <c r="C1709" t="inlineStr">
        <is>
          <t>900</t>
        </is>
      </c>
      <c r="D1709" t="n">
        <v>9</v>
      </c>
      <c r="E1709">
        <f>MEDIAN(D1689:D1729)</f>
        <v/>
      </c>
      <c r="F1709">
        <f>E1689</f>
        <v/>
      </c>
      <c r="G1709">
        <f>F1709-E1709</f>
        <v/>
      </c>
      <c r="H1709">
        <f>IF(OR(NOT(ISNUMBER(D1709)),ABS(D1709-E1709)&gt;$O$3,AND($O$11=1,B1709&lt;$O$12)),1,0)</f>
        <v/>
      </c>
      <c r="I1709">
        <f>IF(H1709=1,NA(),D1709)</f>
        <v/>
      </c>
      <c r="J1709">
        <f>IF(AND(ISNUMBER(D1709),D1709&gt;=$O$4,OR($O$11=0,B1709&gt;=$O$12)),1,0)</f>
        <v/>
      </c>
      <c r="K1709">
        <f>B1709-$O$14</f>
        <v/>
      </c>
    </row>
    <row r="1710">
      <c r="A1710" t="n">
        <v>5124</v>
      </c>
      <c r="B1710" t="n">
        <v>170.8</v>
      </c>
      <c r="C1710" t="inlineStr">
        <is>
          <t>900</t>
        </is>
      </c>
      <c r="D1710" t="n">
        <v>9</v>
      </c>
      <c r="E1710">
        <f>MEDIAN(D1690:D1730)</f>
        <v/>
      </c>
      <c r="F1710">
        <f>E1690</f>
        <v/>
      </c>
      <c r="G1710">
        <f>F1710-E1710</f>
        <v/>
      </c>
      <c r="H1710">
        <f>IF(OR(NOT(ISNUMBER(D1710)),ABS(D1710-E1710)&gt;$O$3,AND($O$11=1,B1710&lt;$O$12)),1,0)</f>
        <v/>
      </c>
      <c r="I1710">
        <f>IF(H1710=1,NA(),D1710)</f>
        <v/>
      </c>
      <c r="J1710">
        <f>IF(AND(ISNUMBER(D1710),D1710&gt;=$O$4,OR($O$11=0,B1710&gt;=$O$12)),1,0)</f>
        <v/>
      </c>
      <c r="K1710">
        <f>B1710-$O$14</f>
        <v/>
      </c>
    </row>
    <row r="1711">
      <c r="A1711" t="n">
        <v>5127</v>
      </c>
      <c r="B1711" t="n">
        <v>170.9</v>
      </c>
      <c r="C1711" t="inlineStr">
        <is>
          <t>900</t>
        </is>
      </c>
      <c r="D1711" t="n">
        <v>9</v>
      </c>
      <c r="E1711">
        <f>MEDIAN(D1691:D1731)</f>
        <v/>
      </c>
      <c r="F1711">
        <f>E1691</f>
        <v/>
      </c>
      <c r="G1711">
        <f>F1711-E1711</f>
        <v/>
      </c>
      <c r="H1711">
        <f>IF(OR(NOT(ISNUMBER(D1711)),ABS(D1711-E1711)&gt;$O$3,AND($O$11=1,B1711&lt;$O$12)),1,0)</f>
        <v/>
      </c>
      <c r="I1711">
        <f>IF(H1711=1,NA(),D1711)</f>
        <v/>
      </c>
      <c r="J1711">
        <f>IF(AND(ISNUMBER(D1711),D1711&gt;=$O$4,OR($O$11=0,B1711&gt;=$O$12)),1,0)</f>
        <v/>
      </c>
      <c r="K1711">
        <f>B1711-$O$14</f>
        <v/>
      </c>
    </row>
    <row r="1712">
      <c r="A1712" t="n">
        <v>5130</v>
      </c>
      <c r="B1712" t="n">
        <v>171</v>
      </c>
      <c r="C1712" t="inlineStr">
        <is>
          <t>900</t>
        </is>
      </c>
      <c r="D1712" t="n">
        <v>9</v>
      </c>
      <c r="E1712">
        <f>MEDIAN(D1692:D1732)</f>
        <v/>
      </c>
      <c r="F1712">
        <f>E1692</f>
        <v/>
      </c>
      <c r="G1712">
        <f>F1712-E1712</f>
        <v/>
      </c>
      <c r="H1712">
        <f>IF(OR(NOT(ISNUMBER(D1712)),ABS(D1712-E1712)&gt;$O$3,AND($O$11=1,B1712&lt;$O$12)),1,0)</f>
        <v/>
      </c>
      <c r="I1712">
        <f>IF(H1712=1,NA(),D1712)</f>
        <v/>
      </c>
      <c r="J1712">
        <f>IF(AND(ISNUMBER(D1712),D1712&gt;=$O$4,OR($O$11=0,B1712&gt;=$O$12)),1,0)</f>
        <v/>
      </c>
      <c r="K1712">
        <f>B1712-$O$14</f>
        <v/>
      </c>
    </row>
    <row r="1713">
      <c r="A1713" t="n">
        <v>5133</v>
      </c>
      <c r="B1713" t="n">
        <v>171.1</v>
      </c>
      <c r="C1713" t="inlineStr">
        <is>
          <t>900</t>
        </is>
      </c>
      <c r="D1713" t="n">
        <v>9</v>
      </c>
      <c r="E1713">
        <f>MEDIAN(D1693:D1733)</f>
        <v/>
      </c>
      <c r="F1713">
        <f>E1693</f>
        <v/>
      </c>
      <c r="G1713">
        <f>F1713-E1713</f>
        <v/>
      </c>
      <c r="H1713">
        <f>IF(OR(NOT(ISNUMBER(D1713)),ABS(D1713-E1713)&gt;$O$3,AND($O$11=1,B1713&lt;$O$12)),1,0)</f>
        <v/>
      </c>
      <c r="I1713">
        <f>IF(H1713=1,NA(),D1713)</f>
        <v/>
      </c>
      <c r="J1713">
        <f>IF(AND(ISNUMBER(D1713),D1713&gt;=$O$4,OR($O$11=0,B1713&gt;=$O$12)),1,0)</f>
        <v/>
      </c>
      <c r="K1713">
        <f>B1713-$O$14</f>
        <v/>
      </c>
    </row>
    <row r="1714">
      <c r="A1714" t="n">
        <v>5136</v>
      </c>
      <c r="B1714" t="n">
        <v>171.2</v>
      </c>
      <c r="C1714" t="inlineStr">
        <is>
          <t>900</t>
        </is>
      </c>
      <c r="D1714" t="n">
        <v>9</v>
      </c>
      <c r="E1714">
        <f>MEDIAN(D1694:D1734)</f>
        <v/>
      </c>
      <c r="F1714">
        <f>E1694</f>
        <v/>
      </c>
      <c r="G1714">
        <f>F1714-E1714</f>
        <v/>
      </c>
      <c r="H1714">
        <f>IF(OR(NOT(ISNUMBER(D1714)),ABS(D1714-E1714)&gt;$O$3,AND($O$11=1,B1714&lt;$O$12)),1,0)</f>
        <v/>
      </c>
      <c r="I1714">
        <f>IF(H1714=1,NA(),D1714)</f>
        <v/>
      </c>
      <c r="J1714">
        <f>IF(AND(ISNUMBER(D1714),D1714&gt;=$O$4,OR($O$11=0,B1714&gt;=$O$12)),1,0)</f>
        <v/>
      </c>
      <c r="K1714">
        <f>B1714-$O$14</f>
        <v/>
      </c>
    </row>
    <row r="1715">
      <c r="A1715" t="n">
        <v>5139</v>
      </c>
      <c r="B1715" t="n">
        <v>171.3</v>
      </c>
      <c r="C1715" t="inlineStr">
        <is>
          <t>900</t>
        </is>
      </c>
      <c r="D1715" t="n">
        <v>9</v>
      </c>
      <c r="E1715">
        <f>MEDIAN(D1695:D1735)</f>
        <v/>
      </c>
      <c r="F1715">
        <f>E1695</f>
        <v/>
      </c>
      <c r="G1715">
        <f>F1715-E1715</f>
        <v/>
      </c>
      <c r="H1715">
        <f>IF(OR(NOT(ISNUMBER(D1715)),ABS(D1715-E1715)&gt;$O$3,AND($O$11=1,B1715&lt;$O$12)),1,0)</f>
        <v/>
      </c>
      <c r="I1715">
        <f>IF(H1715=1,NA(),D1715)</f>
        <v/>
      </c>
      <c r="J1715">
        <f>IF(AND(ISNUMBER(D1715),D1715&gt;=$O$4,OR($O$11=0,B1715&gt;=$O$12)),1,0)</f>
        <v/>
      </c>
      <c r="K1715">
        <f>B1715-$O$14</f>
        <v/>
      </c>
    </row>
    <row r="1716">
      <c r="A1716" t="n">
        <v>5142</v>
      </c>
      <c r="B1716" t="n">
        <v>171.4</v>
      </c>
      <c r="C1716" t="inlineStr">
        <is>
          <t>900</t>
        </is>
      </c>
      <c r="D1716" t="n">
        <v>9</v>
      </c>
      <c r="E1716">
        <f>MEDIAN(D1696:D1736)</f>
        <v/>
      </c>
      <c r="F1716">
        <f>E1696</f>
        <v/>
      </c>
      <c r="G1716">
        <f>F1716-E1716</f>
        <v/>
      </c>
      <c r="H1716">
        <f>IF(OR(NOT(ISNUMBER(D1716)),ABS(D1716-E1716)&gt;$O$3,AND($O$11=1,B1716&lt;$O$12)),1,0)</f>
        <v/>
      </c>
      <c r="I1716">
        <f>IF(H1716=1,NA(),D1716)</f>
        <v/>
      </c>
      <c r="J1716">
        <f>IF(AND(ISNUMBER(D1716),D1716&gt;=$O$4,OR($O$11=0,B1716&gt;=$O$12)),1,0)</f>
        <v/>
      </c>
      <c r="K1716">
        <f>B1716-$O$14</f>
        <v/>
      </c>
    </row>
    <row r="1717">
      <c r="A1717" t="n">
        <v>5145</v>
      </c>
      <c r="B1717" t="n">
        <v>171.5</v>
      </c>
      <c r="C1717" t="inlineStr">
        <is>
          <t>900</t>
        </is>
      </c>
      <c r="D1717" t="n">
        <v>9</v>
      </c>
      <c r="E1717">
        <f>MEDIAN(D1697:D1737)</f>
        <v/>
      </c>
      <c r="F1717">
        <f>E1697</f>
        <v/>
      </c>
      <c r="G1717">
        <f>F1717-E1717</f>
        <v/>
      </c>
      <c r="H1717">
        <f>IF(OR(NOT(ISNUMBER(D1717)),ABS(D1717-E1717)&gt;$O$3,AND($O$11=1,B1717&lt;$O$12)),1,0)</f>
        <v/>
      </c>
      <c r="I1717">
        <f>IF(H1717=1,NA(),D1717)</f>
        <v/>
      </c>
      <c r="J1717">
        <f>IF(AND(ISNUMBER(D1717),D1717&gt;=$O$4,OR($O$11=0,B1717&gt;=$O$12)),1,0)</f>
        <v/>
      </c>
      <c r="K1717">
        <f>B1717-$O$14</f>
        <v/>
      </c>
    </row>
    <row r="1718">
      <c r="A1718" t="n">
        <v>5148</v>
      </c>
      <c r="B1718" t="n">
        <v>171.6</v>
      </c>
      <c r="C1718" t="inlineStr">
        <is>
          <t>900</t>
        </is>
      </c>
      <c r="D1718" t="n">
        <v>9</v>
      </c>
      <c r="E1718">
        <f>MEDIAN(D1698:D1738)</f>
        <v/>
      </c>
      <c r="F1718">
        <f>E1698</f>
        <v/>
      </c>
      <c r="G1718">
        <f>F1718-E1718</f>
        <v/>
      </c>
      <c r="H1718">
        <f>IF(OR(NOT(ISNUMBER(D1718)),ABS(D1718-E1718)&gt;$O$3,AND($O$11=1,B1718&lt;$O$12)),1,0)</f>
        <v/>
      </c>
      <c r="I1718">
        <f>IF(H1718=1,NA(),D1718)</f>
        <v/>
      </c>
      <c r="J1718">
        <f>IF(AND(ISNUMBER(D1718),D1718&gt;=$O$4,OR($O$11=0,B1718&gt;=$O$12)),1,0)</f>
        <v/>
      </c>
      <c r="K1718">
        <f>B1718-$O$14</f>
        <v/>
      </c>
    </row>
    <row r="1719">
      <c r="A1719" t="n">
        <v>5151</v>
      </c>
      <c r="B1719" t="n">
        <v>171.7</v>
      </c>
      <c r="C1719" t="inlineStr">
        <is>
          <t>900</t>
        </is>
      </c>
      <c r="D1719" t="n">
        <v>9</v>
      </c>
      <c r="E1719">
        <f>MEDIAN(D1699:D1739)</f>
        <v/>
      </c>
      <c r="F1719">
        <f>E1699</f>
        <v/>
      </c>
      <c r="G1719">
        <f>F1719-E1719</f>
        <v/>
      </c>
      <c r="H1719">
        <f>IF(OR(NOT(ISNUMBER(D1719)),ABS(D1719-E1719)&gt;$O$3,AND($O$11=1,B1719&lt;$O$12)),1,0)</f>
        <v/>
      </c>
      <c r="I1719">
        <f>IF(H1719=1,NA(),D1719)</f>
        <v/>
      </c>
      <c r="J1719">
        <f>IF(AND(ISNUMBER(D1719),D1719&gt;=$O$4,OR($O$11=0,B1719&gt;=$O$12)),1,0)</f>
        <v/>
      </c>
      <c r="K1719">
        <f>B1719-$O$14</f>
        <v/>
      </c>
    </row>
    <row r="1720">
      <c r="A1720" t="n">
        <v>5154</v>
      </c>
      <c r="B1720" t="n">
        <v>171.8</v>
      </c>
      <c r="C1720" t="inlineStr">
        <is>
          <t>900</t>
        </is>
      </c>
      <c r="D1720" t="n">
        <v>9</v>
      </c>
      <c r="E1720">
        <f>MEDIAN(D1700:D1740)</f>
        <v/>
      </c>
      <c r="F1720">
        <f>E1700</f>
        <v/>
      </c>
      <c r="G1720">
        <f>F1720-E1720</f>
        <v/>
      </c>
      <c r="H1720">
        <f>IF(OR(NOT(ISNUMBER(D1720)),ABS(D1720-E1720)&gt;$O$3,AND($O$11=1,B1720&lt;$O$12)),1,0)</f>
        <v/>
      </c>
      <c r="I1720">
        <f>IF(H1720=1,NA(),D1720)</f>
        <v/>
      </c>
      <c r="J1720">
        <f>IF(AND(ISNUMBER(D1720),D1720&gt;=$O$4,OR($O$11=0,B1720&gt;=$O$12)),1,0)</f>
        <v/>
      </c>
      <c r="K1720">
        <f>B1720-$O$14</f>
        <v/>
      </c>
    </row>
    <row r="1721">
      <c r="A1721" t="n">
        <v>5157</v>
      </c>
      <c r="B1721" t="n">
        <v>171.9</v>
      </c>
      <c r="C1721" t="inlineStr">
        <is>
          <t>900</t>
        </is>
      </c>
      <c r="D1721" t="n">
        <v>9</v>
      </c>
      <c r="E1721">
        <f>MEDIAN(D1701:D1741)</f>
        <v/>
      </c>
      <c r="F1721">
        <f>E1701</f>
        <v/>
      </c>
      <c r="G1721">
        <f>F1721-E1721</f>
        <v/>
      </c>
      <c r="H1721">
        <f>IF(OR(NOT(ISNUMBER(D1721)),ABS(D1721-E1721)&gt;$O$3,AND($O$11=1,B1721&lt;$O$12)),1,0)</f>
        <v/>
      </c>
      <c r="I1721">
        <f>IF(H1721=1,NA(),D1721)</f>
        <v/>
      </c>
      <c r="J1721">
        <f>IF(AND(ISNUMBER(D1721),D1721&gt;=$O$4,OR($O$11=0,B1721&gt;=$O$12)),1,0)</f>
        <v/>
      </c>
      <c r="K1721">
        <f>B1721-$O$14</f>
        <v/>
      </c>
    </row>
    <row r="1722">
      <c r="A1722" t="n">
        <v>5160</v>
      </c>
      <c r="B1722" t="n">
        <v>172</v>
      </c>
      <c r="C1722" t="inlineStr">
        <is>
          <t>900</t>
        </is>
      </c>
      <c r="D1722" t="n">
        <v>9</v>
      </c>
      <c r="E1722">
        <f>MEDIAN(D1702:D1742)</f>
        <v/>
      </c>
      <c r="F1722">
        <f>E1702</f>
        <v/>
      </c>
      <c r="G1722">
        <f>F1722-E1722</f>
        <v/>
      </c>
      <c r="H1722">
        <f>IF(OR(NOT(ISNUMBER(D1722)),ABS(D1722-E1722)&gt;$O$3,AND($O$11=1,B1722&lt;$O$12)),1,0)</f>
        <v/>
      </c>
      <c r="I1722">
        <f>IF(H1722=1,NA(),D1722)</f>
        <v/>
      </c>
      <c r="J1722">
        <f>IF(AND(ISNUMBER(D1722),D1722&gt;=$O$4,OR($O$11=0,B1722&gt;=$O$12)),1,0)</f>
        <v/>
      </c>
      <c r="K1722">
        <f>B1722-$O$14</f>
        <v/>
      </c>
    </row>
    <row r="1723">
      <c r="A1723" t="n">
        <v>5163</v>
      </c>
      <c r="B1723" t="n">
        <v>172.1</v>
      </c>
      <c r="C1723" t="inlineStr">
        <is>
          <t>900</t>
        </is>
      </c>
      <c r="D1723" t="n">
        <v>9</v>
      </c>
      <c r="E1723">
        <f>MEDIAN(D1703:D1743)</f>
        <v/>
      </c>
      <c r="F1723">
        <f>E1703</f>
        <v/>
      </c>
      <c r="G1723">
        <f>F1723-E1723</f>
        <v/>
      </c>
      <c r="H1723">
        <f>IF(OR(NOT(ISNUMBER(D1723)),ABS(D1723-E1723)&gt;$O$3,AND($O$11=1,B1723&lt;$O$12)),1,0)</f>
        <v/>
      </c>
      <c r="I1723">
        <f>IF(H1723=1,NA(),D1723)</f>
        <v/>
      </c>
      <c r="J1723">
        <f>IF(AND(ISNUMBER(D1723),D1723&gt;=$O$4,OR($O$11=0,B1723&gt;=$O$12)),1,0)</f>
        <v/>
      </c>
      <c r="K1723">
        <f>B1723-$O$14</f>
        <v/>
      </c>
    </row>
    <row r="1724">
      <c r="A1724" t="n">
        <v>5166</v>
      </c>
      <c r="B1724" t="n">
        <v>172.2</v>
      </c>
      <c r="C1724" t="inlineStr">
        <is>
          <t>900</t>
        </is>
      </c>
      <c r="D1724" t="n">
        <v>9</v>
      </c>
      <c r="E1724">
        <f>MEDIAN(D1704:D1744)</f>
        <v/>
      </c>
      <c r="F1724">
        <f>E1704</f>
        <v/>
      </c>
      <c r="G1724">
        <f>F1724-E1724</f>
        <v/>
      </c>
      <c r="H1724">
        <f>IF(OR(NOT(ISNUMBER(D1724)),ABS(D1724-E1724)&gt;$O$3,AND($O$11=1,B1724&lt;$O$12)),1,0)</f>
        <v/>
      </c>
      <c r="I1724">
        <f>IF(H1724=1,NA(),D1724)</f>
        <v/>
      </c>
      <c r="J1724">
        <f>IF(AND(ISNUMBER(D1724),D1724&gt;=$O$4,OR($O$11=0,B1724&gt;=$O$12)),1,0)</f>
        <v/>
      </c>
      <c r="K1724">
        <f>B1724-$O$14</f>
        <v/>
      </c>
    </row>
    <row r="1725">
      <c r="A1725" t="n">
        <v>5169</v>
      </c>
      <c r="B1725" t="n">
        <v>172.3</v>
      </c>
      <c r="C1725" t="inlineStr">
        <is>
          <t>900</t>
        </is>
      </c>
      <c r="D1725" t="n">
        <v>9</v>
      </c>
      <c r="E1725">
        <f>MEDIAN(D1705:D1745)</f>
        <v/>
      </c>
      <c r="F1725">
        <f>E1705</f>
        <v/>
      </c>
      <c r="G1725">
        <f>F1725-E1725</f>
        <v/>
      </c>
      <c r="H1725">
        <f>IF(OR(NOT(ISNUMBER(D1725)),ABS(D1725-E1725)&gt;$O$3,AND($O$11=1,B1725&lt;$O$12)),1,0)</f>
        <v/>
      </c>
      <c r="I1725">
        <f>IF(H1725=1,NA(),D1725)</f>
        <v/>
      </c>
      <c r="J1725">
        <f>IF(AND(ISNUMBER(D1725),D1725&gt;=$O$4,OR($O$11=0,B1725&gt;=$O$12)),1,0)</f>
        <v/>
      </c>
      <c r="K1725">
        <f>B1725-$O$14</f>
        <v/>
      </c>
    </row>
    <row r="1726">
      <c r="A1726" t="n">
        <v>5172</v>
      </c>
      <c r="B1726" t="n">
        <v>172.4</v>
      </c>
      <c r="C1726" t="inlineStr">
        <is>
          <t>900</t>
        </is>
      </c>
      <c r="D1726" t="n">
        <v>9</v>
      </c>
      <c r="E1726">
        <f>MEDIAN(D1706:D1746)</f>
        <v/>
      </c>
      <c r="F1726">
        <f>E1706</f>
        <v/>
      </c>
      <c r="G1726">
        <f>F1726-E1726</f>
        <v/>
      </c>
      <c r="H1726">
        <f>IF(OR(NOT(ISNUMBER(D1726)),ABS(D1726-E1726)&gt;$O$3,AND($O$11=1,B1726&lt;$O$12)),1,0)</f>
        <v/>
      </c>
      <c r="I1726">
        <f>IF(H1726=1,NA(),D1726)</f>
        <v/>
      </c>
      <c r="J1726">
        <f>IF(AND(ISNUMBER(D1726),D1726&gt;=$O$4,OR($O$11=0,B1726&gt;=$O$12)),1,0)</f>
        <v/>
      </c>
      <c r="K1726">
        <f>B1726-$O$14</f>
        <v/>
      </c>
    </row>
    <row r="1727">
      <c r="A1727" t="n">
        <v>5175</v>
      </c>
      <c r="B1727" t="n">
        <v>172.5</v>
      </c>
      <c r="C1727" t="inlineStr">
        <is>
          <t>901</t>
        </is>
      </c>
      <c r="D1727" t="n">
        <v>9.01</v>
      </c>
      <c r="E1727">
        <f>MEDIAN(D1707:D1747)</f>
        <v/>
      </c>
      <c r="F1727">
        <f>E1707</f>
        <v/>
      </c>
      <c r="G1727">
        <f>F1727-E1727</f>
        <v/>
      </c>
      <c r="H1727">
        <f>IF(OR(NOT(ISNUMBER(D1727)),ABS(D1727-E1727)&gt;$O$3,AND($O$11=1,B1727&lt;$O$12)),1,0)</f>
        <v/>
      </c>
      <c r="I1727">
        <f>IF(H1727=1,NA(),D1727)</f>
        <v/>
      </c>
      <c r="J1727">
        <f>IF(AND(ISNUMBER(D1727),D1727&gt;=$O$4,OR($O$11=0,B1727&gt;=$O$12)),1,0)</f>
        <v/>
      </c>
      <c r="K1727">
        <f>B1727-$O$14</f>
        <v/>
      </c>
    </row>
    <row r="1728">
      <c r="A1728" t="n">
        <v>5178</v>
      </c>
      <c r="B1728" t="n">
        <v>172.6</v>
      </c>
      <c r="C1728" t="inlineStr">
        <is>
          <t>901</t>
        </is>
      </c>
      <c r="D1728" t="n">
        <v>9.01</v>
      </c>
      <c r="E1728">
        <f>MEDIAN(D1708:D1748)</f>
        <v/>
      </c>
      <c r="F1728">
        <f>E1708</f>
        <v/>
      </c>
      <c r="G1728">
        <f>F1728-E1728</f>
        <v/>
      </c>
      <c r="H1728">
        <f>IF(OR(NOT(ISNUMBER(D1728)),ABS(D1728-E1728)&gt;$O$3,AND($O$11=1,B1728&lt;$O$12)),1,0)</f>
        <v/>
      </c>
      <c r="I1728">
        <f>IF(H1728=1,NA(),D1728)</f>
        <v/>
      </c>
      <c r="J1728">
        <f>IF(AND(ISNUMBER(D1728),D1728&gt;=$O$4,OR($O$11=0,B1728&gt;=$O$12)),1,0)</f>
        <v/>
      </c>
      <c r="K1728">
        <f>B1728-$O$14</f>
        <v/>
      </c>
    </row>
    <row r="1729">
      <c r="A1729" t="n">
        <v>5181</v>
      </c>
      <c r="B1729" t="n">
        <v>172.7</v>
      </c>
      <c r="C1729" t="inlineStr">
        <is>
          <t>900</t>
        </is>
      </c>
      <c r="D1729" t="n">
        <v>9</v>
      </c>
      <c r="E1729">
        <f>MEDIAN(D1709:D1749)</f>
        <v/>
      </c>
      <c r="F1729">
        <f>E1709</f>
        <v/>
      </c>
      <c r="G1729">
        <f>F1729-E1729</f>
        <v/>
      </c>
      <c r="H1729">
        <f>IF(OR(NOT(ISNUMBER(D1729)),ABS(D1729-E1729)&gt;$O$3,AND($O$11=1,B1729&lt;$O$12)),1,0)</f>
        <v/>
      </c>
      <c r="I1729">
        <f>IF(H1729=1,NA(),D1729)</f>
        <v/>
      </c>
      <c r="J1729">
        <f>IF(AND(ISNUMBER(D1729),D1729&gt;=$O$4,OR($O$11=0,B1729&gt;=$O$12)),1,0)</f>
        <v/>
      </c>
      <c r="K1729">
        <f>B1729-$O$14</f>
        <v/>
      </c>
    </row>
    <row r="1730">
      <c r="A1730" t="n">
        <v>5184</v>
      </c>
      <c r="B1730" t="n">
        <v>172.8</v>
      </c>
      <c r="C1730" t="inlineStr">
        <is>
          <t>900</t>
        </is>
      </c>
      <c r="D1730" t="n">
        <v>9</v>
      </c>
      <c r="E1730">
        <f>MEDIAN(D1710:D1750)</f>
        <v/>
      </c>
      <c r="F1730">
        <f>E1710</f>
        <v/>
      </c>
      <c r="G1730">
        <f>F1730-E1730</f>
        <v/>
      </c>
      <c r="H1730">
        <f>IF(OR(NOT(ISNUMBER(D1730)),ABS(D1730-E1730)&gt;$O$3,AND($O$11=1,B1730&lt;$O$12)),1,0)</f>
        <v/>
      </c>
      <c r="I1730">
        <f>IF(H1730=1,NA(),D1730)</f>
        <v/>
      </c>
      <c r="J1730">
        <f>IF(AND(ISNUMBER(D1730),D1730&gt;=$O$4,OR($O$11=0,B1730&gt;=$O$12)),1,0)</f>
        <v/>
      </c>
      <c r="K1730">
        <f>B1730-$O$14</f>
        <v/>
      </c>
    </row>
    <row r="1731">
      <c r="A1731" t="n">
        <v>5187</v>
      </c>
      <c r="B1731" t="n">
        <v>172.9</v>
      </c>
      <c r="C1731" t="inlineStr">
        <is>
          <t>900</t>
        </is>
      </c>
      <c r="D1731" t="n">
        <v>9</v>
      </c>
      <c r="E1731">
        <f>MEDIAN(D1711:D1751)</f>
        <v/>
      </c>
      <c r="F1731">
        <f>E1711</f>
        <v/>
      </c>
      <c r="G1731">
        <f>F1731-E1731</f>
        <v/>
      </c>
      <c r="H1731">
        <f>IF(OR(NOT(ISNUMBER(D1731)),ABS(D1731-E1731)&gt;$O$3,AND($O$11=1,B1731&lt;$O$12)),1,0)</f>
        <v/>
      </c>
      <c r="I1731">
        <f>IF(H1731=1,NA(),D1731)</f>
        <v/>
      </c>
      <c r="J1731">
        <f>IF(AND(ISNUMBER(D1731),D1731&gt;=$O$4,OR($O$11=0,B1731&gt;=$O$12)),1,0)</f>
        <v/>
      </c>
      <c r="K1731">
        <f>B1731-$O$14</f>
        <v/>
      </c>
    </row>
    <row r="1732">
      <c r="A1732" t="n">
        <v>5190</v>
      </c>
      <c r="B1732" t="n">
        <v>173</v>
      </c>
      <c r="C1732" t="inlineStr">
        <is>
          <t>901</t>
        </is>
      </c>
      <c r="D1732" t="n">
        <v>9.01</v>
      </c>
      <c r="E1732">
        <f>MEDIAN(D1712:D1752)</f>
        <v/>
      </c>
      <c r="F1732">
        <f>E1712</f>
        <v/>
      </c>
      <c r="G1732">
        <f>F1732-E1732</f>
        <v/>
      </c>
      <c r="H1732">
        <f>IF(OR(NOT(ISNUMBER(D1732)),ABS(D1732-E1732)&gt;$O$3,AND($O$11=1,B1732&lt;$O$12)),1,0)</f>
        <v/>
      </c>
      <c r="I1732">
        <f>IF(H1732=1,NA(),D1732)</f>
        <v/>
      </c>
      <c r="J1732">
        <f>IF(AND(ISNUMBER(D1732),D1732&gt;=$O$4,OR($O$11=0,B1732&gt;=$O$12)),1,0)</f>
        <v/>
      </c>
      <c r="K1732">
        <f>B1732-$O$14</f>
        <v/>
      </c>
    </row>
    <row r="1733">
      <c r="A1733" t="n">
        <v>5193</v>
      </c>
      <c r="B1733" t="n">
        <v>173.1</v>
      </c>
      <c r="C1733" t="inlineStr">
        <is>
          <t>901</t>
        </is>
      </c>
      <c r="D1733" t="n">
        <v>9.01</v>
      </c>
      <c r="E1733">
        <f>MEDIAN(D1713:D1753)</f>
        <v/>
      </c>
      <c r="F1733">
        <f>E1713</f>
        <v/>
      </c>
      <c r="G1733">
        <f>F1733-E1733</f>
        <v/>
      </c>
      <c r="H1733">
        <f>IF(OR(NOT(ISNUMBER(D1733)),ABS(D1733-E1733)&gt;$O$3,AND($O$11=1,B1733&lt;$O$12)),1,0)</f>
        <v/>
      </c>
      <c r="I1733">
        <f>IF(H1733=1,NA(),D1733)</f>
        <v/>
      </c>
      <c r="J1733">
        <f>IF(AND(ISNUMBER(D1733),D1733&gt;=$O$4,OR($O$11=0,B1733&gt;=$O$12)),1,0)</f>
        <v/>
      </c>
      <c r="K1733">
        <f>B1733-$O$14</f>
        <v/>
      </c>
    </row>
    <row r="1734">
      <c r="A1734" t="n">
        <v>5196</v>
      </c>
      <c r="B1734" t="n">
        <v>173.2</v>
      </c>
      <c r="C1734" t="inlineStr">
        <is>
          <t>901</t>
        </is>
      </c>
      <c r="D1734" t="n">
        <v>9.01</v>
      </c>
      <c r="E1734">
        <f>MEDIAN(D1714:D1754)</f>
        <v/>
      </c>
      <c r="F1734">
        <f>E1714</f>
        <v/>
      </c>
      <c r="G1734">
        <f>F1734-E1734</f>
        <v/>
      </c>
      <c r="H1734">
        <f>IF(OR(NOT(ISNUMBER(D1734)),ABS(D1734-E1734)&gt;$O$3,AND($O$11=1,B1734&lt;$O$12)),1,0)</f>
        <v/>
      </c>
      <c r="I1734">
        <f>IF(H1734=1,NA(),D1734)</f>
        <v/>
      </c>
      <c r="J1734">
        <f>IF(AND(ISNUMBER(D1734),D1734&gt;=$O$4,OR($O$11=0,B1734&gt;=$O$12)),1,0)</f>
        <v/>
      </c>
      <c r="K1734">
        <f>B1734-$O$14</f>
        <v/>
      </c>
    </row>
    <row r="1735">
      <c r="A1735" t="n">
        <v>5199</v>
      </c>
      <c r="B1735" t="n">
        <v>173.3</v>
      </c>
      <c r="C1735" t="inlineStr">
        <is>
          <t>901</t>
        </is>
      </c>
      <c r="D1735" t="n">
        <v>9.01</v>
      </c>
      <c r="E1735">
        <f>MEDIAN(D1715:D1755)</f>
        <v/>
      </c>
      <c r="F1735">
        <f>E1715</f>
        <v/>
      </c>
      <c r="G1735">
        <f>F1735-E1735</f>
        <v/>
      </c>
      <c r="H1735">
        <f>IF(OR(NOT(ISNUMBER(D1735)),ABS(D1735-E1735)&gt;$O$3,AND($O$11=1,B1735&lt;$O$12)),1,0)</f>
        <v/>
      </c>
      <c r="I1735">
        <f>IF(H1735=1,NA(),D1735)</f>
        <v/>
      </c>
      <c r="J1735">
        <f>IF(AND(ISNUMBER(D1735),D1735&gt;=$O$4,OR($O$11=0,B1735&gt;=$O$12)),1,0)</f>
        <v/>
      </c>
      <c r="K1735">
        <f>B1735-$O$14</f>
        <v/>
      </c>
    </row>
    <row r="1736">
      <c r="A1736" t="n">
        <v>5202</v>
      </c>
      <c r="B1736" t="n">
        <v>173.4</v>
      </c>
      <c r="C1736" t="inlineStr">
        <is>
          <t>901</t>
        </is>
      </c>
      <c r="D1736" t="n">
        <v>9.01</v>
      </c>
      <c r="E1736">
        <f>MEDIAN(D1716:D1756)</f>
        <v/>
      </c>
      <c r="F1736">
        <f>E1716</f>
        <v/>
      </c>
      <c r="G1736">
        <f>F1736-E1736</f>
        <v/>
      </c>
      <c r="H1736">
        <f>IF(OR(NOT(ISNUMBER(D1736)),ABS(D1736-E1736)&gt;$O$3,AND($O$11=1,B1736&lt;$O$12)),1,0)</f>
        <v/>
      </c>
      <c r="I1736">
        <f>IF(H1736=1,NA(),D1736)</f>
        <v/>
      </c>
      <c r="J1736">
        <f>IF(AND(ISNUMBER(D1736),D1736&gt;=$O$4,OR($O$11=0,B1736&gt;=$O$12)),1,0)</f>
        <v/>
      </c>
      <c r="K1736">
        <f>B1736-$O$14</f>
        <v/>
      </c>
    </row>
    <row r="1737">
      <c r="A1737" t="n">
        <v>5205</v>
      </c>
      <c r="B1737" t="n">
        <v>173.5</v>
      </c>
      <c r="C1737" t="inlineStr">
        <is>
          <t>901</t>
        </is>
      </c>
      <c r="D1737" t="n">
        <v>9.01</v>
      </c>
      <c r="E1737">
        <f>MEDIAN(D1717:D1757)</f>
        <v/>
      </c>
      <c r="F1737">
        <f>E1717</f>
        <v/>
      </c>
      <c r="G1737">
        <f>F1737-E1737</f>
        <v/>
      </c>
      <c r="H1737">
        <f>IF(OR(NOT(ISNUMBER(D1737)),ABS(D1737-E1737)&gt;$O$3,AND($O$11=1,B1737&lt;$O$12)),1,0)</f>
        <v/>
      </c>
      <c r="I1737">
        <f>IF(H1737=1,NA(),D1737)</f>
        <v/>
      </c>
      <c r="J1737">
        <f>IF(AND(ISNUMBER(D1737),D1737&gt;=$O$4,OR($O$11=0,B1737&gt;=$O$12)),1,0)</f>
        <v/>
      </c>
      <c r="K1737">
        <f>B1737-$O$14</f>
        <v/>
      </c>
    </row>
    <row r="1738">
      <c r="A1738" t="n">
        <v>5208</v>
      </c>
      <c r="B1738" t="n">
        <v>173.6</v>
      </c>
      <c r="C1738" t="inlineStr">
        <is>
          <t>901</t>
        </is>
      </c>
      <c r="D1738" t="n">
        <v>9.01</v>
      </c>
      <c r="E1738">
        <f>MEDIAN(D1718:D1758)</f>
        <v/>
      </c>
      <c r="F1738">
        <f>E1718</f>
        <v/>
      </c>
      <c r="G1738">
        <f>F1738-E1738</f>
        <v/>
      </c>
      <c r="H1738">
        <f>IF(OR(NOT(ISNUMBER(D1738)),ABS(D1738-E1738)&gt;$O$3,AND($O$11=1,B1738&lt;$O$12)),1,0)</f>
        <v/>
      </c>
      <c r="I1738">
        <f>IF(H1738=1,NA(),D1738)</f>
        <v/>
      </c>
      <c r="J1738">
        <f>IF(AND(ISNUMBER(D1738),D1738&gt;=$O$4,OR($O$11=0,B1738&gt;=$O$12)),1,0)</f>
        <v/>
      </c>
      <c r="K1738">
        <f>B1738-$O$14</f>
        <v/>
      </c>
    </row>
    <row r="1739">
      <c r="A1739" t="n">
        <v>5211</v>
      </c>
      <c r="B1739" t="n">
        <v>173.7</v>
      </c>
      <c r="C1739" t="inlineStr">
        <is>
          <t>901</t>
        </is>
      </c>
      <c r="D1739" t="n">
        <v>9.01</v>
      </c>
      <c r="E1739">
        <f>MEDIAN(D1719:D1759)</f>
        <v/>
      </c>
      <c r="F1739">
        <f>E1719</f>
        <v/>
      </c>
      <c r="G1739">
        <f>F1739-E1739</f>
        <v/>
      </c>
      <c r="H1739">
        <f>IF(OR(NOT(ISNUMBER(D1739)),ABS(D1739-E1739)&gt;$O$3,AND($O$11=1,B1739&lt;$O$12)),1,0)</f>
        <v/>
      </c>
      <c r="I1739">
        <f>IF(H1739=1,NA(),D1739)</f>
        <v/>
      </c>
      <c r="J1739">
        <f>IF(AND(ISNUMBER(D1739),D1739&gt;=$O$4,OR($O$11=0,B1739&gt;=$O$12)),1,0)</f>
        <v/>
      </c>
      <c r="K1739">
        <f>B1739-$O$14</f>
        <v/>
      </c>
    </row>
    <row r="1740">
      <c r="A1740" t="n">
        <v>5214</v>
      </c>
      <c r="B1740" t="n">
        <v>173.8</v>
      </c>
      <c r="C1740" t="inlineStr">
        <is>
          <t>900</t>
        </is>
      </c>
      <c r="D1740" t="n">
        <v>9</v>
      </c>
      <c r="E1740">
        <f>MEDIAN(D1720:D1760)</f>
        <v/>
      </c>
      <c r="F1740">
        <f>E1720</f>
        <v/>
      </c>
      <c r="G1740">
        <f>F1740-E1740</f>
        <v/>
      </c>
      <c r="H1740">
        <f>IF(OR(NOT(ISNUMBER(D1740)),ABS(D1740-E1740)&gt;$O$3,AND($O$11=1,B1740&lt;$O$12)),1,0)</f>
        <v/>
      </c>
      <c r="I1740">
        <f>IF(H1740=1,NA(),D1740)</f>
        <v/>
      </c>
      <c r="J1740">
        <f>IF(AND(ISNUMBER(D1740),D1740&gt;=$O$4,OR($O$11=0,B1740&gt;=$O$12)),1,0)</f>
        <v/>
      </c>
      <c r="K1740">
        <f>B1740-$O$14</f>
        <v/>
      </c>
    </row>
    <row r="1741">
      <c r="A1741" t="n">
        <v>5217</v>
      </c>
      <c r="B1741" t="n">
        <v>173.9</v>
      </c>
      <c r="C1741" t="inlineStr">
        <is>
          <t>900</t>
        </is>
      </c>
      <c r="D1741" t="n">
        <v>9</v>
      </c>
      <c r="E1741">
        <f>MEDIAN(D1721:D1761)</f>
        <v/>
      </c>
      <c r="F1741">
        <f>E1721</f>
        <v/>
      </c>
      <c r="G1741">
        <f>F1741-E1741</f>
        <v/>
      </c>
      <c r="H1741">
        <f>IF(OR(NOT(ISNUMBER(D1741)),ABS(D1741-E1741)&gt;$O$3,AND($O$11=1,B1741&lt;$O$12)),1,0)</f>
        <v/>
      </c>
      <c r="I1741">
        <f>IF(H1741=1,NA(),D1741)</f>
        <v/>
      </c>
      <c r="J1741">
        <f>IF(AND(ISNUMBER(D1741),D1741&gt;=$O$4,OR($O$11=0,B1741&gt;=$O$12)),1,0)</f>
        <v/>
      </c>
      <c r="K1741">
        <f>B1741-$O$14</f>
        <v/>
      </c>
    </row>
    <row r="1742">
      <c r="A1742" t="n">
        <v>5220</v>
      </c>
      <c r="B1742" t="n">
        <v>174</v>
      </c>
      <c r="C1742" t="inlineStr">
        <is>
          <t>900</t>
        </is>
      </c>
      <c r="D1742" t="n">
        <v>9</v>
      </c>
      <c r="E1742">
        <f>MEDIAN(D1722:D1762)</f>
        <v/>
      </c>
      <c r="F1742">
        <f>E1722</f>
        <v/>
      </c>
      <c r="G1742">
        <f>F1742-E1742</f>
        <v/>
      </c>
      <c r="H1742">
        <f>IF(OR(NOT(ISNUMBER(D1742)),ABS(D1742-E1742)&gt;$O$3,AND($O$11=1,B1742&lt;$O$12)),1,0)</f>
        <v/>
      </c>
      <c r="I1742">
        <f>IF(H1742=1,NA(),D1742)</f>
        <v/>
      </c>
      <c r="J1742">
        <f>IF(AND(ISNUMBER(D1742),D1742&gt;=$O$4,OR($O$11=0,B1742&gt;=$O$12)),1,0)</f>
        <v/>
      </c>
      <c r="K1742">
        <f>B1742-$O$14</f>
        <v/>
      </c>
    </row>
    <row r="1743">
      <c r="A1743" t="n">
        <v>5223</v>
      </c>
      <c r="B1743" t="n">
        <v>174.1</v>
      </c>
      <c r="C1743" t="inlineStr">
        <is>
          <t>900</t>
        </is>
      </c>
      <c r="D1743" t="n">
        <v>9</v>
      </c>
      <c r="E1743">
        <f>MEDIAN(D1723:D1763)</f>
        <v/>
      </c>
      <c r="F1743">
        <f>E1723</f>
        <v/>
      </c>
      <c r="G1743">
        <f>F1743-E1743</f>
        <v/>
      </c>
      <c r="H1743">
        <f>IF(OR(NOT(ISNUMBER(D1743)),ABS(D1743-E1743)&gt;$O$3,AND($O$11=1,B1743&lt;$O$12)),1,0)</f>
        <v/>
      </c>
      <c r="I1743">
        <f>IF(H1743=1,NA(),D1743)</f>
        <v/>
      </c>
      <c r="J1743">
        <f>IF(AND(ISNUMBER(D1743),D1743&gt;=$O$4,OR($O$11=0,B1743&gt;=$O$12)),1,0)</f>
        <v/>
      </c>
      <c r="K1743">
        <f>B1743-$O$14</f>
        <v/>
      </c>
    </row>
    <row r="1744">
      <c r="A1744" t="n">
        <v>5226</v>
      </c>
      <c r="B1744" t="n">
        <v>174.2</v>
      </c>
      <c r="C1744" t="inlineStr">
        <is>
          <t>900</t>
        </is>
      </c>
      <c r="D1744" t="n">
        <v>9</v>
      </c>
      <c r="E1744">
        <f>MEDIAN(D1724:D1764)</f>
        <v/>
      </c>
      <c r="F1744">
        <f>E1724</f>
        <v/>
      </c>
      <c r="G1744">
        <f>F1744-E1744</f>
        <v/>
      </c>
      <c r="H1744">
        <f>IF(OR(NOT(ISNUMBER(D1744)),ABS(D1744-E1744)&gt;$O$3,AND($O$11=1,B1744&lt;$O$12)),1,0)</f>
        <v/>
      </c>
      <c r="I1744">
        <f>IF(H1744=1,NA(),D1744)</f>
        <v/>
      </c>
      <c r="J1744">
        <f>IF(AND(ISNUMBER(D1744),D1744&gt;=$O$4,OR($O$11=0,B1744&gt;=$O$12)),1,0)</f>
        <v/>
      </c>
      <c r="K1744">
        <f>B1744-$O$14</f>
        <v/>
      </c>
    </row>
    <row r="1745">
      <c r="A1745" t="n">
        <v>5229</v>
      </c>
      <c r="B1745" t="n">
        <v>174.3</v>
      </c>
      <c r="C1745" t="inlineStr">
        <is>
          <t>900</t>
        </is>
      </c>
      <c r="D1745" t="n">
        <v>9</v>
      </c>
      <c r="E1745">
        <f>MEDIAN(D1725:D1765)</f>
        <v/>
      </c>
      <c r="F1745">
        <f>E1725</f>
        <v/>
      </c>
      <c r="G1745">
        <f>F1745-E1745</f>
        <v/>
      </c>
      <c r="H1745">
        <f>IF(OR(NOT(ISNUMBER(D1745)),ABS(D1745-E1745)&gt;$O$3,AND($O$11=1,B1745&lt;$O$12)),1,0)</f>
        <v/>
      </c>
      <c r="I1745">
        <f>IF(H1745=1,NA(),D1745)</f>
        <v/>
      </c>
      <c r="J1745">
        <f>IF(AND(ISNUMBER(D1745),D1745&gt;=$O$4,OR($O$11=0,B1745&gt;=$O$12)),1,0)</f>
        <v/>
      </c>
      <c r="K1745">
        <f>B1745-$O$14</f>
        <v/>
      </c>
    </row>
    <row r="1746">
      <c r="A1746" t="n">
        <v>5232</v>
      </c>
      <c r="B1746" t="n">
        <v>174.4</v>
      </c>
      <c r="C1746" t="inlineStr">
        <is>
          <t>900</t>
        </is>
      </c>
      <c r="D1746" t="n">
        <v>9</v>
      </c>
      <c r="E1746">
        <f>MEDIAN(D1726:D1766)</f>
        <v/>
      </c>
      <c r="F1746">
        <f>E1726</f>
        <v/>
      </c>
      <c r="G1746">
        <f>F1746-E1746</f>
        <v/>
      </c>
      <c r="H1746">
        <f>IF(OR(NOT(ISNUMBER(D1746)),ABS(D1746-E1746)&gt;$O$3,AND($O$11=1,B1746&lt;$O$12)),1,0)</f>
        <v/>
      </c>
      <c r="I1746">
        <f>IF(H1746=1,NA(),D1746)</f>
        <v/>
      </c>
      <c r="J1746">
        <f>IF(AND(ISNUMBER(D1746),D1746&gt;=$O$4,OR($O$11=0,B1746&gt;=$O$12)),1,0)</f>
        <v/>
      </c>
      <c r="K1746">
        <f>B1746-$O$14</f>
        <v/>
      </c>
    </row>
    <row r="1747">
      <c r="A1747" t="n">
        <v>5235</v>
      </c>
      <c r="B1747" t="n">
        <v>174.5</v>
      </c>
      <c r="C1747" t="inlineStr">
        <is>
          <t>900</t>
        </is>
      </c>
      <c r="D1747" t="n">
        <v>9</v>
      </c>
      <c r="E1747">
        <f>MEDIAN(D1727:D1767)</f>
        <v/>
      </c>
      <c r="F1747">
        <f>E1727</f>
        <v/>
      </c>
      <c r="G1747">
        <f>F1747-E1747</f>
        <v/>
      </c>
      <c r="H1747">
        <f>IF(OR(NOT(ISNUMBER(D1747)),ABS(D1747-E1747)&gt;$O$3,AND($O$11=1,B1747&lt;$O$12)),1,0)</f>
        <v/>
      </c>
      <c r="I1747">
        <f>IF(H1747=1,NA(),D1747)</f>
        <v/>
      </c>
      <c r="J1747">
        <f>IF(AND(ISNUMBER(D1747),D1747&gt;=$O$4,OR($O$11=0,B1747&gt;=$O$12)),1,0)</f>
        <v/>
      </c>
      <c r="K1747">
        <f>B1747-$O$14</f>
        <v/>
      </c>
    </row>
    <row r="1748">
      <c r="A1748" t="n">
        <v>5238</v>
      </c>
      <c r="B1748" t="n">
        <v>174.6</v>
      </c>
      <c r="C1748" t="inlineStr">
        <is>
          <t>900</t>
        </is>
      </c>
      <c r="D1748" t="n">
        <v>9</v>
      </c>
      <c r="E1748">
        <f>MEDIAN(D1728:D1768)</f>
        <v/>
      </c>
      <c r="F1748">
        <f>E1728</f>
        <v/>
      </c>
      <c r="G1748">
        <f>F1748-E1748</f>
        <v/>
      </c>
      <c r="H1748">
        <f>IF(OR(NOT(ISNUMBER(D1748)),ABS(D1748-E1748)&gt;$O$3,AND($O$11=1,B1748&lt;$O$12)),1,0)</f>
        <v/>
      </c>
      <c r="I1748">
        <f>IF(H1748=1,NA(),D1748)</f>
        <v/>
      </c>
      <c r="J1748">
        <f>IF(AND(ISNUMBER(D1748),D1748&gt;=$O$4,OR($O$11=0,B1748&gt;=$O$12)),1,0)</f>
        <v/>
      </c>
      <c r="K1748">
        <f>B1748-$O$14</f>
        <v/>
      </c>
    </row>
    <row r="1749">
      <c r="A1749" t="n">
        <v>5241</v>
      </c>
      <c r="B1749" t="n">
        <v>174.7</v>
      </c>
      <c r="C1749" t="inlineStr">
        <is>
          <t>900</t>
        </is>
      </c>
      <c r="D1749" t="n">
        <v>9</v>
      </c>
      <c r="E1749">
        <f>MEDIAN(D1729:D1769)</f>
        <v/>
      </c>
      <c r="F1749">
        <f>E1729</f>
        <v/>
      </c>
      <c r="G1749">
        <f>F1749-E1749</f>
        <v/>
      </c>
      <c r="H1749">
        <f>IF(OR(NOT(ISNUMBER(D1749)),ABS(D1749-E1749)&gt;$O$3,AND($O$11=1,B1749&lt;$O$12)),1,0)</f>
        <v/>
      </c>
      <c r="I1749">
        <f>IF(H1749=1,NA(),D1749)</f>
        <v/>
      </c>
      <c r="J1749">
        <f>IF(AND(ISNUMBER(D1749),D1749&gt;=$O$4,OR($O$11=0,B1749&gt;=$O$12)),1,0)</f>
        <v/>
      </c>
      <c r="K1749">
        <f>B1749-$O$14</f>
        <v/>
      </c>
    </row>
    <row r="1750">
      <c r="A1750" t="n">
        <v>5244</v>
      </c>
      <c r="B1750" t="n">
        <v>174.8</v>
      </c>
      <c r="C1750" t="inlineStr">
        <is>
          <t>900</t>
        </is>
      </c>
      <c r="D1750" t="n">
        <v>9</v>
      </c>
      <c r="E1750">
        <f>MEDIAN(D1730:D1770)</f>
        <v/>
      </c>
      <c r="F1750">
        <f>E1730</f>
        <v/>
      </c>
      <c r="G1750">
        <f>F1750-E1750</f>
        <v/>
      </c>
      <c r="H1750">
        <f>IF(OR(NOT(ISNUMBER(D1750)),ABS(D1750-E1750)&gt;$O$3,AND($O$11=1,B1750&lt;$O$12)),1,0)</f>
        <v/>
      </c>
      <c r="I1750">
        <f>IF(H1750=1,NA(),D1750)</f>
        <v/>
      </c>
      <c r="J1750">
        <f>IF(AND(ISNUMBER(D1750),D1750&gt;=$O$4,OR($O$11=0,B1750&gt;=$O$12)),1,0)</f>
        <v/>
      </c>
      <c r="K1750">
        <f>B1750-$O$14</f>
        <v/>
      </c>
    </row>
    <row r="1751">
      <c r="A1751" t="n">
        <v>5247</v>
      </c>
      <c r="B1751" t="n">
        <v>174.9</v>
      </c>
      <c r="C1751" t="inlineStr">
        <is>
          <t>900</t>
        </is>
      </c>
      <c r="D1751" t="n">
        <v>9</v>
      </c>
      <c r="E1751">
        <f>MEDIAN(D1731:D1771)</f>
        <v/>
      </c>
      <c r="F1751">
        <f>E1731</f>
        <v/>
      </c>
      <c r="G1751">
        <f>F1751-E1751</f>
        <v/>
      </c>
      <c r="H1751">
        <f>IF(OR(NOT(ISNUMBER(D1751)),ABS(D1751-E1751)&gt;$O$3,AND($O$11=1,B1751&lt;$O$12)),1,0)</f>
        <v/>
      </c>
      <c r="I1751">
        <f>IF(H1751=1,NA(),D1751)</f>
        <v/>
      </c>
      <c r="J1751">
        <f>IF(AND(ISNUMBER(D1751),D1751&gt;=$O$4,OR($O$11=0,B1751&gt;=$O$12)),1,0)</f>
        <v/>
      </c>
      <c r="K1751">
        <f>B1751-$O$14</f>
        <v/>
      </c>
    </row>
    <row r="1752">
      <c r="A1752" t="n">
        <v>5250</v>
      </c>
      <c r="B1752" t="n">
        <v>175</v>
      </c>
      <c r="C1752" t="inlineStr">
        <is>
          <t>900</t>
        </is>
      </c>
      <c r="D1752" t="n">
        <v>9</v>
      </c>
      <c r="E1752">
        <f>MEDIAN(D1732:D1772)</f>
        <v/>
      </c>
      <c r="F1752">
        <f>E1732</f>
        <v/>
      </c>
      <c r="G1752">
        <f>F1752-E1752</f>
        <v/>
      </c>
      <c r="H1752">
        <f>IF(OR(NOT(ISNUMBER(D1752)),ABS(D1752-E1752)&gt;$O$3,AND($O$11=1,B1752&lt;$O$12)),1,0)</f>
        <v/>
      </c>
      <c r="I1752">
        <f>IF(H1752=1,NA(),D1752)</f>
        <v/>
      </c>
      <c r="J1752">
        <f>IF(AND(ISNUMBER(D1752),D1752&gt;=$O$4,OR($O$11=0,B1752&gt;=$O$12)),1,0)</f>
        <v/>
      </c>
      <c r="K1752">
        <f>B1752-$O$14</f>
        <v/>
      </c>
    </row>
    <row r="1753">
      <c r="A1753" t="n">
        <v>5253</v>
      </c>
      <c r="B1753" t="n">
        <v>175.1</v>
      </c>
      <c r="C1753" t="inlineStr">
        <is>
          <t>900</t>
        </is>
      </c>
      <c r="D1753" t="n">
        <v>9</v>
      </c>
      <c r="E1753">
        <f>MEDIAN(D1733:D1773)</f>
        <v/>
      </c>
      <c r="F1753">
        <f>E1733</f>
        <v/>
      </c>
      <c r="G1753">
        <f>F1753-E1753</f>
        <v/>
      </c>
      <c r="H1753">
        <f>IF(OR(NOT(ISNUMBER(D1753)),ABS(D1753-E1753)&gt;$O$3,AND($O$11=1,B1753&lt;$O$12)),1,0)</f>
        <v/>
      </c>
      <c r="I1753">
        <f>IF(H1753=1,NA(),D1753)</f>
        <v/>
      </c>
      <c r="J1753">
        <f>IF(AND(ISNUMBER(D1753),D1753&gt;=$O$4,OR($O$11=0,B1753&gt;=$O$12)),1,0)</f>
        <v/>
      </c>
      <c r="K1753">
        <f>B1753-$O$14</f>
        <v/>
      </c>
    </row>
    <row r="1754">
      <c r="A1754" t="n">
        <v>5256</v>
      </c>
      <c r="B1754" t="n">
        <v>175.2</v>
      </c>
      <c r="C1754" t="inlineStr">
        <is>
          <t>900</t>
        </is>
      </c>
      <c r="D1754" t="n">
        <v>9</v>
      </c>
      <c r="E1754">
        <f>MEDIAN(D1734:D1774)</f>
        <v/>
      </c>
      <c r="F1754">
        <f>E1734</f>
        <v/>
      </c>
      <c r="G1754">
        <f>F1754-E1754</f>
        <v/>
      </c>
      <c r="H1754">
        <f>IF(OR(NOT(ISNUMBER(D1754)),ABS(D1754-E1754)&gt;$O$3,AND($O$11=1,B1754&lt;$O$12)),1,0)</f>
        <v/>
      </c>
      <c r="I1754">
        <f>IF(H1754=1,NA(),D1754)</f>
        <v/>
      </c>
      <c r="J1754">
        <f>IF(AND(ISNUMBER(D1754),D1754&gt;=$O$4,OR($O$11=0,B1754&gt;=$O$12)),1,0)</f>
        <v/>
      </c>
      <c r="K1754">
        <f>B1754-$O$14</f>
        <v/>
      </c>
    </row>
    <row r="1755">
      <c r="A1755" t="n">
        <v>5259</v>
      </c>
      <c r="B1755" t="n">
        <v>175.3</v>
      </c>
      <c r="C1755" t="inlineStr">
        <is>
          <t>900</t>
        </is>
      </c>
      <c r="D1755" t="n">
        <v>9</v>
      </c>
      <c r="E1755">
        <f>MEDIAN(D1735:D1775)</f>
        <v/>
      </c>
      <c r="F1755">
        <f>E1735</f>
        <v/>
      </c>
      <c r="G1755">
        <f>F1755-E1755</f>
        <v/>
      </c>
      <c r="H1755">
        <f>IF(OR(NOT(ISNUMBER(D1755)),ABS(D1755-E1755)&gt;$O$3,AND($O$11=1,B1755&lt;$O$12)),1,0)</f>
        <v/>
      </c>
      <c r="I1755">
        <f>IF(H1755=1,NA(),D1755)</f>
        <v/>
      </c>
      <c r="J1755">
        <f>IF(AND(ISNUMBER(D1755),D1755&gt;=$O$4,OR($O$11=0,B1755&gt;=$O$12)),1,0)</f>
        <v/>
      </c>
      <c r="K1755">
        <f>B1755-$O$14</f>
        <v/>
      </c>
    </row>
    <row r="1756">
      <c r="A1756" t="n">
        <v>5262</v>
      </c>
      <c r="B1756" t="n">
        <v>175.4</v>
      </c>
      <c r="C1756" t="inlineStr">
        <is>
          <t>900</t>
        </is>
      </c>
      <c r="D1756" t="n">
        <v>9</v>
      </c>
      <c r="E1756">
        <f>MEDIAN(D1736:D1776)</f>
        <v/>
      </c>
      <c r="F1756">
        <f>E1736</f>
        <v/>
      </c>
      <c r="G1756">
        <f>F1756-E1756</f>
        <v/>
      </c>
      <c r="H1756">
        <f>IF(OR(NOT(ISNUMBER(D1756)),ABS(D1756-E1756)&gt;$O$3,AND($O$11=1,B1756&lt;$O$12)),1,0)</f>
        <v/>
      </c>
      <c r="I1756">
        <f>IF(H1756=1,NA(),D1756)</f>
        <v/>
      </c>
      <c r="J1756">
        <f>IF(AND(ISNUMBER(D1756),D1756&gt;=$O$4,OR($O$11=0,B1756&gt;=$O$12)),1,0)</f>
        <v/>
      </c>
      <c r="K1756">
        <f>B1756-$O$14</f>
        <v/>
      </c>
    </row>
    <row r="1757">
      <c r="A1757" t="n">
        <v>5265</v>
      </c>
      <c r="B1757" t="n">
        <v>175.5</v>
      </c>
      <c r="C1757" t="inlineStr">
        <is>
          <t>900</t>
        </is>
      </c>
      <c r="D1757" t="n">
        <v>9</v>
      </c>
      <c r="E1757">
        <f>MEDIAN(D1737:D1777)</f>
        <v/>
      </c>
      <c r="F1757">
        <f>E1737</f>
        <v/>
      </c>
      <c r="G1757">
        <f>F1757-E1757</f>
        <v/>
      </c>
      <c r="H1757">
        <f>IF(OR(NOT(ISNUMBER(D1757)),ABS(D1757-E1757)&gt;$O$3,AND($O$11=1,B1757&lt;$O$12)),1,0)</f>
        <v/>
      </c>
      <c r="I1757">
        <f>IF(H1757=1,NA(),D1757)</f>
        <v/>
      </c>
      <c r="J1757">
        <f>IF(AND(ISNUMBER(D1757),D1757&gt;=$O$4,OR($O$11=0,B1757&gt;=$O$12)),1,0)</f>
        <v/>
      </c>
      <c r="K1757">
        <f>B1757-$O$14</f>
        <v/>
      </c>
    </row>
    <row r="1758">
      <c r="A1758" t="n">
        <v>5268</v>
      </c>
      <c r="B1758" t="n">
        <v>175.6</v>
      </c>
      <c r="C1758" t="inlineStr">
        <is>
          <t>900</t>
        </is>
      </c>
      <c r="D1758" t="n">
        <v>9</v>
      </c>
      <c r="E1758">
        <f>MEDIAN(D1738:D1778)</f>
        <v/>
      </c>
      <c r="F1758">
        <f>E1738</f>
        <v/>
      </c>
      <c r="G1758">
        <f>F1758-E1758</f>
        <v/>
      </c>
      <c r="H1758">
        <f>IF(OR(NOT(ISNUMBER(D1758)),ABS(D1758-E1758)&gt;$O$3,AND($O$11=1,B1758&lt;$O$12)),1,0)</f>
        <v/>
      </c>
      <c r="I1758">
        <f>IF(H1758=1,NA(),D1758)</f>
        <v/>
      </c>
      <c r="J1758">
        <f>IF(AND(ISNUMBER(D1758),D1758&gt;=$O$4,OR($O$11=0,B1758&gt;=$O$12)),1,0)</f>
        <v/>
      </c>
      <c r="K1758">
        <f>B1758-$O$14</f>
        <v/>
      </c>
    </row>
    <row r="1759">
      <c r="A1759" t="n">
        <v>5271</v>
      </c>
      <c r="B1759" t="n">
        <v>175.7</v>
      </c>
      <c r="C1759" t="inlineStr">
        <is>
          <t>900</t>
        </is>
      </c>
      <c r="D1759" t="n">
        <v>9</v>
      </c>
      <c r="E1759">
        <f>MEDIAN(D1739:D1779)</f>
        <v/>
      </c>
      <c r="F1759">
        <f>E1739</f>
        <v/>
      </c>
      <c r="G1759">
        <f>F1759-E1759</f>
        <v/>
      </c>
      <c r="H1759">
        <f>IF(OR(NOT(ISNUMBER(D1759)),ABS(D1759-E1759)&gt;$O$3,AND($O$11=1,B1759&lt;$O$12)),1,0)</f>
        <v/>
      </c>
      <c r="I1759">
        <f>IF(H1759=1,NA(),D1759)</f>
        <v/>
      </c>
      <c r="J1759">
        <f>IF(AND(ISNUMBER(D1759),D1759&gt;=$O$4,OR($O$11=0,B1759&gt;=$O$12)),1,0)</f>
        <v/>
      </c>
      <c r="K1759">
        <f>B1759-$O$14</f>
        <v/>
      </c>
    </row>
    <row r="1760">
      <c r="A1760" t="n">
        <v>5274</v>
      </c>
      <c r="B1760" t="n">
        <v>175.8</v>
      </c>
      <c r="C1760" t="inlineStr">
        <is>
          <t>900</t>
        </is>
      </c>
      <c r="D1760" t="n">
        <v>9</v>
      </c>
      <c r="E1760">
        <f>MEDIAN(D1740:D1780)</f>
        <v/>
      </c>
      <c r="F1760">
        <f>E1740</f>
        <v/>
      </c>
      <c r="G1760">
        <f>F1760-E1760</f>
        <v/>
      </c>
      <c r="H1760">
        <f>IF(OR(NOT(ISNUMBER(D1760)),ABS(D1760-E1760)&gt;$O$3,AND($O$11=1,B1760&lt;$O$12)),1,0)</f>
        <v/>
      </c>
      <c r="I1760">
        <f>IF(H1760=1,NA(),D1760)</f>
        <v/>
      </c>
      <c r="J1760">
        <f>IF(AND(ISNUMBER(D1760),D1760&gt;=$O$4,OR($O$11=0,B1760&gt;=$O$12)),1,0)</f>
        <v/>
      </c>
      <c r="K1760">
        <f>B1760-$O$14</f>
        <v/>
      </c>
    </row>
    <row r="1761">
      <c r="A1761" t="n">
        <v>5277</v>
      </c>
      <c r="B1761" t="n">
        <v>175.9</v>
      </c>
      <c r="C1761" t="inlineStr">
        <is>
          <t>900</t>
        </is>
      </c>
      <c r="D1761" t="n">
        <v>9</v>
      </c>
      <c r="E1761">
        <f>MEDIAN(D1741:D1781)</f>
        <v/>
      </c>
      <c r="F1761">
        <f>E1741</f>
        <v/>
      </c>
      <c r="G1761">
        <f>F1761-E1761</f>
        <v/>
      </c>
      <c r="H1761">
        <f>IF(OR(NOT(ISNUMBER(D1761)),ABS(D1761-E1761)&gt;$O$3,AND($O$11=1,B1761&lt;$O$12)),1,0)</f>
        <v/>
      </c>
      <c r="I1761">
        <f>IF(H1761=1,NA(),D1761)</f>
        <v/>
      </c>
      <c r="J1761">
        <f>IF(AND(ISNUMBER(D1761),D1761&gt;=$O$4,OR($O$11=0,B1761&gt;=$O$12)),1,0)</f>
        <v/>
      </c>
      <c r="K1761">
        <f>B1761-$O$14</f>
        <v/>
      </c>
    </row>
    <row r="1762">
      <c r="A1762" t="n">
        <v>5280</v>
      </c>
      <c r="B1762" t="n">
        <v>176</v>
      </c>
      <c r="C1762" t="inlineStr">
        <is>
          <t>900</t>
        </is>
      </c>
      <c r="D1762" t="n">
        <v>9</v>
      </c>
      <c r="E1762">
        <f>MEDIAN(D1742:D1782)</f>
        <v/>
      </c>
      <c r="F1762">
        <f>E1742</f>
        <v/>
      </c>
      <c r="G1762">
        <f>F1762-E1762</f>
        <v/>
      </c>
      <c r="H1762">
        <f>IF(OR(NOT(ISNUMBER(D1762)),ABS(D1762-E1762)&gt;$O$3,AND($O$11=1,B1762&lt;$O$12)),1,0)</f>
        <v/>
      </c>
      <c r="I1762">
        <f>IF(H1762=1,NA(),D1762)</f>
        <v/>
      </c>
      <c r="J1762">
        <f>IF(AND(ISNUMBER(D1762),D1762&gt;=$O$4,OR($O$11=0,B1762&gt;=$O$12)),1,0)</f>
        <v/>
      </c>
      <c r="K1762">
        <f>B1762-$O$14</f>
        <v/>
      </c>
    </row>
    <row r="1763">
      <c r="A1763" t="n">
        <v>5283</v>
      </c>
      <c r="B1763" t="n">
        <v>176.1</v>
      </c>
      <c r="C1763" t="inlineStr">
        <is>
          <t>900</t>
        </is>
      </c>
      <c r="D1763" t="n">
        <v>9</v>
      </c>
      <c r="E1763">
        <f>MEDIAN(D1743:D1783)</f>
        <v/>
      </c>
      <c r="F1763">
        <f>E1743</f>
        <v/>
      </c>
      <c r="G1763">
        <f>F1763-E1763</f>
        <v/>
      </c>
      <c r="H1763">
        <f>IF(OR(NOT(ISNUMBER(D1763)),ABS(D1763-E1763)&gt;$O$3,AND($O$11=1,B1763&lt;$O$12)),1,0)</f>
        <v/>
      </c>
      <c r="I1763">
        <f>IF(H1763=1,NA(),D1763)</f>
        <v/>
      </c>
      <c r="J1763">
        <f>IF(AND(ISNUMBER(D1763),D1763&gt;=$O$4,OR($O$11=0,B1763&gt;=$O$12)),1,0)</f>
        <v/>
      </c>
      <c r="K1763">
        <f>B1763-$O$14</f>
        <v/>
      </c>
    </row>
    <row r="1764">
      <c r="A1764" t="n">
        <v>5286</v>
      </c>
      <c r="B1764" t="n">
        <v>176.2</v>
      </c>
      <c r="C1764" t="inlineStr">
        <is>
          <t>900</t>
        </is>
      </c>
      <c r="D1764" t="n">
        <v>9</v>
      </c>
      <c r="E1764">
        <f>MEDIAN(D1744:D1784)</f>
        <v/>
      </c>
      <c r="F1764">
        <f>E1744</f>
        <v/>
      </c>
      <c r="G1764">
        <f>F1764-E1764</f>
        <v/>
      </c>
      <c r="H1764">
        <f>IF(OR(NOT(ISNUMBER(D1764)),ABS(D1764-E1764)&gt;$O$3,AND($O$11=1,B1764&lt;$O$12)),1,0)</f>
        <v/>
      </c>
      <c r="I1764">
        <f>IF(H1764=1,NA(),D1764)</f>
        <v/>
      </c>
      <c r="J1764">
        <f>IF(AND(ISNUMBER(D1764),D1764&gt;=$O$4,OR($O$11=0,B1764&gt;=$O$12)),1,0)</f>
        <v/>
      </c>
      <c r="K1764">
        <f>B1764-$O$14</f>
        <v/>
      </c>
    </row>
    <row r="1765">
      <c r="A1765" t="n">
        <v>5289</v>
      </c>
      <c r="B1765" t="n">
        <v>176.3</v>
      </c>
      <c r="C1765" t="inlineStr">
        <is>
          <t>900</t>
        </is>
      </c>
      <c r="D1765" t="n">
        <v>9</v>
      </c>
      <c r="E1765">
        <f>MEDIAN(D1745:D1785)</f>
        <v/>
      </c>
      <c r="F1765">
        <f>E1745</f>
        <v/>
      </c>
      <c r="G1765">
        <f>F1765-E1765</f>
        <v/>
      </c>
      <c r="H1765">
        <f>IF(OR(NOT(ISNUMBER(D1765)),ABS(D1765-E1765)&gt;$O$3,AND($O$11=1,B1765&lt;$O$12)),1,0)</f>
        <v/>
      </c>
      <c r="I1765">
        <f>IF(H1765=1,NA(),D1765)</f>
        <v/>
      </c>
      <c r="J1765">
        <f>IF(AND(ISNUMBER(D1765),D1765&gt;=$O$4,OR($O$11=0,B1765&gt;=$O$12)),1,0)</f>
        <v/>
      </c>
      <c r="K1765">
        <f>B1765-$O$14</f>
        <v/>
      </c>
    </row>
    <row r="1766">
      <c r="A1766" t="n">
        <v>5292</v>
      </c>
      <c r="B1766" t="n">
        <v>176.4</v>
      </c>
      <c r="C1766" t="inlineStr">
        <is>
          <t>900</t>
        </is>
      </c>
      <c r="D1766" t="n">
        <v>9</v>
      </c>
      <c r="E1766">
        <f>MEDIAN(D1746:D1786)</f>
        <v/>
      </c>
      <c r="F1766">
        <f>E1746</f>
        <v/>
      </c>
      <c r="G1766">
        <f>F1766-E1766</f>
        <v/>
      </c>
      <c r="H1766">
        <f>IF(OR(NOT(ISNUMBER(D1766)),ABS(D1766-E1766)&gt;$O$3,AND($O$11=1,B1766&lt;$O$12)),1,0)</f>
        <v/>
      </c>
      <c r="I1766">
        <f>IF(H1766=1,NA(),D1766)</f>
        <v/>
      </c>
      <c r="J1766">
        <f>IF(AND(ISNUMBER(D1766),D1766&gt;=$O$4,OR($O$11=0,B1766&gt;=$O$12)),1,0)</f>
        <v/>
      </c>
      <c r="K1766">
        <f>B1766-$O$14</f>
        <v/>
      </c>
    </row>
    <row r="1767">
      <c r="A1767" t="n">
        <v>5295</v>
      </c>
      <c r="B1767" t="n">
        <v>176.5</v>
      </c>
      <c r="C1767" t="inlineStr">
        <is>
          <t>900</t>
        </is>
      </c>
      <c r="D1767" t="n">
        <v>9</v>
      </c>
      <c r="E1767">
        <f>MEDIAN(D1747:D1787)</f>
        <v/>
      </c>
      <c r="F1767">
        <f>E1747</f>
        <v/>
      </c>
      <c r="G1767">
        <f>F1767-E1767</f>
        <v/>
      </c>
      <c r="H1767">
        <f>IF(OR(NOT(ISNUMBER(D1767)),ABS(D1767-E1767)&gt;$O$3,AND($O$11=1,B1767&lt;$O$12)),1,0)</f>
        <v/>
      </c>
      <c r="I1767">
        <f>IF(H1767=1,NA(),D1767)</f>
        <v/>
      </c>
      <c r="J1767">
        <f>IF(AND(ISNUMBER(D1767),D1767&gt;=$O$4,OR($O$11=0,B1767&gt;=$O$12)),1,0)</f>
        <v/>
      </c>
      <c r="K1767">
        <f>B1767-$O$14</f>
        <v/>
      </c>
    </row>
    <row r="1768">
      <c r="A1768" t="n">
        <v>5298</v>
      </c>
      <c r="B1768" t="n">
        <v>176.6</v>
      </c>
      <c r="C1768" t="inlineStr">
        <is>
          <t>900</t>
        </is>
      </c>
      <c r="D1768" t="n">
        <v>9</v>
      </c>
      <c r="E1768">
        <f>MEDIAN(D1748:D1788)</f>
        <v/>
      </c>
      <c r="F1768">
        <f>E1748</f>
        <v/>
      </c>
      <c r="G1768">
        <f>F1768-E1768</f>
        <v/>
      </c>
      <c r="H1768">
        <f>IF(OR(NOT(ISNUMBER(D1768)),ABS(D1768-E1768)&gt;$O$3,AND($O$11=1,B1768&lt;$O$12)),1,0)</f>
        <v/>
      </c>
      <c r="I1768">
        <f>IF(H1768=1,NA(),D1768)</f>
        <v/>
      </c>
      <c r="J1768">
        <f>IF(AND(ISNUMBER(D1768),D1768&gt;=$O$4,OR($O$11=0,B1768&gt;=$O$12)),1,0)</f>
        <v/>
      </c>
      <c r="K1768">
        <f>B1768-$O$14</f>
        <v/>
      </c>
    </row>
    <row r="1769">
      <c r="A1769" t="n">
        <v>5301</v>
      </c>
      <c r="B1769" t="n">
        <v>176.7</v>
      </c>
      <c r="C1769" t="inlineStr">
        <is>
          <t>900</t>
        </is>
      </c>
      <c r="D1769" t="n">
        <v>9</v>
      </c>
      <c r="E1769">
        <f>MEDIAN(D1749:D1789)</f>
        <v/>
      </c>
      <c r="F1769">
        <f>E1749</f>
        <v/>
      </c>
      <c r="G1769">
        <f>F1769-E1769</f>
        <v/>
      </c>
      <c r="H1769">
        <f>IF(OR(NOT(ISNUMBER(D1769)),ABS(D1769-E1769)&gt;$O$3,AND($O$11=1,B1769&lt;$O$12)),1,0)</f>
        <v/>
      </c>
      <c r="I1769">
        <f>IF(H1769=1,NA(),D1769)</f>
        <v/>
      </c>
      <c r="J1769">
        <f>IF(AND(ISNUMBER(D1769),D1769&gt;=$O$4,OR($O$11=0,B1769&gt;=$O$12)),1,0)</f>
        <v/>
      </c>
      <c r="K1769">
        <f>B1769-$O$14</f>
        <v/>
      </c>
    </row>
    <row r="1770">
      <c r="A1770" t="n">
        <v>5304</v>
      </c>
      <c r="B1770" t="n">
        <v>176.8</v>
      </c>
      <c r="C1770" t="inlineStr">
        <is>
          <t>900</t>
        </is>
      </c>
      <c r="D1770" t="n">
        <v>9</v>
      </c>
      <c r="E1770">
        <f>MEDIAN(D1750:D1790)</f>
        <v/>
      </c>
      <c r="F1770">
        <f>E1750</f>
        <v/>
      </c>
      <c r="G1770">
        <f>F1770-E1770</f>
        <v/>
      </c>
      <c r="H1770">
        <f>IF(OR(NOT(ISNUMBER(D1770)),ABS(D1770-E1770)&gt;$O$3,AND($O$11=1,B1770&lt;$O$12)),1,0)</f>
        <v/>
      </c>
      <c r="I1770">
        <f>IF(H1770=1,NA(),D1770)</f>
        <v/>
      </c>
      <c r="J1770">
        <f>IF(AND(ISNUMBER(D1770),D1770&gt;=$O$4,OR($O$11=0,B1770&gt;=$O$12)),1,0)</f>
        <v/>
      </c>
      <c r="K1770">
        <f>B1770-$O$14</f>
        <v/>
      </c>
    </row>
    <row r="1771">
      <c r="A1771" t="n">
        <v>5307</v>
      </c>
      <c r="B1771" t="n">
        <v>176.9</v>
      </c>
      <c r="C1771" t="inlineStr">
        <is>
          <t>900</t>
        </is>
      </c>
      <c r="D1771" t="n">
        <v>9</v>
      </c>
      <c r="E1771">
        <f>MEDIAN(D1751:D1791)</f>
        <v/>
      </c>
      <c r="F1771">
        <f>E1751</f>
        <v/>
      </c>
      <c r="G1771">
        <f>F1771-E1771</f>
        <v/>
      </c>
      <c r="H1771">
        <f>IF(OR(NOT(ISNUMBER(D1771)),ABS(D1771-E1771)&gt;$O$3,AND($O$11=1,B1771&lt;$O$12)),1,0)</f>
        <v/>
      </c>
      <c r="I1771">
        <f>IF(H1771=1,NA(),D1771)</f>
        <v/>
      </c>
      <c r="J1771">
        <f>IF(AND(ISNUMBER(D1771),D1771&gt;=$O$4,OR($O$11=0,B1771&gt;=$O$12)),1,0)</f>
        <v/>
      </c>
      <c r="K1771">
        <f>B1771-$O$14</f>
        <v/>
      </c>
    </row>
    <row r="1772">
      <c r="A1772" t="n">
        <v>5310</v>
      </c>
      <c r="B1772" t="n">
        <v>177</v>
      </c>
      <c r="C1772" t="inlineStr">
        <is>
          <t>900</t>
        </is>
      </c>
      <c r="D1772" t="n">
        <v>9</v>
      </c>
      <c r="E1772">
        <f>MEDIAN(D1752:D1792)</f>
        <v/>
      </c>
      <c r="F1772">
        <f>E1752</f>
        <v/>
      </c>
      <c r="G1772">
        <f>F1772-E1772</f>
        <v/>
      </c>
      <c r="H1772">
        <f>IF(OR(NOT(ISNUMBER(D1772)),ABS(D1772-E1772)&gt;$O$3,AND($O$11=1,B1772&lt;$O$12)),1,0)</f>
        <v/>
      </c>
      <c r="I1772">
        <f>IF(H1772=1,NA(),D1772)</f>
        <v/>
      </c>
      <c r="J1772">
        <f>IF(AND(ISNUMBER(D1772),D1772&gt;=$O$4,OR($O$11=0,B1772&gt;=$O$12)),1,0)</f>
        <v/>
      </c>
      <c r="K1772">
        <f>B1772-$O$14</f>
        <v/>
      </c>
    </row>
    <row r="1773">
      <c r="A1773" t="n">
        <v>5313</v>
      </c>
      <c r="B1773" t="n">
        <v>177.1</v>
      </c>
      <c r="C1773" t="inlineStr">
        <is>
          <t>900</t>
        </is>
      </c>
      <c r="D1773" t="n">
        <v>9</v>
      </c>
      <c r="E1773">
        <f>MEDIAN(D1753:D1793)</f>
        <v/>
      </c>
      <c r="F1773">
        <f>E1753</f>
        <v/>
      </c>
      <c r="G1773">
        <f>F1773-E1773</f>
        <v/>
      </c>
      <c r="H1773">
        <f>IF(OR(NOT(ISNUMBER(D1773)),ABS(D1773-E1773)&gt;$O$3,AND($O$11=1,B1773&lt;$O$12)),1,0)</f>
        <v/>
      </c>
      <c r="I1773">
        <f>IF(H1773=1,NA(),D1773)</f>
        <v/>
      </c>
      <c r="J1773">
        <f>IF(AND(ISNUMBER(D1773),D1773&gt;=$O$4,OR($O$11=0,B1773&gt;=$O$12)),1,0)</f>
        <v/>
      </c>
      <c r="K1773">
        <f>B1773-$O$14</f>
        <v/>
      </c>
    </row>
    <row r="1774">
      <c r="A1774" t="n">
        <v>5316</v>
      </c>
      <c r="B1774" t="n">
        <v>177.2</v>
      </c>
      <c r="C1774" t="inlineStr">
        <is>
          <t>907</t>
        </is>
      </c>
      <c r="D1774" t="n">
        <v>9.07</v>
      </c>
      <c r="E1774">
        <f>MEDIAN(D1754:D1794)</f>
        <v/>
      </c>
      <c r="F1774">
        <f>E1754</f>
        <v/>
      </c>
      <c r="G1774">
        <f>F1774-E1774</f>
        <v/>
      </c>
      <c r="H1774">
        <f>IF(OR(NOT(ISNUMBER(D1774)),ABS(D1774-E1774)&gt;$O$3,AND($O$11=1,B1774&lt;$O$12)),1,0)</f>
        <v/>
      </c>
      <c r="I1774">
        <f>IF(H1774=1,NA(),D1774)</f>
        <v/>
      </c>
      <c r="J1774">
        <f>IF(AND(ISNUMBER(D1774),D1774&gt;=$O$4,OR($O$11=0,B1774&gt;=$O$12)),1,0)</f>
        <v/>
      </c>
      <c r="K1774">
        <f>B1774-$O$14</f>
        <v/>
      </c>
    </row>
    <row r="1775">
      <c r="A1775" t="n">
        <v>5319</v>
      </c>
      <c r="B1775" t="n">
        <v>177.3</v>
      </c>
      <c r="C1775" t="inlineStr">
        <is>
          <t>901</t>
        </is>
      </c>
      <c r="D1775" t="n">
        <v>9.01</v>
      </c>
      <c r="E1775">
        <f>MEDIAN(D1755:D1795)</f>
        <v/>
      </c>
      <c r="F1775">
        <f>E1755</f>
        <v/>
      </c>
      <c r="G1775">
        <f>F1775-E1775</f>
        <v/>
      </c>
      <c r="H1775">
        <f>IF(OR(NOT(ISNUMBER(D1775)),ABS(D1775-E1775)&gt;$O$3,AND($O$11=1,B1775&lt;$O$12)),1,0)</f>
        <v/>
      </c>
      <c r="I1775">
        <f>IF(H1775=1,NA(),D1775)</f>
        <v/>
      </c>
      <c r="J1775">
        <f>IF(AND(ISNUMBER(D1775),D1775&gt;=$O$4,OR($O$11=0,B1775&gt;=$O$12)),1,0)</f>
        <v/>
      </c>
      <c r="K1775">
        <f>B1775-$O$14</f>
        <v/>
      </c>
    </row>
    <row r="1776">
      <c r="A1776" t="n">
        <v>5322</v>
      </c>
      <c r="B1776" t="n">
        <v>177.4</v>
      </c>
      <c r="C1776" t="inlineStr">
        <is>
          <t>901</t>
        </is>
      </c>
      <c r="D1776" t="n">
        <v>9.01</v>
      </c>
      <c r="E1776">
        <f>MEDIAN(D1756:D1796)</f>
        <v/>
      </c>
      <c r="F1776">
        <f>E1756</f>
        <v/>
      </c>
      <c r="G1776">
        <f>F1776-E1776</f>
        <v/>
      </c>
      <c r="H1776">
        <f>IF(OR(NOT(ISNUMBER(D1776)),ABS(D1776-E1776)&gt;$O$3,AND($O$11=1,B1776&lt;$O$12)),1,0)</f>
        <v/>
      </c>
      <c r="I1776">
        <f>IF(H1776=1,NA(),D1776)</f>
        <v/>
      </c>
      <c r="J1776">
        <f>IF(AND(ISNUMBER(D1776),D1776&gt;=$O$4,OR($O$11=0,B1776&gt;=$O$12)),1,0)</f>
        <v/>
      </c>
      <c r="K1776">
        <f>B1776-$O$14</f>
        <v/>
      </c>
    </row>
    <row r="1777">
      <c r="A1777" t="n">
        <v>5325</v>
      </c>
      <c r="B1777" t="n">
        <v>177.5</v>
      </c>
      <c r="C1777" t="inlineStr">
        <is>
          <t>901</t>
        </is>
      </c>
      <c r="D1777" t="n">
        <v>9.01</v>
      </c>
      <c r="E1777">
        <f>MEDIAN(D1757:D1797)</f>
        <v/>
      </c>
      <c r="F1777">
        <f>E1757</f>
        <v/>
      </c>
      <c r="G1777">
        <f>F1777-E1777</f>
        <v/>
      </c>
      <c r="H1777">
        <f>IF(OR(NOT(ISNUMBER(D1777)),ABS(D1777-E1777)&gt;$O$3,AND($O$11=1,B1777&lt;$O$12)),1,0)</f>
        <v/>
      </c>
      <c r="I1777">
        <f>IF(H1777=1,NA(),D1777)</f>
        <v/>
      </c>
      <c r="J1777">
        <f>IF(AND(ISNUMBER(D1777),D1777&gt;=$O$4,OR($O$11=0,B1777&gt;=$O$12)),1,0)</f>
        <v/>
      </c>
      <c r="K1777">
        <f>B1777-$O$14</f>
        <v/>
      </c>
    </row>
    <row r="1778">
      <c r="A1778" t="n">
        <v>5328</v>
      </c>
      <c r="B1778" t="n">
        <v>177.6</v>
      </c>
      <c r="C1778" t="inlineStr">
        <is>
          <t>902</t>
        </is>
      </c>
      <c r="D1778" t="n">
        <v>9.02</v>
      </c>
      <c r="E1778">
        <f>MEDIAN(D1758:D1798)</f>
        <v/>
      </c>
      <c r="F1778">
        <f>E1758</f>
        <v/>
      </c>
      <c r="G1778">
        <f>F1778-E1778</f>
        <v/>
      </c>
      <c r="H1778">
        <f>IF(OR(NOT(ISNUMBER(D1778)),ABS(D1778-E1778)&gt;$O$3,AND($O$11=1,B1778&lt;$O$12)),1,0)</f>
        <v/>
      </c>
      <c r="I1778">
        <f>IF(H1778=1,NA(),D1778)</f>
        <v/>
      </c>
      <c r="J1778">
        <f>IF(AND(ISNUMBER(D1778),D1778&gt;=$O$4,OR($O$11=0,B1778&gt;=$O$12)),1,0)</f>
        <v/>
      </c>
      <c r="K1778">
        <f>B1778-$O$14</f>
        <v/>
      </c>
    </row>
    <row r="1779">
      <c r="A1779" t="n">
        <v>5331</v>
      </c>
      <c r="B1779" t="n">
        <v>177.7</v>
      </c>
      <c r="C1779" t="inlineStr">
        <is>
          <t>902</t>
        </is>
      </c>
      <c r="D1779" t="n">
        <v>9.02</v>
      </c>
      <c r="E1779">
        <f>MEDIAN(D1759:D1799)</f>
        <v/>
      </c>
      <c r="F1779">
        <f>E1759</f>
        <v/>
      </c>
      <c r="G1779">
        <f>F1779-E1779</f>
        <v/>
      </c>
      <c r="H1779">
        <f>IF(OR(NOT(ISNUMBER(D1779)),ABS(D1779-E1779)&gt;$O$3,AND($O$11=1,B1779&lt;$O$12)),1,0)</f>
        <v/>
      </c>
      <c r="I1779">
        <f>IF(H1779=1,NA(),D1779)</f>
        <v/>
      </c>
      <c r="J1779">
        <f>IF(AND(ISNUMBER(D1779),D1779&gt;=$O$4,OR($O$11=0,B1779&gt;=$O$12)),1,0)</f>
        <v/>
      </c>
      <c r="K1779">
        <f>B1779-$O$14</f>
        <v/>
      </c>
    </row>
    <row r="1780">
      <c r="A1780" t="n">
        <v>5334</v>
      </c>
      <c r="B1780" t="n">
        <v>177.8</v>
      </c>
      <c r="C1780" t="inlineStr">
        <is>
          <t>902</t>
        </is>
      </c>
      <c r="D1780" t="n">
        <v>9.02</v>
      </c>
      <c r="E1780">
        <f>MEDIAN(D1760:D1800)</f>
        <v/>
      </c>
      <c r="F1780">
        <f>E1760</f>
        <v/>
      </c>
      <c r="G1780">
        <f>F1780-E1780</f>
        <v/>
      </c>
      <c r="H1780">
        <f>IF(OR(NOT(ISNUMBER(D1780)),ABS(D1780-E1780)&gt;$O$3,AND($O$11=1,B1780&lt;$O$12)),1,0)</f>
        <v/>
      </c>
      <c r="I1780">
        <f>IF(H1780=1,NA(),D1780)</f>
        <v/>
      </c>
      <c r="J1780">
        <f>IF(AND(ISNUMBER(D1780),D1780&gt;=$O$4,OR($O$11=0,B1780&gt;=$O$12)),1,0)</f>
        <v/>
      </c>
      <c r="K1780">
        <f>B1780-$O$14</f>
        <v/>
      </c>
    </row>
    <row r="1781">
      <c r="A1781" t="n">
        <v>5337</v>
      </c>
      <c r="B1781" t="n">
        <v>177.9</v>
      </c>
      <c r="C1781" t="inlineStr">
        <is>
          <t>902</t>
        </is>
      </c>
      <c r="D1781" t="n">
        <v>9.02</v>
      </c>
      <c r="E1781">
        <f>MEDIAN(D1761:D1801)</f>
        <v/>
      </c>
      <c r="F1781">
        <f>E1761</f>
        <v/>
      </c>
      <c r="G1781">
        <f>F1781-E1781</f>
        <v/>
      </c>
      <c r="H1781">
        <f>IF(OR(NOT(ISNUMBER(D1781)),ABS(D1781-E1781)&gt;$O$3,AND($O$11=1,B1781&lt;$O$12)),1,0)</f>
        <v/>
      </c>
      <c r="I1781">
        <f>IF(H1781=1,NA(),D1781)</f>
        <v/>
      </c>
      <c r="J1781">
        <f>IF(AND(ISNUMBER(D1781),D1781&gt;=$O$4,OR($O$11=0,B1781&gt;=$O$12)),1,0)</f>
        <v/>
      </c>
      <c r="K1781">
        <f>B1781-$O$14</f>
        <v/>
      </c>
    </row>
    <row r="1782">
      <c r="A1782" t="n">
        <v>5340</v>
      </c>
      <c r="B1782" t="n">
        <v>178</v>
      </c>
      <c r="C1782" t="inlineStr">
        <is>
          <t>902</t>
        </is>
      </c>
      <c r="D1782" t="n">
        <v>9.02</v>
      </c>
      <c r="E1782">
        <f>MEDIAN(D1762:D1802)</f>
        <v/>
      </c>
      <c r="F1782">
        <f>E1762</f>
        <v/>
      </c>
      <c r="G1782">
        <f>F1782-E1782</f>
        <v/>
      </c>
      <c r="H1782">
        <f>IF(OR(NOT(ISNUMBER(D1782)),ABS(D1782-E1782)&gt;$O$3,AND($O$11=1,B1782&lt;$O$12)),1,0)</f>
        <v/>
      </c>
      <c r="I1782">
        <f>IF(H1782=1,NA(),D1782)</f>
        <v/>
      </c>
      <c r="J1782">
        <f>IF(AND(ISNUMBER(D1782),D1782&gt;=$O$4,OR($O$11=0,B1782&gt;=$O$12)),1,0)</f>
        <v/>
      </c>
      <c r="K1782">
        <f>B1782-$O$14</f>
        <v/>
      </c>
    </row>
    <row r="1783">
      <c r="A1783" t="n">
        <v>5343</v>
      </c>
      <c r="B1783" t="n">
        <v>178.1</v>
      </c>
      <c r="C1783" t="inlineStr">
        <is>
          <t>902</t>
        </is>
      </c>
      <c r="D1783" t="n">
        <v>9.02</v>
      </c>
      <c r="E1783">
        <f>MEDIAN(D1763:D1803)</f>
        <v/>
      </c>
      <c r="F1783">
        <f>E1763</f>
        <v/>
      </c>
      <c r="G1783">
        <f>F1783-E1783</f>
        <v/>
      </c>
      <c r="H1783">
        <f>IF(OR(NOT(ISNUMBER(D1783)),ABS(D1783-E1783)&gt;$O$3,AND($O$11=1,B1783&lt;$O$12)),1,0)</f>
        <v/>
      </c>
      <c r="I1783">
        <f>IF(H1783=1,NA(),D1783)</f>
        <v/>
      </c>
      <c r="J1783">
        <f>IF(AND(ISNUMBER(D1783),D1783&gt;=$O$4,OR($O$11=0,B1783&gt;=$O$12)),1,0)</f>
        <v/>
      </c>
      <c r="K1783">
        <f>B1783-$O$14</f>
        <v/>
      </c>
    </row>
    <row r="1784">
      <c r="A1784" t="n">
        <v>5346</v>
      </c>
      <c r="B1784" t="n">
        <v>178.2</v>
      </c>
      <c r="C1784" t="inlineStr">
        <is>
          <t>902</t>
        </is>
      </c>
      <c r="D1784" t="n">
        <v>9.02</v>
      </c>
      <c r="E1784">
        <f>MEDIAN(D1764:D1804)</f>
        <v/>
      </c>
      <c r="F1784">
        <f>E1764</f>
        <v/>
      </c>
      <c r="G1784">
        <f>F1784-E1784</f>
        <v/>
      </c>
      <c r="H1784">
        <f>IF(OR(NOT(ISNUMBER(D1784)),ABS(D1784-E1784)&gt;$O$3,AND($O$11=1,B1784&lt;$O$12)),1,0)</f>
        <v/>
      </c>
      <c r="I1784">
        <f>IF(H1784=1,NA(),D1784)</f>
        <v/>
      </c>
      <c r="J1784">
        <f>IF(AND(ISNUMBER(D1784),D1784&gt;=$O$4,OR($O$11=0,B1784&gt;=$O$12)),1,0)</f>
        <v/>
      </c>
      <c r="K1784">
        <f>B1784-$O$14</f>
        <v/>
      </c>
    </row>
    <row r="1785">
      <c r="A1785" t="n">
        <v>5349</v>
      </c>
      <c r="B1785" t="n">
        <v>178.3</v>
      </c>
      <c r="C1785" t="inlineStr">
        <is>
          <t>905</t>
        </is>
      </c>
      <c r="D1785" t="n">
        <v>9.050000000000001</v>
      </c>
      <c r="E1785">
        <f>MEDIAN(D1765:D1805)</f>
        <v/>
      </c>
      <c r="F1785">
        <f>E1765</f>
        <v/>
      </c>
      <c r="G1785">
        <f>F1785-E1785</f>
        <v/>
      </c>
      <c r="H1785">
        <f>IF(OR(NOT(ISNUMBER(D1785)),ABS(D1785-E1785)&gt;$O$3,AND($O$11=1,B1785&lt;$O$12)),1,0)</f>
        <v/>
      </c>
      <c r="I1785">
        <f>IF(H1785=1,NA(),D1785)</f>
        <v/>
      </c>
      <c r="J1785">
        <f>IF(AND(ISNUMBER(D1785),D1785&gt;=$O$4,OR($O$11=0,B1785&gt;=$O$12)),1,0)</f>
        <v/>
      </c>
      <c r="K1785">
        <f>B1785-$O$14</f>
        <v/>
      </c>
    </row>
    <row r="1786">
      <c r="A1786" t="n">
        <v>5352</v>
      </c>
      <c r="B1786" t="n">
        <v>178.4</v>
      </c>
      <c r="C1786" t="inlineStr">
        <is>
          <t>905</t>
        </is>
      </c>
      <c r="D1786" t="n">
        <v>9.050000000000001</v>
      </c>
      <c r="E1786">
        <f>MEDIAN(D1766:D1806)</f>
        <v/>
      </c>
      <c r="F1786">
        <f>E1766</f>
        <v/>
      </c>
      <c r="G1786">
        <f>F1786-E1786</f>
        <v/>
      </c>
      <c r="H1786">
        <f>IF(OR(NOT(ISNUMBER(D1786)),ABS(D1786-E1786)&gt;$O$3,AND($O$11=1,B1786&lt;$O$12)),1,0)</f>
        <v/>
      </c>
      <c r="I1786">
        <f>IF(H1786=1,NA(),D1786)</f>
        <v/>
      </c>
      <c r="J1786">
        <f>IF(AND(ISNUMBER(D1786),D1786&gt;=$O$4,OR($O$11=0,B1786&gt;=$O$12)),1,0)</f>
        <v/>
      </c>
      <c r="K1786">
        <f>B1786-$O$14</f>
        <v/>
      </c>
    </row>
    <row r="1787">
      <c r="A1787" t="n">
        <v>5355</v>
      </c>
      <c r="B1787" t="n">
        <v>178.5</v>
      </c>
      <c r="C1787" t="inlineStr">
        <is>
          <t>905</t>
        </is>
      </c>
      <c r="D1787" t="n">
        <v>9.050000000000001</v>
      </c>
      <c r="E1787">
        <f>MEDIAN(D1767:D1807)</f>
        <v/>
      </c>
      <c r="F1787">
        <f>E1767</f>
        <v/>
      </c>
      <c r="G1787">
        <f>F1787-E1787</f>
        <v/>
      </c>
      <c r="H1787">
        <f>IF(OR(NOT(ISNUMBER(D1787)),ABS(D1787-E1787)&gt;$O$3,AND($O$11=1,B1787&lt;$O$12)),1,0)</f>
        <v/>
      </c>
      <c r="I1787">
        <f>IF(H1787=1,NA(),D1787)</f>
        <v/>
      </c>
      <c r="J1787">
        <f>IF(AND(ISNUMBER(D1787),D1787&gt;=$O$4,OR($O$11=0,B1787&gt;=$O$12)),1,0)</f>
        <v/>
      </c>
      <c r="K1787">
        <f>B1787-$O$14</f>
        <v/>
      </c>
    </row>
    <row r="1788">
      <c r="A1788" t="n">
        <v>5358</v>
      </c>
      <c r="B1788" t="n">
        <v>178.6</v>
      </c>
      <c r="C1788" t="inlineStr">
        <is>
          <t>905</t>
        </is>
      </c>
      <c r="D1788" t="n">
        <v>9.050000000000001</v>
      </c>
      <c r="E1788">
        <f>MEDIAN(D1768:D1808)</f>
        <v/>
      </c>
      <c r="F1788">
        <f>E1768</f>
        <v/>
      </c>
      <c r="G1788">
        <f>F1788-E1788</f>
        <v/>
      </c>
      <c r="H1788">
        <f>IF(OR(NOT(ISNUMBER(D1788)),ABS(D1788-E1788)&gt;$O$3,AND($O$11=1,B1788&lt;$O$12)),1,0)</f>
        <v/>
      </c>
      <c r="I1788">
        <f>IF(H1788=1,NA(),D1788)</f>
        <v/>
      </c>
      <c r="J1788">
        <f>IF(AND(ISNUMBER(D1788),D1788&gt;=$O$4,OR($O$11=0,B1788&gt;=$O$12)),1,0)</f>
        <v/>
      </c>
      <c r="K1788">
        <f>B1788-$O$14</f>
        <v/>
      </c>
    </row>
    <row r="1789">
      <c r="A1789" t="n">
        <v>5361</v>
      </c>
      <c r="B1789" t="n">
        <v>178.7</v>
      </c>
      <c r="C1789" t="inlineStr">
        <is>
          <t>905</t>
        </is>
      </c>
      <c r="D1789" t="n">
        <v>9.050000000000001</v>
      </c>
      <c r="E1789">
        <f>MEDIAN(D1769:D1809)</f>
        <v/>
      </c>
      <c r="F1789">
        <f>E1769</f>
        <v/>
      </c>
      <c r="G1789">
        <f>F1789-E1789</f>
        <v/>
      </c>
      <c r="H1789">
        <f>IF(OR(NOT(ISNUMBER(D1789)),ABS(D1789-E1789)&gt;$O$3,AND($O$11=1,B1789&lt;$O$12)),1,0)</f>
        <v/>
      </c>
      <c r="I1789">
        <f>IF(H1789=1,NA(),D1789)</f>
        <v/>
      </c>
      <c r="J1789">
        <f>IF(AND(ISNUMBER(D1789),D1789&gt;=$O$4,OR($O$11=0,B1789&gt;=$O$12)),1,0)</f>
        <v/>
      </c>
      <c r="K1789">
        <f>B1789-$O$14</f>
        <v/>
      </c>
    </row>
    <row r="1790">
      <c r="A1790" t="n">
        <v>5364</v>
      </c>
      <c r="B1790" t="n">
        <v>178.8</v>
      </c>
      <c r="C1790" t="inlineStr">
        <is>
          <t>905</t>
        </is>
      </c>
      <c r="D1790" t="n">
        <v>9.050000000000001</v>
      </c>
      <c r="E1790">
        <f>MEDIAN(D1770:D1810)</f>
        <v/>
      </c>
      <c r="F1790">
        <f>E1770</f>
        <v/>
      </c>
      <c r="G1790">
        <f>F1790-E1790</f>
        <v/>
      </c>
      <c r="H1790">
        <f>IF(OR(NOT(ISNUMBER(D1790)),ABS(D1790-E1790)&gt;$O$3,AND($O$11=1,B1790&lt;$O$12)),1,0)</f>
        <v/>
      </c>
      <c r="I1790">
        <f>IF(H1790=1,NA(),D1790)</f>
        <v/>
      </c>
      <c r="J1790">
        <f>IF(AND(ISNUMBER(D1790),D1790&gt;=$O$4,OR($O$11=0,B1790&gt;=$O$12)),1,0)</f>
        <v/>
      </c>
      <c r="K1790">
        <f>B1790-$O$14</f>
        <v/>
      </c>
    </row>
    <row r="1791">
      <c r="A1791" t="n">
        <v>5367</v>
      </c>
      <c r="B1791" t="n">
        <v>178.9</v>
      </c>
      <c r="C1791" t="inlineStr">
        <is>
          <t>905</t>
        </is>
      </c>
      <c r="D1791" t="n">
        <v>9.050000000000001</v>
      </c>
      <c r="E1791">
        <f>MEDIAN(D1771:D1811)</f>
        <v/>
      </c>
      <c r="F1791">
        <f>E1771</f>
        <v/>
      </c>
      <c r="G1791">
        <f>F1791-E1791</f>
        <v/>
      </c>
      <c r="H1791">
        <f>IF(OR(NOT(ISNUMBER(D1791)),ABS(D1791-E1791)&gt;$O$3,AND($O$11=1,B1791&lt;$O$12)),1,0)</f>
        <v/>
      </c>
      <c r="I1791">
        <f>IF(H1791=1,NA(),D1791)</f>
        <v/>
      </c>
      <c r="J1791">
        <f>IF(AND(ISNUMBER(D1791),D1791&gt;=$O$4,OR($O$11=0,B1791&gt;=$O$12)),1,0)</f>
        <v/>
      </c>
      <c r="K1791">
        <f>B1791-$O$14</f>
        <v/>
      </c>
    </row>
    <row r="1792">
      <c r="A1792" t="n">
        <v>5370</v>
      </c>
      <c r="B1792" t="n">
        <v>179</v>
      </c>
      <c r="C1792" t="inlineStr">
        <is>
          <t>905</t>
        </is>
      </c>
      <c r="D1792" t="n">
        <v>9.050000000000001</v>
      </c>
      <c r="E1792">
        <f>MEDIAN(D1772:D1812)</f>
        <v/>
      </c>
      <c r="F1792">
        <f>E1772</f>
        <v/>
      </c>
      <c r="G1792">
        <f>F1792-E1792</f>
        <v/>
      </c>
      <c r="H1792">
        <f>IF(OR(NOT(ISNUMBER(D1792)),ABS(D1792-E1792)&gt;$O$3,AND($O$11=1,B1792&lt;$O$12)),1,0)</f>
        <v/>
      </c>
      <c r="I1792">
        <f>IF(H1792=1,NA(),D1792)</f>
        <v/>
      </c>
      <c r="J1792">
        <f>IF(AND(ISNUMBER(D1792),D1792&gt;=$O$4,OR($O$11=0,B1792&gt;=$O$12)),1,0)</f>
        <v/>
      </c>
      <c r="K1792">
        <f>B1792-$O$14</f>
        <v/>
      </c>
    </row>
    <row r="1793">
      <c r="A1793" t="n">
        <v>5373</v>
      </c>
      <c r="B1793" t="n">
        <v>179.1</v>
      </c>
      <c r="C1793" t="inlineStr">
        <is>
          <t>905</t>
        </is>
      </c>
      <c r="D1793" t="n">
        <v>9.050000000000001</v>
      </c>
      <c r="E1793">
        <f>MEDIAN(D1773:D1813)</f>
        <v/>
      </c>
      <c r="F1793">
        <f>E1773</f>
        <v/>
      </c>
      <c r="G1793">
        <f>F1793-E1793</f>
        <v/>
      </c>
      <c r="H1793">
        <f>IF(OR(NOT(ISNUMBER(D1793)),ABS(D1793-E1793)&gt;$O$3,AND($O$11=1,B1793&lt;$O$12)),1,0)</f>
        <v/>
      </c>
      <c r="I1793">
        <f>IF(H1793=1,NA(),D1793)</f>
        <v/>
      </c>
      <c r="J1793">
        <f>IF(AND(ISNUMBER(D1793),D1793&gt;=$O$4,OR($O$11=0,B1793&gt;=$O$12)),1,0)</f>
        <v/>
      </c>
      <c r="K1793">
        <f>B1793-$O$14</f>
        <v/>
      </c>
    </row>
    <row r="1794">
      <c r="A1794" t="n">
        <v>5376</v>
      </c>
      <c r="B1794" t="n">
        <v>179.2</v>
      </c>
      <c r="C1794" t="inlineStr">
        <is>
          <t>905</t>
        </is>
      </c>
      <c r="D1794" t="n">
        <v>9.050000000000001</v>
      </c>
      <c r="E1794">
        <f>MEDIAN(D1774:D1814)</f>
        <v/>
      </c>
      <c r="F1794">
        <f>E1774</f>
        <v/>
      </c>
      <c r="G1794">
        <f>F1794-E1794</f>
        <v/>
      </c>
      <c r="H1794">
        <f>IF(OR(NOT(ISNUMBER(D1794)),ABS(D1794-E1794)&gt;$O$3,AND($O$11=1,B1794&lt;$O$12)),1,0)</f>
        <v/>
      </c>
      <c r="I1794">
        <f>IF(H1794=1,NA(),D1794)</f>
        <v/>
      </c>
      <c r="J1794">
        <f>IF(AND(ISNUMBER(D1794),D1794&gt;=$O$4,OR($O$11=0,B1794&gt;=$O$12)),1,0)</f>
        <v/>
      </c>
      <c r="K1794">
        <f>B1794-$O$14</f>
        <v/>
      </c>
    </row>
    <row r="1795">
      <c r="A1795" t="n">
        <v>5379</v>
      </c>
      <c r="B1795" t="n">
        <v>179.3</v>
      </c>
      <c r="C1795" t="inlineStr">
        <is>
          <t>905</t>
        </is>
      </c>
      <c r="D1795" t="n">
        <v>9.050000000000001</v>
      </c>
      <c r="E1795">
        <f>MEDIAN(D1775:D1815)</f>
        <v/>
      </c>
      <c r="F1795">
        <f>E1775</f>
        <v/>
      </c>
      <c r="G1795">
        <f>F1795-E1795</f>
        <v/>
      </c>
      <c r="H1795">
        <f>IF(OR(NOT(ISNUMBER(D1795)),ABS(D1795-E1795)&gt;$O$3,AND($O$11=1,B1795&lt;$O$12)),1,0)</f>
        <v/>
      </c>
      <c r="I1795">
        <f>IF(H1795=1,NA(),D1795)</f>
        <v/>
      </c>
      <c r="J1795">
        <f>IF(AND(ISNUMBER(D1795),D1795&gt;=$O$4,OR($O$11=0,B1795&gt;=$O$12)),1,0)</f>
        <v/>
      </c>
      <c r="K1795">
        <f>B1795-$O$14</f>
        <v/>
      </c>
    </row>
    <row r="1796">
      <c r="A1796" t="n">
        <v>5382</v>
      </c>
      <c r="B1796" t="n">
        <v>179.4</v>
      </c>
      <c r="C1796" t="inlineStr">
        <is>
          <t>905</t>
        </is>
      </c>
      <c r="D1796" t="n">
        <v>9.050000000000001</v>
      </c>
      <c r="E1796">
        <f>MEDIAN(D1776:D1816)</f>
        <v/>
      </c>
      <c r="F1796">
        <f>E1776</f>
        <v/>
      </c>
      <c r="G1796">
        <f>F1796-E1796</f>
        <v/>
      </c>
      <c r="H1796">
        <f>IF(OR(NOT(ISNUMBER(D1796)),ABS(D1796-E1796)&gt;$O$3,AND($O$11=1,B1796&lt;$O$12)),1,0)</f>
        <v/>
      </c>
      <c r="I1796">
        <f>IF(H1796=1,NA(),D1796)</f>
        <v/>
      </c>
      <c r="J1796">
        <f>IF(AND(ISNUMBER(D1796),D1796&gt;=$O$4,OR($O$11=0,B1796&gt;=$O$12)),1,0)</f>
        <v/>
      </c>
      <c r="K1796">
        <f>B1796-$O$14</f>
        <v/>
      </c>
    </row>
    <row r="1797">
      <c r="A1797" t="n">
        <v>5385</v>
      </c>
      <c r="B1797" t="n">
        <v>179.5</v>
      </c>
      <c r="C1797" t="inlineStr">
        <is>
          <t>905</t>
        </is>
      </c>
      <c r="D1797" t="n">
        <v>9.050000000000001</v>
      </c>
      <c r="E1797">
        <f>MEDIAN(D1777:D1817)</f>
        <v/>
      </c>
      <c r="F1797">
        <f>E1777</f>
        <v/>
      </c>
      <c r="G1797">
        <f>F1797-E1797</f>
        <v/>
      </c>
      <c r="H1797">
        <f>IF(OR(NOT(ISNUMBER(D1797)),ABS(D1797-E1797)&gt;$O$3,AND($O$11=1,B1797&lt;$O$12)),1,0)</f>
        <v/>
      </c>
      <c r="I1797">
        <f>IF(H1797=1,NA(),D1797)</f>
        <v/>
      </c>
      <c r="J1797">
        <f>IF(AND(ISNUMBER(D1797),D1797&gt;=$O$4,OR($O$11=0,B1797&gt;=$O$12)),1,0)</f>
        <v/>
      </c>
      <c r="K1797">
        <f>B1797-$O$14</f>
        <v/>
      </c>
    </row>
    <row r="1798">
      <c r="A1798" t="n">
        <v>5388</v>
      </c>
      <c r="B1798" t="n">
        <v>179.6</v>
      </c>
      <c r="C1798" t="inlineStr">
        <is>
          <t>905</t>
        </is>
      </c>
      <c r="D1798" t="n">
        <v>9.050000000000001</v>
      </c>
      <c r="E1798">
        <f>MEDIAN(D1778:D1818)</f>
        <v/>
      </c>
      <c r="F1798">
        <f>E1778</f>
        <v/>
      </c>
      <c r="G1798">
        <f>F1798-E1798</f>
        <v/>
      </c>
      <c r="H1798">
        <f>IF(OR(NOT(ISNUMBER(D1798)),ABS(D1798-E1798)&gt;$O$3,AND($O$11=1,B1798&lt;$O$12)),1,0)</f>
        <v/>
      </c>
      <c r="I1798">
        <f>IF(H1798=1,NA(),D1798)</f>
        <v/>
      </c>
      <c r="J1798">
        <f>IF(AND(ISNUMBER(D1798),D1798&gt;=$O$4,OR($O$11=0,B1798&gt;=$O$12)),1,0)</f>
        <v/>
      </c>
      <c r="K1798">
        <f>B1798-$O$14</f>
        <v/>
      </c>
    </row>
    <row r="1799">
      <c r="A1799" t="n">
        <v>5391</v>
      </c>
      <c r="B1799" t="n">
        <v>179.7</v>
      </c>
      <c r="C1799" t="inlineStr">
        <is>
          <t>905</t>
        </is>
      </c>
      <c r="D1799" t="n">
        <v>9.050000000000001</v>
      </c>
      <c r="E1799">
        <f>MEDIAN(D1779:D1819)</f>
        <v/>
      </c>
      <c r="F1799">
        <f>E1779</f>
        <v/>
      </c>
      <c r="G1799">
        <f>F1799-E1799</f>
        <v/>
      </c>
      <c r="H1799">
        <f>IF(OR(NOT(ISNUMBER(D1799)),ABS(D1799-E1799)&gt;$O$3,AND($O$11=1,B1799&lt;$O$12)),1,0)</f>
        <v/>
      </c>
      <c r="I1799">
        <f>IF(H1799=1,NA(),D1799)</f>
        <v/>
      </c>
      <c r="J1799">
        <f>IF(AND(ISNUMBER(D1799),D1799&gt;=$O$4,OR($O$11=0,B1799&gt;=$O$12)),1,0)</f>
        <v/>
      </c>
      <c r="K1799">
        <f>B1799-$O$14</f>
        <v/>
      </c>
    </row>
    <row r="1800">
      <c r="A1800" t="n">
        <v>5394</v>
      </c>
      <c r="B1800" t="n">
        <v>179.8</v>
      </c>
      <c r="C1800" t="inlineStr">
        <is>
          <t>905</t>
        </is>
      </c>
      <c r="D1800" t="n">
        <v>9.050000000000001</v>
      </c>
      <c r="E1800">
        <f>MEDIAN(D1780:D1820)</f>
        <v/>
      </c>
      <c r="F1800">
        <f>E1780</f>
        <v/>
      </c>
      <c r="G1800">
        <f>F1800-E1800</f>
        <v/>
      </c>
      <c r="H1800">
        <f>IF(OR(NOT(ISNUMBER(D1800)),ABS(D1800-E1800)&gt;$O$3,AND($O$11=1,B1800&lt;$O$12)),1,0)</f>
        <v/>
      </c>
      <c r="I1800">
        <f>IF(H1800=1,NA(),D1800)</f>
        <v/>
      </c>
      <c r="J1800">
        <f>IF(AND(ISNUMBER(D1800),D1800&gt;=$O$4,OR($O$11=0,B1800&gt;=$O$12)),1,0)</f>
        <v/>
      </c>
      <c r="K1800">
        <f>B1800-$O$14</f>
        <v/>
      </c>
    </row>
    <row r="1801">
      <c r="A1801" t="n">
        <v>5397</v>
      </c>
      <c r="B1801" t="n">
        <v>179.9</v>
      </c>
      <c r="C1801" t="inlineStr">
        <is>
          <t>905</t>
        </is>
      </c>
      <c r="D1801" t="n">
        <v>9.050000000000001</v>
      </c>
      <c r="E1801">
        <f>MEDIAN(D1781:D1821)</f>
        <v/>
      </c>
      <c r="F1801">
        <f>E1781</f>
        <v/>
      </c>
      <c r="G1801">
        <f>F1801-E1801</f>
        <v/>
      </c>
      <c r="H1801">
        <f>IF(OR(NOT(ISNUMBER(D1801)),ABS(D1801-E1801)&gt;$O$3,AND($O$11=1,B1801&lt;$O$12)),1,0)</f>
        <v/>
      </c>
      <c r="I1801">
        <f>IF(H1801=1,NA(),D1801)</f>
        <v/>
      </c>
      <c r="J1801">
        <f>IF(AND(ISNUMBER(D1801),D1801&gt;=$O$4,OR($O$11=0,B1801&gt;=$O$12)),1,0)</f>
        <v/>
      </c>
      <c r="K1801">
        <f>B1801-$O$14</f>
        <v/>
      </c>
    </row>
    <row r="1802">
      <c r="A1802" t="n">
        <v>5400</v>
      </c>
      <c r="B1802" t="n">
        <v>180</v>
      </c>
      <c r="C1802" t="inlineStr">
        <is>
          <t>905</t>
        </is>
      </c>
      <c r="D1802" t="n">
        <v>9.050000000000001</v>
      </c>
      <c r="E1802">
        <f>MEDIAN(D1782:D1822)</f>
        <v/>
      </c>
      <c r="F1802">
        <f>E1782</f>
        <v/>
      </c>
      <c r="G1802">
        <f>F1802-E1802</f>
        <v/>
      </c>
      <c r="H1802">
        <f>IF(OR(NOT(ISNUMBER(D1802)),ABS(D1802-E1802)&gt;$O$3,AND($O$11=1,B1802&lt;$O$12)),1,0)</f>
        <v/>
      </c>
      <c r="I1802">
        <f>IF(H1802=1,NA(),D1802)</f>
        <v/>
      </c>
      <c r="J1802">
        <f>IF(AND(ISNUMBER(D1802),D1802&gt;=$O$4,OR($O$11=0,B1802&gt;=$O$12)),1,0)</f>
        <v/>
      </c>
      <c r="K1802">
        <f>B1802-$O$14</f>
        <v/>
      </c>
    </row>
    <row r="1803">
      <c r="A1803" t="n">
        <v>5403</v>
      </c>
      <c r="B1803" t="n">
        <v>180.1</v>
      </c>
      <c r="C1803" t="inlineStr">
        <is>
          <t>905</t>
        </is>
      </c>
      <c r="D1803" t="n">
        <v>9.050000000000001</v>
      </c>
      <c r="E1803">
        <f>MEDIAN(D1783:D1823)</f>
        <v/>
      </c>
      <c r="F1803">
        <f>E1783</f>
        <v/>
      </c>
      <c r="G1803">
        <f>F1803-E1803</f>
        <v/>
      </c>
      <c r="H1803">
        <f>IF(OR(NOT(ISNUMBER(D1803)),ABS(D1803-E1803)&gt;$O$3,AND($O$11=1,B1803&lt;$O$12)),1,0)</f>
        <v/>
      </c>
      <c r="I1803">
        <f>IF(H1803=1,NA(),D1803)</f>
        <v/>
      </c>
      <c r="J1803">
        <f>IF(AND(ISNUMBER(D1803),D1803&gt;=$O$4,OR($O$11=0,B1803&gt;=$O$12)),1,0)</f>
        <v/>
      </c>
      <c r="K1803">
        <f>B1803-$O$14</f>
        <v/>
      </c>
    </row>
    <row r="1804">
      <c r="A1804" t="n">
        <v>5406</v>
      </c>
      <c r="B1804" t="n">
        <v>180.2</v>
      </c>
      <c r="C1804" t="inlineStr">
        <is>
          <t>905</t>
        </is>
      </c>
      <c r="D1804" t="n">
        <v>9.050000000000001</v>
      </c>
      <c r="E1804">
        <f>MEDIAN(D1784:D1824)</f>
        <v/>
      </c>
      <c r="F1804">
        <f>E1784</f>
        <v/>
      </c>
      <c r="G1804">
        <f>F1804-E1804</f>
        <v/>
      </c>
      <c r="H1804">
        <f>IF(OR(NOT(ISNUMBER(D1804)),ABS(D1804-E1804)&gt;$O$3,AND($O$11=1,B1804&lt;$O$12)),1,0)</f>
        <v/>
      </c>
      <c r="I1804">
        <f>IF(H1804=1,NA(),D1804)</f>
        <v/>
      </c>
      <c r="J1804">
        <f>IF(AND(ISNUMBER(D1804),D1804&gt;=$O$4,OR($O$11=0,B1804&gt;=$O$12)),1,0)</f>
        <v/>
      </c>
      <c r="K1804">
        <f>B1804-$O$14</f>
        <v/>
      </c>
    </row>
    <row r="1805">
      <c r="A1805" t="n">
        <v>5409</v>
      </c>
      <c r="B1805" t="n">
        <v>180.3</v>
      </c>
      <c r="C1805" t="inlineStr">
        <is>
          <t>905</t>
        </is>
      </c>
      <c r="D1805" t="n">
        <v>9.050000000000001</v>
      </c>
      <c r="E1805">
        <f>MEDIAN(D1785:D1825)</f>
        <v/>
      </c>
      <c r="F1805">
        <f>E1785</f>
        <v/>
      </c>
      <c r="G1805">
        <f>F1805-E1805</f>
        <v/>
      </c>
      <c r="H1805">
        <f>IF(OR(NOT(ISNUMBER(D1805)),ABS(D1805-E1805)&gt;$O$3,AND($O$11=1,B1805&lt;$O$12)),1,0)</f>
        <v/>
      </c>
      <c r="I1805">
        <f>IF(H1805=1,NA(),D1805)</f>
        <v/>
      </c>
      <c r="J1805">
        <f>IF(AND(ISNUMBER(D1805),D1805&gt;=$O$4,OR($O$11=0,B1805&gt;=$O$12)),1,0)</f>
        <v/>
      </c>
      <c r="K1805">
        <f>B1805-$O$14</f>
        <v/>
      </c>
    </row>
    <row r="1806">
      <c r="A1806" t="n">
        <v>5412</v>
      </c>
      <c r="B1806" t="n">
        <v>180.4</v>
      </c>
      <c r="C1806" t="inlineStr">
        <is>
          <t>905</t>
        </is>
      </c>
      <c r="D1806" t="n">
        <v>9.050000000000001</v>
      </c>
      <c r="E1806">
        <f>MEDIAN(D1786:D1826)</f>
        <v/>
      </c>
      <c r="F1806">
        <f>E1786</f>
        <v/>
      </c>
      <c r="G1806">
        <f>F1806-E1806</f>
        <v/>
      </c>
      <c r="H1806">
        <f>IF(OR(NOT(ISNUMBER(D1806)),ABS(D1806-E1806)&gt;$O$3,AND($O$11=1,B1806&lt;$O$12)),1,0)</f>
        <v/>
      </c>
      <c r="I1806">
        <f>IF(H1806=1,NA(),D1806)</f>
        <v/>
      </c>
      <c r="J1806">
        <f>IF(AND(ISNUMBER(D1806),D1806&gt;=$O$4,OR($O$11=0,B1806&gt;=$O$12)),1,0)</f>
        <v/>
      </c>
      <c r="K1806">
        <f>B1806-$O$14</f>
        <v/>
      </c>
    </row>
    <row r="1807">
      <c r="A1807" t="n">
        <v>5415</v>
      </c>
      <c r="B1807" t="n">
        <v>180.5</v>
      </c>
      <c r="C1807" t="inlineStr">
        <is>
          <t>905</t>
        </is>
      </c>
      <c r="D1807" t="n">
        <v>9.050000000000001</v>
      </c>
      <c r="E1807">
        <f>MEDIAN(D1787:D1827)</f>
        <v/>
      </c>
      <c r="F1807">
        <f>E1787</f>
        <v/>
      </c>
      <c r="G1807">
        <f>F1807-E1807</f>
        <v/>
      </c>
      <c r="H1807">
        <f>IF(OR(NOT(ISNUMBER(D1807)),ABS(D1807-E1807)&gt;$O$3,AND($O$11=1,B1807&lt;$O$12)),1,0)</f>
        <v/>
      </c>
      <c r="I1807">
        <f>IF(H1807=1,NA(),D1807)</f>
        <v/>
      </c>
      <c r="J1807">
        <f>IF(AND(ISNUMBER(D1807),D1807&gt;=$O$4,OR($O$11=0,B1807&gt;=$O$12)),1,0)</f>
        <v/>
      </c>
      <c r="K1807">
        <f>B1807-$O$14</f>
        <v/>
      </c>
    </row>
    <row r="1808">
      <c r="A1808" t="n">
        <v>5418</v>
      </c>
      <c r="B1808" t="n">
        <v>180.6</v>
      </c>
      <c r="C1808" t="inlineStr">
        <is>
          <t>905</t>
        </is>
      </c>
      <c r="D1808" t="n">
        <v>9.050000000000001</v>
      </c>
      <c r="E1808">
        <f>MEDIAN(D1788:D1828)</f>
        <v/>
      </c>
      <c r="F1808">
        <f>E1788</f>
        <v/>
      </c>
      <c r="G1808">
        <f>F1808-E1808</f>
        <v/>
      </c>
      <c r="H1808">
        <f>IF(OR(NOT(ISNUMBER(D1808)),ABS(D1808-E1808)&gt;$O$3,AND($O$11=1,B1808&lt;$O$12)),1,0)</f>
        <v/>
      </c>
      <c r="I1808">
        <f>IF(H1808=1,NA(),D1808)</f>
        <v/>
      </c>
      <c r="J1808">
        <f>IF(AND(ISNUMBER(D1808),D1808&gt;=$O$4,OR($O$11=0,B1808&gt;=$O$12)),1,0)</f>
        <v/>
      </c>
      <c r="K1808">
        <f>B1808-$O$14</f>
        <v/>
      </c>
    </row>
    <row r="1809">
      <c r="A1809" t="n">
        <v>5421</v>
      </c>
      <c r="B1809" t="n">
        <v>180.7</v>
      </c>
      <c r="C1809" t="inlineStr">
        <is>
          <t>904</t>
        </is>
      </c>
      <c r="D1809" t="n">
        <v>9.039999999999999</v>
      </c>
      <c r="E1809">
        <f>MEDIAN(D1789:D1829)</f>
        <v/>
      </c>
      <c r="F1809">
        <f>E1789</f>
        <v/>
      </c>
      <c r="G1809">
        <f>F1809-E1809</f>
        <v/>
      </c>
      <c r="H1809">
        <f>IF(OR(NOT(ISNUMBER(D1809)),ABS(D1809-E1809)&gt;$O$3,AND($O$11=1,B1809&lt;$O$12)),1,0)</f>
        <v/>
      </c>
      <c r="I1809">
        <f>IF(H1809=1,NA(),D1809)</f>
        <v/>
      </c>
      <c r="J1809">
        <f>IF(AND(ISNUMBER(D1809),D1809&gt;=$O$4,OR($O$11=0,B1809&gt;=$O$12)),1,0)</f>
        <v/>
      </c>
      <c r="K1809">
        <f>B1809-$O$14</f>
        <v/>
      </c>
    </row>
    <row r="1810">
      <c r="A1810" t="n">
        <v>5424</v>
      </c>
      <c r="B1810" t="n">
        <v>180.8</v>
      </c>
      <c r="C1810" t="inlineStr">
        <is>
          <t>904</t>
        </is>
      </c>
      <c r="D1810" t="n">
        <v>9.039999999999999</v>
      </c>
      <c r="E1810">
        <f>MEDIAN(D1790:D1830)</f>
        <v/>
      </c>
      <c r="F1810">
        <f>E1790</f>
        <v/>
      </c>
      <c r="G1810">
        <f>F1810-E1810</f>
        <v/>
      </c>
      <c r="H1810">
        <f>IF(OR(NOT(ISNUMBER(D1810)),ABS(D1810-E1810)&gt;$O$3,AND($O$11=1,B1810&lt;$O$12)),1,0)</f>
        <v/>
      </c>
      <c r="I1810">
        <f>IF(H1810=1,NA(),D1810)</f>
        <v/>
      </c>
      <c r="J1810">
        <f>IF(AND(ISNUMBER(D1810),D1810&gt;=$O$4,OR($O$11=0,B1810&gt;=$O$12)),1,0)</f>
        <v/>
      </c>
      <c r="K1810">
        <f>B1810-$O$14</f>
        <v/>
      </c>
    </row>
    <row r="1811">
      <c r="A1811" t="n">
        <v>5427</v>
      </c>
      <c r="B1811" t="n">
        <v>180.9</v>
      </c>
      <c r="C1811" t="inlineStr">
        <is>
          <t>904</t>
        </is>
      </c>
      <c r="D1811" t="n">
        <v>9.039999999999999</v>
      </c>
      <c r="E1811">
        <f>MEDIAN(D1791:D1831)</f>
        <v/>
      </c>
      <c r="F1811">
        <f>E1791</f>
        <v/>
      </c>
      <c r="G1811">
        <f>F1811-E1811</f>
        <v/>
      </c>
      <c r="H1811">
        <f>IF(OR(NOT(ISNUMBER(D1811)),ABS(D1811-E1811)&gt;$O$3,AND($O$11=1,B1811&lt;$O$12)),1,0)</f>
        <v/>
      </c>
      <c r="I1811">
        <f>IF(H1811=1,NA(),D1811)</f>
        <v/>
      </c>
      <c r="J1811">
        <f>IF(AND(ISNUMBER(D1811),D1811&gt;=$O$4,OR($O$11=0,B1811&gt;=$O$12)),1,0)</f>
        <v/>
      </c>
      <c r="K1811">
        <f>B1811-$O$14</f>
        <v/>
      </c>
    </row>
    <row r="1812">
      <c r="A1812" t="n">
        <v>5430</v>
      </c>
      <c r="B1812" t="n">
        <v>181</v>
      </c>
      <c r="C1812" t="inlineStr">
        <is>
          <t>904</t>
        </is>
      </c>
      <c r="D1812" t="n">
        <v>9.039999999999999</v>
      </c>
      <c r="E1812">
        <f>MEDIAN(D1792:D1832)</f>
        <v/>
      </c>
      <c r="F1812">
        <f>E1792</f>
        <v/>
      </c>
      <c r="G1812">
        <f>F1812-E1812</f>
        <v/>
      </c>
      <c r="H1812">
        <f>IF(OR(NOT(ISNUMBER(D1812)),ABS(D1812-E1812)&gt;$O$3,AND($O$11=1,B1812&lt;$O$12)),1,0)</f>
        <v/>
      </c>
      <c r="I1812">
        <f>IF(H1812=1,NA(),D1812)</f>
        <v/>
      </c>
      <c r="J1812">
        <f>IF(AND(ISNUMBER(D1812),D1812&gt;=$O$4,OR($O$11=0,B1812&gt;=$O$12)),1,0)</f>
        <v/>
      </c>
      <c r="K1812">
        <f>B1812-$O$14</f>
        <v/>
      </c>
    </row>
    <row r="1813">
      <c r="A1813" t="n">
        <v>5433</v>
      </c>
      <c r="B1813" t="n">
        <v>181.1</v>
      </c>
      <c r="C1813" t="inlineStr">
        <is>
          <t>904</t>
        </is>
      </c>
      <c r="D1813" t="n">
        <v>9.039999999999999</v>
      </c>
      <c r="E1813">
        <f>MEDIAN(D1793:D1833)</f>
        <v/>
      </c>
      <c r="F1813">
        <f>E1793</f>
        <v/>
      </c>
      <c r="G1813">
        <f>F1813-E1813</f>
        <v/>
      </c>
      <c r="H1813">
        <f>IF(OR(NOT(ISNUMBER(D1813)),ABS(D1813-E1813)&gt;$O$3,AND($O$11=1,B1813&lt;$O$12)),1,0)</f>
        <v/>
      </c>
      <c r="I1813">
        <f>IF(H1813=1,NA(),D1813)</f>
        <v/>
      </c>
      <c r="J1813">
        <f>IF(AND(ISNUMBER(D1813),D1813&gt;=$O$4,OR($O$11=0,B1813&gt;=$O$12)),1,0)</f>
        <v/>
      </c>
      <c r="K1813">
        <f>B1813-$O$14</f>
        <v/>
      </c>
    </row>
    <row r="1814">
      <c r="A1814" t="n">
        <v>5436</v>
      </c>
      <c r="B1814" t="n">
        <v>181.2</v>
      </c>
      <c r="C1814" t="inlineStr">
        <is>
          <t>904</t>
        </is>
      </c>
      <c r="D1814" t="n">
        <v>9.039999999999999</v>
      </c>
      <c r="E1814">
        <f>MEDIAN(D1794:D1834)</f>
        <v/>
      </c>
      <c r="F1814">
        <f>E1794</f>
        <v/>
      </c>
      <c r="G1814">
        <f>F1814-E1814</f>
        <v/>
      </c>
      <c r="H1814">
        <f>IF(OR(NOT(ISNUMBER(D1814)),ABS(D1814-E1814)&gt;$O$3,AND($O$11=1,B1814&lt;$O$12)),1,0)</f>
        <v/>
      </c>
      <c r="I1814">
        <f>IF(H1814=1,NA(),D1814)</f>
        <v/>
      </c>
      <c r="J1814">
        <f>IF(AND(ISNUMBER(D1814),D1814&gt;=$O$4,OR($O$11=0,B1814&gt;=$O$12)),1,0)</f>
        <v/>
      </c>
      <c r="K1814">
        <f>B1814-$O$14</f>
        <v/>
      </c>
    </row>
    <row r="1815">
      <c r="A1815" t="n">
        <v>5439</v>
      </c>
      <c r="B1815" t="n">
        <v>181.3</v>
      </c>
      <c r="C1815" t="inlineStr">
        <is>
          <t>904</t>
        </is>
      </c>
      <c r="D1815" t="n">
        <v>9.039999999999999</v>
      </c>
      <c r="E1815">
        <f>MEDIAN(D1795:D1835)</f>
        <v/>
      </c>
      <c r="F1815">
        <f>E1795</f>
        <v/>
      </c>
      <c r="G1815">
        <f>F1815-E1815</f>
        <v/>
      </c>
      <c r="H1815">
        <f>IF(OR(NOT(ISNUMBER(D1815)),ABS(D1815-E1815)&gt;$O$3,AND($O$11=1,B1815&lt;$O$12)),1,0)</f>
        <v/>
      </c>
      <c r="I1815">
        <f>IF(H1815=1,NA(),D1815)</f>
        <v/>
      </c>
      <c r="J1815">
        <f>IF(AND(ISNUMBER(D1815),D1815&gt;=$O$4,OR($O$11=0,B1815&gt;=$O$12)),1,0)</f>
        <v/>
      </c>
      <c r="K1815">
        <f>B1815-$O$14</f>
        <v/>
      </c>
    </row>
    <row r="1816">
      <c r="A1816" t="n">
        <v>5442</v>
      </c>
      <c r="B1816" t="n">
        <v>181.4</v>
      </c>
      <c r="C1816" t="inlineStr">
        <is>
          <t>905</t>
        </is>
      </c>
      <c r="D1816" t="n">
        <v>9.050000000000001</v>
      </c>
      <c r="E1816">
        <f>MEDIAN(D1796:D1836)</f>
        <v/>
      </c>
      <c r="F1816">
        <f>E1796</f>
        <v/>
      </c>
      <c r="G1816">
        <f>F1816-E1816</f>
        <v/>
      </c>
      <c r="H1816">
        <f>IF(OR(NOT(ISNUMBER(D1816)),ABS(D1816-E1816)&gt;$O$3,AND($O$11=1,B1816&lt;$O$12)),1,0)</f>
        <v/>
      </c>
      <c r="I1816">
        <f>IF(H1816=1,NA(),D1816)</f>
        <v/>
      </c>
      <c r="J1816">
        <f>IF(AND(ISNUMBER(D1816),D1816&gt;=$O$4,OR($O$11=0,B1816&gt;=$O$12)),1,0)</f>
        <v/>
      </c>
      <c r="K1816">
        <f>B1816-$O$14</f>
        <v/>
      </c>
    </row>
    <row r="1817">
      <c r="A1817" t="n">
        <v>5445</v>
      </c>
      <c r="B1817" t="n">
        <v>181.5</v>
      </c>
      <c r="C1817" t="inlineStr">
        <is>
          <t>905</t>
        </is>
      </c>
      <c r="D1817" t="n">
        <v>9.050000000000001</v>
      </c>
      <c r="E1817">
        <f>MEDIAN(D1797:D1837)</f>
        <v/>
      </c>
      <c r="F1817">
        <f>E1797</f>
        <v/>
      </c>
      <c r="G1817">
        <f>F1817-E1817</f>
        <v/>
      </c>
      <c r="H1817">
        <f>IF(OR(NOT(ISNUMBER(D1817)),ABS(D1817-E1817)&gt;$O$3,AND($O$11=1,B1817&lt;$O$12)),1,0)</f>
        <v/>
      </c>
      <c r="I1817">
        <f>IF(H1817=1,NA(),D1817)</f>
        <v/>
      </c>
      <c r="J1817">
        <f>IF(AND(ISNUMBER(D1817),D1817&gt;=$O$4,OR($O$11=0,B1817&gt;=$O$12)),1,0)</f>
        <v/>
      </c>
      <c r="K1817">
        <f>B1817-$O$14</f>
        <v/>
      </c>
    </row>
    <row r="1818">
      <c r="A1818" t="n">
        <v>5448</v>
      </c>
      <c r="B1818" t="n">
        <v>181.6</v>
      </c>
      <c r="C1818" t="inlineStr">
        <is>
          <t>905</t>
        </is>
      </c>
      <c r="D1818" t="n">
        <v>9.050000000000001</v>
      </c>
      <c r="E1818">
        <f>MEDIAN(D1798:D1838)</f>
        <v/>
      </c>
      <c r="F1818">
        <f>E1798</f>
        <v/>
      </c>
      <c r="G1818">
        <f>F1818-E1818</f>
        <v/>
      </c>
      <c r="H1818">
        <f>IF(OR(NOT(ISNUMBER(D1818)),ABS(D1818-E1818)&gt;$O$3,AND($O$11=1,B1818&lt;$O$12)),1,0)</f>
        <v/>
      </c>
      <c r="I1818">
        <f>IF(H1818=1,NA(),D1818)</f>
        <v/>
      </c>
      <c r="J1818">
        <f>IF(AND(ISNUMBER(D1818),D1818&gt;=$O$4,OR($O$11=0,B1818&gt;=$O$12)),1,0)</f>
        <v/>
      </c>
      <c r="K1818">
        <f>B1818-$O$14</f>
        <v/>
      </c>
    </row>
    <row r="1819">
      <c r="A1819" t="n">
        <v>5451</v>
      </c>
      <c r="B1819" t="n">
        <v>181.7</v>
      </c>
      <c r="C1819" t="inlineStr">
        <is>
          <t>905</t>
        </is>
      </c>
      <c r="D1819" t="n">
        <v>9.050000000000001</v>
      </c>
      <c r="E1819">
        <f>MEDIAN(D1799:D1839)</f>
        <v/>
      </c>
      <c r="F1819">
        <f>E1799</f>
        <v/>
      </c>
      <c r="G1819">
        <f>F1819-E1819</f>
        <v/>
      </c>
      <c r="H1819">
        <f>IF(OR(NOT(ISNUMBER(D1819)),ABS(D1819-E1819)&gt;$O$3,AND($O$11=1,B1819&lt;$O$12)),1,0)</f>
        <v/>
      </c>
      <c r="I1819">
        <f>IF(H1819=1,NA(),D1819)</f>
        <v/>
      </c>
      <c r="J1819">
        <f>IF(AND(ISNUMBER(D1819),D1819&gt;=$O$4,OR($O$11=0,B1819&gt;=$O$12)),1,0)</f>
        <v/>
      </c>
      <c r="K1819">
        <f>B1819-$O$14</f>
        <v/>
      </c>
    </row>
    <row r="1820">
      <c r="A1820" t="n">
        <v>5454</v>
      </c>
      <c r="B1820" t="n">
        <v>181.8</v>
      </c>
      <c r="C1820" t="inlineStr">
        <is>
          <t>904</t>
        </is>
      </c>
      <c r="D1820" t="n">
        <v>9.039999999999999</v>
      </c>
      <c r="E1820">
        <f>MEDIAN(D1800:D1840)</f>
        <v/>
      </c>
      <c r="F1820">
        <f>E1800</f>
        <v/>
      </c>
      <c r="G1820">
        <f>F1820-E1820</f>
        <v/>
      </c>
      <c r="H1820">
        <f>IF(OR(NOT(ISNUMBER(D1820)),ABS(D1820-E1820)&gt;$O$3,AND($O$11=1,B1820&lt;$O$12)),1,0)</f>
        <v/>
      </c>
      <c r="I1820">
        <f>IF(H1820=1,NA(),D1820)</f>
        <v/>
      </c>
      <c r="J1820">
        <f>IF(AND(ISNUMBER(D1820),D1820&gt;=$O$4,OR($O$11=0,B1820&gt;=$O$12)),1,0)</f>
        <v/>
      </c>
      <c r="K1820">
        <f>B1820-$O$14</f>
        <v/>
      </c>
    </row>
    <row r="1821">
      <c r="A1821" t="n">
        <v>5457</v>
      </c>
      <c r="B1821" t="n">
        <v>181.9</v>
      </c>
      <c r="C1821" t="inlineStr">
        <is>
          <t>904</t>
        </is>
      </c>
      <c r="D1821" t="n">
        <v>9.039999999999999</v>
      </c>
      <c r="E1821">
        <f>MEDIAN(D1801:D1841)</f>
        <v/>
      </c>
      <c r="F1821">
        <f>E1801</f>
        <v/>
      </c>
      <c r="G1821">
        <f>F1821-E1821</f>
        <v/>
      </c>
      <c r="H1821">
        <f>IF(OR(NOT(ISNUMBER(D1821)),ABS(D1821-E1821)&gt;$O$3,AND($O$11=1,B1821&lt;$O$12)),1,0)</f>
        <v/>
      </c>
      <c r="I1821">
        <f>IF(H1821=1,NA(),D1821)</f>
        <v/>
      </c>
      <c r="J1821">
        <f>IF(AND(ISNUMBER(D1821),D1821&gt;=$O$4,OR($O$11=0,B1821&gt;=$O$12)),1,0)</f>
        <v/>
      </c>
      <c r="K1821">
        <f>B1821-$O$14</f>
        <v/>
      </c>
    </row>
    <row r="1822">
      <c r="A1822" t="n">
        <v>5460</v>
      </c>
      <c r="B1822" t="n">
        <v>182</v>
      </c>
      <c r="C1822" t="inlineStr">
        <is>
          <t>905</t>
        </is>
      </c>
      <c r="D1822" t="n">
        <v>9.050000000000001</v>
      </c>
      <c r="E1822">
        <f>MEDIAN(D1802:D1842)</f>
        <v/>
      </c>
      <c r="F1822">
        <f>E1802</f>
        <v/>
      </c>
      <c r="G1822">
        <f>F1822-E1822</f>
        <v/>
      </c>
      <c r="H1822">
        <f>IF(OR(NOT(ISNUMBER(D1822)),ABS(D1822-E1822)&gt;$O$3,AND($O$11=1,B1822&lt;$O$12)),1,0)</f>
        <v/>
      </c>
      <c r="I1822">
        <f>IF(H1822=1,NA(),D1822)</f>
        <v/>
      </c>
      <c r="J1822">
        <f>IF(AND(ISNUMBER(D1822),D1822&gt;=$O$4,OR($O$11=0,B1822&gt;=$O$12)),1,0)</f>
        <v/>
      </c>
      <c r="K1822">
        <f>B1822-$O$14</f>
        <v/>
      </c>
    </row>
    <row r="1823">
      <c r="A1823" t="n">
        <v>5463</v>
      </c>
      <c r="B1823" t="n">
        <v>182.1</v>
      </c>
      <c r="C1823" t="inlineStr">
        <is>
          <t>905</t>
        </is>
      </c>
      <c r="D1823" t="n">
        <v>9.050000000000001</v>
      </c>
      <c r="E1823">
        <f>MEDIAN(D1803:D1843)</f>
        <v/>
      </c>
      <c r="F1823">
        <f>E1803</f>
        <v/>
      </c>
      <c r="G1823">
        <f>F1823-E1823</f>
        <v/>
      </c>
      <c r="H1823">
        <f>IF(OR(NOT(ISNUMBER(D1823)),ABS(D1823-E1823)&gt;$O$3,AND($O$11=1,B1823&lt;$O$12)),1,0)</f>
        <v/>
      </c>
      <c r="I1823">
        <f>IF(H1823=1,NA(),D1823)</f>
        <v/>
      </c>
      <c r="J1823">
        <f>IF(AND(ISNUMBER(D1823),D1823&gt;=$O$4,OR($O$11=0,B1823&gt;=$O$12)),1,0)</f>
        <v/>
      </c>
      <c r="K1823">
        <f>B1823-$O$14</f>
        <v/>
      </c>
    </row>
    <row r="1824">
      <c r="A1824" t="n">
        <v>5466</v>
      </c>
      <c r="B1824" t="n">
        <v>182.2</v>
      </c>
      <c r="C1824" t="inlineStr">
        <is>
          <t>905</t>
        </is>
      </c>
      <c r="D1824" t="n">
        <v>9.050000000000001</v>
      </c>
      <c r="E1824">
        <f>MEDIAN(D1804:D1844)</f>
        <v/>
      </c>
      <c r="F1824">
        <f>E1804</f>
        <v/>
      </c>
      <c r="G1824">
        <f>F1824-E1824</f>
        <v/>
      </c>
      <c r="H1824">
        <f>IF(OR(NOT(ISNUMBER(D1824)),ABS(D1824-E1824)&gt;$O$3,AND($O$11=1,B1824&lt;$O$12)),1,0)</f>
        <v/>
      </c>
      <c r="I1824">
        <f>IF(H1824=1,NA(),D1824)</f>
        <v/>
      </c>
      <c r="J1824">
        <f>IF(AND(ISNUMBER(D1824),D1824&gt;=$O$4,OR($O$11=0,B1824&gt;=$O$12)),1,0)</f>
        <v/>
      </c>
      <c r="K1824">
        <f>B1824-$O$14</f>
        <v/>
      </c>
    </row>
    <row r="1825">
      <c r="A1825" t="n">
        <v>5469</v>
      </c>
      <c r="B1825" t="n">
        <v>182.3</v>
      </c>
      <c r="C1825" t="inlineStr">
        <is>
          <t>905</t>
        </is>
      </c>
      <c r="D1825" t="n">
        <v>9.050000000000001</v>
      </c>
      <c r="E1825">
        <f>MEDIAN(D1805:D1845)</f>
        <v/>
      </c>
      <c r="F1825">
        <f>E1805</f>
        <v/>
      </c>
      <c r="G1825">
        <f>F1825-E1825</f>
        <v/>
      </c>
      <c r="H1825">
        <f>IF(OR(NOT(ISNUMBER(D1825)),ABS(D1825-E1825)&gt;$O$3,AND($O$11=1,B1825&lt;$O$12)),1,0)</f>
        <v/>
      </c>
      <c r="I1825">
        <f>IF(H1825=1,NA(),D1825)</f>
        <v/>
      </c>
      <c r="J1825">
        <f>IF(AND(ISNUMBER(D1825),D1825&gt;=$O$4,OR($O$11=0,B1825&gt;=$O$12)),1,0)</f>
        <v/>
      </c>
      <c r="K1825">
        <f>B1825-$O$14</f>
        <v/>
      </c>
    </row>
    <row r="1826">
      <c r="A1826" t="n">
        <v>5472</v>
      </c>
      <c r="B1826" t="n">
        <v>182.4</v>
      </c>
      <c r="C1826" t="inlineStr">
        <is>
          <t>905</t>
        </is>
      </c>
      <c r="D1826" t="n">
        <v>9.050000000000001</v>
      </c>
      <c r="E1826">
        <f>MEDIAN(D1806:D1846)</f>
        <v/>
      </c>
      <c r="F1826">
        <f>E1806</f>
        <v/>
      </c>
      <c r="G1826">
        <f>F1826-E1826</f>
        <v/>
      </c>
      <c r="H1826">
        <f>IF(OR(NOT(ISNUMBER(D1826)),ABS(D1826-E1826)&gt;$O$3,AND($O$11=1,B1826&lt;$O$12)),1,0)</f>
        <v/>
      </c>
      <c r="I1826">
        <f>IF(H1826=1,NA(),D1826)</f>
        <v/>
      </c>
      <c r="J1826">
        <f>IF(AND(ISNUMBER(D1826),D1826&gt;=$O$4,OR($O$11=0,B1826&gt;=$O$12)),1,0)</f>
        <v/>
      </c>
      <c r="K1826">
        <f>B1826-$O$14</f>
        <v/>
      </c>
    </row>
    <row r="1827">
      <c r="A1827" t="n">
        <v>5475</v>
      </c>
      <c r="B1827" t="n">
        <v>182.5</v>
      </c>
      <c r="C1827" t="inlineStr">
        <is>
          <t>905</t>
        </is>
      </c>
      <c r="D1827" t="n">
        <v>9.050000000000001</v>
      </c>
      <c r="E1827">
        <f>MEDIAN(D1807:D1847)</f>
        <v/>
      </c>
      <c r="F1827">
        <f>E1807</f>
        <v/>
      </c>
      <c r="G1827">
        <f>F1827-E1827</f>
        <v/>
      </c>
      <c r="H1827">
        <f>IF(OR(NOT(ISNUMBER(D1827)),ABS(D1827-E1827)&gt;$O$3,AND($O$11=1,B1827&lt;$O$12)),1,0)</f>
        <v/>
      </c>
      <c r="I1827">
        <f>IF(H1827=1,NA(),D1827)</f>
        <v/>
      </c>
      <c r="J1827">
        <f>IF(AND(ISNUMBER(D1827),D1827&gt;=$O$4,OR($O$11=0,B1827&gt;=$O$12)),1,0)</f>
        <v/>
      </c>
      <c r="K1827">
        <f>B1827-$O$14</f>
        <v/>
      </c>
    </row>
    <row r="1828">
      <c r="A1828" t="n">
        <v>5478</v>
      </c>
      <c r="B1828" t="n">
        <v>182.6</v>
      </c>
      <c r="C1828" t="inlineStr">
        <is>
          <t>905</t>
        </is>
      </c>
      <c r="D1828" t="n">
        <v>9.050000000000001</v>
      </c>
      <c r="E1828">
        <f>MEDIAN(D1808:D1848)</f>
        <v/>
      </c>
      <c r="F1828">
        <f>E1808</f>
        <v/>
      </c>
      <c r="G1828">
        <f>F1828-E1828</f>
        <v/>
      </c>
      <c r="H1828">
        <f>IF(OR(NOT(ISNUMBER(D1828)),ABS(D1828-E1828)&gt;$O$3,AND($O$11=1,B1828&lt;$O$12)),1,0)</f>
        <v/>
      </c>
      <c r="I1828">
        <f>IF(H1828=1,NA(),D1828)</f>
        <v/>
      </c>
      <c r="J1828">
        <f>IF(AND(ISNUMBER(D1828),D1828&gt;=$O$4,OR($O$11=0,B1828&gt;=$O$12)),1,0)</f>
        <v/>
      </c>
      <c r="K1828">
        <f>B1828-$O$14</f>
        <v/>
      </c>
    </row>
    <row r="1829">
      <c r="A1829" t="n">
        <v>5481</v>
      </c>
      <c r="B1829" t="n">
        <v>182.7</v>
      </c>
      <c r="C1829" t="inlineStr">
        <is>
          <t>905</t>
        </is>
      </c>
      <c r="D1829" t="n">
        <v>9.050000000000001</v>
      </c>
      <c r="E1829">
        <f>MEDIAN(D1809:D1849)</f>
        <v/>
      </c>
      <c r="F1829">
        <f>E1809</f>
        <v/>
      </c>
      <c r="G1829">
        <f>F1829-E1829</f>
        <v/>
      </c>
      <c r="H1829">
        <f>IF(OR(NOT(ISNUMBER(D1829)),ABS(D1829-E1829)&gt;$O$3,AND($O$11=1,B1829&lt;$O$12)),1,0)</f>
        <v/>
      </c>
      <c r="I1829">
        <f>IF(H1829=1,NA(),D1829)</f>
        <v/>
      </c>
      <c r="J1829">
        <f>IF(AND(ISNUMBER(D1829),D1829&gt;=$O$4,OR($O$11=0,B1829&gt;=$O$12)),1,0)</f>
        <v/>
      </c>
      <c r="K1829">
        <f>B1829-$O$14</f>
        <v/>
      </c>
    </row>
    <row r="1830">
      <c r="A1830" t="n">
        <v>5484</v>
      </c>
      <c r="B1830" t="n">
        <v>182.8</v>
      </c>
      <c r="C1830" t="inlineStr">
        <is>
          <t>905</t>
        </is>
      </c>
      <c r="D1830" t="n">
        <v>9.050000000000001</v>
      </c>
      <c r="E1830">
        <f>MEDIAN(D1810:D1850)</f>
        <v/>
      </c>
      <c r="F1830">
        <f>E1810</f>
        <v/>
      </c>
      <c r="G1830">
        <f>F1830-E1830</f>
        <v/>
      </c>
      <c r="H1830">
        <f>IF(OR(NOT(ISNUMBER(D1830)),ABS(D1830-E1830)&gt;$O$3,AND($O$11=1,B1830&lt;$O$12)),1,0)</f>
        <v/>
      </c>
      <c r="I1830">
        <f>IF(H1830=1,NA(),D1830)</f>
        <v/>
      </c>
      <c r="J1830">
        <f>IF(AND(ISNUMBER(D1830),D1830&gt;=$O$4,OR($O$11=0,B1830&gt;=$O$12)),1,0)</f>
        <v/>
      </c>
      <c r="K1830">
        <f>B1830-$O$14</f>
        <v/>
      </c>
    </row>
    <row r="1831">
      <c r="A1831" t="n">
        <v>5487</v>
      </c>
      <c r="B1831" t="n">
        <v>182.9</v>
      </c>
      <c r="C1831" t="inlineStr">
        <is>
          <t>904</t>
        </is>
      </c>
      <c r="D1831" t="n">
        <v>9.039999999999999</v>
      </c>
      <c r="E1831">
        <f>MEDIAN(D1811:D1851)</f>
        <v/>
      </c>
      <c r="F1831">
        <f>E1811</f>
        <v/>
      </c>
      <c r="G1831">
        <f>F1831-E1831</f>
        <v/>
      </c>
      <c r="H1831">
        <f>IF(OR(NOT(ISNUMBER(D1831)),ABS(D1831-E1831)&gt;$O$3,AND($O$11=1,B1831&lt;$O$12)),1,0)</f>
        <v/>
      </c>
      <c r="I1831">
        <f>IF(H1831=1,NA(),D1831)</f>
        <v/>
      </c>
      <c r="J1831">
        <f>IF(AND(ISNUMBER(D1831),D1831&gt;=$O$4,OR($O$11=0,B1831&gt;=$O$12)),1,0)</f>
        <v/>
      </c>
      <c r="K1831">
        <f>B1831-$O$14</f>
        <v/>
      </c>
    </row>
    <row r="1832">
      <c r="A1832" t="n">
        <v>5490</v>
      </c>
      <c r="B1832" t="n">
        <v>183</v>
      </c>
      <c r="C1832" t="inlineStr">
        <is>
          <t>904</t>
        </is>
      </c>
      <c r="D1832" t="n">
        <v>9.039999999999999</v>
      </c>
      <c r="E1832">
        <f>MEDIAN(D1812:D1852)</f>
        <v/>
      </c>
      <c r="F1832">
        <f>E1812</f>
        <v/>
      </c>
      <c r="G1832">
        <f>F1832-E1832</f>
        <v/>
      </c>
      <c r="H1832">
        <f>IF(OR(NOT(ISNUMBER(D1832)),ABS(D1832-E1832)&gt;$O$3,AND($O$11=1,B1832&lt;$O$12)),1,0)</f>
        <v/>
      </c>
      <c r="I1832">
        <f>IF(H1832=1,NA(),D1832)</f>
        <v/>
      </c>
      <c r="J1832">
        <f>IF(AND(ISNUMBER(D1832),D1832&gt;=$O$4,OR($O$11=0,B1832&gt;=$O$12)),1,0)</f>
        <v/>
      </c>
      <c r="K1832">
        <f>B1832-$O$14</f>
        <v/>
      </c>
    </row>
    <row r="1833">
      <c r="A1833" t="n">
        <v>5493</v>
      </c>
      <c r="B1833" t="n">
        <v>183.1</v>
      </c>
      <c r="C1833" t="inlineStr">
        <is>
          <t>904</t>
        </is>
      </c>
      <c r="D1833" t="n">
        <v>9.039999999999999</v>
      </c>
      <c r="E1833">
        <f>MEDIAN(D1813:D1853)</f>
        <v/>
      </c>
      <c r="F1833">
        <f>E1813</f>
        <v/>
      </c>
      <c r="G1833">
        <f>F1833-E1833</f>
        <v/>
      </c>
      <c r="H1833">
        <f>IF(OR(NOT(ISNUMBER(D1833)),ABS(D1833-E1833)&gt;$O$3,AND($O$11=1,B1833&lt;$O$12)),1,0)</f>
        <v/>
      </c>
      <c r="I1833">
        <f>IF(H1833=1,NA(),D1833)</f>
        <v/>
      </c>
      <c r="J1833">
        <f>IF(AND(ISNUMBER(D1833),D1833&gt;=$O$4,OR($O$11=0,B1833&gt;=$O$12)),1,0)</f>
        <v/>
      </c>
      <c r="K1833">
        <f>B1833-$O$14</f>
        <v/>
      </c>
    </row>
    <row r="1834">
      <c r="A1834" t="n">
        <v>5496</v>
      </c>
      <c r="B1834" t="n">
        <v>183.2</v>
      </c>
      <c r="C1834" t="inlineStr">
        <is>
          <t>904</t>
        </is>
      </c>
      <c r="D1834" t="n">
        <v>9.039999999999999</v>
      </c>
      <c r="E1834">
        <f>MEDIAN(D1814:D1854)</f>
        <v/>
      </c>
      <c r="F1834">
        <f>E1814</f>
        <v/>
      </c>
      <c r="G1834">
        <f>F1834-E1834</f>
        <v/>
      </c>
      <c r="H1834">
        <f>IF(OR(NOT(ISNUMBER(D1834)),ABS(D1834-E1834)&gt;$O$3,AND($O$11=1,B1834&lt;$O$12)),1,0)</f>
        <v/>
      </c>
      <c r="I1834">
        <f>IF(H1834=1,NA(),D1834)</f>
        <v/>
      </c>
      <c r="J1834">
        <f>IF(AND(ISNUMBER(D1834),D1834&gt;=$O$4,OR($O$11=0,B1834&gt;=$O$12)),1,0)</f>
        <v/>
      </c>
      <c r="K1834">
        <f>B1834-$O$14</f>
        <v/>
      </c>
    </row>
    <row r="1835">
      <c r="A1835" t="n">
        <v>5499</v>
      </c>
      <c r="B1835" t="n">
        <v>183.3</v>
      </c>
      <c r="C1835" t="inlineStr">
        <is>
          <t>904</t>
        </is>
      </c>
      <c r="D1835" t="n">
        <v>9.039999999999999</v>
      </c>
      <c r="E1835">
        <f>MEDIAN(D1815:D1855)</f>
        <v/>
      </c>
      <c r="F1835">
        <f>E1815</f>
        <v/>
      </c>
      <c r="G1835">
        <f>F1835-E1835</f>
        <v/>
      </c>
      <c r="H1835">
        <f>IF(OR(NOT(ISNUMBER(D1835)),ABS(D1835-E1835)&gt;$O$3,AND($O$11=1,B1835&lt;$O$12)),1,0)</f>
        <v/>
      </c>
      <c r="I1835">
        <f>IF(H1835=1,NA(),D1835)</f>
        <v/>
      </c>
      <c r="J1835">
        <f>IF(AND(ISNUMBER(D1835),D1835&gt;=$O$4,OR($O$11=0,B1835&gt;=$O$12)),1,0)</f>
        <v/>
      </c>
      <c r="K1835">
        <f>B1835-$O$14</f>
        <v/>
      </c>
    </row>
    <row r="1836">
      <c r="A1836" t="n">
        <v>5502</v>
      </c>
      <c r="B1836" t="n">
        <v>183.4</v>
      </c>
      <c r="C1836" t="inlineStr">
        <is>
          <t>904</t>
        </is>
      </c>
      <c r="D1836" t="n">
        <v>9.039999999999999</v>
      </c>
      <c r="E1836">
        <f>MEDIAN(D1816:D1856)</f>
        <v/>
      </c>
      <c r="F1836">
        <f>E1816</f>
        <v/>
      </c>
      <c r="G1836">
        <f>F1836-E1836</f>
        <v/>
      </c>
      <c r="H1836">
        <f>IF(OR(NOT(ISNUMBER(D1836)),ABS(D1836-E1836)&gt;$O$3,AND($O$11=1,B1836&lt;$O$12)),1,0)</f>
        <v/>
      </c>
      <c r="I1836">
        <f>IF(H1836=1,NA(),D1836)</f>
        <v/>
      </c>
      <c r="J1836">
        <f>IF(AND(ISNUMBER(D1836),D1836&gt;=$O$4,OR($O$11=0,B1836&gt;=$O$12)),1,0)</f>
        <v/>
      </c>
      <c r="K1836">
        <f>B1836-$O$14</f>
        <v/>
      </c>
    </row>
    <row r="1837">
      <c r="A1837" t="n">
        <v>5505</v>
      </c>
      <c r="B1837" t="n">
        <v>183.5</v>
      </c>
      <c r="C1837" t="inlineStr">
        <is>
          <t>904</t>
        </is>
      </c>
      <c r="D1837" t="n">
        <v>9.039999999999999</v>
      </c>
      <c r="E1837">
        <f>MEDIAN(D1817:D1857)</f>
        <v/>
      </c>
      <c r="F1837">
        <f>E1817</f>
        <v/>
      </c>
      <c r="G1837">
        <f>F1837-E1837</f>
        <v/>
      </c>
      <c r="H1837">
        <f>IF(OR(NOT(ISNUMBER(D1837)),ABS(D1837-E1837)&gt;$O$3,AND($O$11=1,B1837&lt;$O$12)),1,0)</f>
        <v/>
      </c>
      <c r="I1837">
        <f>IF(H1837=1,NA(),D1837)</f>
        <v/>
      </c>
      <c r="J1837">
        <f>IF(AND(ISNUMBER(D1837),D1837&gt;=$O$4,OR($O$11=0,B1837&gt;=$O$12)),1,0)</f>
        <v/>
      </c>
      <c r="K1837">
        <f>B1837-$O$14</f>
        <v/>
      </c>
    </row>
    <row r="1838">
      <c r="A1838" t="n">
        <v>5508</v>
      </c>
      <c r="B1838" t="n">
        <v>183.6</v>
      </c>
      <c r="C1838" t="inlineStr">
        <is>
          <t>904</t>
        </is>
      </c>
      <c r="D1838" t="n">
        <v>9.039999999999999</v>
      </c>
      <c r="E1838">
        <f>MEDIAN(D1818:D1858)</f>
        <v/>
      </c>
      <c r="F1838">
        <f>E1818</f>
        <v/>
      </c>
      <c r="G1838">
        <f>F1838-E1838</f>
        <v/>
      </c>
      <c r="H1838">
        <f>IF(OR(NOT(ISNUMBER(D1838)),ABS(D1838-E1838)&gt;$O$3,AND($O$11=1,B1838&lt;$O$12)),1,0)</f>
        <v/>
      </c>
      <c r="I1838">
        <f>IF(H1838=1,NA(),D1838)</f>
        <v/>
      </c>
      <c r="J1838">
        <f>IF(AND(ISNUMBER(D1838),D1838&gt;=$O$4,OR($O$11=0,B1838&gt;=$O$12)),1,0)</f>
        <v/>
      </c>
      <c r="K1838">
        <f>B1838-$O$14</f>
        <v/>
      </c>
    </row>
    <row r="1839">
      <c r="A1839" t="n">
        <v>5511</v>
      </c>
      <c r="B1839" t="n">
        <v>183.7</v>
      </c>
      <c r="C1839" t="inlineStr">
        <is>
          <t>904</t>
        </is>
      </c>
      <c r="D1839" t="n">
        <v>9.039999999999999</v>
      </c>
      <c r="E1839">
        <f>MEDIAN(D1819:D1859)</f>
        <v/>
      </c>
      <c r="F1839">
        <f>E1819</f>
        <v/>
      </c>
      <c r="G1839">
        <f>F1839-E1839</f>
        <v/>
      </c>
      <c r="H1839">
        <f>IF(OR(NOT(ISNUMBER(D1839)),ABS(D1839-E1839)&gt;$O$3,AND($O$11=1,B1839&lt;$O$12)),1,0)</f>
        <v/>
      </c>
      <c r="I1839">
        <f>IF(H1839=1,NA(),D1839)</f>
        <v/>
      </c>
      <c r="J1839">
        <f>IF(AND(ISNUMBER(D1839),D1839&gt;=$O$4,OR($O$11=0,B1839&gt;=$O$12)),1,0)</f>
        <v/>
      </c>
      <c r="K1839">
        <f>B1839-$O$14</f>
        <v/>
      </c>
    </row>
    <row r="1840">
      <c r="A1840" t="n">
        <v>5514</v>
      </c>
      <c r="B1840" t="n">
        <v>183.8</v>
      </c>
      <c r="C1840" t="inlineStr">
        <is>
          <t>904</t>
        </is>
      </c>
      <c r="D1840" t="n">
        <v>9.039999999999999</v>
      </c>
      <c r="E1840">
        <f>MEDIAN(D1820:D1860)</f>
        <v/>
      </c>
      <c r="F1840">
        <f>E1820</f>
        <v/>
      </c>
      <c r="G1840">
        <f>F1840-E1840</f>
        <v/>
      </c>
      <c r="H1840">
        <f>IF(OR(NOT(ISNUMBER(D1840)),ABS(D1840-E1840)&gt;$O$3,AND($O$11=1,B1840&lt;$O$12)),1,0)</f>
        <v/>
      </c>
      <c r="I1840">
        <f>IF(H1840=1,NA(),D1840)</f>
        <v/>
      </c>
      <c r="J1840">
        <f>IF(AND(ISNUMBER(D1840),D1840&gt;=$O$4,OR($O$11=0,B1840&gt;=$O$12)),1,0)</f>
        <v/>
      </c>
      <c r="K1840">
        <f>B1840-$O$14</f>
        <v/>
      </c>
    </row>
    <row r="1841">
      <c r="A1841" t="n">
        <v>5517</v>
      </c>
      <c r="B1841" t="n">
        <v>183.9</v>
      </c>
      <c r="C1841" t="inlineStr">
        <is>
          <t>904</t>
        </is>
      </c>
      <c r="D1841" t="n">
        <v>9.039999999999999</v>
      </c>
      <c r="E1841">
        <f>MEDIAN(D1821:D1861)</f>
        <v/>
      </c>
      <c r="F1841">
        <f>E1821</f>
        <v/>
      </c>
      <c r="G1841">
        <f>F1841-E1841</f>
        <v/>
      </c>
      <c r="H1841">
        <f>IF(OR(NOT(ISNUMBER(D1841)),ABS(D1841-E1841)&gt;$O$3,AND($O$11=1,B1841&lt;$O$12)),1,0)</f>
        <v/>
      </c>
      <c r="I1841">
        <f>IF(H1841=1,NA(),D1841)</f>
        <v/>
      </c>
      <c r="J1841">
        <f>IF(AND(ISNUMBER(D1841),D1841&gt;=$O$4,OR($O$11=0,B1841&gt;=$O$12)),1,0)</f>
        <v/>
      </c>
      <c r="K1841">
        <f>B1841-$O$14</f>
        <v/>
      </c>
    </row>
    <row r="1842">
      <c r="A1842" t="n">
        <v>5520</v>
      </c>
      <c r="B1842" t="n">
        <v>184</v>
      </c>
      <c r="C1842" t="inlineStr">
        <is>
          <t>904</t>
        </is>
      </c>
      <c r="D1842" t="n">
        <v>9.039999999999999</v>
      </c>
      <c r="E1842">
        <f>MEDIAN(D1822:D1862)</f>
        <v/>
      </c>
      <c r="F1842">
        <f>E1822</f>
        <v/>
      </c>
      <c r="G1842">
        <f>F1842-E1842</f>
        <v/>
      </c>
      <c r="H1842">
        <f>IF(OR(NOT(ISNUMBER(D1842)),ABS(D1842-E1842)&gt;$O$3,AND($O$11=1,B1842&lt;$O$12)),1,0)</f>
        <v/>
      </c>
      <c r="I1842">
        <f>IF(H1842=1,NA(),D1842)</f>
        <v/>
      </c>
      <c r="J1842">
        <f>IF(AND(ISNUMBER(D1842),D1842&gt;=$O$4,OR($O$11=0,B1842&gt;=$O$12)),1,0)</f>
        <v/>
      </c>
      <c r="K1842">
        <f>B1842-$O$14</f>
        <v/>
      </c>
    </row>
    <row r="1843">
      <c r="A1843" t="n">
        <v>5523</v>
      </c>
      <c r="B1843" t="n">
        <v>184.1</v>
      </c>
      <c r="C1843" t="inlineStr">
        <is>
          <t>904</t>
        </is>
      </c>
      <c r="D1843" t="n">
        <v>9.039999999999999</v>
      </c>
      <c r="E1843">
        <f>MEDIAN(D1823:D1863)</f>
        <v/>
      </c>
      <c r="F1843">
        <f>E1823</f>
        <v/>
      </c>
      <c r="G1843">
        <f>F1843-E1843</f>
        <v/>
      </c>
      <c r="H1843">
        <f>IF(OR(NOT(ISNUMBER(D1843)),ABS(D1843-E1843)&gt;$O$3,AND($O$11=1,B1843&lt;$O$12)),1,0)</f>
        <v/>
      </c>
      <c r="I1843">
        <f>IF(H1843=1,NA(),D1843)</f>
        <v/>
      </c>
      <c r="J1843">
        <f>IF(AND(ISNUMBER(D1843),D1843&gt;=$O$4,OR($O$11=0,B1843&gt;=$O$12)),1,0)</f>
        <v/>
      </c>
      <c r="K1843">
        <f>B1843-$O$14</f>
        <v/>
      </c>
    </row>
    <row r="1844">
      <c r="A1844" t="n">
        <v>5526</v>
      </c>
      <c r="B1844" t="n">
        <v>184.2</v>
      </c>
      <c r="C1844" t="inlineStr">
        <is>
          <t>904</t>
        </is>
      </c>
      <c r="D1844" t="n">
        <v>9.039999999999999</v>
      </c>
      <c r="E1844">
        <f>MEDIAN(D1824:D1864)</f>
        <v/>
      </c>
      <c r="F1844">
        <f>E1824</f>
        <v/>
      </c>
      <c r="G1844">
        <f>F1844-E1844</f>
        <v/>
      </c>
      <c r="H1844">
        <f>IF(OR(NOT(ISNUMBER(D1844)),ABS(D1844-E1844)&gt;$O$3,AND($O$11=1,B1844&lt;$O$12)),1,0)</f>
        <v/>
      </c>
      <c r="I1844">
        <f>IF(H1844=1,NA(),D1844)</f>
        <v/>
      </c>
      <c r="J1844">
        <f>IF(AND(ISNUMBER(D1844),D1844&gt;=$O$4,OR($O$11=0,B1844&gt;=$O$12)),1,0)</f>
        <v/>
      </c>
      <c r="K1844">
        <f>B1844-$O$14</f>
        <v/>
      </c>
    </row>
    <row r="1845">
      <c r="A1845" t="n">
        <v>5529</v>
      </c>
      <c r="B1845" t="n">
        <v>184.3</v>
      </c>
      <c r="C1845" t="inlineStr">
        <is>
          <t>904</t>
        </is>
      </c>
      <c r="D1845" t="n">
        <v>9.039999999999999</v>
      </c>
      <c r="E1845">
        <f>MEDIAN(D1825:D1865)</f>
        <v/>
      </c>
      <c r="F1845">
        <f>E1825</f>
        <v/>
      </c>
      <c r="G1845">
        <f>F1845-E1845</f>
        <v/>
      </c>
      <c r="H1845">
        <f>IF(OR(NOT(ISNUMBER(D1845)),ABS(D1845-E1845)&gt;$O$3,AND($O$11=1,B1845&lt;$O$12)),1,0)</f>
        <v/>
      </c>
      <c r="I1845">
        <f>IF(H1845=1,NA(),D1845)</f>
        <v/>
      </c>
      <c r="J1845">
        <f>IF(AND(ISNUMBER(D1845),D1845&gt;=$O$4,OR($O$11=0,B1845&gt;=$O$12)),1,0)</f>
        <v/>
      </c>
      <c r="K1845">
        <f>B1845-$O$14</f>
        <v/>
      </c>
    </row>
    <row r="1846">
      <c r="A1846" t="n">
        <v>5532</v>
      </c>
      <c r="B1846" t="n">
        <v>184.4</v>
      </c>
      <c r="C1846" t="inlineStr">
        <is>
          <t>904</t>
        </is>
      </c>
      <c r="D1846" t="n">
        <v>9.039999999999999</v>
      </c>
      <c r="E1846">
        <f>MEDIAN(D1826:D1866)</f>
        <v/>
      </c>
      <c r="F1846">
        <f>E1826</f>
        <v/>
      </c>
      <c r="G1846">
        <f>F1846-E1846</f>
        <v/>
      </c>
      <c r="H1846">
        <f>IF(OR(NOT(ISNUMBER(D1846)),ABS(D1846-E1846)&gt;$O$3,AND($O$11=1,B1846&lt;$O$12)),1,0)</f>
        <v/>
      </c>
      <c r="I1846">
        <f>IF(H1846=1,NA(),D1846)</f>
        <v/>
      </c>
      <c r="J1846">
        <f>IF(AND(ISNUMBER(D1846),D1846&gt;=$O$4,OR($O$11=0,B1846&gt;=$O$12)),1,0)</f>
        <v/>
      </c>
      <c r="K1846">
        <f>B1846-$O$14</f>
        <v/>
      </c>
    </row>
    <row r="1847">
      <c r="A1847" t="n">
        <v>5535</v>
      </c>
      <c r="B1847" t="n">
        <v>184.5</v>
      </c>
      <c r="C1847" t="inlineStr">
        <is>
          <t>904</t>
        </is>
      </c>
      <c r="D1847" t="n">
        <v>9.039999999999999</v>
      </c>
      <c r="E1847">
        <f>MEDIAN(D1827:D1867)</f>
        <v/>
      </c>
      <c r="F1847">
        <f>E1827</f>
        <v/>
      </c>
      <c r="G1847">
        <f>F1847-E1847</f>
        <v/>
      </c>
      <c r="H1847">
        <f>IF(OR(NOT(ISNUMBER(D1847)),ABS(D1847-E1847)&gt;$O$3,AND($O$11=1,B1847&lt;$O$12)),1,0)</f>
        <v/>
      </c>
      <c r="I1847">
        <f>IF(H1847=1,NA(),D1847)</f>
        <v/>
      </c>
      <c r="J1847">
        <f>IF(AND(ISNUMBER(D1847),D1847&gt;=$O$4,OR($O$11=0,B1847&gt;=$O$12)),1,0)</f>
        <v/>
      </c>
      <c r="K1847">
        <f>B1847-$O$14</f>
        <v/>
      </c>
    </row>
    <row r="1848">
      <c r="A1848" t="n">
        <v>5538</v>
      </c>
      <c r="B1848" t="n">
        <v>184.6</v>
      </c>
      <c r="C1848" t="inlineStr">
        <is>
          <t>904</t>
        </is>
      </c>
      <c r="D1848" t="n">
        <v>9.039999999999999</v>
      </c>
      <c r="E1848">
        <f>MEDIAN(D1828:D1868)</f>
        <v/>
      </c>
      <c r="F1848">
        <f>E1828</f>
        <v/>
      </c>
      <c r="G1848">
        <f>F1848-E1848</f>
        <v/>
      </c>
      <c r="H1848">
        <f>IF(OR(NOT(ISNUMBER(D1848)),ABS(D1848-E1848)&gt;$O$3,AND($O$11=1,B1848&lt;$O$12)),1,0)</f>
        <v/>
      </c>
      <c r="I1848">
        <f>IF(H1848=1,NA(),D1848)</f>
        <v/>
      </c>
      <c r="J1848">
        <f>IF(AND(ISNUMBER(D1848),D1848&gt;=$O$4,OR($O$11=0,B1848&gt;=$O$12)),1,0)</f>
        <v/>
      </c>
      <c r="K1848">
        <f>B1848-$O$14</f>
        <v/>
      </c>
    </row>
    <row r="1849">
      <c r="A1849" t="n">
        <v>5541</v>
      </c>
      <c r="B1849" t="n">
        <v>184.7</v>
      </c>
      <c r="C1849" t="inlineStr">
        <is>
          <t>904</t>
        </is>
      </c>
      <c r="D1849" t="n">
        <v>9.039999999999999</v>
      </c>
      <c r="E1849">
        <f>MEDIAN(D1829:D1869)</f>
        <v/>
      </c>
      <c r="F1849">
        <f>E1829</f>
        <v/>
      </c>
      <c r="G1849">
        <f>F1849-E1849</f>
        <v/>
      </c>
      <c r="H1849">
        <f>IF(OR(NOT(ISNUMBER(D1849)),ABS(D1849-E1849)&gt;$O$3,AND($O$11=1,B1849&lt;$O$12)),1,0)</f>
        <v/>
      </c>
      <c r="I1849">
        <f>IF(H1849=1,NA(),D1849)</f>
        <v/>
      </c>
      <c r="J1849">
        <f>IF(AND(ISNUMBER(D1849),D1849&gt;=$O$4,OR($O$11=0,B1849&gt;=$O$12)),1,0)</f>
        <v/>
      </c>
      <c r="K1849">
        <f>B1849-$O$14</f>
        <v/>
      </c>
    </row>
    <row r="1850">
      <c r="A1850" t="n">
        <v>5544</v>
      </c>
      <c r="B1850" t="n">
        <v>184.8</v>
      </c>
      <c r="C1850" t="inlineStr">
        <is>
          <t>904</t>
        </is>
      </c>
      <c r="D1850" t="n">
        <v>9.039999999999999</v>
      </c>
      <c r="E1850">
        <f>MEDIAN(D1830:D1870)</f>
        <v/>
      </c>
      <c r="F1850">
        <f>E1830</f>
        <v/>
      </c>
      <c r="G1850">
        <f>F1850-E1850</f>
        <v/>
      </c>
      <c r="H1850">
        <f>IF(OR(NOT(ISNUMBER(D1850)),ABS(D1850-E1850)&gt;$O$3,AND($O$11=1,B1850&lt;$O$12)),1,0)</f>
        <v/>
      </c>
      <c r="I1850">
        <f>IF(H1850=1,NA(),D1850)</f>
        <v/>
      </c>
      <c r="J1850">
        <f>IF(AND(ISNUMBER(D1850),D1850&gt;=$O$4,OR($O$11=0,B1850&gt;=$O$12)),1,0)</f>
        <v/>
      </c>
      <c r="K1850">
        <f>B1850-$O$14</f>
        <v/>
      </c>
    </row>
    <row r="1851">
      <c r="A1851" t="n">
        <v>5547</v>
      </c>
      <c r="B1851" t="n">
        <v>184.9</v>
      </c>
      <c r="C1851" t="inlineStr">
        <is>
          <t>904</t>
        </is>
      </c>
      <c r="D1851" t="n">
        <v>9.039999999999999</v>
      </c>
      <c r="E1851">
        <f>MEDIAN(D1831:D1871)</f>
        <v/>
      </c>
      <c r="F1851">
        <f>E1831</f>
        <v/>
      </c>
      <c r="G1851">
        <f>F1851-E1851</f>
        <v/>
      </c>
      <c r="H1851">
        <f>IF(OR(NOT(ISNUMBER(D1851)),ABS(D1851-E1851)&gt;$O$3,AND($O$11=1,B1851&lt;$O$12)),1,0)</f>
        <v/>
      </c>
      <c r="I1851">
        <f>IF(H1851=1,NA(),D1851)</f>
        <v/>
      </c>
      <c r="J1851">
        <f>IF(AND(ISNUMBER(D1851),D1851&gt;=$O$4,OR($O$11=0,B1851&gt;=$O$12)),1,0)</f>
        <v/>
      </c>
      <c r="K1851">
        <f>B1851-$O$14</f>
        <v/>
      </c>
    </row>
    <row r="1852">
      <c r="A1852" t="n">
        <v>5550</v>
      </c>
      <c r="B1852" t="n">
        <v>185</v>
      </c>
      <c r="C1852" t="inlineStr">
        <is>
          <t>904</t>
        </is>
      </c>
      <c r="D1852" t="n">
        <v>9.039999999999999</v>
      </c>
      <c r="E1852">
        <f>MEDIAN(D1832:D1872)</f>
        <v/>
      </c>
      <c r="F1852">
        <f>E1832</f>
        <v/>
      </c>
      <c r="G1852">
        <f>F1852-E1852</f>
        <v/>
      </c>
      <c r="H1852">
        <f>IF(OR(NOT(ISNUMBER(D1852)),ABS(D1852-E1852)&gt;$O$3,AND($O$11=1,B1852&lt;$O$12)),1,0)</f>
        <v/>
      </c>
      <c r="I1852">
        <f>IF(H1852=1,NA(),D1852)</f>
        <v/>
      </c>
      <c r="J1852">
        <f>IF(AND(ISNUMBER(D1852),D1852&gt;=$O$4,OR($O$11=0,B1852&gt;=$O$12)),1,0)</f>
        <v/>
      </c>
      <c r="K1852">
        <f>B1852-$O$14</f>
        <v/>
      </c>
    </row>
    <row r="1853">
      <c r="A1853" t="n">
        <v>5553</v>
      </c>
      <c r="B1853" t="n">
        <v>185.1</v>
      </c>
      <c r="C1853" t="inlineStr">
        <is>
          <t>904</t>
        </is>
      </c>
      <c r="D1853" t="n">
        <v>9.039999999999999</v>
      </c>
      <c r="E1853">
        <f>MEDIAN(D1833:D1873)</f>
        <v/>
      </c>
      <c r="F1853">
        <f>E1833</f>
        <v/>
      </c>
      <c r="G1853">
        <f>F1853-E1853</f>
        <v/>
      </c>
      <c r="H1853">
        <f>IF(OR(NOT(ISNUMBER(D1853)),ABS(D1853-E1853)&gt;$O$3,AND($O$11=1,B1853&lt;$O$12)),1,0)</f>
        <v/>
      </c>
      <c r="I1853">
        <f>IF(H1853=1,NA(),D1853)</f>
        <v/>
      </c>
      <c r="J1853">
        <f>IF(AND(ISNUMBER(D1853),D1853&gt;=$O$4,OR($O$11=0,B1853&gt;=$O$12)),1,0)</f>
        <v/>
      </c>
      <c r="K1853">
        <f>B1853-$O$14</f>
        <v/>
      </c>
    </row>
    <row r="1854">
      <c r="A1854" t="n">
        <v>5556</v>
      </c>
      <c r="B1854" t="n">
        <v>185.2</v>
      </c>
      <c r="C1854" t="inlineStr">
        <is>
          <t>904</t>
        </is>
      </c>
      <c r="D1854" t="n">
        <v>9.039999999999999</v>
      </c>
      <c r="E1854">
        <f>MEDIAN(D1834:D1874)</f>
        <v/>
      </c>
      <c r="F1854">
        <f>E1834</f>
        <v/>
      </c>
      <c r="G1854">
        <f>F1854-E1854</f>
        <v/>
      </c>
      <c r="H1854">
        <f>IF(OR(NOT(ISNUMBER(D1854)),ABS(D1854-E1854)&gt;$O$3,AND($O$11=1,B1854&lt;$O$12)),1,0)</f>
        <v/>
      </c>
      <c r="I1854">
        <f>IF(H1854=1,NA(),D1854)</f>
        <v/>
      </c>
      <c r="J1854">
        <f>IF(AND(ISNUMBER(D1854),D1854&gt;=$O$4,OR($O$11=0,B1854&gt;=$O$12)),1,0)</f>
        <v/>
      </c>
      <c r="K1854">
        <f>B1854-$O$14</f>
        <v/>
      </c>
    </row>
    <row r="1855">
      <c r="A1855" t="n">
        <v>5559</v>
      </c>
      <c r="B1855" t="n">
        <v>185.3</v>
      </c>
      <c r="C1855" t="inlineStr">
        <is>
          <t>904</t>
        </is>
      </c>
      <c r="D1855" t="n">
        <v>9.039999999999999</v>
      </c>
      <c r="E1855">
        <f>MEDIAN(D1835:D1875)</f>
        <v/>
      </c>
      <c r="F1855">
        <f>E1835</f>
        <v/>
      </c>
      <c r="G1855">
        <f>F1855-E1855</f>
        <v/>
      </c>
      <c r="H1855">
        <f>IF(OR(NOT(ISNUMBER(D1855)),ABS(D1855-E1855)&gt;$O$3,AND($O$11=1,B1855&lt;$O$12)),1,0)</f>
        <v/>
      </c>
      <c r="I1855">
        <f>IF(H1855=1,NA(),D1855)</f>
        <v/>
      </c>
      <c r="J1855">
        <f>IF(AND(ISNUMBER(D1855),D1855&gt;=$O$4,OR($O$11=0,B1855&gt;=$O$12)),1,0)</f>
        <v/>
      </c>
      <c r="K1855">
        <f>B1855-$O$14</f>
        <v/>
      </c>
    </row>
    <row r="1856">
      <c r="A1856" t="n">
        <v>5562</v>
      </c>
      <c r="B1856" t="n">
        <v>185.4</v>
      </c>
      <c r="C1856" t="inlineStr">
        <is>
          <t>904</t>
        </is>
      </c>
      <c r="D1856" t="n">
        <v>9.039999999999999</v>
      </c>
      <c r="E1856">
        <f>MEDIAN(D1836:D1876)</f>
        <v/>
      </c>
      <c r="F1856">
        <f>E1836</f>
        <v/>
      </c>
      <c r="G1856">
        <f>F1856-E1856</f>
        <v/>
      </c>
      <c r="H1856">
        <f>IF(OR(NOT(ISNUMBER(D1856)),ABS(D1856-E1856)&gt;$O$3,AND($O$11=1,B1856&lt;$O$12)),1,0)</f>
        <v/>
      </c>
      <c r="I1856">
        <f>IF(H1856=1,NA(),D1856)</f>
        <v/>
      </c>
      <c r="J1856">
        <f>IF(AND(ISNUMBER(D1856),D1856&gt;=$O$4,OR($O$11=0,B1856&gt;=$O$12)),1,0)</f>
        <v/>
      </c>
      <c r="K1856">
        <f>B1856-$O$14</f>
        <v/>
      </c>
    </row>
    <row r="1857">
      <c r="A1857" t="n">
        <v>5565</v>
      </c>
      <c r="B1857" t="n">
        <v>185.5</v>
      </c>
      <c r="C1857" t="inlineStr">
        <is>
          <t>904</t>
        </is>
      </c>
      <c r="D1857" t="n">
        <v>9.039999999999999</v>
      </c>
      <c r="E1857">
        <f>MEDIAN(D1837:D1877)</f>
        <v/>
      </c>
      <c r="F1857">
        <f>E1837</f>
        <v/>
      </c>
      <c r="G1857">
        <f>F1857-E1857</f>
        <v/>
      </c>
      <c r="H1857">
        <f>IF(OR(NOT(ISNUMBER(D1857)),ABS(D1857-E1857)&gt;$O$3,AND($O$11=1,B1857&lt;$O$12)),1,0)</f>
        <v/>
      </c>
      <c r="I1857">
        <f>IF(H1857=1,NA(),D1857)</f>
        <v/>
      </c>
      <c r="J1857">
        <f>IF(AND(ISNUMBER(D1857),D1857&gt;=$O$4,OR($O$11=0,B1857&gt;=$O$12)),1,0)</f>
        <v/>
      </c>
      <c r="K1857">
        <f>B1857-$O$14</f>
        <v/>
      </c>
    </row>
    <row r="1858">
      <c r="A1858" t="n">
        <v>5568</v>
      </c>
      <c r="B1858" t="n">
        <v>185.6</v>
      </c>
      <c r="C1858" t="inlineStr">
        <is>
          <t>904</t>
        </is>
      </c>
      <c r="D1858" t="n">
        <v>9.039999999999999</v>
      </c>
      <c r="E1858">
        <f>MEDIAN(D1838:D1878)</f>
        <v/>
      </c>
      <c r="F1858">
        <f>E1838</f>
        <v/>
      </c>
      <c r="G1858">
        <f>F1858-E1858</f>
        <v/>
      </c>
      <c r="H1858">
        <f>IF(OR(NOT(ISNUMBER(D1858)),ABS(D1858-E1858)&gt;$O$3,AND($O$11=1,B1858&lt;$O$12)),1,0)</f>
        <v/>
      </c>
      <c r="I1858">
        <f>IF(H1858=1,NA(),D1858)</f>
        <v/>
      </c>
      <c r="J1858">
        <f>IF(AND(ISNUMBER(D1858),D1858&gt;=$O$4,OR($O$11=0,B1858&gt;=$O$12)),1,0)</f>
        <v/>
      </c>
      <c r="K1858">
        <f>B1858-$O$14</f>
        <v/>
      </c>
    </row>
    <row r="1859">
      <c r="A1859" t="n">
        <v>5571</v>
      </c>
      <c r="B1859" t="n">
        <v>185.7</v>
      </c>
      <c r="C1859" t="inlineStr">
        <is>
          <t>904</t>
        </is>
      </c>
      <c r="D1859" t="n">
        <v>9.039999999999999</v>
      </c>
      <c r="E1859">
        <f>MEDIAN(D1839:D1879)</f>
        <v/>
      </c>
      <c r="F1859">
        <f>E1839</f>
        <v/>
      </c>
      <c r="G1859">
        <f>F1859-E1859</f>
        <v/>
      </c>
      <c r="H1859">
        <f>IF(OR(NOT(ISNUMBER(D1859)),ABS(D1859-E1859)&gt;$O$3,AND($O$11=1,B1859&lt;$O$12)),1,0)</f>
        <v/>
      </c>
      <c r="I1859">
        <f>IF(H1859=1,NA(),D1859)</f>
        <v/>
      </c>
      <c r="J1859">
        <f>IF(AND(ISNUMBER(D1859),D1859&gt;=$O$4,OR($O$11=0,B1859&gt;=$O$12)),1,0)</f>
        <v/>
      </c>
      <c r="K1859">
        <f>B1859-$O$14</f>
        <v/>
      </c>
    </row>
    <row r="1860">
      <c r="A1860" t="n">
        <v>5574</v>
      </c>
      <c r="B1860" t="n">
        <v>185.8</v>
      </c>
      <c r="C1860" t="inlineStr">
        <is>
          <t>904</t>
        </is>
      </c>
      <c r="D1860" t="n">
        <v>9.039999999999999</v>
      </c>
      <c r="E1860">
        <f>MEDIAN(D1840:D1880)</f>
        <v/>
      </c>
      <c r="F1860">
        <f>E1840</f>
        <v/>
      </c>
      <c r="G1860">
        <f>F1860-E1860</f>
        <v/>
      </c>
      <c r="H1860">
        <f>IF(OR(NOT(ISNUMBER(D1860)),ABS(D1860-E1860)&gt;$O$3,AND($O$11=1,B1860&lt;$O$12)),1,0)</f>
        <v/>
      </c>
      <c r="I1860">
        <f>IF(H1860=1,NA(),D1860)</f>
        <v/>
      </c>
      <c r="J1860">
        <f>IF(AND(ISNUMBER(D1860),D1860&gt;=$O$4,OR($O$11=0,B1860&gt;=$O$12)),1,0)</f>
        <v/>
      </c>
      <c r="K1860">
        <f>B1860-$O$14</f>
        <v/>
      </c>
    </row>
    <row r="1861">
      <c r="A1861" t="n">
        <v>5577</v>
      </c>
      <c r="B1861" t="n">
        <v>185.9</v>
      </c>
      <c r="C1861" t="inlineStr">
        <is>
          <t>904</t>
        </is>
      </c>
      <c r="D1861" t="n">
        <v>9.039999999999999</v>
      </c>
      <c r="E1861">
        <f>MEDIAN(D1841:D1881)</f>
        <v/>
      </c>
      <c r="F1861">
        <f>E1841</f>
        <v/>
      </c>
      <c r="G1861">
        <f>F1861-E1861</f>
        <v/>
      </c>
      <c r="H1861">
        <f>IF(OR(NOT(ISNUMBER(D1861)),ABS(D1861-E1861)&gt;$O$3,AND($O$11=1,B1861&lt;$O$12)),1,0)</f>
        <v/>
      </c>
      <c r="I1861">
        <f>IF(H1861=1,NA(),D1861)</f>
        <v/>
      </c>
      <c r="J1861">
        <f>IF(AND(ISNUMBER(D1861),D1861&gt;=$O$4,OR($O$11=0,B1861&gt;=$O$12)),1,0)</f>
        <v/>
      </c>
      <c r="K1861">
        <f>B1861-$O$14</f>
        <v/>
      </c>
    </row>
    <row r="1862">
      <c r="A1862" t="n">
        <v>5580</v>
      </c>
      <c r="B1862" t="n">
        <v>186</v>
      </c>
      <c r="C1862" t="inlineStr">
        <is>
          <t>904</t>
        </is>
      </c>
      <c r="D1862" t="n">
        <v>9.039999999999999</v>
      </c>
      <c r="E1862">
        <f>MEDIAN(D1842:D1882)</f>
        <v/>
      </c>
      <c r="F1862">
        <f>E1842</f>
        <v/>
      </c>
      <c r="G1862">
        <f>F1862-E1862</f>
        <v/>
      </c>
      <c r="H1862">
        <f>IF(OR(NOT(ISNUMBER(D1862)),ABS(D1862-E1862)&gt;$O$3,AND($O$11=1,B1862&lt;$O$12)),1,0)</f>
        <v/>
      </c>
      <c r="I1862">
        <f>IF(H1862=1,NA(),D1862)</f>
        <v/>
      </c>
      <c r="J1862">
        <f>IF(AND(ISNUMBER(D1862),D1862&gt;=$O$4,OR($O$11=0,B1862&gt;=$O$12)),1,0)</f>
        <v/>
      </c>
      <c r="K1862">
        <f>B1862-$O$14</f>
        <v/>
      </c>
    </row>
    <row r="1863">
      <c r="A1863" t="n">
        <v>5583</v>
      </c>
      <c r="B1863" t="n">
        <v>186.1</v>
      </c>
      <c r="C1863" t="inlineStr">
        <is>
          <t>904</t>
        </is>
      </c>
      <c r="D1863" t="n">
        <v>9.039999999999999</v>
      </c>
      <c r="E1863">
        <f>MEDIAN(D1843:D1883)</f>
        <v/>
      </c>
      <c r="F1863">
        <f>E1843</f>
        <v/>
      </c>
      <c r="G1863">
        <f>F1863-E1863</f>
        <v/>
      </c>
      <c r="H1863">
        <f>IF(OR(NOT(ISNUMBER(D1863)),ABS(D1863-E1863)&gt;$O$3,AND($O$11=1,B1863&lt;$O$12)),1,0)</f>
        <v/>
      </c>
      <c r="I1863">
        <f>IF(H1863=1,NA(),D1863)</f>
        <v/>
      </c>
      <c r="J1863">
        <f>IF(AND(ISNUMBER(D1863),D1863&gt;=$O$4,OR($O$11=0,B1863&gt;=$O$12)),1,0)</f>
        <v/>
      </c>
      <c r="K1863">
        <f>B1863-$O$14</f>
        <v/>
      </c>
    </row>
    <row r="1864">
      <c r="A1864" t="n">
        <v>5586</v>
      </c>
      <c r="B1864" t="n">
        <v>186.2</v>
      </c>
      <c r="C1864" t="inlineStr">
        <is>
          <t>904</t>
        </is>
      </c>
      <c r="D1864" t="n">
        <v>9.039999999999999</v>
      </c>
      <c r="E1864">
        <f>MEDIAN(D1844:D1884)</f>
        <v/>
      </c>
      <c r="F1864">
        <f>E1844</f>
        <v/>
      </c>
      <c r="G1864">
        <f>F1864-E1864</f>
        <v/>
      </c>
      <c r="H1864">
        <f>IF(OR(NOT(ISNUMBER(D1864)),ABS(D1864-E1864)&gt;$O$3,AND($O$11=1,B1864&lt;$O$12)),1,0)</f>
        <v/>
      </c>
      <c r="I1864">
        <f>IF(H1864=1,NA(),D1864)</f>
        <v/>
      </c>
      <c r="J1864">
        <f>IF(AND(ISNUMBER(D1864),D1864&gt;=$O$4,OR($O$11=0,B1864&gt;=$O$12)),1,0)</f>
        <v/>
      </c>
      <c r="K1864">
        <f>B1864-$O$14</f>
        <v/>
      </c>
    </row>
    <row r="1865">
      <c r="A1865" t="n">
        <v>5589</v>
      </c>
      <c r="B1865" t="n">
        <v>186.3</v>
      </c>
      <c r="C1865" t="inlineStr">
        <is>
          <t>904</t>
        </is>
      </c>
      <c r="D1865" t="n">
        <v>9.039999999999999</v>
      </c>
      <c r="E1865">
        <f>MEDIAN(D1845:D1885)</f>
        <v/>
      </c>
      <c r="F1865">
        <f>E1845</f>
        <v/>
      </c>
      <c r="G1865">
        <f>F1865-E1865</f>
        <v/>
      </c>
      <c r="H1865">
        <f>IF(OR(NOT(ISNUMBER(D1865)),ABS(D1865-E1865)&gt;$O$3,AND($O$11=1,B1865&lt;$O$12)),1,0)</f>
        <v/>
      </c>
      <c r="I1865">
        <f>IF(H1865=1,NA(),D1865)</f>
        <v/>
      </c>
      <c r="J1865">
        <f>IF(AND(ISNUMBER(D1865),D1865&gt;=$O$4,OR($O$11=0,B1865&gt;=$O$12)),1,0)</f>
        <v/>
      </c>
      <c r="K1865">
        <f>B1865-$O$14</f>
        <v/>
      </c>
    </row>
    <row r="1866">
      <c r="A1866" t="n">
        <v>5592</v>
      </c>
      <c r="B1866" t="n">
        <v>186.4</v>
      </c>
      <c r="C1866" t="inlineStr">
        <is>
          <t>904</t>
        </is>
      </c>
      <c r="D1866" t="n">
        <v>9.039999999999999</v>
      </c>
      <c r="E1866">
        <f>MEDIAN(D1846:D1886)</f>
        <v/>
      </c>
      <c r="F1866">
        <f>E1846</f>
        <v/>
      </c>
      <c r="G1866">
        <f>F1866-E1866</f>
        <v/>
      </c>
      <c r="H1866">
        <f>IF(OR(NOT(ISNUMBER(D1866)),ABS(D1866-E1866)&gt;$O$3,AND($O$11=1,B1866&lt;$O$12)),1,0)</f>
        <v/>
      </c>
      <c r="I1866">
        <f>IF(H1866=1,NA(),D1866)</f>
        <v/>
      </c>
      <c r="J1866">
        <f>IF(AND(ISNUMBER(D1866),D1866&gt;=$O$4,OR($O$11=0,B1866&gt;=$O$12)),1,0)</f>
        <v/>
      </c>
      <c r="K1866">
        <f>B1866-$O$14</f>
        <v/>
      </c>
    </row>
    <row r="1867">
      <c r="A1867" t="n">
        <v>5595</v>
      </c>
      <c r="B1867" t="n">
        <v>186.5</v>
      </c>
      <c r="C1867" t="inlineStr">
        <is>
          <t>904</t>
        </is>
      </c>
      <c r="D1867" t="n">
        <v>9.039999999999999</v>
      </c>
      <c r="E1867">
        <f>MEDIAN(D1847:D1887)</f>
        <v/>
      </c>
      <c r="F1867">
        <f>E1847</f>
        <v/>
      </c>
      <c r="G1867">
        <f>F1867-E1867</f>
        <v/>
      </c>
      <c r="H1867">
        <f>IF(OR(NOT(ISNUMBER(D1867)),ABS(D1867-E1867)&gt;$O$3,AND($O$11=1,B1867&lt;$O$12)),1,0)</f>
        <v/>
      </c>
      <c r="I1867">
        <f>IF(H1867=1,NA(),D1867)</f>
        <v/>
      </c>
      <c r="J1867">
        <f>IF(AND(ISNUMBER(D1867),D1867&gt;=$O$4,OR($O$11=0,B1867&gt;=$O$12)),1,0)</f>
        <v/>
      </c>
      <c r="K1867">
        <f>B1867-$O$14</f>
        <v/>
      </c>
    </row>
    <row r="1868">
      <c r="A1868" t="n">
        <v>5598</v>
      </c>
      <c r="B1868" t="n">
        <v>186.6</v>
      </c>
      <c r="C1868" t="inlineStr">
        <is>
          <t>904</t>
        </is>
      </c>
      <c r="D1868" t="n">
        <v>9.039999999999999</v>
      </c>
      <c r="E1868">
        <f>MEDIAN(D1848:D1888)</f>
        <v/>
      </c>
      <c r="F1868">
        <f>E1848</f>
        <v/>
      </c>
      <c r="G1868">
        <f>F1868-E1868</f>
        <v/>
      </c>
      <c r="H1868">
        <f>IF(OR(NOT(ISNUMBER(D1868)),ABS(D1868-E1868)&gt;$O$3,AND($O$11=1,B1868&lt;$O$12)),1,0)</f>
        <v/>
      </c>
      <c r="I1868">
        <f>IF(H1868=1,NA(),D1868)</f>
        <v/>
      </c>
      <c r="J1868">
        <f>IF(AND(ISNUMBER(D1868),D1868&gt;=$O$4,OR($O$11=0,B1868&gt;=$O$12)),1,0)</f>
        <v/>
      </c>
      <c r="K1868">
        <f>B1868-$O$14</f>
        <v/>
      </c>
    </row>
    <row r="1869">
      <c r="A1869" t="n">
        <v>5601</v>
      </c>
      <c r="B1869" t="n">
        <v>186.7</v>
      </c>
      <c r="C1869" t="inlineStr">
        <is>
          <t>904</t>
        </is>
      </c>
      <c r="D1869" t="n">
        <v>9.039999999999999</v>
      </c>
      <c r="E1869">
        <f>MEDIAN(D1849:D1889)</f>
        <v/>
      </c>
      <c r="F1869">
        <f>E1849</f>
        <v/>
      </c>
      <c r="G1869">
        <f>F1869-E1869</f>
        <v/>
      </c>
      <c r="H1869">
        <f>IF(OR(NOT(ISNUMBER(D1869)),ABS(D1869-E1869)&gt;$O$3,AND($O$11=1,B1869&lt;$O$12)),1,0)</f>
        <v/>
      </c>
      <c r="I1869">
        <f>IF(H1869=1,NA(),D1869)</f>
        <v/>
      </c>
      <c r="J1869">
        <f>IF(AND(ISNUMBER(D1869),D1869&gt;=$O$4,OR($O$11=0,B1869&gt;=$O$12)),1,0)</f>
        <v/>
      </c>
      <c r="K1869">
        <f>B1869-$O$14</f>
        <v/>
      </c>
    </row>
    <row r="1870">
      <c r="A1870" t="n">
        <v>5604</v>
      </c>
      <c r="B1870" t="n">
        <v>186.8</v>
      </c>
      <c r="C1870" t="inlineStr">
        <is>
          <t>904</t>
        </is>
      </c>
      <c r="D1870" t="n">
        <v>9.039999999999999</v>
      </c>
      <c r="E1870">
        <f>MEDIAN(D1850:D1890)</f>
        <v/>
      </c>
      <c r="F1870">
        <f>E1850</f>
        <v/>
      </c>
      <c r="G1870">
        <f>F1870-E1870</f>
        <v/>
      </c>
      <c r="H1870">
        <f>IF(OR(NOT(ISNUMBER(D1870)),ABS(D1870-E1870)&gt;$O$3,AND($O$11=1,B1870&lt;$O$12)),1,0)</f>
        <v/>
      </c>
      <c r="I1870">
        <f>IF(H1870=1,NA(),D1870)</f>
        <v/>
      </c>
      <c r="J1870">
        <f>IF(AND(ISNUMBER(D1870),D1870&gt;=$O$4,OR($O$11=0,B1870&gt;=$O$12)),1,0)</f>
        <v/>
      </c>
      <c r="K1870">
        <f>B1870-$O$14</f>
        <v/>
      </c>
    </row>
    <row r="1871">
      <c r="A1871" t="n">
        <v>5607</v>
      </c>
      <c r="B1871" t="n">
        <v>186.9</v>
      </c>
      <c r="C1871" t="inlineStr">
        <is>
          <t>904</t>
        </is>
      </c>
      <c r="D1871" t="n">
        <v>9.039999999999999</v>
      </c>
      <c r="E1871">
        <f>MEDIAN(D1851:D1891)</f>
        <v/>
      </c>
      <c r="F1871">
        <f>E1851</f>
        <v/>
      </c>
      <c r="G1871">
        <f>F1871-E1871</f>
        <v/>
      </c>
      <c r="H1871">
        <f>IF(OR(NOT(ISNUMBER(D1871)),ABS(D1871-E1871)&gt;$O$3,AND($O$11=1,B1871&lt;$O$12)),1,0)</f>
        <v/>
      </c>
      <c r="I1871">
        <f>IF(H1871=1,NA(),D1871)</f>
        <v/>
      </c>
      <c r="J1871">
        <f>IF(AND(ISNUMBER(D1871),D1871&gt;=$O$4,OR($O$11=0,B1871&gt;=$O$12)),1,0)</f>
        <v/>
      </c>
      <c r="K1871">
        <f>B1871-$O$14</f>
        <v/>
      </c>
    </row>
    <row r="1872">
      <c r="A1872" t="n">
        <v>5610</v>
      </c>
      <c r="B1872" t="n">
        <v>187</v>
      </c>
      <c r="C1872" t="inlineStr">
        <is>
          <t>904</t>
        </is>
      </c>
      <c r="D1872" t="n">
        <v>9.039999999999999</v>
      </c>
      <c r="E1872">
        <f>MEDIAN(D1852:D1892)</f>
        <v/>
      </c>
      <c r="F1872">
        <f>E1852</f>
        <v/>
      </c>
      <c r="G1872">
        <f>F1872-E1872</f>
        <v/>
      </c>
      <c r="H1872">
        <f>IF(OR(NOT(ISNUMBER(D1872)),ABS(D1872-E1872)&gt;$O$3,AND($O$11=1,B1872&lt;$O$12)),1,0)</f>
        <v/>
      </c>
      <c r="I1872">
        <f>IF(H1872=1,NA(),D1872)</f>
        <v/>
      </c>
      <c r="J1872">
        <f>IF(AND(ISNUMBER(D1872),D1872&gt;=$O$4,OR($O$11=0,B1872&gt;=$O$12)),1,0)</f>
        <v/>
      </c>
      <c r="K1872">
        <f>B1872-$O$14</f>
        <v/>
      </c>
    </row>
    <row r="1873">
      <c r="A1873" t="n">
        <v>5613</v>
      </c>
      <c r="B1873" t="n">
        <v>187.1</v>
      </c>
      <c r="C1873" t="inlineStr">
        <is>
          <t>904</t>
        </is>
      </c>
      <c r="D1873" t="n">
        <v>9.039999999999999</v>
      </c>
      <c r="E1873">
        <f>MEDIAN(D1853:D1893)</f>
        <v/>
      </c>
      <c r="F1873">
        <f>E1853</f>
        <v/>
      </c>
      <c r="G1873">
        <f>F1873-E1873</f>
        <v/>
      </c>
      <c r="H1873">
        <f>IF(OR(NOT(ISNUMBER(D1873)),ABS(D1873-E1873)&gt;$O$3,AND($O$11=1,B1873&lt;$O$12)),1,0)</f>
        <v/>
      </c>
      <c r="I1873">
        <f>IF(H1873=1,NA(),D1873)</f>
        <v/>
      </c>
      <c r="J1873">
        <f>IF(AND(ISNUMBER(D1873),D1873&gt;=$O$4,OR($O$11=0,B1873&gt;=$O$12)),1,0)</f>
        <v/>
      </c>
      <c r="K1873">
        <f>B1873-$O$14</f>
        <v/>
      </c>
    </row>
    <row r="1874">
      <c r="A1874" t="n">
        <v>5616</v>
      </c>
      <c r="B1874" t="n">
        <v>187.2</v>
      </c>
      <c r="C1874" t="inlineStr">
        <is>
          <t>904</t>
        </is>
      </c>
      <c r="D1874" t="n">
        <v>9.039999999999999</v>
      </c>
      <c r="E1874">
        <f>MEDIAN(D1854:D1894)</f>
        <v/>
      </c>
      <c r="F1874">
        <f>E1854</f>
        <v/>
      </c>
      <c r="G1874">
        <f>F1874-E1874</f>
        <v/>
      </c>
      <c r="H1874">
        <f>IF(OR(NOT(ISNUMBER(D1874)),ABS(D1874-E1874)&gt;$O$3,AND($O$11=1,B1874&lt;$O$12)),1,0)</f>
        <v/>
      </c>
      <c r="I1874">
        <f>IF(H1874=1,NA(),D1874)</f>
        <v/>
      </c>
      <c r="J1874">
        <f>IF(AND(ISNUMBER(D1874),D1874&gt;=$O$4,OR($O$11=0,B1874&gt;=$O$12)),1,0)</f>
        <v/>
      </c>
      <c r="K1874">
        <f>B1874-$O$14</f>
        <v/>
      </c>
    </row>
    <row r="1875">
      <c r="A1875" t="n">
        <v>5619</v>
      </c>
      <c r="B1875" t="n">
        <v>187.3</v>
      </c>
      <c r="C1875" t="inlineStr">
        <is>
          <t>904</t>
        </is>
      </c>
      <c r="D1875" t="n">
        <v>9.039999999999999</v>
      </c>
      <c r="E1875">
        <f>MEDIAN(D1855:D1895)</f>
        <v/>
      </c>
      <c r="F1875">
        <f>E1855</f>
        <v/>
      </c>
      <c r="G1875">
        <f>F1875-E1875</f>
        <v/>
      </c>
      <c r="H1875">
        <f>IF(OR(NOT(ISNUMBER(D1875)),ABS(D1875-E1875)&gt;$O$3,AND($O$11=1,B1875&lt;$O$12)),1,0)</f>
        <v/>
      </c>
      <c r="I1875">
        <f>IF(H1875=1,NA(),D1875)</f>
        <v/>
      </c>
      <c r="J1875">
        <f>IF(AND(ISNUMBER(D1875),D1875&gt;=$O$4,OR($O$11=0,B1875&gt;=$O$12)),1,0)</f>
        <v/>
      </c>
      <c r="K1875">
        <f>B1875-$O$14</f>
        <v/>
      </c>
    </row>
    <row r="1876">
      <c r="A1876" t="n">
        <v>5622</v>
      </c>
      <c r="B1876" t="n">
        <v>187.4</v>
      </c>
      <c r="C1876" t="inlineStr">
        <is>
          <t>904</t>
        </is>
      </c>
      <c r="D1876" t="n">
        <v>9.039999999999999</v>
      </c>
      <c r="E1876">
        <f>MEDIAN(D1856:D1896)</f>
        <v/>
      </c>
      <c r="F1876">
        <f>E1856</f>
        <v/>
      </c>
      <c r="G1876">
        <f>F1876-E1876</f>
        <v/>
      </c>
      <c r="H1876">
        <f>IF(OR(NOT(ISNUMBER(D1876)),ABS(D1876-E1876)&gt;$O$3,AND($O$11=1,B1876&lt;$O$12)),1,0)</f>
        <v/>
      </c>
      <c r="I1876">
        <f>IF(H1876=1,NA(),D1876)</f>
        <v/>
      </c>
      <c r="J1876">
        <f>IF(AND(ISNUMBER(D1876),D1876&gt;=$O$4,OR($O$11=0,B1876&gt;=$O$12)),1,0)</f>
        <v/>
      </c>
      <c r="K1876">
        <f>B1876-$O$14</f>
        <v/>
      </c>
    </row>
    <row r="1877">
      <c r="A1877" t="n">
        <v>5625</v>
      </c>
      <c r="B1877" t="n">
        <v>187.5</v>
      </c>
      <c r="C1877" t="inlineStr">
        <is>
          <t>904</t>
        </is>
      </c>
      <c r="D1877" t="n">
        <v>9.039999999999999</v>
      </c>
      <c r="E1877">
        <f>MEDIAN(D1857:D1897)</f>
        <v/>
      </c>
      <c r="F1877">
        <f>E1857</f>
        <v/>
      </c>
      <c r="G1877">
        <f>F1877-E1877</f>
        <v/>
      </c>
      <c r="H1877">
        <f>IF(OR(NOT(ISNUMBER(D1877)),ABS(D1877-E1877)&gt;$O$3,AND($O$11=1,B1877&lt;$O$12)),1,0)</f>
        <v/>
      </c>
      <c r="I1877">
        <f>IF(H1877=1,NA(),D1877)</f>
        <v/>
      </c>
      <c r="J1877">
        <f>IF(AND(ISNUMBER(D1877),D1877&gt;=$O$4,OR($O$11=0,B1877&gt;=$O$12)),1,0)</f>
        <v/>
      </c>
      <c r="K1877">
        <f>B1877-$O$14</f>
        <v/>
      </c>
    </row>
    <row r="1878">
      <c r="A1878" t="n">
        <v>5628</v>
      </c>
      <c r="B1878" t="n">
        <v>187.6</v>
      </c>
      <c r="C1878" t="inlineStr">
        <is>
          <t>904</t>
        </is>
      </c>
      <c r="D1878" t="n">
        <v>9.039999999999999</v>
      </c>
      <c r="E1878">
        <f>MEDIAN(D1858:D1898)</f>
        <v/>
      </c>
      <c r="F1878">
        <f>E1858</f>
        <v/>
      </c>
      <c r="G1878">
        <f>F1878-E1878</f>
        <v/>
      </c>
      <c r="H1878">
        <f>IF(OR(NOT(ISNUMBER(D1878)),ABS(D1878-E1878)&gt;$O$3,AND($O$11=1,B1878&lt;$O$12)),1,0)</f>
        <v/>
      </c>
      <c r="I1878">
        <f>IF(H1878=1,NA(),D1878)</f>
        <v/>
      </c>
      <c r="J1878">
        <f>IF(AND(ISNUMBER(D1878),D1878&gt;=$O$4,OR($O$11=0,B1878&gt;=$O$12)),1,0)</f>
        <v/>
      </c>
      <c r="K1878">
        <f>B1878-$O$14</f>
        <v/>
      </c>
    </row>
    <row r="1879">
      <c r="A1879" t="n">
        <v>5631</v>
      </c>
      <c r="B1879" t="n">
        <v>187.7</v>
      </c>
      <c r="C1879" t="inlineStr">
        <is>
          <t>904</t>
        </is>
      </c>
      <c r="D1879" t="n">
        <v>9.039999999999999</v>
      </c>
      <c r="E1879">
        <f>MEDIAN(D1859:D1899)</f>
        <v/>
      </c>
      <c r="F1879">
        <f>E1859</f>
        <v/>
      </c>
      <c r="G1879">
        <f>F1879-E1879</f>
        <v/>
      </c>
      <c r="H1879">
        <f>IF(OR(NOT(ISNUMBER(D1879)),ABS(D1879-E1879)&gt;$O$3,AND($O$11=1,B1879&lt;$O$12)),1,0)</f>
        <v/>
      </c>
      <c r="I1879">
        <f>IF(H1879=1,NA(),D1879)</f>
        <v/>
      </c>
      <c r="J1879">
        <f>IF(AND(ISNUMBER(D1879),D1879&gt;=$O$4,OR($O$11=0,B1879&gt;=$O$12)),1,0)</f>
        <v/>
      </c>
      <c r="K1879">
        <f>B1879-$O$14</f>
        <v/>
      </c>
    </row>
    <row r="1880">
      <c r="A1880" t="n">
        <v>5634</v>
      </c>
      <c r="B1880" t="n">
        <v>187.8</v>
      </c>
      <c r="C1880" t="inlineStr">
        <is>
          <t>904</t>
        </is>
      </c>
      <c r="D1880" t="n">
        <v>9.039999999999999</v>
      </c>
      <c r="E1880">
        <f>MEDIAN(D1860:D1900)</f>
        <v/>
      </c>
      <c r="F1880">
        <f>E1860</f>
        <v/>
      </c>
      <c r="G1880">
        <f>F1880-E1880</f>
        <v/>
      </c>
      <c r="H1880">
        <f>IF(OR(NOT(ISNUMBER(D1880)),ABS(D1880-E1880)&gt;$O$3,AND($O$11=1,B1880&lt;$O$12)),1,0)</f>
        <v/>
      </c>
      <c r="I1880">
        <f>IF(H1880=1,NA(),D1880)</f>
        <v/>
      </c>
      <c r="J1880">
        <f>IF(AND(ISNUMBER(D1880),D1880&gt;=$O$4,OR($O$11=0,B1880&gt;=$O$12)),1,0)</f>
        <v/>
      </c>
      <c r="K1880">
        <f>B1880-$O$14</f>
        <v/>
      </c>
    </row>
    <row r="1881">
      <c r="A1881" t="n">
        <v>5637</v>
      </c>
      <c r="B1881" t="n">
        <v>187.9</v>
      </c>
      <c r="C1881" t="inlineStr">
        <is>
          <t>904</t>
        </is>
      </c>
      <c r="D1881" t="n">
        <v>9.039999999999999</v>
      </c>
      <c r="E1881">
        <f>MEDIAN(D1861:D1901)</f>
        <v/>
      </c>
      <c r="F1881">
        <f>E1861</f>
        <v/>
      </c>
      <c r="G1881">
        <f>F1881-E1881</f>
        <v/>
      </c>
      <c r="H1881">
        <f>IF(OR(NOT(ISNUMBER(D1881)),ABS(D1881-E1881)&gt;$O$3,AND($O$11=1,B1881&lt;$O$12)),1,0)</f>
        <v/>
      </c>
      <c r="I1881">
        <f>IF(H1881=1,NA(),D1881)</f>
        <v/>
      </c>
      <c r="J1881">
        <f>IF(AND(ISNUMBER(D1881),D1881&gt;=$O$4,OR($O$11=0,B1881&gt;=$O$12)),1,0)</f>
        <v/>
      </c>
      <c r="K1881">
        <f>B1881-$O$14</f>
        <v/>
      </c>
    </row>
    <row r="1882">
      <c r="A1882" t="n">
        <v>5640</v>
      </c>
      <c r="B1882" t="n">
        <v>188</v>
      </c>
      <c r="C1882" t="inlineStr">
        <is>
          <t>904</t>
        </is>
      </c>
      <c r="D1882" t="n">
        <v>9.039999999999999</v>
      </c>
      <c r="E1882">
        <f>MEDIAN(D1862:D1902)</f>
        <v/>
      </c>
      <c r="F1882">
        <f>E1862</f>
        <v/>
      </c>
      <c r="G1882">
        <f>F1882-E1882</f>
        <v/>
      </c>
      <c r="H1882">
        <f>IF(OR(NOT(ISNUMBER(D1882)),ABS(D1882-E1882)&gt;$O$3,AND($O$11=1,B1882&lt;$O$12)),1,0)</f>
        <v/>
      </c>
      <c r="I1882">
        <f>IF(H1882=1,NA(),D1882)</f>
        <v/>
      </c>
      <c r="J1882">
        <f>IF(AND(ISNUMBER(D1882),D1882&gt;=$O$4,OR($O$11=0,B1882&gt;=$O$12)),1,0)</f>
        <v/>
      </c>
      <c r="K1882">
        <f>B1882-$O$14</f>
        <v/>
      </c>
    </row>
    <row r="1883">
      <c r="A1883" t="n">
        <v>5643</v>
      </c>
      <c r="B1883" t="n">
        <v>188.1</v>
      </c>
      <c r="C1883" t="inlineStr">
        <is>
          <t>904</t>
        </is>
      </c>
      <c r="D1883" t="n">
        <v>9.039999999999999</v>
      </c>
      <c r="E1883">
        <f>MEDIAN(D1863:D1903)</f>
        <v/>
      </c>
      <c r="F1883">
        <f>E1863</f>
        <v/>
      </c>
      <c r="G1883">
        <f>F1883-E1883</f>
        <v/>
      </c>
      <c r="H1883">
        <f>IF(OR(NOT(ISNUMBER(D1883)),ABS(D1883-E1883)&gt;$O$3,AND($O$11=1,B1883&lt;$O$12)),1,0)</f>
        <v/>
      </c>
      <c r="I1883">
        <f>IF(H1883=1,NA(),D1883)</f>
        <v/>
      </c>
      <c r="J1883">
        <f>IF(AND(ISNUMBER(D1883),D1883&gt;=$O$4,OR($O$11=0,B1883&gt;=$O$12)),1,0)</f>
        <v/>
      </c>
      <c r="K1883">
        <f>B1883-$O$14</f>
        <v/>
      </c>
    </row>
    <row r="1884">
      <c r="A1884" t="n">
        <v>5646</v>
      </c>
      <c r="B1884" t="n">
        <v>188.2</v>
      </c>
      <c r="C1884" t="inlineStr">
        <is>
          <t>904</t>
        </is>
      </c>
      <c r="D1884" t="n">
        <v>9.039999999999999</v>
      </c>
      <c r="E1884">
        <f>MEDIAN(D1864:D1904)</f>
        <v/>
      </c>
      <c r="F1884">
        <f>E1864</f>
        <v/>
      </c>
      <c r="G1884">
        <f>F1884-E1884</f>
        <v/>
      </c>
      <c r="H1884">
        <f>IF(OR(NOT(ISNUMBER(D1884)),ABS(D1884-E1884)&gt;$O$3,AND($O$11=1,B1884&lt;$O$12)),1,0)</f>
        <v/>
      </c>
      <c r="I1884">
        <f>IF(H1884=1,NA(),D1884)</f>
        <v/>
      </c>
      <c r="J1884">
        <f>IF(AND(ISNUMBER(D1884),D1884&gt;=$O$4,OR($O$11=0,B1884&gt;=$O$12)),1,0)</f>
        <v/>
      </c>
      <c r="K1884">
        <f>B1884-$O$14</f>
        <v/>
      </c>
    </row>
    <row r="1885">
      <c r="A1885" t="n">
        <v>5649</v>
      </c>
      <c r="B1885" t="n">
        <v>188.3</v>
      </c>
      <c r="C1885" t="inlineStr">
        <is>
          <t>904</t>
        </is>
      </c>
      <c r="D1885" t="n">
        <v>9.039999999999999</v>
      </c>
      <c r="E1885">
        <f>MEDIAN(D1865:D1905)</f>
        <v/>
      </c>
      <c r="F1885">
        <f>E1865</f>
        <v/>
      </c>
      <c r="G1885">
        <f>F1885-E1885</f>
        <v/>
      </c>
      <c r="H1885">
        <f>IF(OR(NOT(ISNUMBER(D1885)),ABS(D1885-E1885)&gt;$O$3,AND($O$11=1,B1885&lt;$O$12)),1,0)</f>
        <v/>
      </c>
      <c r="I1885">
        <f>IF(H1885=1,NA(),D1885)</f>
        <v/>
      </c>
      <c r="J1885">
        <f>IF(AND(ISNUMBER(D1885),D1885&gt;=$O$4,OR($O$11=0,B1885&gt;=$O$12)),1,0)</f>
        <v/>
      </c>
      <c r="K1885">
        <f>B1885-$O$14</f>
        <v/>
      </c>
    </row>
    <row r="1886">
      <c r="A1886" t="n">
        <v>5652</v>
      </c>
      <c r="B1886" t="n">
        <v>188.4</v>
      </c>
      <c r="C1886" t="inlineStr">
        <is>
          <t>904</t>
        </is>
      </c>
      <c r="D1886" t="n">
        <v>9.039999999999999</v>
      </c>
      <c r="E1886">
        <f>MEDIAN(D1866:D1906)</f>
        <v/>
      </c>
      <c r="F1886">
        <f>E1866</f>
        <v/>
      </c>
      <c r="G1886">
        <f>F1886-E1886</f>
        <v/>
      </c>
      <c r="H1886">
        <f>IF(OR(NOT(ISNUMBER(D1886)),ABS(D1886-E1886)&gt;$O$3,AND($O$11=1,B1886&lt;$O$12)),1,0)</f>
        <v/>
      </c>
      <c r="I1886">
        <f>IF(H1886=1,NA(),D1886)</f>
        <v/>
      </c>
      <c r="J1886">
        <f>IF(AND(ISNUMBER(D1886),D1886&gt;=$O$4,OR($O$11=0,B1886&gt;=$O$12)),1,0)</f>
        <v/>
      </c>
      <c r="K1886">
        <f>B1886-$O$14</f>
        <v/>
      </c>
    </row>
    <row r="1887">
      <c r="A1887" t="n">
        <v>5655</v>
      </c>
      <c r="B1887" t="n">
        <v>188.5</v>
      </c>
      <c r="C1887" t="inlineStr">
        <is>
          <t>904</t>
        </is>
      </c>
      <c r="D1887" t="n">
        <v>9.039999999999999</v>
      </c>
      <c r="E1887">
        <f>MEDIAN(D1867:D1907)</f>
        <v/>
      </c>
      <c r="F1887">
        <f>E1867</f>
        <v/>
      </c>
      <c r="G1887">
        <f>F1887-E1887</f>
        <v/>
      </c>
      <c r="H1887">
        <f>IF(OR(NOT(ISNUMBER(D1887)),ABS(D1887-E1887)&gt;$O$3,AND($O$11=1,B1887&lt;$O$12)),1,0)</f>
        <v/>
      </c>
      <c r="I1887">
        <f>IF(H1887=1,NA(),D1887)</f>
        <v/>
      </c>
      <c r="J1887">
        <f>IF(AND(ISNUMBER(D1887),D1887&gt;=$O$4,OR($O$11=0,B1887&gt;=$O$12)),1,0)</f>
        <v/>
      </c>
      <c r="K1887">
        <f>B1887-$O$14</f>
        <v/>
      </c>
    </row>
    <row r="1888">
      <c r="A1888" t="n">
        <v>5658</v>
      </c>
      <c r="B1888" t="n">
        <v>188.6</v>
      </c>
      <c r="C1888" t="inlineStr">
        <is>
          <t>904</t>
        </is>
      </c>
      <c r="D1888" t="n">
        <v>9.039999999999999</v>
      </c>
      <c r="E1888">
        <f>MEDIAN(D1868:D1908)</f>
        <v/>
      </c>
      <c r="F1888">
        <f>E1868</f>
        <v/>
      </c>
      <c r="G1888">
        <f>F1888-E1888</f>
        <v/>
      </c>
      <c r="H1888">
        <f>IF(OR(NOT(ISNUMBER(D1888)),ABS(D1888-E1888)&gt;$O$3,AND($O$11=1,B1888&lt;$O$12)),1,0)</f>
        <v/>
      </c>
      <c r="I1888">
        <f>IF(H1888=1,NA(),D1888)</f>
        <v/>
      </c>
      <c r="J1888">
        <f>IF(AND(ISNUMBER(D1888),D1888&gt;=$O$4,OR($O$11=0,B1888&gt;=$O$12)),1,0)</f>
        <v/>
      </c>
      <c r="K1888">
        <f>B1888-$O$14</f>
        <v/>
      </c>
    </row>
    <row r="1889">
      <c r="A1889" t="n">
        <v>5661</v>
      </c>
      <c r="B1889" t="n">
        <v>188.7</v>
      </c>
      <c r="C1889" t="inlineStr">
        <is>
          <t>904</t>
        </is>
      </c>
      <c r="D1889" t="n">
        <v>9.039999999999999</v>
      </c>
      <c r="E1889">
        <f>MEDIAN(D1869:D1909)</f>
        <v/>
      </c>
      <c r="F1889">
        <f>E1869</f>
        <v/>
      </c>
      <c r="G1889">
        <f>F1889-E1889</f>
        <v/>
      </c>
      <c r="H1889">
        <f>IF(OR(NOT(ISNUMBER(D1889)),ABS(D1889-E1889)&gt;$O$3,AND($O$11=1,B1889&lt;$O$12)),1,0)</f>
        <v/>
      </c>
      <c r="I1889">
        <f>IF(H1889=1,NA(),D1889)</f>
        <v/>
      </c>
      <c r="J1889">
        <f>IF(AND(ISNUMBER(D1889),D1889&gt;=$O$4,OR($O$11=0,B1889&gt;=$O$12)),1,0)</f>
        <v/>
      </c>
      <c r="K1889">
        <f>B1889-$O$14</f>
        <v/>
      </c>
    </row>
    <row r="1890">
      <c r="A1890" t="n">
        <v>5664</v>
      </c>
      <c r="B1890" t="n">
        <v>188.8</v>
      </c>
      <c r="C1890" t="inlineStr">
        <is>
          <t>904</t>
        </is>
      </c>
      <c r="D1890" t="n">
        <v>9.039999999999999</v>
      </c>
      <c r="E1890">
        <f>MEDIAN(D1870:D1910)</f>
        <v/>
      </c>
      <c r="F1890">
        <f>E1870</f>
        <v/>
      </c>
      <c r="G1890">
        <f>F1890-E1890</f>
        <v/>
      </c>
      <c r="H1890">
        <f>IF(OR(NOT(ISNUMBER(D1890)),ABS(D1890-E1890)&gt;$O$3,AND($O$11=1,B1890&lt;$O$12)),1,0)</f>
        <v/>
      </c>
      <c r="I1890">
        <f>IF(H1890=1,NA(),D1890)</f>
        <v/>
      </c>
      <c r="J1890">
        <f>IF(AND(ISNUMBER(D1890),D1890&gt;=$O$4,OR($O$11=0,B1890&gt;=$O$12)),1,0)</f>
        <v/>
      </c>
      <c r="K1890">
        <f>B1890-$O$14</f>
        <v/>
      </c>
    </row>
    <row r="1891">
      <c r="A1891" t="n">
        <v>5667</v>
      </c>
      <c r="B1891" t="n">
        <v>188.9</v>
      </c>
      <c r="C1891" t="inlineStr">
        <is>
          <t>904</t>
        </is>
      </c>
      <c r="D1891" t="n">
        <v>9.039999999999999</v>
      </c>
      <c r="E1891">
        <f>MEDIAN(D1871:D1911)</f>
        <v/>
      </c>
      <c r="F1891">
        <f>E1871</f>
        <v/>
      </c>
      <c r="G1891">
        <f>F1891-E1891</f>
        <v/>
      </c>
      <c r="H1891">
        <f>IF(OR(NOT(ISNUMBER(D1891)),ABS(D1891-E1891)&gt;$O$3,AND($O$11=1,B1891&lt;$O$12)),1,0)</f>
        <v/>
      </c>
      <c r="I1891">
        <f>IF(H1891=1,NA(),D1891)</f>
        <v/>
      </c>
      <c r="J1891">
        <f>IF(AND(ISNUMBER(D1891),D1891&gt;=$O$4,OR($O$11=0,B1891&gt;=$O$12)),1,0)</f>
        <v/>
      </c>
      <c r="K1891">
        <f>B1891-$O$14</f>
        <v/>
      </c>
    </row>
    <row r="1892">
      <c r="A1892" t="n">
        <v>5670</v>
      </c>
      <c r="B1892" t="n">
        <v>189</v>
      </c>
      <c r="C1892" t="inlineStr">
        <is>
          <t>904</t>
        </is>
      </c>
      <c r="D1892" t="n">
        <v>9.039999999999999</v>
      </c>
      <c r="E1892">
        <f>MEDIAN(D1872:D1912)</f>
        <v/>
      </c>
      <c r="F1892">
        <f>E1872</f>
        <v/>
      </c>
      <c r="G1892">
        <f>F1892-E1892</f>
        <v/>
      </c>
      <c r="H1892">
        <f>IF(OR(NOT(ISNUMBER(D1892)),ABS(D1892-E1892)&gt;$O$3,AND($O$11=1,B1892&lt;$O$12)),1,0)</f>
        <v/>
      </c>
      <c r="I1892">
        <f>IF(H1892=1,NA(),D1892)</f>
        <v/>
      </c>
      <c r="J1892">
        <f>IF(AND(ISNUMBER(D1892),D1892&gt;=$O$4,OR($O$11=0,B1892&gt;=$O$12)),1,0)</f>
        <v/>
      </c>
      <c r="K1892">
        <f>B1892-$O$14</f>
        <v/>
      </c>
    </row>
    <row r="1893">
      <c r="A1893" t="n">
        <v>5673</v>
      </c>
      <c r="B1893" t="n">
        <v>189.1</v>
      </c>
      <c r="C1893" t="inlineStr">
        <is>
          <t>904</t>
        </is>
      </c>
      <c r="D1893" t="n">
        <v>9.039999999999999</v>
      </c>
      <c r="E1893">
        <f>MEDIAN(D1873:D1913)</f>
        <v/>
      </c>
      <c r="F1893">
        <f>E1873</f>
        <v/>
      </c>
      <c r="G1893">
        <f>F1893-E1893</f>
        <v/>
      </c>
      <c r="H1893">
        <f>IF(OR(NOT(ISNUMBER(D1893)),ABS(D1893-E1893)&gt;$O$3,AND($O$11=1,B1893&lt;$O$12)),1,0)</f>
        <v/>
      </c>
      <c r="I1893">
        <f>IF(H1893=1,NA(),D1893)</f>
        <v/>
      </c>
      <c r="J1893">
        <f>IF(AND(ISNUMBER(D1893),D1893&gt;=$O$4,OR($O$11=0,B1893&gt;=$O$12)),1,0)</f>
        <v/>
      </c>
      <c r="K1893">
        <f>B1893-$O$14</f>
        <v/>
      </c>
    </row>
    <row r="1894">
      <c r="A1894" t="n">
        <v>5676</v>
      </c>
      <c r="B1894" t="n">
        <v>189.2</v>
      </c>
      <c r="C1894" t="inlineStr">
        <is>
          <t>904</t>
        </is>
      </c>
      <c r="D1894" t="n">
        <v>9.039999999999999</v>
      </c>
      <c r="E1894">
        <f>MEDIAN(D1874:D1914)</f>
        <v/>
      </c>
      <c r="F1894">
        <f>E1874</f>
        <v/>
      </c>
      <c r="G1894">
        <f>F1894-E1894</f>
        <v/>
      </c>
      <c r="H1894">
        <f>IF(OR(NOT(ISNUMBER(D1894)),ABS(D1894-E1894)&gt;$O$3,AND($O$11=1,B1894&lt;$O$12)),1,0)</f>
        <v/>
      </c>
      <c r="I1894">
        <f>IF(H1894=1,NA(),D1894)</f>
        <v/>
      </c>
      <c r="J1894">
        <f>IF(AND(ISNUMBER(D1894),D1894&gt;=$O$4,OR($O$11=0,B1894&gt;=$O$12)),1,0)</f>
        <v/>
      </c>
      <c r="K1894">
        <f>B1894-$O$14</f>
        <v/>
      </c>
    </row>
    <row r="1895">
      <c r="A1895" t="n">
        <v>5679</v>
      </c>
      <c r="B1895" t="n">
        <v>189.3</v>
      </c>
      <c r="C1895" t="inlineStr">
        <is>
          <t>904</t>
        </is>
      </c>
      <c r="D1895" t="n">
        <v>9.039999999999999</v>
      </c>
      <c r="E1895">
        <f>MEDIAN(D1875:D1915)</f>
        <v/>
      </c>
      <c r="F1895">
        <f>E1875</f>
        <v/>
      </c>
      <c r="G1895">
        <f>F1895-E1895</f>
        <v/>
      </c>
      <c r="H1895">
        <f>IF(OR(NOT(ISNUMBER(D1895)),ABS(D1895-E1895)&gt;$O$3,AND($O$11=1,B1895&lt;$O$12)),1,0)</f>
        <v/>
      </c>
      <c r="I1895">
        <f>IF(H1895=1,NA(),D1895)</f>
        <v/>
      </c>
      <c r="J1895">
        <f>IF(AND(ISNUMBER(D1895),D1895&gt;=$O$4,OR($O$11=0,B1895&gt;=$O$12)),1,0)</f>
        <v/>
      </c>
      <c r="K1895">
        <f>B1895-$O$14</f>
        <v/>
      </c>
    </row>
    <row r="1896">
      <c r="A1896" t="n">
        <v>5682</v>
      </c>
      <c r="B1896" t="n">
        <v>189.4</v>
      </c>
      <c r="C1896" t="inlineStr">
        <is>
          <t>904</t>
        </is>
      </c>
      <c r="D1896" t="n">
        <v>9.039999999999999</v>
      </c>
      <c r="E1896">
        <f>MEDIAN(D1876:D1916)</f>
        <v/>
      </c>
      <c r="F1896">
        <f>E1876</f>
        <v/>
      </c>
      <c r="G1896">
        <f>F1896-E1896</f>
        <v/>
      </c>
      <c r="H1896">
        <f>IF(OR(NOT(ISNUMBER(D1896)),ABS(D1896-E1896)&gt;$O$3,AND($O$11=1,B1896&lt;$O$12)),1,0)</f>
        <v/>
      </c>
      <c r="I1896">
        <f>IF(H1896=1,NA(),D1896)</f>
        <v/>
      </c>
      <c r="J1896">
        <f>IF(AND(ISNUMBER(D1896),D1896&gt;=$O$4,OR($O$11=0,B1896&gt;=$O$12)),1,0)</f>
        <v/>
      </c>
      <c r="K1896">
        <f>B1896-$O$14</f>
        <v/>
      </c>
    </row>
    <row r="1897">
      <c r="A1897" t="n">
        <v>5685</v>
      </c>
      <c r="B1897" t="n">
        <v>189.5</v>
      </c>
      <c r="C1897" t="inlineStr">
        <is>
          <t>904</t>
        </is>
      </c>
      <c r="D1897" t="n">
        <v>9.039999999999999</v>
      </c>
      <c r="E1897">
        <f>MEDIAN(D1877:D1917)</f>
        <v/>
      </c>
      <c r="F1897">
        <f>E1877</f>
        <v/>
      </c>
      <c r="G1897">
        <f>F1897-E1897</f>
        <v/>
      </c>
      <c r="H1897">
        <f>IF(OR(NOT(ISNUMBER(D1897)),ABS(D1897-E1897)&gt;$O$3,AND($O$11=1,B1897&lt;$O$12)),1,0)</f>
        <v/>
      </c>
      <c r="I1897">
        <f>IF(H1897=1,NA(),D1897)</f>
        <v/>
      </c>
      <c r="J1897">
        <f>IF(AND(ISNUMBER(D1897),D1897&gt;=$O$4,OR($O$11=0,B1897&gt;=$O$12)),1,0)</f>
        <v/>
      </c>
      <c r="K1897">
        <f>B1897-$O$14</f>
        <v/>
      </c>
    </row>
    <row r="1898">
      <c r="A1898" t="n">
        <v>5688</v>
      </c>
      <c r="B1898" t="n">
        <v>189.6</v>
      </c>
      <c r="C1898" t="inlineStr">
        <is>
          <t>904</t>
        </is>
      </c>
      <c r="D1898" t="n">
        <v>9.039999999999999</v>
      </c>
      <c r="E1898">
        <f>MEDIAN(D1878:D1918)</f>
        <v/>
      </c>
      <c r="F1898">
        <f>E1878</f>
        <v/>
      </c>
      <c r="G1898">
        <f>F1898-E1898</f>
        <v/>
      </c>
      <c r="H1898">
        <f>IF(OR(NOT(ISNUMBER(D1898)),ABS(D1898-E1898)&gt;$O$3,AND($O$11=1,B1898&lt;$O$12)),1,0)</f>
        <v/>
      </c>
      <c r="I1898">
        <f>IF(H1898=1,NA(),D1898)</f>
        <v/>
      </c>
      <c r="J1898">
        <f>IF(AND(ISNUMBER(D1898),D1898&gt;=$O$4,OR($O$11=0,B1898&gt;=$O$12)),1,0)</f>
        <v/>
      </c>
      <c r="K1898">
        <f>B1898-$O$14</f>
        <v/>
      </c>
    </row>
    <row r="1899">
      <c r="A1899" t="n">
        <v>5691</v>
      </c>
      <c r="B1899" t="n">
        <v>189.7</v>
      </c>
      <c r="C1899" t="inlineStr">
        <is>
          <t>904</t>
        </is>
      </c>
      <c r="D1899" t="n">
        <v>9.039999999999999</v>
      </c>
      <c r="E1899">
        <f>MEDIAN(D1879:D1919)</f>
        <v/>
      </c>
      <c r="F1899">
        <f>E1879</f>
        <v/>
      </c>
      <c r="G1899">
        <f>F1899-E1899</f>
        <v/>
      </c>
      <c r="H1899">
        <f>IF(OR(NOT(ISNUMBER(D1899)),ABS(D1899-E1899)&gt;$O$3,AND($O$11=1,B1899&lt;$O$12)),1,0)</f>
        <v/>
      </c>
      <c r="I1899">
        <f>IF(H1899=1,NA(),D1899)</f>
        <v/>
      </c>
      <c r="J1899">
        <f>IF(AND(ISNUMBER(D1899),D1899&gt;=$O$4,OR($O$11=0,B1899&gt;=$O$12)),1,0)</f>
        <v/>
      </c>
      <c r="K1899">
        <f>B1899-$O$14</f>
        <v/>
      </c>
    </row>
    <row r="1900">
      <c r="A1900" t="n">
        <v>5694</v>
      </c>
      <c r="B1900" t="n">
        <v>189.8</v>
      </c>
      <c r="C1900" t="inlineStr">
        <is>
          <t>909</t>
        </is>
      </c>
      <c r="D1900" t="n">
        <v>9.09</v>
      </c>
      <c r="E1900">
        <f>MEDIAN(D1880:D1920)</f>
        <v/>
      </c>
      <c r="F1900">
        <f>E1880</f>
        <v/>
      </c>
      <c r="G1900">
        <f>F1900-E1900</f>
        <v/>
      </c>
      <c r="H1900">
        <f>IF(OR(NOT(ISNUMBER(D1900)),ABS(D1900-E1900)&gt;$O$3,AND($O$11=1,B1900&lt;$O$12)),1,0)</f>
        <v/>
      </c>
      <c r="I1900">
        <f>IF(H1900=1,NA(),D1900)</f>
        <v/>
      </c>
      <c r="J1900">
        <f>IF(AND(ISNUMBER(D1900),D1900&gt;=$O$4,OR($O$11=0,B1900&gt;=$O$12)),1,0)</f>
        <v/>
      </c>
      <c r="K1900">
        <f>B1900-$O$14</f>
        <v/>
      </c>
    </row>
    <row r="1901">
      <c r="A1901" t="n">
        <v>5697</v>
      </c>
      <c r="B1901" t="n">
        <v>189.9</v>
      </c>
      <c r="C1901" t="inlineStr">
        <is>
          <t>905</t>
        </is>
      </c>
      <c r="D1901" t="n">
        <v>9.050000000000001</v>
      </c>
      <c r="E1901">
        <f>MEDIAN(D1881:D1921)</f>
        <v/>
      </c>
      <c r="F1901">
        <f>E1881</f>
        <v/>
      </c>
      <c r="G1901">
        <f>F1901-E1901</f>
        <v/>
      </c>
      <c r="H1901">
        <f>IF(OR(NOT(ISNUMBER(D1901)),ABS(D1901-E1901)&gt;$O$3,AND($O$11=1,B1901&lt;$O$12)),1,0)</f>
        <v/>
      </c>
      <c r="I1901">
        <f>IF(H1901=1,NA(),D1901)</f>
        <v/>
      </c>
      <c r="J1901">
        <f>IF(AND(ISNUMBER(D1901),D1901&gt;=$O$4,OR($O$11=0,B1901&gt;=$O$12)),1,0)</f>
        <v/>
      </c>
      <c r="K1901">
        <f>B1901-$O$14</f>
        <v/>
      </c>
    </row>
    <row r="1902">
      <c r="A1902" t="n">
        <v>5700</v>
      </c>
      <c r="B1902" t="n">
        <v>190</v>
      </c>
      <c r="C1902" t="inlineStr">
        <is>
          <t>906</t>
        </is>
      </c>
      <c r="D1902" t="n">
        <v>9.06</v>
      </c>
      <c r="E1902">
        <f>MEDIAN(D1882:D1922)</f>
        <v/>
      </c>
      <c r="F1902">
        <f>E1882</f>
        <v/>
      </c>
      <c r="G1902">
        <f>F1902-E1902</f>
        <v/>
      </c>
      <c r="H1902">
        <f>IF(OR(NOT(ISNUMBER(D1902)),ABS(D1902-E1902)&gt;$O$3,AND($O$11=1,B1902&lt;$O$12)),1,0)</f>
        <v/>
      </c>
      <c r="I1902">
        <f>IF(H1902=1,NA(),D1902)</f>
        <v/>
      </c>
      <c r="J1902">
        <f>IF(AND(ISNUMBER(D1902),D1902&gt;=$O$4,OR($O$11=0,B1902&gt;=$O$12)),1,0)</f>
        <v/>
      </c>
      <c r="K1902">
        <f>B1902-$O$14</f>
        <v/>
      </c>
    </row>
    <row r="1903">
      <c r="A1903" t="n">
        <v>5703</v>
      </c>
      <c r="B1903" t="n">
        <v>190.1</v>
      </c>
      <c r="C1903" t="inlineStr">
        <is>
          <t>906</t>
        </is>
      </c>
      <c r="D1903" t="n">
        <v>9.06</v>
      </c>
      <c r="E1903">
        <f>MEDIAN(D1883:D1923)</f>
        <v/>
      </c>
      <c r="F1903">
        <f>E1883</f>
        <v/>
      </c>
      <c r="G1903">
        <f>F1903-E1903</f>
        <v/>
      </c>
      <c r="H1903">
        <f>IF(OR(NOT(ISNUMBER(D1903)),ABS(D1903-E1903)&gt;$O$3,AND($O$11=1,B1903&lt;$O$12)),1,0)</f>
        <v/>
      </c>
      <c r="I1903">
        <f>IF(H1903=1,NA(),D1903)</f>
        <v/>
      </c>
      <c r="J1903">
        <f>IF(AND(ISNUMBER(D1903),D1903&gt;=$O$4,OR($O$11=0,B1903&gt;=$O$12)),1,0)</f>
        <v/>
      </c>
      <c r="K1903">
        <f>B1903-$O$14</f>
        <v/>
      </c>
    </row>
    <row r="1904">
      <c r="A1904" t="n">
        <v>5706</v>
      </c>
      <c r="B1904" t="n">
        <v>190.2</v>
      </c>
      <c r="C1904" t="inlineStr">
        <is>
          <t>906</t>
        </is>
      </c>
      <c r="D1904" t="n">
        <v>9.06</v>
      </c>
      <c r="E1904">
        <f>MEDIAN(D1884:D1924)</f>
        <v/>
      </c>
      <c r="F1904">
        <f>E1884</f>
        <v/>
      </c>
      <c r="G1904">
        <f>F1904-E1904</f>
        <v/>
      </c>
      <c r="H1904">
        <f>IF(OR(NOT(ISNUMBER(D1904)),ABS(D1904-E1904)&gt;$O$3,AND($O$11=1,B1904&lt;$O$12)),1,0)</f>
        <v/>
      </c>
      <c r="I1904">
        <f>IF(H1904=1,NA(),D1904)</f>
        <v/>
      </c>
      <c r="J1904">
        <f>IF(AND(ISNUMBER(D1904),D1904&gt;=$O$4,OR($O$11=0,B1904&gt;=$O$12)),1,0)</f>
        <v/>
      </c>
      <c r="K1904">
        <f>B1904-$O$14</f>
        <v/>
      </c>
    </row>
    <row r="1905">
      <c r="A1905" t="n">
        <v>5709</v>
      </c>
      <c r="B1905" t="n">
        <v>190.3</v>
      </c>
      <c r="C1905" t="inlineStr">
        <is>
          <t>906</t>
        </is>
      </c>
      <c r="D1905" t="n">
        <v>9.06</v>
      </c>
      <c r="E1905">
        <f>MEDIAN(D1885:D1925)</f>
        <v/>
      </c>
      <c r="F1905">
        <f>E1885</f>
        <v/>
      </c>
      <c r="G1905">
        <f>F1905-E1905</f>
        <v/>
      </c>
      <c r="H1905">
        <f>IF(OR(NOT(ISNUMBER(D1905)),ABS(D1905-E1905)&gt;$O$3,AND($O$11=1,B1905&lt;$O$12)),1,0)</f>
        <v/>
      </c>
      <c r="I1905">
        <f>IF(H1905=1,NA(),D1905)</f>
        <v/>
      </c>
      <c r="J1905">
        <f>IF(AND(ISNUMBER(D1905),D1905&gt;=$O$4,OR($O$11=0,B1905&gt;=$O$12)),1,0)</f>
        <v/>
      </c>
      <c r="K1905">
        <f>B1905-$O$14</f>
        <v/>
      </c>
    </row>
    <row r="1906">
      <c r="A1906" t="n">
        <v>5712</v>
      </c>
      <c r="B1906" t="n">
        <v>190.4</v>
      </c>
      <c r="C1906" t="inlineStr">
        <is>
          <t>906</t>
        </is>
      </c>
      <c r="D1906" t="n">
        <v>9.06</v>
      </c>
      <c r="E1906">
        <f>MEDIAN(D1886:D1926)</f>
        <v/>
      </c>
      <c r="F1906">
        <f>E1886</f>
        <v/>
      </c>
      <c r="G1906">
        <f>F1906-E1906</f>
        <v/>
      </c>
      <c r="H1906">
        <f>IF(OR(NOT(ISNUMBER(D1906)),ABS(D1906-E1906)&gt;$O$3,AND($O$11=1,B1906&lt;$O$12)),1,0)</f>
        <v/>
      </c>
      <c r="I1906">
        <f>IF(H1906=1,NA(),D1906)</f>
        <v/>
      </c>
      <c r="J1906">
        <f>IF(AND(ISNUMBER(D1906),D1906&gt;=$O$4,OR($O$11=0,B1906&gt;=$O$12)),1,0)</f>
        <v/>
      </c>
      <c r="K1906">
        <f>B1906-$O$14</f>
        <v/>
      </c>
    </row>
    <row r="1907">
      <c r="A1907" t="n">
        <v>5715</v>
      </c>
      <c r="B1907" t="n">
        <v>190.5</v>
      </c>
      <c r="C1907" t="inlineStr">
        <is>
          <t>908</t>
        </is>
      </c>
      <c r="D1907" t="n">
        <v>9.08</v>
      </c>
      <c r="E1907">
        <f>MEDIAN(D1887:D1927)</f>
        <v/>
      </c>
      <c r="F1907">
        <f>E1887</f>
        <v/>
      </c>
      <c r="G1907">
        <f>F1907-E1907</f>
        <v/>
      </c>
      <c r="H1907">
        <f>IF(OR(NOT(ISNUMBER(D1907)),ABS(D1907-E1907)&gt;$O$3,AND($O$11=1,B1907&lt;$O$12)),1,0)</f>
        <v/>
      </c>
      <c r="I1907">
        <f>IF(H1907=1,NA(),D1907)</f>
        <v/>
      </c>
      <c r="J1907">
        <f>IF(AND(ISNUMBER(D1907),D1907&gt;=$O$4,OR($O$11=0,B1907&gt;=$O$12)),1,0)</f>
        <v/>
      </c>
      <c r="K1907">
        <f>B1907-$O$14</f>
        <v/>
      </c>
    </row>
    <row r="1908">
      <c r="A1908" t="n">
        <v>5718</v>
      </c>
      <c r="B1908" t="n">
        <v>190.6</v>
      </c>
      <c r="C1908" t="inlineStr">
        <is>
          <t>907</t>
        </is>
      </c>
      <c r="D1908" t="n">
        <v>9.07</v>
      </c>
      <c r="E1908">
        <f>MEDIAN(D1888:D1928)</f>
        <v/>
      </c>
      <c r="F1908">
        <f>E1888</f>
        <v/>
      </c>
      <c r="G1908">
        <f>F1908-E1908</f>
        <v/>
      </c>
      <c r="H1908">
        <f>IF(OR(NOT(ISNUMBER(D1908)),ABS(D1908-E1908)&gt;$O$3,AND($O$11=1,B1908&lt;$O$12)),1,0)</f>
        <v/>
      </c>
      <c r="I1908">
        <f>IF(H1908=1,NA(),D1908)</f>
        <v/>
      </c>
      <c r="J1908">
        <f>IF(AND(ISNUMBER(D1908),D1908&gt;=$O$4,OR($O$11=0,B1908&gt;=$O$12)),1,0)</f>
        <v/>
      </c>
      <c r="K1908">
        <f>B1908-$O$14</f>
        <v/>
      </c>
    </row>
    <row r="1909">
      <c r="A1909" t="n">
        <v>5721</v>
      </c>
      <c r="B1909" t="n">
        <v>190.7</v>
      </c>
      <c r="C1909" t="inlineStr">
        <is>
          <t>907</t>
        </is>
      </c>
      <c r="D1909" t="n">
        <v>9.07</v>
      </c>
      <c r="E1909">
        <f>MEDIAN(D1889:D1929)</f>
        <v/>
      </c>
      <c r="F1909">
        <f>E1889</f>
        <v/>
      </c>
      <c r="G1909">
        <f>F1909-E1909</f>
        <v/>
      </c>
      <c r="H1909">
        <f>IF(OR(NOT(ISNUMBER(D1909)),ABS(D1909-E1909)&gt;$O$3,AND($O$11=1,B1909&lt;$O$12)),1,0)</f>
        <v/>
      </c>
      <c r="I1909">
        <f>IF(H1909=1,NA(),D1909)</f>
        <v/>
      </c>
      <c r="J1909">
        <f>IF(AND(ISNUMBER(D1909),D1909&gt;=$O$4,OR($O$11=0,B1909&gt;=$O$12)),1,0)</f>
        <v/>
      </c>
      <c r="K1909">
        <f>B1909-$O$14</f>
        <v/>
      </c>
    </row>
    <row r="1910">
      <c r="A1910" t="n">
        <v>5724</v>
      </c>
      <c r="B1910" t="n">
        <v>190.8</v>
      </c>
      <c r="C1910" t="inlineStr">
        <is>
          <t>907</t>
        </is>
      </c>
      <c r="D1910" t="n">
        <v>9.07</v>
      </c>
      <c r="E1910">
        <f>MEDIAN(D1890:D1930)</f>
        <v/>
      </c>
      <c r="F1910">
        <f>E1890</f>
        <v/>
      </c>
      <c r="G1910">
        <f>F1910-E1910</f>
        <v/>
      </c>
      <c r="H1910">
        <f>IF(OR(NOT(ISNUMBER(D1910)),ABS(D1910-E1910)&gt;$O$3,AND($O$11=1,B1910&lt;$O$12)),1,0)</f>
        <v/>
      </c>
      <c r="I1910">
        <f>IF(H1910=1,NA(),D1910)</f>
        <v/>
      </c>
      <c r="J1910">
        <f>IF(AND(ISNUMBER(D1910),D1910&gt;=$O$4,OR($O$11=0,B1910&gt;=$O$12)),1,0)</f>
        <v/>
      </c>
      <c r="K1910">
        <f>B1910-$O$14</f>
        <v/>
      </c>
    </row>
    <row r="1911">
      <c r="A1911" t="n">
        <v>5727</v>
      </c>
      <c r="B1911" t="n">
        <v>190.9</v>
      </c>
      <c r="C1911" t="inlineStr">
        <is>
          <t>907</t>
        </is>
      </c>
      <c r="D1911" t="n">
        <v>9.07</v>
      </c>
      <c r="E1911">
        <f>MEDIAN(D1891:D1931)</f>
        <v/>
      </c>
      <c r="F1911">
        <f>E1891</f>
        <v/>
      </c>
      <c r="G1911">
        <f>F1911-E1911</f>
        <v/>
      </c>
      <c r="H1911">
        <f>IF(OR(NOT(ISNUMBER(D1911)),ABS(D1911-E1911)&gt;$O$3,AND($O$11=1,B1911&lt;$O$12)),1,0)</f>
        <v/>
      </c>
      <c r="I1911">
        <f>IF(H1911=1,NA(),D1911)</f>
        <v/>
      </c>
      <c r="J1911">
        <f>IF(AND(ISNUMBER(D1911),D1911&gt;=$O$4,OR($O$11=0,B1911&gt;=$O$12)),1,0)</f>
        <v/>
      </c>
      <c r="K1911">
        <f>B1911-$O$14</f>
        <v/>
      </c>
    </row>
    <row r="1912">
      <c r="A1912" t="n">
        <v>5730</v>
      </c>
      <c r="B1912" t="n">
        <v>191</v>
      </c>
      <c r="C1912" t="inlineStr">
        <is>
          <t>907</t>
        </is>
      </c>
      <c r="D1912" t="n">
        <v>9.07</v>
      </c>
      <c r="E1912">
        <f>MEDIAN(D1892:D1932)</f>
        <v/>
      </c>
      <c r="F1912">
        <f>E1892</f>
        <v/>
      </c>
      <c r="G1912">
        <f>F1912-E1912</f>
        <v/>
      </c>
      <c r="H1912">
        <f>IF(OR(NOT(ISNUMBER(D1912)),ABS(D1912-E1912)&gt;$O$3,AND($O$11=1,B1912&lt;$O$12)),1,0)</f>
        <v/>
      </c>
      <c r="I1912">
        <f>IF(H1912=1,NA(),D1912)</f>
        <v/>
      </c>
      <c r="J1912">
        <f>IF(AND(ISNUMBER(D1912),D1912&gt;=$O$4,OR($O$11=0,B1912&gt;=$O$12)),1,0)</f>
        <v/>
      </c>
      <c r="K1912">
        <f>B1912-$O$14</f>
        <v/>
      </c>
    </row>
    <row r="1913">
      <c r="A1913" t="n">
        <v>5733</v>
      </c>
      <c r="B1913" t="n">
        <v>191.1</v>
      </c>
      <c r="C1913" t="inlineStr">
        <is>
          <t>908</t>
        </is>
      </c>
      <c r="D1913" t="n">
        <v>9.08</v>
      </c>
      <c r="E1913">
        <f>MEDIAN(D1893:D1933)</f>
        <v/>
      </c>
      <c r="F1913">
        <f>E1893</f>
        <v/>
      </c>
      <c r="G1913">
        <f>F1913-E1913</f>
        <v/>
      </c>
      <c r="H1913">
        <f>IF(OR(NOT(ISNUMBER(D1913)),ABS(D1913-E1913)&gt;$O$3,AND($O$11=1,B1913&lt;$O$12)),1,0)</f>
        <v/>
      </c>
      <c r="I1913">
        <f>IF(H1913=1,NA(),D1913)</f>
        <v/>
      </c>
      <c r="J1913">
        <f>IF(AND(ISNUMBER(D1913),D1913&gt;=$O$4,OR($O$11=0,B1913&gt;=$O$12)),1,0)</f>
        <v/>
      </c>
      <c r="K1913">
        <f>B1913-$O$14</f>
        <v/>
      </c>
    </row>
    <row r="1914">
      <c r="A1914" t="n">
        <v>5736</v>
      </c>
      <c r="B1914" t="n">
        <v>191.2</v>
      </c>
      <c r="C1914" t="inlineStr">
        <is>
          <t>900</t>
        </is>
      </c>
      <c r="D1914" t="n">
        <v>9</v>
      </c>
      <c r="E1914">
        <f>MEDIAN(D1894:D1934)</f>
        <v/>
      </c>
      <c r="F1914">
        <f>E1894</f>
        <v/>
      </c>
      <c r="G1914">
        <f>F1914-E1914</f>
        <v/>
      </c>
      <c r="H1914">
        <f>IF(OR(NOT(ISNUMBER(D1914)),ABS(D1914-E1914)&gt;$O$3,AND($O$11=1,B1914&lt;$O$12)),1,0)</f>
        <v/>
      </c>
      <c r="I1914">
        <f>IF(H1914=1,NA(),D1914)</f>
        <v/>
      </c>
      <c r="J1914">
        <f>IF(AND(ISNUMBER(D1914),D1914&gt;=$O$4,OR($O$11=0,B1914&gt;=$O$12)),1,0)</f>
        <v/>
      </c>
      <c r="K1914">
        <f>B1914-$O$14</f>
        <v/>
      </c>
    </row>
    <row r="1915">
      <c r="A1915" t="n">
        <v>5739</v>
      </c>
      <c r="B1915" t="n">
        <v>191.3</v>
      </c>
      <c r="C1915" t="inlineStr">
        <is>
          <t>910</t>
        </is>
      </c>
      <c r="D1915" t="n">
        <v>9.1</v>
      </c>
      <c r="E1915">
        <f>MEDIAN(D1895:D1935)</f>
        <v/>
      </c>
      <c r="F1915">
        <f>E1895</f>
        <v/>
      </c>
      <c r="G1915">
        <f>F1915-E1915</f>
        <v/>
      </c>
      <c r="H1915">
        <f>IF(OR(NOT(ISNUMBER(D1915)),ABS(D1915-E1915)&gt;$O$3,AND($O$11=1,B1915&lt;$O$12)),1,0)</f>
        <v/>
      </c>
      <c r="I1915">
        <f>IF(H1915=1,NA(),D1915)</f>
        <v/>
      </c>
      <c r="J1915">
        <f>IF(AND(ISNUMBER(D1915),D1915&gt;=$O$4,OR($O$11=0,B1915&gt;=$O$12)),1,0)</f>
        <v/>
      </c>
      <c r="K1915">
        <f>B1915-$O$14</f>
        <v/>
      </c>
    </row>
    <row r="1916">
      <c r="A1916" t="n">
        <v>5742</v>
      </c>
      <c r="B1916" t="n">
        <v>191.4</v>
      </c>
      <c r="C1916" t="inlineStr">
        <is>
          <t>910</t>
        </is>
      </c>
      <c r="D1916" t="n">
        <v>9.1</v>
      </c>
      <c r="E1916">
        <f>MEDIAN(D1896:D1936)</f>
        <v/>
      </c>
      <c r="F1916">
        <f>E1896</f>
        <v/>
      </c>
      <c r="G1916">
        <f>F1916-E1916</f>
        <v/>
      </c>
      <c r="H1916">
        <f>IF(OR(NOT(ISNUMBER(D1916)),ABS(D1916-E1916)&gt;$O$3,AND($O$11=1,B1916&lt;$O$12)),1,0)</f>
        <v/>
      </c>
      <c r="I1916">
        <f>IF(H1916=1,NA(),D1916)</f>
        <v/>
      </c>
      <c r="J1916">
        <f>IF(AND(ISNUMBER(D1916),D1916&gt;=$O$4,OR($O$11=0,B1916&gt;=$O$12)),1,0)</f>
        <v/>
      </c>
      <c r="K1916">
        <f>B1916-$O$14</f>
        <v/>
      </c>
    </row>
    <row r="1917">
      <c r="A1917" t="n">
        <v>5745</v>
      </c>
      <c r="B1917" t="n">
        <v>191.5</v>
      </c>
      <c r="C1917" t="inlineStr">
        <is>
          <t>910</t>
        </is>
      </c>
      <c r="D1917" t="n">
        <v>9.1</v>
      </c>
      <c r="E1917">
        <f>MEDIAN(D1897:D1937)</f>
        <v/>
      </c>
      <c r="F1917">
        <f>E1897</f>
        <v/>
      </c>
      <c r="G1917">
        <f>F1917-E1917</f>
        <v/>
      </c>
      <c r="H1917">
        <f>IF(OR(NOT(ISNUMBER(D1917)),ABS(D1917-E1917)&gt;$O$3,AND($O$11=1,B1917&lt;$O$12)),1,0)</f>
        <v/>
      </c>
      <c r="I1917">
        <f>IF(H1917=1,NA(),D1917)</f>
        <v/>
      </c>
      <c r="J1917">
        <f>IF(AND(ISNUMBER(D1917),D1917&gt;=$O$4,OR($O$11=0,B1917&gt;=$O$12)),1,0)</f>
        <v/>
      </c>
      <c r="K1917">
        <f>B1917-$O$14</f>
        <v/>
      </c>
    </row>
    <row r="1918">
      <c r="A1918" t="n">
        <v>5748</v>
      </c>
      <c r="B1918" t="n">
        <v>191.6</v>
      </c>
      <c r="C1918" t="inlineStr">
        <is>
          <t>910</t>
        </is>
      </c>
      <c r="D1918" t="n">
        <v>9.1</v>
      </c>
      <c r="E1918">
        <f>MEDIAN(D1898:D1938)</f>
        <v/>
      </c>
      <c r="F1918">
        <f>E1898</f>
        <v/>
      </c>
      <c r="G1918">
        <f>F1918-E1918</f>
        <v/>
      </c>
      <c r="H1918">
        <f>IF(OR(NOT(ISNUMBER(D1918)),ABS(D1918-E1918)&gt;$O$3,AND($O$11=1,B1918&lt;$O$12)),1,0)</f>
        <v/>
      </c>
      <c r="I1918">
        <f>IF(H1918=1,NA(),D1918)</f>
        <v/>
      </c>
      <c r="J1918">
        <f>IF(AND(ISNUMBER(D1918),D1918&gt;=$O$4,OR($O$11=0,B1918&gt;=$O$12)),1,0)</f>
        <v/>
      </c>
      <c r="K1918">
        <f>B1918-$O$14</f>
        <v/>
      </c>
    </row>
    <row r="1919">
      <c r="A1919" t="n">
        <v>5751</v>
      </c>
      <c r="B1919" t="n">
        <v>191.7</v>
      </c>
      <c r="C1919" t="inlineStr">
        <is>
          <t>910</t>
        </is>
      </c>
      <c r="D1919" t="n">
        <v>9.1</v>
      </c>
      <c r="E1919">
        <f>MEDIAN(D1899:D1939)</f>
        <v/>
      </c>
      <c r="F1919">
        <f>E1899</f>
        <v/>
      </c>
      <c r="G1919">
        <f>F1919-E1919</f>
        <v/>
      </c>
      <c r="H1919">
        <f>IF(OR(NOT(ISNUMBER(D1919)),ABS(D1919-E1919)&gt;$O$3,AND($O$11=1,B1919&lt;$O$12)),1,0)</f>
        <v/>
      </c>
      <c r="I1919">
        <f>IF(H1919=1,NA(),D1919)</f>
        <v/>
      </c>
      <c r="J1919">
        <f>IF(AND(ISNUMBER(D1919),D1919&gt;=$O$4,OR($O$11=0,B1919&gt;=$O$12)),1,0)</f>
        <v/>
      </c>
      <c r="K1919">
        <f>B1919-$O$14</f>
        <v/>
      </c>
    </row>
    <row r="1920">
      <c r="A1920" t="n">
        <v>5754</v>
      </c>
      <c r="B1920" t="n">
        <v>191.8</v>
      </c>
      <c r="C1920" t="inlineStr">
        <is>
          <t>910</t>
        </is>
      </c>
      <c r="D1920" t="n">
        <v>9.1</v>
      </c>
      <c r="E1920">
        <f>MEDIAN(D1900:D1940)</f>
        <v/>
      </c>
      <c r="F1920">
        <f>E1900</f>
        <v/>
      </c>
      <c r="G1920">
        <f>F1920-E1920</f>
        <v/>
      </c>
      <c r="H1920">
        <f>IF(OR(NOT(ISNUMBER(D1920)),ABS(D1920-E1920)&gt;$O$3,AND($O$11=1,B1920&lt;$O$12)),1,0)</f>
        <v/>
      </c>
      <c r="I1920">
        <f>IF(H1920=1,NA(),D1920)</f>
        <v/>
      </c>
      <c r="J1920">
        <f>IF(AND(ISNUMBER(D1920),D1920&gt;=$O$4,OR($O$11=0,B1920&gt;=$O$12)),1,0)</f>
        <v/>
      </c>
      <c r="K1920">
        <f>B1920-$O$14</f>
        <v/>
      </c>
    </row>
    <row r="1921">
      <c r="A1921" t="n">
        <v>5757</v>
      </c>
      <c r="B1921" t="n">
        <v>191.9</v>
      </c>
      <c r="C1921" t="inlineStr">
        <is>
          <t>910</t>
        </is>
      </c>
      <c r="D1921" t="n">
        <v>9.1</v>
      </c>
      <c r="E1921">
        <f>MEDIAN(D1901:D1941)</f>
        <v/>
      </c>
      <c r="F1921">
        <f>E1901</f>
        <v/>
      </c>
      <c r="G1921">
        <f>F1921-E1921</f>
        <v/>
      </c>
      <c r="H1921">
        <f>IF(OR(NOT(ISNUMBER(D1921)),ABS(D1921-E1921)&gt;$O$3,AND($O$11=1,B1921&lt;$O$12)),1,0)</f>
        <v/>
      </c>
      <c r="I1921">
        <f>IF(H1921=1,NA(),D1921)</f>
        <v/>
      </c>
      <c r="J1921">
        <f>IF(AND(ISNUMBER(D1921),D1921&gt;=$O$4,OR($O$11=0,B1921&gt;=$O$12)),1,0)</f>
        <v/>
      </c>
      <c r="K1921">
        <f>B1921-$O$14</f>
        <v/>
      </c>
    </row>
    <row r="1922">
      <c r="A1922" t="n">
        <v>5760</v>
      </c>
      <c r="B1922" t="n">
        <v>192</v>
      </c>
      <c r="C1922" t="inlineStr">
        <is>
          <t>910</t>
        </is>
      </c>
      <c r="D1922" t="n">
        <v>9.1</v>
      </c>
      <c r="E1922">
        <f>MEDIAN(D1902:D1942)</f>
        <v/>
      </c>
      <c r="F1922">
        <f>E1902</f>
        <v/>
      </c>
      <c r="G1922">
        <f>F1922-E1922</f>
        <v/>
      </c>
      <c r="H1922">
        <f>IF(OR(NOT(ISNUMBER(D1922)),ABS(D1922-E1922)&gt;$O$3,AND($O$11=1,B1922&lt;$O$12)),1,0)</f>
        <v/>
      </c>
      <c r="I1922">
        <f>IF(H1922=1,NA(),D1922)</f>
        <v/>
      </c>
      <c r="J1922">
        <f>IF(AND(ISNUMBER(D1922),D1922&gt;=$O$4,OR($O$11=0,B1922&gt;=$O$12)),1,0)</f>
        <v/>
      </c>
      <c r="K1922">
        <f>B1922-$O$14</f>
        <v/>
      </c>
    </row>
    <row r="1923">
      <c r="A1923" t="n">
        <v>5763</v>
      </c>
      <c r="B1923" t="n">
        <v>192.1</v>
      </c>
      <c r="C1923" t="inlineStr">
        <is>
          <t>909</t>
        </is>
      </c>
      <c r="D1923" t="n">
        <v>9.09</v>
      </c>
      <c r="E1923">
        <f>MEDIAN(D1903:D1943)</f>
        <v/>
      </c>
      <c r="F1923">
        <f>E1903</f>
        <v/>
      </c>
      <c r="G1923">
        <f>F1923-E1923</f>
        <v/>
      </c>
      <c r="H1923">
        <f>IF(OR(NOT(ISNUMBER(D1923)),ABS(D1923-E1923)&gt;$O$3,AND($O$11=1,B1923&lt;$O$12)),1,0)</f>
        <v/>
      </c>
      <c r="I1923">
        <f>IF(H1923=1,NA(),D1923)</f>
        <v/>
      </c>
      <c r="J1923">
        <f>IF(AND(ISNUMBER(D1923),D1923&gt;=$O$4,OR($O$11=0,B1923&gt;=$O$12)),1,0)</f>
        <v/>
      </c>
      <c r="K1923">
        <f>B1923-$O$14</f>
        <v/>
      </c>
    </row>
    <row r="1924">
      <c r="A1924" t="n">
        <v>5766</v>
      </c>
      <c r="B1924" t="n">
        <v>192.2</v>
      </c>
      <c r="C1924" t="inlineStr">
        <is>
          <t>909</t>
        </is>
      </c>
      <c r="D1924" t="n">
        <v>9.09</v>
      </c>
      <c r="E1924">
        <f>MEDIAN(D1904:D1944)</f>
        <v/>
      </c>
      <c r="F1924">
        <f>E1904</f>
        <v/>
      </c>
      <c r="G1924">
        <f>F1924-E1924</f>
        <v/>
      </c>
      <c r="H1924">
        <f>IF(OR(NOT(ISNUMBER(D1924)),ABS(D1924-E1924)&gt;$O$3,AND($O$11=1,B1924&lt;$O$12)),1,0)</f>
        <v/>
      </c>
      <c r="I1924">
        <f>IF(H1924=1,NA(),D1924)</f>
        <v/>
      </c>
      <c r="J1924">
        <f>IF(AND(ISNUMBER(D1924),D1924&gt;=$O$4,OR($O$11=0,B1924&gt;=$O$12)),1,0)</f>
        <v/>
      </c>
      <c r="K1924">
        <f>B1924-$O$14</f>
        <v/>
      </c>
    </row>
    <row r="1925">
      <c r="A1925" t="n">
        <v>5769</v>
      </c>
      <c r="B1925" t="n">
        <v>192.3</v>
      </c>
      <c r="C1925" t="inlineStr">
        <is>
          <t>909</t>
        </is>
      </c>
      <c r="D1925" t="n">
        <v>9.09</v>
      </c>
      <c r="E1925">
        <f>MEDIAN(D1905:D1945)</f>
        <v/>
      </c>
      <c r="F1925">
        <f>E1905</f>
        <v/>
      </c>
      <c r="G1925">
        <f>F1925-E1925</f>
        <v/>
      </c>
      <c r="H1925">
        <f>IF(OR(NOT(ISNUMBER(D1925)),ABS(D1925-E1925)&gt;$O$3,AND($O$11=1,B1925&lt;$O$12)),1,0)</f>
        <v/>
      </c>
      <c r="I1925">
        <f>IF(H1925=1,NA(),D1925)</f>
        <v/>
      </c>
      <c r="J1925">
        <f>IF(AND(ISNUMBER(D1925),D1925&gt;=$O$4,OR($O$11=0,B1925&gt;=$O$12)),1,0)</f>
        <v/>
      </c>
      <c r="K1925">
        <f>B1925-$O$14</f>
        <v/>
      </c>
    </row>
    <row r="1926">
      <c r="A1926" t="n">
        <v>5772</v>
      </c>
      <c r="B1926" t="n">
        <v>192.4</v>
      </c>
      <c r="C1926" t="inlineStr">
        <is>
          <t>909</t>
        </is>
      </c>
      <c r="D1926" t="n">
        <v>9.09</v>
      </c>
      <c r="E1926">
        <f>MEDIAN(D1906:D1946)</f>
        <v/>
      </c>
      <c r="F1926">
        <f>E1906</f>
        <v/>
      </c>
      <c r="G1926">
        <f>F1926-E1926</f>
        <v/>
      </c>
      <c r="H1926">
        <f>IF(OR(NOT(ISNUMBER(D1926)),ABS(D1926-E1926)&gt;$O$3,AND($O$11=1,B1926&lt;$O$12)),1,0)</f>
        <v/>
      </c>
      <c r="I1926">
        <f>IF(H1926=1,NA(),D1926)</f>
        <v/>
      </c>
      <c r="J1926">
        <f>IF(AND(ISNUMBER(D1926),D1926&gt;=$O$4,OR($O$11=0,B1926&gt;=$O$12)),1,0)</f>
        <v/>
      </c>
      <c r="K1926">
        <f>B1926-$O$14</f>
        <v/>
      </c>
    </row>
    <row r="1927">
      <c r="A1927" t="n">
        <v>5775</v>
      </c>
      <c r="B1927" t="n">
        <v>192.5</v>
      </c>
      <c r="C1927" t="inlineStr">
        <is>
          <t>909</t>
        </is>
      </c>
      <c r="D1927" t="n">
        <v>9.09</v>
      </c>
      <c r="E1927">
        <f>MEDIAN(D1907:D1947)</f>
        <v/>
      </c>
      <c r="F1927">
        <f>E1907</f>
        <v/>
      </c>
      <c r="G1927">
        <f>F1927-E1927</f>
        <v/>
      </c>
      <c r="H1927">
        <f>IF(OR(NOT(ISNUMBER(D1927)),ABS(D1927-E1927)&gt;$O$3,AND($O$11=1,B1927&lt;$O$12)),1,0)</f>
        <v/>
      </c>
      <c r="I1927">
        <f>IF(H1927=1,NA(),D1927)</f>
        <v/>
      </c>
      <c r="J1927">
        <f>IF(AND(ISNUMBER(D1927),D1927&gt;=$O$4,OR($O$11=0,B1927&gt;=$O$12)),1,0)</f>
        <v/>
      </c>
      <c r="K1927">
        <f>B1927-$O$14</f>
        <v/>
      </c>
    </row>
    <row r="1928">
      <c r="A1928" t="n">
        <v>5778</v>
      </c>
      <c r="B1928" t="n">
        <v>192.6</v>
      </c>
      <c r="C1928" t="inlineStr">
        <is>
          <t>909</t>
        </is>
      </c>
      <c r="D1928" t="n">
        <v>9.09</v>
      </c>
      <c r="E1928">
        <f>MEDIAN(D1908:D1948)</f>
        <v/>
      </c>
      <c r="F1928">
        <f>E1908</f>
        <v/>
      </c>
      <c r="G1928">
        <f>F1928-E1928</f>
        <v/>
      </c>
      <c r="H1928">
        <f>IF(OR(NOT(ISNUMBER(D1928)),ABS(D1928-E1928)&gt;$O$3,AND($O$11=1,B1928&lt;$O$12)),1,0)</f>
        <v/>
      </c>
      <c r="I1928">
        <f>IF(H1928=1,NA(),D1928)</f>
        <v/>
      </c>
      <c r="J1928">
        <f>IF(AND(ISNUMBER(D1928),D1928&gt;=$O$4,OR($O$11=0,B1928&gt;=$O$12)),1,0)</f>
        <v/>
      </c>
      <c r="K1928">
        <f>B1928-$O$14</f>
        <v/>
      </c>
    </row>
    <row r="1929">
      <c r="A1929" t="n">
        <v>5781</v>
      </c>
      <c r="B1929" t="n">
        <v>192.7</v>
      </c>
      <c r="C1929" t="inlineStr">
        <is>
          <t>909</t>
        </is>
      </c>
      <c r="D1929" t="n">
        <v>9.09</v>
      </c>
      <c r="E1929">
        <f>MEDIAN(D1909:D1949)</f>
        <v/>
      </c>
      <c r="F1929">
        <f>E1909</f>
        <v/>
      </c>
      <c r="G1929">
        <f>F1929-E1929</f>
        <v/>
      </c>
      <c r="H1929">
        <f>IF(OR(NOT(ISNUMBER(D1929)),ABS(D1929-E1929)&gt;$O$3,AND($O$11=1,B1929&lt;$O$12)),1,0)</f>
        <v/>
      </c>
      <c r="I1929">
        <f>IF(H1929=1,NA(),D1929)</f>
        <v/>
      </c>
      <c r="J1929">
        <f>IF(AND(ISNUMBER(D1929),D1929&gt;=$O$4,OR($O$11=0,B1929&gt;=$O$12)),1,0)</f>
        <v/>
      </c>
      <c r="K1929">
        <f>B1929-$O$14</f>
        <v/>
      </c>
    </row>
    <row r="1930">
      <c r="A1930" t="n">
        <v>5784</v>
      </c>
      <c r="B1930" t="n">
        <v>192.8</v>
      </c>
      <c r="C1930" t="inlineStr">
        <is>
          <t>909</t>
        </is>
      </c>
      <c r="D1930" t="n">
        <v>9.09</v>
      </c>
      <c r="E1930">
        <f>MEDIAN(D1910:D1950)</f>
        <v/>
      </c>
      <c r="F1930">
        <f>E1910</f>
        <v/>
      </c>
      <c r="G1930">
        <f>F1930-E1930</f>
        <v/>
      </c>
      <c r="H1930">
        <f>IF(OR(NOT(ISNUMBER(D1930)),ABS(D1930-E1930)&gt;$O$3,AND($O$11=1,B1930&lt;$O$12)),1,0)</f>
        <v/>
      </c>
      <c r="I1930">
        <f>IF(H1930=1,NA(),D1930)</f>
        <v/>
      </c>
      <c r="J1930">
        <f>IF(AND(ISNUMBER(D1930),D1930&gt;=$O$4,OR($O$11=0,B1930&gt;=$O$12)),1,0)</f>
        <v/>
      </c>
      <c r="K1930">
        <f>B1930-$O$14</f>
        <v/>
      </c>
    </row>
    <row r="1931">
      <c r="A1931" t="n">
        <v>5787</v>
      </c>
      <c r="B1931" t="n">
        <v>192.9</v>
      </c>
      <c r="C1931" t="inlineStr">
        <is>
          <t>909</t>
        </is>
      </c>
      <c r="D1931" t="n">
        <v>9.09</v>
      </c>
      <c r="E1931">
        <f>MEDIAN(D1911:D1951)</f>
        <v/>
      </c>
      <c r="F1931">
        <f>E1911</f>
        <v/>
      </c>
      <c r="G1931">
        <f>F1931-E1931</f>
        <v/>
      </c>
      <c r="H1931">
        <f>IF(OR(NOT(ISNUMBER(D1931)),ABS(D1931-E1931)&gt;$O$3,AND($O$11=1,B1931&lt;$O$12)),1,0)</f>
        <v/>
      </c>
      <c r="I1931">
        <f>IF(H1931=1,NA(),D1931)</f>
        <v/>
      </c>
      <c r="J1931">
        <f>IF(AND(ISNUMBER(D1931),D1931&gt;=$O$4,OR($O$11=0,B1931&gt;=$O$12)),1,0)</f>
        <v/>
      </c>
      <c r="K1931">
        <f>B1931-$O$14</f>
        <v/>
      </c>
    </row>
    <row r="1932">
      <c r="A1932" t="n">
        <v>5790</v>
      </c>
      <c r="B1932" t="n">
        <v>193</v>
      </c>
      <c r="C1932" t="inlineStr">
        <is>
          <t>909</t>
        </is>
      </c>
      <c r="D1932" t="n">
        <v>9.09</v>
      </c>
      <c r="E1932">
        <f>MEDIAN(D1912:D1952)</f>
        <v/>
      </c>
      <c r="F1932">
        <f>E1912</f>
        <v/>
      </c>
      <c r="G1932">
        <f>F1932-E1932</f>
        <v/>
      </c>
      <c r="H1932">
        <f>IF(OR(NOT(ISNUMBER(D1932)),ABS(D1932-E1932)&gt;$O$3,AND($O$11=1,B1932&lt;$O$12)),1,0)</f>
        <v/>
      </c>
      <c r="I1932">
        <f>IF(H1932=1,NA(),D1932)</f>
        <v/>
      </c>
      <c r="J1932">
        <f>IF(AND(ISNUMBER(D1932),D1932&gt;=$O$4,OR($O$11=0,B1932&gt;=$O$12)),1,0)</f>
        <v/>
      </c>
      <c r="K1932">
        <f>B1932-$O$14</f>
        <v/>
      </c>
    </row>
    <row r="1933">
      <c r="A1933" t="n">
        <v>5793</v>
      </c>
      <c r="B1933" t="n">
        <v>193.1</v>
      </c>
      <c r="C1933" t="inlineStr">
        <is>
          <t>909</t>
        </is>
      </c>
      <c r="D1933" t="n">
        <v>9.09</v>
      </c>
      <c r="E1933">
        <f>MEDIAN(D1913:D1953)</f>
        <v/>
      </c>
      <c r="F1933">
        <f>E1913</f>
        <v/>
      </c>
      <c r="G1933">
        <f>F1933-E1933</f>
        <v/>
      </c>
      <c r="H1933">
        <f>IF(OR(NOT(ISNUMBER(D1933)),ABS(D1933-E1933)&gt;$O$3,AND($O$11=1,B1933&lt;$O$12)),1,0)</f>
        <v/>
      </c>
      <c r="I1933">
        <f>IF(H1933=1,NA(),D1933)</f>
        <v/>
      </c>
      <c r="J1933">
        <f>IF(AND(ISNUMBER(D1933),D1933&gt;=$O$4,OR($O$11=0,B1933&gt;=$O$12)),1,0)</f>
        <v/>
      </c>
      <c r="K1933">
        <f>B1933-$O$14</f>
        <v/>
      </c>
    </row>
    <row r="1934">
      <c r="A1934" t="n">
        <v>5796</v>
      </c>
      <c r="B1934" t="n">
        <v>193.2</v>
      </c>
      <c r="C1934" t="inlineStr">
        <is>
          <t>909</t>
        </is>
      </c>
      <c r="D1934" t="n">
        <v>9.09</v>
      </c>
      <c r="E1934">
        <f>MEDIAN(D1914:D1954)</f>
        <v/>
      </c>
      <c r="F1934">
        <f>E1914</f>
        <v/>
      </c>
      <c r="G1934">
        <f>F1934-E1934</f>
        <v/>
      </c>
      <c r="H1934">
        <f>IF(OR(NOT(ISNUMBER(D1934)),ABS(D1934-E1934)&gt;$O$3,AND($O$11=1,B1934&lt;$O$12)),1,0)</f>
        <v/>
      </c>
      <c r="I1934">
        <f>IF(H1934=1,NA(),D1934)</f>
        <v/>
      </c>
      <c r="J1934">
        <f>IF(AND(ISNUMBER(D1934),D1934&gt;=$O$4,OR($O$11=0,B1934&gt;=$O$12)),1,0)</f>
        <v/>
      </c>
      <c r="K1934">
        <f>B1934-$O$14</f>
        <v/>
      </c>
    </row>
    <row r="1935">
      <c r="A1935" t="n">
        <v>5799</v>
      </c>
      <c r="B1935" t="n">
        <v>193.3</v>
      </c>
      <c r="C1935" t="inlineStr">
        <is>
          <t>909</t>
        </is>
      </c>
      <c r="D1935" t="n">
        <v>9.09</v>
      </c>
      <c r="E1935">
        <f>MEDIAN(D1915:D1955)</f>
        <v/>
      </c>
      <c r="F1935">
        <f>E1915</f>
        <v/>
      </c>
      <c r="G1935">
        <f>F1935-E1935</f>
        <v/>
      </c>
      <c r="H1935">
        <f>IF(OR(NOT(ISNUMBER(D1935)),ABS(D1935-E1935)&gt;$O$3,AND($O$11=1,B1935&lt;$O$12)),1,0)</f>
        <v/>
      </c>
      <c r="I1935">
        <f>IF(H1935=1,NA(),D1935)</f>
        <v/>
      </c>
      <c r="J1935">
        <f>IF(AND(ISNUMBER(D1935),D1935&gt;=$O$4,OR($O$11=0,B1935&gt;=$O$12)),1,0)</f>
        <v/>
      </c>
      <c r="K1935">
        <f>B1935-$O$14</f>
        <v/>
      </c>
    </row>
    <row r="1936">
      <c r="A1936" t="n">
        <v>5802</v>
      </c>
      <c r="B1936" t="n">
        <v>193.4</v>
      </c>
      <c r="C1936" t="inlineStr">
        <is>
          <t>909</t>
        </is>
      </c>
      <c r="D1936" t="n">
        <v>9.09</v>
      </c>
      <c r="E1936">
        <f>MEDIAN(D1916:D1956)</f>
        <v/>
      </c>
      <c r="F1936">
        <f>E1916</f>
        <v/>
      </c>
      <c r="G1936">
        <f>F1936-E1936</f>
        <v/>
      </c>
      <c r="H1936">
        <f>IF(OR(NOT(ISNUMBER(D1936)),ABS(D1936-E1936)&gt;$O$3,AND($O$11=1,B1936&lt;$O$12)),1,0)</f>
        <v/>
      </c>
      <c r="I1936">
        <f>IF(H1936=1,NA(),D1936)</f>
        <v/>
      </c>
      <c r="J1936">
        <f>IF(AND(ISNUMBER(D1936),D1936&gt;=$O$4,OR($O$11=0,B1936&gt;=$O$12)),1,0)</f>
        <v/>
      </c>
      <c r="K1936">
        <f>B1936-$O$14</f>
        <v/>
      </c>
    </row>
    <row r="1937">
      <c r="A1937" t="n">
        <v>5805</v>
      </c>
      <c r="B1937" t="n">
        <v>193.5</v>
      </c>
      <c r="C1937" t="inlineStr">
        <is>
          <t>909</t>
        </is>
      </c>
      <c r="D1937" t="n">
        <v>9.09</v>
      </c>
      <c r="E1937">
        <f>MEDIAN(D1917:D1957)</f>
        <v/>
      </c>
      <c r="F1937">
        <f>E1917</f>
        <v/>
      </c>
      <c r="G1937">
        <f>F1937-E1937</f>
        <v/>
      </c>
      <c r="H1937">
        <f>IF(OR(NOT(ISNUMBER(D1937)),ABS(D1937-E1937)&gt;$O$3,AND($O$11=1,B1937&lt;$O$12)),1,0)</f>
        <v/>
      </c>
      <c r="I1937">
        <f>IF(H1937=1,NA(),D1937)</f>
        <v/>
      </c>
      <c r="J1937">
        <f>IF(AND(ISNUMBER(D1937),D1937&gt;=$O$4,OR($O$11=0,B1937&gt;=$O$12)),1,0)</f>
        <v/>
      </c>
      <c r="K1937">
        <f>B1937-$O$14</f>
        <v/>
      </c>
    </row>
    <row r="1938">
      <c r="A1938" t="n">
        <v>5808</v>
      </c>
      <c r="B1938" t="n">
        <v>193.6</v>
      </c>
      <c r="C1938" t="inlineStr">
        <is>
          <t>909</t>
        </is>
      </c>
      <c r="D1938" t="n">
        <v>9.09</v>
      </c>
      <c r="E1938">
        <f>MEDIAN(D1918:D1958)</f>
        <v/>
      </c>
      <c r="F1938">
        <f>E1918</f>
        <v/>
      </c>
      <c r="G1938">
        <f>F1938-E1938</f>
        <v/>
      </c>
      <c r="H1938">
        <f>IF(OR(NOT(ISNUMBER(D1938)),ABS(D1938-E1938)&gt;$O$3,AND($O$11=1,B1938&lt;$O$12)),1,0)</f>
        <v/>
      </c>
      <c r="I1938">
        <f>IF(H1938=1,NA(),D1938)</f>
        <v/>
      </c>
      <c r="J1938">
        <f>IF(AND(ISNUMBER(D1938),D1938&gt;=$O$4,OR($O$11=0,B1938&gt;=$O$12)),1,0)</f>
        <v/>
      </c>
      <c r="K1938">
        <f>B1938-$O$14</f>
        <v/>
      </c>
    </row>
    <row r="1939">
      <c r="A1939" t="n">
        <v>5811</v>
      </c>
      <c r="B1939" t="n">
        <v>193.7</v>
      </c>
      <c r="C1939" t="inlineStr">
        <is>
          <t>909</t>
        </is>
      </c>
      <c r="D1939" t="n">
        <v>9.09</v>
      </c>
      <c r="E1939">
        <f>MEDIAN(D1919:D1959)</f>
        <v/>
      </c>
      <c r="F1939">
        <f>E1919</f>
        <v/>
      </c>
      <c r="G1939">
        <f>F1939-E1939</f>
        <v/>
      </c>
      <c r="H1939">
        <f>IF(OR(NOT(ISNUMBER(D1939)),ABS(D1939-E1939)&gt;$O$3,AND($O$11=1,B1939&lt;$O$12)),1,0)</f>
        <v/>
      </c>
      <c r="I1939">
        <f>IF(H1939=1,NA(),D1939)</f>
        <v/>
      </c>
      <c r="J1939">
        <f>IF(AND(ISNUMBER(D1939),D1939&gt;=$O$4,OR($O$11=0,B1939&gt;=$O$12)),1,0)</f>
        <v/>
      </c>
      <c r="K1939">
        <f>B1939-$O$14</f>
        <v/>
      </c>
    </row>
    <row r="1940">
      <c r="A1940" t="n">
        <v>5814</v>
      </c>
      <c r="B1940" t="n">
        <v>193.8</v>
      </c>
      <c r="C1940" t="inlineStr">
        <is>
          <t>909</t>
        </is>
      </c>
      <c r="D1940" t="n">
        <v>9.09</v>
      </c>
      <c r="E1940">
        <f>MEDIAN(D1920:D1960)</f>
        <v/>
      </c>
      <c r="F1940">
        <f>E1920</f>
        <v/>
      </c>
      <c r="G1940">
        <f>F1940-E1940</f>
        <v/>
      </c>
      <c r="H1940">
        <f>IF(OR(NOT(ISNUMBER(D1940)),ABS(D1940-E1940)&gt;$O$3,AND($O$11=1,B1940&lt;$O$12)),1,0)</f>
        <v/>
      </c>
      <c r="I1940">
        <f>IF(H1940=1,NA(),D1940)</f>
        <v/>
      </c>
      <c r="J1940">
        <f>IF(AND(ISNUMBER(D1940),D1940&gt;=$O$4,OR($O$11=0,B1940&gt;=$O$12)),1,0)</f>
        <v/>
      </c>
      <c r="K1940">
        <f>B1940-$O$14</f>
        <v/>
      </c>
    </row>
    <row r="1941">
      <c r="A1941" t="n">
        <v>5817</v>
      </c>
      <c r="B1941" t="n">
        <v>193.9</v>
      </c>
      <c r="C1941" t="inlineStr">
        <is>
          <t>910</t>
        </is>
      </c>
      <c r="D1941" t="n">
        <v>9.1</v>
      </c>
      <c r="E1941">
        <f>MEDIAN(D1921:D1961)</f>
        <v/>
      </c>
      <c r="F1941">
        <f>E1921</f>
        <v/>
      </c>
      <c r="G1941">
        <f>F1941-E1941</f>
        <v/>
      </c>
      <c r="H1941">
        <f>IF(OR(NOT(ISNUMBER(D1941)),ABS(D1941-E1941)&gt;$O$3,AND($O$11=1,B1941&lt;$O$12)),1,0)</f>
        <v/>
      </c>
      <c r="I1941">
        <f>IF(H1941=1,NA(),D1941)</f>
        <v/>
      </c>
      <c r="J1941">
        <f>IF(AND(ISNUMBER(D1941),D1941&gt;=$O$4,OR($O$11=0,B1941&gt;=$O$12)),1,0)</f>
        <v/>
      </c>
      <c r="K1941">
        <f>B1941-$O$14</f>
        <v/>
      </c>
    </row>
    <row r="1942">
      <c r="A1942" t="n">
        <v>5820</v>
      </c>
      <c r="B1942" t="n">
        <v>194</v>
      </c>
      <c r="C1942" t="inlineStr">
        <is>
          <t>910</t>
        </is>
      </c>
      <c r="D1942" t="n">
        <v>9.1</v>
      </c>
      <c r="E1942">
        <f>MEDIAN(D1922:D1962)</f>
        <v/>
      </c>
      <c r="F1942">
        <f>E1922</f>
        <v/>
      </c>
      <c r="G1942">
        <f>F1942-E1942</f>
        <v/>
      </c>
      <c r="H1942">
        <f>IF(OR(NOT(ISNUMBER(D1942)),ABS(D1942-E1942)&gt;$O$3,AND($O$11=1,B1942&lt;$O$12)),1,0)</f>
        <v/>
      </c>
      <c r="I1942">
        <f>IF(H1942=1,NA(),D1942)</f>
        <v/>
      </c>
      <c r="J1942">
        <f>IF(AND(ISNUMBER(D1942),D1942&gt;=$O$4,OR($O$11=0,B1942&gt;=$O$12)),1,0)</f>
        <v/>
      </c>
      <c r="K1942">
        <f>B1942-$O$14</f>
        <v/>
      </c>
    </row>
    <row r="1943">
      <c r="A1943" t="n">
        <v>5823</v>
      </c>
      <c r="B1943" t="n">
        <v>194.1</v>
      </c>
      <c r="C1943" t="inlineStr">
        <is>
          <t>910</t>
        </is>
      </c>
      <c r="D1943" t="n">
        <v>9.1</v>
      </c>
      <c r="E1943">
        <f>MEDIAN(D1923:D1963)</f>
        <v/>
      </c>
      <c r="F1943">
        <f>E1923</f>
        <v/>
      </c>
      <c r="G1943">
        <f>F1943-E1943</f>
        <v/>
      </c>
      <c r="H1943">
        <f>IF(OR(NOT(ISNUMBER(D1943)),ABS(D1943-E1943)&gt;$O$3,AND($O$11=1,B1943&lt;$O$12)),1,0)</f>
        <v/>
      </c>
      <c r="I1943">
        <f>IF(H1943=1,NA(),D1943)</f>
        <v/>
      </c>
      <c r="J1943">
        <f>IF(AND(ISNUMBER(D1943),D1943&gt;=$O$4,OR($O$11=0,B1943&gt;=$O$12)),1,0)</f>
        <v/>
      </c>
      <c r="K1943">
        <f>B1943-$O$14</f>
        <v/>
      </c>
    </row>
    <row r="1944">
      <c r="A1944" t="n">
        <v>5826</v>
      </c>
      <c r="B1944" t="n">
        <v>194.2</v>
      </c>
      <c r="C1944" t="inlineStr">
        <is>
          <t>910</t>
        </is>
      </c>
      <c r="D1944" t="n">
        <v>9.1</v>
      </c>
      <c r="E1944">
        <f>MEDIAN(D1924:D1964)</f>
        <v/>
      </c>
      <c r="F1944">
        <f>E1924</f>
        <v/>
      </c>
      <c r="G1944">
        <f>F1944-E1944</f>
        <v/>
      </c>
      <c r="H1944">
        <f>IF(OR(NOT(ISNUMBER(D1944)),ABS(D1944-E1944)&gt;$O$3,AND($O$11=1,B1944&lt;$O$12)),1,0)</f>
        <v/>
      </c>
      <c r="I1944">
        <f>IF(H1944=1,NA(),D1944)</f>
        <v/>
      </c>
      <c r="J1944">
        <f>IF(AND(ISNUMBER(D1944),D1944&gt;=$O$4,OR($O$11=0,B1944&gt;=$O$12)),1,0)</f>
        <v/>
      </c>
      <c r="K1944">
        <f>B1944-$O$14</f>
        <v/>
      </c>
    </row>
    <row r="1945">
      <c r="A1945" t="n">
        <v>5829</v>
      </c>
      <c r="B1945" t="n">
        <v>194.3</v>
      </c>
      <c r="C1945" t="inlineStr">
        <is>
          <t>910</t>
        </is>
      </c>
      <c r="D1945" t="n">
        <v>9.1</v>
      </c>
      <c r="E1945">
        <f>MEDIAN(D1925:D1965)</f>
        <v/>
      </c>
      <c r="F1945">
        <f>E1925</f>
        <v/>
      </c>
      <c r="G1945">
        <f>F1945-E1945</f>
        <v/>
      </c>
      <c r="H1945">
        <f>IF(OR(NOT(ISNUMBER(D1945)),ABS(D1945-E1945)&gt;$O$3,AND($O$11=1,B1945&lt;$O$12)),1,0)</f>
        <v/>
      </c>
      <c r="I1945">
        <f>IF(H1945=1,NA(),D1945)</f>
        <v/>
      </c>
      <c r="J1945">
        <f>IF(AND(ISNUMBER(D1945),D1945&gt;=$O$4,OR($O$11=0,B1945&gt;=$O$12)),1,0)</f>
        <v/>
      </c>
      <c r="K1945">
        <f>B1945-$O$14</f>
        <v/>
      </c>
    </row>
    <row r="1946">
      <c r="A1946" t="n">
        <v>5832</v>
      </c>
      <c r="B1946" t="n">
        <v>194.4</v>
      </c>
      <c r="C1946" t="inlineStr">
        <is>
          <t>910</t>
        </is>
      </c>
      <c r="D1946" t="n">
        <v>9.1</v>
      </c>
      <c r="E1946">
        <f>MEDIAN(D1926:D1966)</f>
        <v/>
      </c>
      <c r="F1946">
        <f>E1926</f>
        <v/>
      </c>
      <c r="G1946">
        <f>F1946-E1946</f>
        <v/>
      </c>
      <c r="H1946">
        <f>IF(OR(NOT(ISNUMBER(D1946)),ABS(D1946-E1946)&gt;$O$3,AND($O$11=1,B1946&lt;$O$12)),1,0)</f>
        <v/>
      </c>
      <c r="I1946">
        <f>IF(H1946=1,NA(),D1946)</f>
        <v/>
      </c>
      <c r="J1946">
        <f>IF(AND(ISNUMBER(D1946),D1946&gt;=$O$4,OR($O$11=0,B1946&gt;=$O$12)),1,0)</f>
        <v/>
      </c>
      <c r="K1946">
        <f>B1946-$O$14</f>
        <v/>
      </c>
    </row>
    <row r="1947">
      <c r="A1947" t="n">
        <v>5835</v>
      </c>
      <c r="B1947" t="n">
        <v>194.5</v>
      </c>
      <c r="C1947" t="inlineStr">
        <is>
          <t>910</t>
        </is>
      </c>
      <c r="D1947" t="n">
        <v>9.1</v>
      </c>
      <c r="E1947">
        <f>MEDIAN(D1927:D1967)</f>
        <v/>
      </c>
      <c r="F1947">
        <f>E1927</f>
        <v/>
      </c>
      <c r="G1947">
        <f>F1947-E1947</f>
        <v/>
      </c>
      <c r="H1947">
        <f>IF(OR(NOT(ISNUMBER(D1947)),ABS(D1947-E1947)&gt;$O$3,AND($O$11=1,B1947&lt;$O$12)),1,0)</f>
        <v/>
      </c>
      <c r="I1947">
        <f>IF(H1947=1,NA(),D1947)</f>
        <v/>
      </c>
      <c r="J1947">
        <f>IF(AND(ISNUMBER(D1947),D1947&gt;=$O$4,OR($O$11=0,B1947&gt;=$O$12)),1,0)</f>
        <v/>
      </c>
      <c r="K1947">
        <f>B1947-$O$14</f>
        <v/>
      </c>
    </row>
    <row r="1948">
      <c r="A1948" t="n">
        <v>5838</v>
      </c>
      <c r="B1948" t="n">
        <v>194.6</v>
      </c>
      <c r="C1948" t="inlineStr">
        <is>
          <t>910</t>
        </is>
      </c>
      <c r="D1948" t="n">
        <v>9.1</v>
      </c>
      <c r="E1948">
        <f>MEDIAN(D1928:D1968)</f>
        <v/>
      </c>
      <c r="F1948">
        <f>E1928</f>
        <v/>
      </c>
      <c r="G1948">
        <f>F1948-E1948</f>
        <v/>
      </c>
      <c r="H1948">
        <f>IF(OR(NOT(ISNUMBER(D1948)),ABS(D1948-E1948)&gt;$O$3,AND($O$11=1,B1948&lt;$O$12)),1,0)</f>
        <v/>
      </c>
      <c r="I1948">
        <f>IF(H1948=1,NA(),D1948)</f>
        <v/>
      </c>
      <c r="J1948">
        <f>IF(AND(ISNUMBER(D1948),D1948&gt;=$O$4,OR($O$11=0,B1948&gt;=$O$12)),1,0)</f>
        <v/>
      </c>
      <c r="K1948">
        <f>B1948-$O$14</f>
        <v/>
      </c>
    </row>
    <row r="1949">
      <c r="A1949" t="n">
        <v>5841</v>
      </c>
      <c r="B1949" t="n">
        <v>194.7</v>
      </c>
      <c r="C1949" t="inlineStr">
        <is>
          <t>910</t>
        </is>
      </c>
      <c r="D1949" t="n">
        <v>9.1</v>
      </c>
      <c r="E1949">
        <f>MEDIAN(D1929:D1969)</f>
        <v/>
      </c>
      <c r="F1949">
        <f>E1929</f>
        <v/>
      </c>
      <c r="G1949">
        <f>F1949-E1949</f>
        <v/>
      </c>
      <c r="H1949">
        <f>IF(OR(NOT(ISNUMBER(D1949)),ABS(D1949-E1949)&gt;$O$3,AND($O$11=1,B1949&lt;$O$12)),1,0)</f>
        <v/>
      </c>
      <c r="I1949">
        <f>IF(H1949=1,NA(),D1949)</f>
        <v/>
      </c>
      <c r="J1949">
        <f>IF(AND(ISNUMBER(D1949),D1949&gt;=$O$4,OR($O$11=0,B1949&gt;=$O$12)),1,0)</f>
        <v/>
      </c>
      <c r="K1949">
        <f>B1949-$O$14</f>
        <v/>
      </c>
    </row>
    <row r="1950">
      <c r="A1950" t="n">
        <v>5844</v>
      </c>
      <c r="B1950" t="n">
        <v>194.8</v>
      </c>
      <c r="C1950" t="inlineStr">
        <is>
          <t>910</t>
        </is>
      </c>
      <c r="D1950" t="n">
        <v>9.1</v>
      </c>
      <c r="E1950">
        <f>MEDIAN(D1930:D1970)</f>
        <v/>
      </c>
      <c r="F1950">
        <f>E1930</f>
        <v/>
      </c>
      <c r="G1950">
        <f>F1950-E1950</f>
        <v/>
      </c>
      <c r="H1950">
        <f>IF(OR(NOT(ISNUMBER(D1950)),ABS(D1950-E1950)&gt;$O$3,AND($O$11=1,B1950&lt;$O$12)),1,0)</f>
        <v/>
      </c>
      <c r="I1950">
        <f>IF(H1950=1,NA(),D1950)</f>
        <v/>
      </c>
      <c r="J1950">
        <f>IF(AND(ISNUMBER(D1950),D1950&gt;=$O$4,OR($O$11=0,B1950&gt;=$O$12)),1,0)</f>
        <v/>
      </c>
      <c r="K1950">
        <f>B1950-$O$14</f>
        <v/>
      </c>
    </row>
    <row r="1951">
      <c r="A1951" t="n">
        <v>5847</v>
      </c>
      <c r="B1951" t="n">
        <v>194.9</v>
      </c>
      <c r="C1951" t="inlineStr">
        <is>
          <t>910</t>
        </is>
      </c>
      <c r="D1951" t="n">
        <v>9.1</v>
      </c>
      <c r="E1951">
        <f>MEDIAN(D1931:D1971)</f>
        <v/>
      </c>
      <c r="F1951">
        <f>E1931</f>
        <v/>
      </c>
      <c r="G1951">
        <f>F1951-E1951</f>
        <v/>
      </c>
      <c r="H1951">
        <f>IF(OR(NOT(ISNUMBER(D1951)),ABS(D1951-E1951)&gt;$O$3,AND($O$11=1,B1951&lt;$O$12)),1,0)</f>
        <v/>
      </c>
      <c r="I1951">
        <f>IF(H1951=1,NA(),D1951)</f>
        <v/>
      </c>
      <c r="J1951">
        <f>IF(AND(ISNUMBER(D1951),D1951&gt;=$O$4,OR($O$11=0,B1951&gt;=$O$12)),1,0)</f>
        <v/>
      </c>
      <c r="K1951">
        <f>B1951-$O$14</f>
        <v/>
      </c>
    </row>
    <row r="1952">
      <c r="A1952" t="n">
        <v>5850</v>
      </c>
      <c r="B1952" t="n">
        <v>195</v>
      </c>
      <c r="C1952" t="inlineStr">
        <is>
          <t>910</t>
        </is>
      </c>
      <c r="D1952" t="n">
        <v>9.1</v>
      </c>
      <c r="E1952">
        <f>MEDIAN(D1932:D1972)</f>
        <v/>
      </c>
      <c r="F1952">
        <f>E1932</f>
        <v/>
      </c>
      <c r="G1952">
        <f>F1952-E1952</f>
        <v/>
      </c>
      <c r="H1952">
        <f>IF(OR(NOT(ISNUMBER(D1952)),ABS(D1952-E1952)&gt;$O$3,AND($O$11=1,B1952&lt;$O$12)),1,0)</f>
        <v/>
      </c>
      <c r="I1952">
        <f>IF(H1952=1,NA(),D1952)</f>
        <v/>
      </c>
      <c r="J1952">
        <f>IF(AND(ISNUMBER(D1952),D1952&gt;=$O$4,OR($O$11=0,B1952&gt;=$O$12)),1,0)</f>
        <v/>
      </c>
      <c r="K1952">
        <f>B1952-$O$14</f>
        <v/>
      </c>
    </row>
    <row r="1953">
      <c r="A1953" t="n">
        <v>5853</v>
      </c>
      <c r="B1953" t="n">
        <v>195.1</v>
      </c>
      <c r="C1953" t="inlineStr">
        <is>
          <t>910</t>
        </is>
      </c>
      <c r="D1953" t="n">
        <v>9.1</v>
      </c>
      <c r="E1953">
        <f>MEDIAN(D1933:D1973)</f>
        <v/>
      </c>
      <c r="F1953">
        <f>E1933</f>
        <v/>
      </c>
      <c r="G1953">
        <f>F1953-E1953</f>
        <v/>
      </c>
      <c r="H1953">
        <f>IF(OR(NOT(ISNUMBER(D1953)),ABS(D1953-E1953)&gt;$O$3,AND($O$11=1,B1953&lt;$O$12)),1,0)</f>
        <v/>
      </c>
      <c r="I1953">
        <f>IF(H1953=1,NA(),D1953)</f>
        <v/>
      </c>
      <c r="J1953">
        <f>IF(AND(ISNUMBER(D1953),D1953&gt;=$O$4,OR($O$11=0,B1953&gt;=$O$12)),1,0)</f>
        <v/>
      </c>
      <c r="K1953">
        <f>B1953-$O$14</f>
        <v/>
      </c>
    </row>
    <row r="1954">
      <c r="A1954" t="n">
        <v>5856</v>
      </c>
      <c r="B1954" t="n">
        <v>195.2</v>
      </c>
      <c r="C1954" t="inlineStr">
        <is>
          <t>910</t>
        </is>
      </c>
      <c r="D1954" t="n">
        <v>9.1</v>
      </c>
      <c r="E1954">
        <f>MEDIAN(D1934:D1974)</f>
        <v/>
      </c>
      <c r="F1954">
        <f>E1934</f>
        <v/>
      </c>
      <c r="G1954">
        <f>F1954-E1954</f>
        <v/>
      </c>
      <c r="H1954">
        <f>IF(OR(NOT(ISNUMBER(D1954)),ABS(D1954-E1954)&gt;$O$3,AND($O$11=1,B1954&lt;$O$12)),1,0)</f>
        <v/>
      </c>
      <c r="I1954">
        <f>IF(H1954=1,NA(),D1954)</f>
        <v/>
      </c>
      <c r="J1954">
        <f>IF(AND(ISNUMBER(D1954),D1954&gt;=$O$4,OR($O$11=0,B1954&gt;=$O$12)),1,0)</f>
        <v/>
      </c>
      <c r="K1954">
        <f>B1954-$O$14</f>
        <v/>
      </c>
    </row>
    <row r="1955">
      <c r="A1955" t="n">
        <v>5859</v>
      </c>
      <c r="B1955" t="n">
        <v>195.3</v>
      </c>
      <c r="C1955" t="inlineStr">
        <is>
          <t>910</t>
        </is>
      </c>
      <c r="D1955" t="n">
        <v>9.1</v>
      </c>
      <c r="E1955">
        <f>MEDIAN(D1935:D1975)</f>
        <v/>
      </c>
      <c r="F1955">
        <f>E1935</f>
        <v/>
      </c>
      <c r="G1955">
        <f>F1955-E1955</f>
        <v/>
      </c>
      <c r="H1955">
        <f>IF(OR(NOT(ISNUMBER(D1955)),ABS(D1955-E1955)&gt;$O$3,AND($O$11=1,B1955&lt;$O$12)),1,0)</f>
        <v/>
      </c>
      <c r="I1955">
        <f>IF(H1955=1,NA(),D1955)</f>
        <v/>
      </c>
      <c r="J1955">
        <f>IF(AND(ISNUMBER(D1955),D1955&gt;=$O$4,OR($O$11=0,B1955&gt;=$O$12)),1,0)</f>
        <v/>
      </c>
      <c r="K1955">
        <f>B1955-$O$14</f>
        <v/>
      </c>
    </row>
    <row r="1956">
      <c r="A1956" t="n">
        <v>5862</v>
      </c>
      <c r="B1956" t="n">
        <v>195.4</v>
      </c>
      <c r="C1956" t="inlineStr">
        <is>
          <t>911</t>
        </is>
      </c>
      <c r="D1956" t="n">
        <v>9.109999999999999</v>
      </c>
      <c r="E1956">
        <f>MEDIAN(D1936:D1976)</f>
        <v/>
      </c>
      <c r="F1956">
        <f>E1936</f>
        <v/>
      </c>
      <c r="G1956">
        <f>F1956-E1956</f>
        <v/>
      </c>
      <c r="H1956">
        <f>IF(OR(NOT(ISNUMBER(D1956)),ABS(D1956-E1956)&gt;$O$3,AND($O$11=1,B1956&lt;$O$12)),1,0)</f>
        <v/>
      </c>
      <c r="I1956">
        <f>IF(H1956=1,NA(),D1956)</f>
        <v/>
      </c>
      <c r="J1956">
        <f>IF(AND(ISNUMBER(D1956),D1956&gt;=$O$4,OR($O$11=0,B1956&gt;=$O$12)),1,0)</f>
        <v/>
      </c>
      <c r="K1956">
        <f>B1956-$O$14</f>
        <v/>
      </c>
    </row>
    <row r="1957">
      <c r="A1957" t="n">
        <v>5865</v>
      </c>
      <c r="B1957" t="n">
        <v>195.5</v>
      </c>
      <c r="C1957" t="inlineStr">
        <is>
          <t>911</t>
        </is>
      </c>
      <c r="D1957" t="n">
        <v>9.109999999999999</v>
      </c>
      <c r="E1957">
        <f>MEDIAN(D1937:D1977)</f>
        <v/>
      </c>
      <c r="F1957">
        <f>E1937</f>
        <v/>
      </c>
      <c r="G1957">
        <f>F1957-E1957</f>
        <v/>
      </c>
      <c r="H1957">
        <f>IF(OR(NOT(ISNUMBER(D1957)),ABS(D1957-E1957)&gt;$O$3,AND($O$11=1,B1957&lt;$O$12)),1,0)</f>
        <v/>
      </c>
      <c r="I1957">
        <f>IF(H1957=1,NA(),D1957)</f>
        <v/>
      </c>
      <c r="J1957">
        <f>IF(AND(ISNUMBER(D1957),D1957&gt;=$O$4,OR($O$11=0,B1957&gt;=$O$12)),1,0)</f>
        <v/>
      </c>
      <c r="K1957">
        <f>B1957-$O$14</f>
        <v/>
      </c>
    </row>
    <row r="1958">
      <c r="A1958" t="n">
        <v>5868</v>
      </c>
      <c r="B1958" t="n">
        <v>195.6</v>
      </c>
      <c r="C1958" t="inlineStr">
        <is>
          <t>911</t>
        </is>
      </c>
      <c r="D1958" t="n">
        <v>9.109999999999999</v>
      </c>
      <c r="E1958">
        <f>MEDIAN(D1938:D1978)</f>
        <v/>
      </c>
      <c r="F1958">
        <f>E1938</f>
        <v/>
      </c>
      <c r="G1958">
        <f>F1958-E1958</f>
        <v/>
      </c>
      <c r="H1958">
        <f>IF(OR(NOT(ISNUMBER(D1958)),ABS(D1958-E1958)&gt;$O$3,AND($O$11=1,B1958&lt;$O$12)),1,0)</f>
        <v/>
      </c>
      <c r="I1958">
        <f>IF(H1958=1,NA(),D1958)</f>
        <v/>
      </c>
      <c r="J1958">
        <f>IF(AND(ISNUMBER(D1958),D1958&gt;=$O$4,OR($O$11=0,B1958&gt;=$O$12)),1,0)</f>
        <v/>
      </c>
      <c r="K1958">
        <f>B1958-$O$14</f>
        <v/>
      </c>
    </row>
    <row r="1959">
      <c r="A1959" t="n">
        <v>5871</v>
      </c>
      <c r="B1959" t="n">
        <v>195.7</v>
      </c>
      <c r="C1959" t="inlineStr">
        <is>
          <t>911</t>
        </is>
      </c>
      <c r="D1959" t="n">
        <v>9.109999999999999</v>
      </c>
      <c r="E1959">
        <f>MEDIAN(D1939:D1979)</f>
        <v/>
      </c>
      <c r="F1959">
        <f>E1939</f>
        <v/>
      </c>
      <c r="G1959">
        <f>F1959-E1959</f>
        <v/>
      </c>
      <c r="H1959">
        <f>IF(OR(NOT(ISNUMBER(D1959)),ABS(D1959-E1959)&gt;$O$3,AND($O$11=1,B1959&lt;$O$12)),1,0)</f>
        <v/>
      </c>
      <c r="I1959">
        <f>IF(H1959=1,NA(),D1959)</f>
        <v/>
      </c>
      <c r="J1959">
        <f>IF(AND(ISNUMBER(D1959),D1959&gt;=$O$4,OR($O$11=0,B1959&gt;=$O$12)),1,0)</f>
        <v/>
      </c>
      <c r="K1959">
        <f>B1959-$O$14</f>
        <v/>
      </c>
    </row>
    <row r="1960">
      <c r="A1960" t="n">
        <v>5874</v>
      </c>
      <c r="B1960" t="n">
        <v>195.8</v>
      </c>
      <c r="C1960" t="inlineStr">
        <is>
          <t>911</t>
        </is>
      </c>
      <c r="D1960" t="n">
        <v>9.109999999999999</v>
      </c>
      <c r="E1960">
        <f>MEDIAN(D1940:D1980)</f>
        <v/>
      </c>
      <c r="F1960">
        <f>E1940</f>
        <v/>
      </c>
      <c r="G1960">
        <f>F1960-E1960</f>
        <v/>
      </c>
      <c r="H1960">
        <f>IF(OR(NOT(ISNUMBER(D1960)),ABS(D1960-E1960)&gt;$O$3,AND($O$11=1,B1960&lt;$O$12)),1,0)</f>
        <v/>
      </c>
      <c r="I1960">
        <f>IF(H1960=1,NA(),D1960)</f>
        <v/>
      </c>
      <c r="J1960">
        <f>IF(AND(ISNUMBER(D1960),D1960&gt;=$O$4,OR($O$11=0,B1960&gt;=$O$12)),1,0)</f>
        <v/>
      </c>
      <c r="K1960">
        <f>B1960-$O$14</f>
        <v/>
      </c>
    </row>
    <row r="1961">
      <c r="A1961" t="n">
        <v>5877</v>
      </c>
      <c r="B1961" t="n">
        <v>195.9</v>
      </c>
      <c r="C1961" t="inlineStr">
        <is>
          <t>911</t>
        </is>
      </c>
      <c r="D1961" t="n">
        <v>9.109999999999999</v>
      </c>
      <c r="E1961">
        <f>MEDIAN(D1941:D1981)</f>
        <v/>
      </c>
      <c r="F1961">
        <f>E1941</f>
        <v/>
      </c>
      <c r="G1961">
        <f>F1961-E1961</f>
        <v/>
      </c>
      <c r="H1961">
        <f>IF(OR(NOT(ISNUMBER(D1961)),ABS(D1961-E1961)&gt;$O$3,AND($O$11=1,B1961&lt;$O$12)),1,0)</f>
        <v/>
      </c>
      <c r="I1961">
        <f>IF(H1961=1,NA(),D1961)</f>
        <v/>
      </c>
      <c r="J1961">
        <f>IF(AND(ISNUMBER(D1961),D1961&gt;=$O$4,OR($O$11=0,B1961&gt;=$O$12)),1,0)</f>
        <v/>
      </c>
      <c r="K1961">
        <f>B1961-$O$14</f>
        <v/>
      </c>
    </row>
    <row r="1962">
      <c r="A1962" t="n">
        <v>5880</v>
      </c>
      <c r="B1962" t="n">
        <v>196</v>
      </c>
      <c r="C1962" t="inlineStr">
        <is>
          <t>911</t>
        </is>
      </c>
      <c r="D1962" t="n">
        <v>9.109999999999999</v>
      </c>
      <c r="E1962">
        <f>MEDIAN(D1942:D1982)</f>
        <v/>
      </c>
      <c r="F1962">
        <f>E1942</f>
        <v/>
      </c>
      <c r="G1962">
        <f>F1962-E1962</f>
        <v/>
      </c>
      <c r="H1962">
        <f>IF(OR(NOT(ISNUMBER(D1962)),ABS(D1962-E1962)&gt;$O$3,AND($O$11=1,B1962&lt;$O$12)),1,0)</f>
        <v/>
      </c>
      <c r="I1962">
        <f>IF(H1962=1,NA(),D1962)</f>
        <v/>
      </c>
      <c r="J1962">
        <f>IF(AND(ISNUMBER(D1962),D1962&gt;=$O$4,OR($O$11=0,B1962&gt;=$O$12)),1,0)</f>
        <v/>
      </c>
      <c r="K1962">
        <f>B1962-$O$14</f>
        <v/>
      </c>
    </row>
    <row r="1963">
      <c r="A1963" t="n">
        <v>5883</v>
      </c>
      <c r="B1963" t="n">
        <v>196.1</v>
      </c>
      <c r="C1963" t="inlineStr">
        <is>
          <t>911</t>
        </is>
      </c>
      <c r="D1963" t="n">
        <v>9.109999999999999</v>
      </c>
      <c r="E1963">
        <f>MEDIAN(D1943:D1983)</f>
        <v/>
      </c>
      <c r="F1963">
        <f>E1943</f>
        <v/>
      </c>
      <c r="G1963">
        <f>F1963-E1963</f>
        <v/>
      </c>
      <c r="H1963">
        <f>IF(OR(NOT(ISNUMBER(D1963)),ABS(D1963-E1963)&gt;$O$3,AND($O$11=1,B1963&lt;$O$12)),1,0)</f>
        <v/>
      </c>
      <c r="I1963">
        <f>IF(H1963=1,NA(),D1963)</f>
        <v/>
      </c>
      <c r="J1963">
        <f>IF(AND(ISNUMBER(D1963),D1963&gt;=$O$4,OR($O$11=0,B1963&gt;=$O$12)),1,0)</f>
        <v/>
      </c>
      <c r="K1963">
        <f>B1963-$O$14</f>
        <v/>
      </c>
    </row>
    <row r="1964">
      <c r="A1964" t="n">
        <v>5886</v>
      </c>
      <c r="B1964" t="n">
        <v>196.2</v>
      </c>
      <c r="C1964" t="inlineStr">
        <is>
          <t>911</t>
        </is>
      </c>
      <c r="D1964" t="n">
        <v>9.109999999999999</v>
      </c>
      <c r="E1964">
        <f>MEDIAN(D1944:D1984)</f>
        <v/>
      </c>
      <c r="F1964">
        <f>E1944</f>
        <v/>
      </c>
      <c r="G1964">
        <f>F1964-E1964</f>
        <v/>
      </c>
      <c r="H1964">
        <f>IF(OR(NOT(ISNUMBER(D1964)),ABS(D1964-E1964)&gt;$O$3,AND($O$11=1,B1964&lt;$O$12)),1,0)</f>
        <v/>
      </c>
      <c r="I1964">
        <f>IF(H1964=1,NA(),D1964)</f>
        <v/>
      </c>
      <c r="J1964">
        <f>IF(AND(ISNUMBER(D1964),D1964&gt;=$O$4,OR($O$11=0,B1964&gt;=$O$12)),1,0)</f>
        <v/>
      </c>
      <c r="K1964">
        <f>B1964-$O$14</f>
        <v/>
      </c>
    </row>
    <row r="1965">
      <c r="A1965" t="n">
        <v>5889</v>
      </c>
      <c r="B1965" t="n">
        <v>196.3</v>
      </c>
      <c r="C1965" t="inlineStr">
        <is>
          <t>910</t>
        </is>
      </c>
      <c r="D1965" t="n">
        <v>9.1</v>
      </c>
      <c r="E1965">
        <f>MEDIAN(D1945:D1985)</f>
        <v/>
      </c>
      <c r="F1965">
        <f>E1945</f>
        <v/>
      </c>
      <c r="G1965">
        <f>F1965-E1965</f>
        <v/>
      </c>
      <c r="H1965">
        <f>IF(OR(NOT(ISNUMBER(D1965)),ABS(D1965-E1965)&gt;$O$3,AND($O$11=1,B1965&lt;$O$12)),1,0)</f>
        <v/>
      </c>
      <c r="I1965">
        <f>IF(H1965=1,NA(),D1965)</f>
        <v/>
      </c>
      <c r="J1965">
        <f>IF(AND(ISNUMBER(D1965),D1965&gt;=$O$4,OR($O$11=0,B1965&gt;=$O$12)),1,0)</f>
        <v/>
      </c>
      <c r="K1965">
        <f>B1965-$O$14</f>
        <v/>
      </c>
    </row>
    <row r="1966">
      <c r="A1966" t="n">
        <v>5892</v>
      </c>
      <c r="B1966" t="n">
        <v>196.4</v>
      </c>
      <c r="C1966" t="inlineStr">
        <is>
          <t>910</t>
        </is>
      </c>
      <c r="D1966" t="n">
        <v>9.1</v>
      </c>
      <c r="E1966">
        <f>MEDIAN(D1946:D1986)</f>
        <v/>
      </c>
      <c r="F1966">
        <f>E1946</f>
        <v/>
      </c>
      <c r="G1966">
        <f>F1966-E1966</f>
        <v/>
      </c>
      <c r="H1966">
        <f>IF(OR(NOT(ISNUMBER(D1966)),ABS(D1966-E1966)&gt;$O$3,AND($O$11=1,B1966&lt;$O$12)),1,0)</f>
        <v/>
      </c>
      <c r="I1966">
        <f>IF(H1966=1,NA(),D1966)</f>
        <v/>
      </c>
      <c r="J1966">
        <f>IF(AND(ISNUMBER(D1966),D1966&gt;=$O$4,OR($O$11=0,B1966&gt;=$O$12)),1,0)</f>
        <v/>
      </c>
      <c r="K1966">
        <f>B1966-$O$14</f>
        <v/>
      </c>
    </row>
    <row r="1967">
      <c r="A1967" t="n">
        <v>5895</v>
      </c>
      <c r="B1967" t="n">
        <v>196.5</v>
      </c>
      <c r="C1967" t="inlineStr">
        <is>
          <t>910</t>
        </is>
      </c>
      <c r="D1967" t="n">
        <v>9.1</v>
      </c>
      <c r="E1967">
        <f>MEDIAN(D1947:D1987)</f>
        <v/>
      </c>
      <c r="F1967">
        <f>E1947</f>
        <v/>
      </c>
      <c r="G1967">
        <f>F1967-E1967</f>
        <v/>
      </c>
      <c r="H1967">
        <f>IF(OR(NOT(ISNUMBER(D1967)),ABS(D1967-E1967)&gt;$O$3,AND($O$11=1,B1967&lt;$O$12)),1,0)</f>
        <v/>
      </c>
      <c r="I1967">
        <f>IF(H1967=1,NA(),D1967)</f>
        <v/>
      </c>
      <c r="J1967">
        <f>IF(AND(ISNUMBER(D1967),D1967&gt;=$O$4,OR($O$11=0,B1967&gt;=$O$12)),1,0)</f>
        <v/>
      </c>
      <c r="K1967">
        <f>B1967-$O$14</f>
        <v/>
      </c>
    </row>
    <row r="1968">
      <c r="A1968" t="n">
        <v>5898</v>
      </c>
      <c r="B1968" t="n">
        <v>196.6</v>
      </c>
      <c r="C1968" t="inlineStr">
        <is>
          <t>910</t>
        </is>
      </c>
      <c r="D1968" t="n">
        <v>9.1</v>
      </c>
      <c r="E1968">
        <f>MEDIAN(D1948:D1988)</f>
        <v/>
      </c>
      <c r="F1968">
        <f>E1948</f>
        <v/>
      </c>
      <c r="G1968">
        <f>F1968-E1968</f>
        <v/>
      </c>
      <c r="H1968">
        <f>IF(OR(NOT(ISNUMBER(D1968)),ABS(D1968-E1968)&gt;$O$3,AND($O$11=1,B1968&lt;$O$12)),1,0)</f>
        <v/>
      </c>
      <c r="I1968">
        <f>IF(H1968=1,NA(),D1968)</f>
        <v/>
      </c>
      <c r="J1968">
        <f>IF(AND(ISNUMBER(D1968),D1968&gt;=$O$4,OR($O$11=0,B1968&gt;=$O$12)),1,0)</f>
        <v/>
      </c>
      <c r="K1968">
        <f>B1968-$O$14</f>
        <v/>
      </c>
    </row>
    <row r="1969">
      <c r="A1969" t="n">
        <v>5901</v>
      </c>
      <c r="B1969" t="n">
        <v>196.7</v>
      </c>
      <c r="C1969" t="inlineStr">
        <is>
          <t>910</t>
        </is>
      </c>
      <c r="D1969" t="n">
        <v>9.1</v>
      </c>
      <c r="E1969">
        <f>MEDIAN(D1949:D1989)</f>
        <v/>
      </c>
      <c r="F1969">
        <f>E1949</f>
        <v/>
      </c>
      <c r="G1969">
        <f>F1969-E1969</f>
        <v/>
      </c>
      <c r="H1969">
        <f>IF(OR(NOT(ISNUMBER(D1969)),ABS(D1969-E1969)&gt;$O$3,AND($O$11=1,B1969&lt;$O$12)),1,0)</f>
        <v/>
      </c>
      <c r="I1969">
        <f>IF(H1969=1,NA(),D1969)</f>
        <v/>
      </c>
      <c r="J1969">
        <f>IF(AND(ISNUMBER(D1969),D1969&gt;=$O$4,OR($O$11=0,B1969&gt;=$O$12)),1,0)</f>
        <v/>
      </c>
      <c r="K1969">
        <f>B1969-$O$14</f>
        <v/>
      </c>
    </row>
    <row r="1970">
      <c r="A1970" t="n">
        <v>5904</v>
      </c>
      <c r="B1970" t="n">
        <v>196.8</v>
      </c>
      <c r="C1970" t="inlineStr">
        <is>
          <t>910</t>
        </is>
      </c>
      <c r="D1970" t="n">
        <v>9.1</v>
      </c>
      <c r="E1970">
        <f>MEDIAN(D1950:D1990)</f>
        <v/>
      </c>
      <c r="F1970">
        <f>E1950</f>
        <v/>
      </c>
      <c r="G1970">
        <f>F1970-E1970</f>
        <v/>
      </c>
      <c r="H1970">
        <f>IF(OR(NOT(ISNUMBER(D1970)),ABS(D1970-E1970)&gt;$O$3,AND($O$11=1,B1970&lt;$O$12)),1,0)</f>
        <v/>
      </c>
      <c r="I1970">
        <f>IF(H1970=1,NA(),D1970)</f>
        <v/>
      </c>
      <c r="J1970">
        <f>IF(AND(ISNUMBER(D1970),D1970&gt;=$O$4,OR($O$11=0,B1970&gt;=$O$12)),1,0)</f>
        <v/>
      </c>
      <c r="K1970">
        <f>B1970-$O$14</f>
        <v/>
      </c>
    </row>
    <row r="1971">
      <c r="A1971" t="n">
        <v>5907</v>
      </c>
      <c r="B1971" t="n">
        <v>196.9</v>
      </c>
      <c r="C1971" t="inlineStr">
        <is>
          <t>910</t>
        </is>
      </c>
      <c r="D1971" t="n">
        <v>9.1</v>
      </c>
      <c r="E1971">
        <f>MEDIAN(D1951:D1991)</f>
        <v/>
      </c>
      <c r="F1971">
        <f>E1951</f>
        <v/>
      </c>
      <c r="G1971">
        <f>F1971-E1971</f>
        <v/>
      </c>
      <c r="H1971">
        <f>IF(OR(NOT(ISNUMBER(D1971)),ABS(D1971-E1971)&gt;$O$3,AND($O$11=1,B1971&lt;$O$12)),1,0)</f>
        <v/>
      </c>
      <c r="I1971">
        <f>IF(H1971=1,NA(),D1971)</f>
        <v/>
      </c>
      <c r="J1971">
        <f>IF(AND(ISNUMBER(D1971),D1971&gt;=$O$4,OR($O$11=0,B1971&gt;=$O$12)),1,0)</f>
        <v/>
      </c>
      <c r="K1971">
        <f>B1971-$O$14</f>
        <v/>
      </c>
    </row>
    <row r="1972">
      <c r="A1972" t="n">
        <v>5910</v>
      </c>
      <c r="B1972" t="n">
        <v>197</v>
      </c>
      <c r="C1972" t="inlineStr">
        <is>
          <t>910</t>
        </is>
      </c>
      <c r="D1972" t="n">
        <v>9.1</v>
      </c>
      <c r="E1972">
        <f>MEDIAN(D1952:D1992)</f>
        <v/>
      </c>
      <c r="F1972">
        <f>E1952</f>
        <v/>
      </c>
      <c r="G1972">
        <f>F1972-E1972</f>
        <v/>
      </c>
      <c r="H1972">
        <f>IF(OR(NOT(ISNUMBER(D1972)),ABS(D1972-E1972)&gt;$O$3,AND($O$11=1,B1972&lt;$O$12)),1,0)</f>
        <v/>
      </c>
      <c r="I1972">
        <f>IF(H1972=1,NA(),D1972)</f>
        <v/>
      </c>
      <c r="J1972">
        <f>IF(AND(ISNUMBER(D1972),D1972&gt;=$O$4,OR($O$11=0,B1972&gt;=$O$12)),1,0)</f>
        <v/>
      </c>
      <c r="K1972">
        <f>B1972-$O$14</f>
        <v/>
      </c>
    </row>
    <row r="1973">
      <c r="A1973" t="n">
        <v>5913</v>
      </c>
      <c r="B1973" t="n">
        <v>197.1</v>
      </c>
      <c r="C1973" t="inlineStr">
        <is>
          <t>910</t>
        </is>
      </c>
      <c r="D1973" t="n">
        <v>9.1</v>
      </c>
      <c r="E1973">
        <f>MEDIAN(D1953:D1993)</f>
        <v/>
      </c>
      <c r="F1973">
        <f>E1953</f>
        <v/>
      </c>
      <c r="G1973">
        <f>F1973-E1973</f>
        <v/>
      </c>
      <c r="H1973">
        <f>IF(OR(NOT(ISNUMBER(D1973)),ABS(D1973-E1973)&gt;$O$3,AND($O$11=1,B1973&lt;$O$12)),1,0)</f>
        <v/>
      </c>
      <c r="I1973">
        <f>IF(H1973=1,NA(),D1973)</f>
        <v/>
      </c>
      <c r="J1973">
        <f>IF(AND(ISNUMBER(D1973),D1973&gt;=$O$4,OR($O$11=0,B1973&gt;=$O$12)),1,0)</f>
        <v/>
      </c>
      <c r="K1973">
        <f>B1973-$O$14</f>
        <v/>
      </c>
    </row>
    <row r="1974">
      <c r="A1974" t="n">
        <v>5916</v>
      </c>
      <c r="B1974" t="n">
        <v>197.2</v>
      </c>
      <c r="C1974" t="inlineStr">
        <is>
          <t>910</t>
        </is>
      </c>
      <c r="D1974" t="n">
        <v>9.1</v>
      </c>
      <c r="E1974">
        <f>MEDIAN(D1954:D1994)</f>
        <v/>
      </c>
      <c r="F1974">
        <f>E1954</f>
        <v/>
      </c>
      <c r="G1974">
        <f>F1974-E1974</f>
        <v/>
      </c>
      <c r="H1974">
        <f>IF(OR(NOT(ISNUMBER(D1974)),ABS(D1974-E1974)&gt;$O$3,AND($O$11=1,B1974&lt;$O$12)),1,0)</f>
        <v/>
      </c>
      <c r="I1974">
        <f>IF(H1974=1,NA(),D1974)</f>
        <v/>
      </c>
      <c r="J1974">
        <f>IF(AND(ISNUMBER(D1974),D1974&gt;=$O$4,OR($O$11=0,B1974&gt;=$O$12)),1,0)</f>
        <v/>
      </c>
      <c r="K1974">
        <f>B1974-$O$14</f>
        <v/>
      </c>
    </row>
    <row r="1975">
      <c r="A1975" t="n">
        <v>5919</v>
      </c>
      <c r="B1975" t="n">
        <v>197.3</v>
      </c>
      <c r="C1975" t="inlineStr">
        <is>
          <t>910</t>
        </is>
      </c>
      <c r="D1975" t="n">
        <v>9.1</v>
      </c>
      <c r="E1975">
        <f>MEDIAN(D1955:D1995)</f>
        <v/>
      </c>
      <c r="F1975">
        <f>E1955</f>
        <v/>
      </c>
      <c r="G1975">
        <f>F1975-E1975</f>
        <v/>
      </c>
      <c r="H1975">
        <f>IF(OR(NOT(ISNUMBER(D1975)),ABS(D1975-E1975)&gt;$O$3,AND($O$11=1,B1975&lt;$O$12)),1,0)</f>
        <v/>
      </c>
      <c r="I1975">
        <f>IF(H1975=1,NA(),D1975)</f>
        <v/>
      </c>
      <c r="J1975">
        <f>IF(AND(ISNUMBER(D1975),D1975&gt;=$O$4,OR($O$11=0,B1975&gt;=$O$12)),1,0)</f>
        <v/>
      </c>
      <c r="K1975">
        <f>B1975-$O$14</f>
        <v/>
      </c>
    </row>
    <row r="1976">
      <c r="A1976" t="n">
        <v>5922</v>
      </c>
      <c r="B1976" t="n">
        <v>197.4</v>
      </c>
      <c r="C1976" t="inlineStr">
        <is>
          <t>910</t>
        </is>
      </c>
      <c r="D1976" t="n">
        <v>9.1</v>
      </c>
      <c r="E1976">
        <f>MEDIAN(D1956:D1996)</f>
        <v/>
      </c>
      <c r="F1976">
        <f>E1956</f>
        <v/>
      </c>
      <c r="G1976">
        <f>F1976-E1976</f>
        <v/>
      </c>
      <c r="H1976">
        <f>IF(OR(NOT(ISNUMBER(D1976)),ABS(D1976-E1976)&gt;$O$3,AND($O$11=1,B1976&lt;$O$12)),1,0)</f>
        <v/>
      </c>
      <c r="I1976">
        <f>IF(H1976=1,NA(),D1976)</f>
        <v/>
      </c>
      <c r="J1976">
        <f>IF(AND(ISNUMBER(D1976),D1976&gt;=$O$4,OR($O$11=0,B1976&gt;=$O$12)),1,0)</f>
        <v/>
      </c>
      <c r="K1976">
        <f>B1976-$O$14</f>
        <v/>
      </c>
    </row>
    <row r="1977">
      <c r="A1977" t="n">
        <v>5925</v>
      </c>
      <c r="B1977" t="n">
        <v>197.5</v>
      </c>
      <c r="C1977" t="inlineStr">
        <is>
          <t>910</t>
        </is>
      </c>
      <c r="D1977" t="n">
        <v>9.1</v>
      </c>
      <c r="E1977">
        <f>MEDIAN(D1957:D1997)</f>
        <v/>
      </c>
      <c r="F1977">
        <f>E1957</f>
        <v/>
      </c>
      <c r="G1977">
        <f>F1977-E1977</f>
        <v/>
      </c>
      <c r="H1977">
        <f>IF(OR(NOT(ISNUMBER(D1977)),ABS(D1977-E1977)&gt;$O$3,AND($O$11=1,B1977&lt;$O$12)),1,0)</f>
        <v/>
      </c>
      <c r="I1977">
        <f>IF(H1977=1,NA(),D1977)</f>
        <v/>
      </c>
      <c r="J1977">
        <f>IF(AND(ISNUMBER(D1977),D1977&gt;=$O$4,OR($O$11=0,B1977&gt;=$O$12)),1,0)</f>
        <v/>
      </c>
      <c r="K1977">
        <f>B1977-$O$14</f>
        <v/>
      </c>
    </row>
    <row r="1978">
      <c r="A1978" t="n">
        <v>5928</v>
      </c>
      <c r="B1978" t="n">
        <v>197.6</v>
      </c>
      <c r="C1978" t="inlineStr">
        <is>
          <t>910</t>
        </is>
      </c>
      <c r="D1978" t="n">
        <v>9.1</v>
      </c>
      <c r="E1978">
        <f>MEDIAN(D1958:D1998)</f>
        <v/>
      </c>
      <c r="F1978">
        <f>E1958</f>
        <v/>
      </c>
      <c r="G1978">
        <f>F1978-E1978</f>
        <v/>
      </c>
      <c r="H1978">
        <f>IF(OR(NOT(ISNUMBER(D1978)),ABS(D1978-E1978)&gt;$O$3,AND($O$11=1,B1978&lt;$O$12)),1,0)</f>
        <v/>
      </c>
      <c r="I1978">
        <f>IF(H1978=1,NA(),D1978)</f>
        <v/>
      </c>
      <c r="J1978">
        <f>IF(AND(ISNUMBER(D1978),D1978&gt;=$O$4,OR($O$11=0,B1978&gt;=$O$12)),1,0)</f>
        <v/>
      </c>
      <c r="K1978">
        <f>B1978-$O$14</f>
        <v/>
      </c>
    </row>
    <row r="1979">
      <c r="A1979" t="n">
        <v>5931</v>
      </c>
      <c r="B1979" t="n">
        <v>197.7</v>
      </c>
      <c r="C1979" t="inlineStr">
        <is>
          <t>910</t>
        </is>
      </c>
      <c r="D1979" t="n">
        <v>9.1</v>
      </c>
      <c r="E1979">
        <f>MEDIAN(D1959:D1999)</f>
        <v/>
      </c>
      <c r="F1979">
        <f>E1959</f>
        <v/>
      </c>
      <c r="G1979">
        <f>F1979-E1979</f>
        <v/>
      </c>
      <c r="H1979">
        <f>IF(OR(NOT(ISNUMBER(D1979)),ABS(D1979-E1979)&gt;$O$3,AND($O$11=1,B1979&lt;$O$12)),1,0)</f>
        <v/>
      </c>
      <c r="I1979">
        <f>IF(H1979=1,NA(),D1979)</f>
        <v/>
      </c>
      <c r="J1979">
        <f>IF(AND(ISNUMBER(D1979),D1979&gt;=$O$4,OR($O$11=0,B1979&gt;=$O$12)),1,0)</f>
        <v/>
      </c>
      <c r="K1979">
        <f>B1979-$O$14</f>
        <v/>
      </c>
    </row>
    <row r="1980">
      <c r="A1980" t="n">
        <v>5934</v>
      </c>
      <c r="B1980" t="n">
        <v>197.8</v>
      </c>
      <c r="C1980" t="inlineStr">
        <is>
          <t>910</t>
        </is>
      </c>
      <c r="D1980" t="n">
        <v>9.1</v>
      </c>
      <c r="E1980">
        <f>MEDIAN(D1960:D2000)</f>
        <v/>
      </c>
      <c r="F1980">
        <f>E1960</f>
        <v/>
      </c>
      <c r="G1980">
        <f>F1980-E1980</f>
        <v/>
      </c>
      <c r="H1980">
        <f>IF(OR(NOT(ISNUMBER(D1980)),ABS(D1980-E1980)&gt;$O$3,AND($O$11=1,B1980&lt;$O$12)),1,0)</f>
        <v/>
      </c>
      <c r="I1980">
        <f>IF(H1980=1,NA(),D1980)</f>
        <v/>
      </c>
      <c r="J1980">
        <f>IF(AND(ISNUMBER(D1980),D1980&gt;=$O$4,OR($O$11=0,B1980&gt;=$O$12)),1,0)</f>
        <v/>
      </c>
      <c r="K1980">
        <f>B1980-$O$14</f>
        <v/>
      </c>
    </row>
    <row r="1981">
      <c r="A1981" t="n">
        <v>5937</v>
      </c>
      <c r="B1981" t="n">
        <v>197.9</v>
      </c>
      <c r="C1981" t="inlineStr">
        <is>
          <t>910</t>
        </is>
      </c>
      <c r="D1981" t="n">
        <v>9.1</v>
      </c>
      <c r="E1981">
        <f>MEDIAN(D1961:D2001)</f>
        <v/>
      </c>
      <c r="F1981">
        <f>E1961</f>
        <v/>
      </c>
      <c r="G1981">
        <f>F1981-E1981</f>
        <v/>
      </c>
      <c r="H1981">
        <f>IF(OR(NOT(ISNUMBER(D1981)),ABS(D1981-E1981)&gt;$O$3,AND($O$11=1,B1981&lt;$O$12)),1,0)</f>
        <v/>
      </c>
      <c r="I1981">
        <f>IF(H1981=1,NA(),D1981)</f>
        <v/>
      </c>
      <c r="J1981">
        <f>IF(AND(ISNUMBER(D1981),D1981&gt;=$O$4,OR($O$11=0,B1981&gt;=$O$12)),1,0)</f>
        <v/>
      </c>
      <c r="K1981">
        <f>B1981-$O$14</f>
        <v/>
      </c>
    </row>
    <row r="1982">
      <c r="A1982" t="n">
        <v>5940</v>
      </c>
      <c r="B1982" t="n">
        <v>198</v>
      </c>
      <c r="C1982" t="inlineStr">
        <is>
          <t>910</t>
        </is>
      </c>
      <c r="D1982" t="n">
        <v>9.1</v>
      </c>
      <c r="E1982">
        <f>MEDIAN(D1962:D2002)</f>
        <v/>
      </c>
      <c r="F1982">
        <f>E1962</f>
        <v/>
      </c>
      <c r="G1982">
        <f>F1982-E1982</f>
        <v/>
      </c>
      <c r="H1982">
        <f>IF(OR(NOT(ISNUMBER(D1982)),ABS(D1982-E1982)&gt;$O$3,AND($O$11=1,B1982&lt;$O$12)),1,0)</f>
        <v/>
      </c>
      <c r="I1982">
        <f>IF(H1982=1,NA(),D1982)</f>
        <v/>
      </c>
      <c r="J1982">
        <f>IF(AND(ISNUMBER(D1982),D1982&gt;=$O$4,OR($O$11=0,B1982&gt;=$O$12)),1,0)</f>
        <v/>
      </c>
      <c r="K1982">
        <f>B1982-$O$14</f>
        <v/>
      </c>
    </row>
    <row r="1983">
      <c r="A1983" t="n">
        <v>5943</v>
      </c>
      <c r="B1983" t="n">
        <v>198.1</v>
      </c>
      <c r="C1983" t="inlineStr">
        <is>
          <t>910</t>
        </is>
      </c>
      <c r="D1983" t="n">
        <v>9.1</v>
      </c>
      <c r="E1983">
        <f>MEDIAN(D1963:D2003)</f>
        <v/>
      </c>
      <c r="F1983">
        <f>E1963</f>
        <v/>
      </c>
      <c r="G1983">
        <f>F1983-E1983</f>
        <v/>
      </c>
      <c r="H1983">
        <f>IF(OR(NOT(ISNUMBER(D1983)),ABS(D1983-E1983)&gt;$O$3,AND($O$11=1,B1983&lt;$O$12)),1,0)</f>
        <v/>
      </c>
      <c r="I1983">
        <f>IF(H1983=1,NA(),D1983)</f>
        <v/>
      </c>
      <c r="J1983">
        <f>IF(AND(ISNUMBER(D1983),D1983&gt;=$O$4,OR($O$11=0,B1983&gt;=$O$12)),1,0)</f>
        <v/>
      </c>
      <c r="K1983">
        <f>B1983-$O$14</f>
        <v/>
      </c>
    </row>
    <row r="1984">
      <c r="A1984" t="n">
        <v>5946</v>
      </c>
      <c r="B1984" t="n">
        <v>198.2</v>
      </c>
      <c r="C1984" t="inlineStr">
        <is>
          <t>910</t>
        </is>
      </c>
      <c r="D1984" t="n">
        <v>9.1</v>
      </c>
      <c r="E1984">
        <f>MEDIAN(D1964:D2004)</f>
        <v/>
      </c>
      <c r="F1984">
        <f>E1964</f>
        <v/>
      </c>
      <c r="G1984">
        <f>F1984-E1984</f>
        <v/>
      </c>
      <c r="H1984">
        <f>IF(OR(NOT(ISNUMBER(D1984)),ABS(D1984-E1984)&gt;$O$3,AND($O$11=1,B1984&lt;$O$12)),1,0)</f>
        <v/>
      </c>
      <c r="I1984">
        <f>IF(H1984=1,NA(),D1984)</f>
        <v/>
      </c>
      <c r="J1984">
        <f>IF(AND(ISNUMBER(D1984),D1984&gt;=$O$4,OR($O$11=0,B1984&gt;=$O$12)),1,0)</f>
        <v/>
      </c>
      <c r="K1984">
        <f>B1984-$O$14</f>
        <v/>
      </c>
    </row>
    <row r="1985">
      <c r="A1985" t="n">
        <v>5949</v>
      </c>
      <c r="B1985" t="n">
        <v>198.3</v>
      </c>
      <c r="C1985" t="inlineStr">
        <is>
          <t>910</t>
        </is>
      </c>
      <c r="D1985" t="n">
        <v>9.1</v>
      </c>
      <c r="E1985">
        <f>MEDIAN(D1965:D2005)</f>
        <v/>
      </c>
      <c r="F1985">
        <f>E1965</f>
        <v/>
      </c>
      <c r="G1985">
        <f>F1985-E1985</f>
        <v/>
      </c>
      <c r="H1985">
        <f>IF(OR(NOT(ISNUMBER(D1985)),ABS(D1985-E1985)&gt;$O$3,AND($O$11=1,B1985&lt;$O$12)),1,0)</f>
        <v/>
      </c>
      <c r="I1985">
        <f>IF(H1985=1,NA(),D1985)</f>
        <v/>
      </c>
      <c r="J1985">
        <f>IF(AND(ISNUMBER(D1985),D1985&gt;=$O$4,OR($O$11=0,B1985&gt;=$O$12)),1,0)</f>
        <v/>
      </c>
      <c r="K1985">
        <f>B1985-$O$14</f>
        <v/>
      </c>
    </row>
    <row r="1986">
      <c r="A1986" t="n">
        <v>5952</v>
      </c>
      <c r="B1986" t="n">
        <v>198.4</v>
      </c>
      <c r="C1986" t="inlineStr">
        <is>
          <t>910</t>
        </is>
      </c>
      <c r="D1986" t="n">
        <v>9.1</v>
      </c>
      <c r="E1986">
        <f>MEDIAN(D1966:D2006)</f>
        <v/>
      </c>
      <c r="F1986">
        <f>E1966</f>
        <v/>
      </c>
      <c r="G1986">
        <f>F1986-E1986</f>
        <v/>
      </c>
      <c r="H1986">
        <f>IF(OR(NOT(ISNUMBER(D1986)),ABS(D1986-E1986)&gt;$O$3,AND($O$11=1,B1986&lt;$O$12)),1,0)</f>
        <v/>
      </c>
      <c r="I1986">
        <f>IF(H1986=1,NA(),D1986)</f>
        <v/>
      </c>
      <c r="J1986">
        <f>IF(AND(ISNUMBER(D1986),D1986&gt;=$O$4,OR($O$11=0,B1986&gt;=$O$12)),1,0)</f>
        <v/>
      </c>
      <c r="K1986">
        <f>B1986-$O$14</f>
        <v/>
      </c>
    </row>
    <row r="1987">
      <c r="A1987" t="n">
        <v>5955</v>
      </c>
      <c r="B1987" t="n">
        <v>198.5</v>
      </c>
      <c r="C1987" t="inlineStr">
        <is>
          <t>910</t>
        </is>
      </c>
      <c r="D1987" t="n">
        <v>9.1</v>
      </c>
      <c r="E1987">
        <f>MEDIAN(D1967:D2007)</f>
        <v/>
      </c>
      <c r="F1987">
        <f>E1967</f>
        <v/>
      </c>
      <c r="G1987">
        <f>F1987-E1987</f>
        <v/>
      </c>
      <c r="H1987">
        <f>IF(OR(NOT(ISNUMBER(D1987)),ABS(D1987-E1987)&gt;$O$3,AND($O$11=1,B1987&lt;$O$12)),1,0)</f>
        <v/>
      </c>
      <c r="I1987">
        <f>IF(H1987=1,NA(),D1987)</f>
        <v/>
      </c>
      <c r="J1987">
        <f>IF(AND(ISNUMBER(D1987),D1987&gt;=$O$4,OR($O$11=0,B1987&gt;=$O$12)),1,0)</f>
        <v/>
      </c>
      <c r="K1987">
        <f>B1987-$O$14</f>
        <v/>
      </c>
    </row>
    <row r="1988">
      <c r="A1988" t="n">
        <v>5958</v>
      </c>
      <c r="B1988" t="n">
        <v>198.6</v>
      </c>
      <c r="C1988" t="inlineStr">
        <is>
          <t>910</t>
        </is>
      </c>
      <c r="D1988" t="n">
        <v>9.1</v>
      </c>
      <c r="E1988">
        <f>MEDIAN(D1968:D2008)</f>
        <v/>
      </c>
      <c r="F1988">
        <f>E1968</f>
        <v/>
      </c>
      <c r="G1988">
        <f>F1988-E1988</f>
        <v/>
      </c>
      <c r="H1988">
        <f>IF(OR(NOT(ISNUMBER(D1988)),ABS(D1988-E1988)&gt;$O$3,AND($O$11=1,B1988&lt;$O$12)),1,0)</f>
        <v/>
      </c>
      <c r="I1988">
        <f>IF(H1988=1,NA(),D1988)</f>
        <v/>
      </c>
      <c r="J1988">
        <f>IF(AND(ISNUMBER(D1988),D1988&gt;=$O$4,OR($O$11=0,B1988&gt;=$O$12)),1,0)</f>
        <v/>
      </c>
      <c r="K1988">
        <f>B1988-$O$14</f>
        <v/>
      </c>
    </row>
    <row r="1989">
      <c r="A1989" t="n">
        <v>5961</v>
      </c>
      <c r="B1989" t="n">
        <v>198.7</v>
      </c>
      <c r="C1989" t="inlineStr">
        <is>
          <t>910</t>
        </is>
      </c>
      <c r="D1989" t="n">
        <v>9.1</v>
      </c>
      <c r="E1989">
        <f>MEDIAN(D1969:D2009)</f>
        <v/>
      </c>
      <c r="F1989">
        <f>E1969</f>
        <v/>
      </c>
      <c r="G1989">
        <f>F1989-E1989</f>
        <v/>
      </c>
      <c r="H1989">
        <f>IF(OR(NOT(ISNUMBER(D1989)),ABS(D1989-E1989)&gt;$O$3,AND($O$11=1,B1989&lt;$O$12)),1,0)</f>
        <v/>
      </c>
      <c r="I1989">
        <f>IF(H1989=1,NA(),D1989)</f>
        <v/>
      </c>
      <c r="J1989">
        <f>IF(AND(ISNUMBER(D1989),D1989&gt;=$O$4,OR($O$11=0,B1989&gt;=$O$12)),1,0)</f>
        <v/>
      </c>
      <c r="K1989">
        <f>B1989-$O$14</f>
        <v/>
      </c>
    </row>
    <row r="1990">
      <c r="A1990" t="n">
        <v>5964</v>
      </c>
      <c r="B1990" t="n">
        <v>198.8</v>
      </c>
      <c r="C1990" t="inlineStr">
        <is>
          <t>910</t>
        </is>
      </c>
      <c r="D1990" t="n">
        <v>9.1</v>
      </c>
      <c r="E1990">
        <f>MEDIAN(D1970:D2010)</f>
        <v/>
      </c>
      <c r="F1990">
        <f>E1970</f>
        <v/>
      </c>
      <c r="G1990">
        <f>F1990-E1990</f>
        <v/>
      </c>
      <c r="H1990">
        <f>IF(OR(NOT(ISNUMBER(D1990)),ABS(D1990-E1990)&gt;$O$3,AND($O$11=1,B1990&lt;$O$12)),1,0)</f>
        <v/>
      </c>
      <c r="I1990">
        <f>IF(H1990=1,NA(),D1990)</f>
        <v/>
      </c>
      <c r="J1990">
        <f>IF(AND(ISNUMBER(D1990),D1990&gt;=$O$4,OR($O$11=0,B1990&gt;=$O$12)),1,0)</f>
        <v/>
      </c>
      <c r="K1990">
        <f>B1990-$O$14</f>
        <v/>
      </c>
    </row>
    <row r="1991">
      <c r="A1991" t="n">
        <v>5967</v>
      </c>
      <c r="B1991" t="n">
        <v>198.9</v>
      </c>
      <c r="C1991" t="inlineStr">
        <is>
          <t>910</t>
        </is>
      </c>
      <c r="D1991" t="n">
        <v>9.1</v>
      </c>
      <c r="E1991">
        <f>MEDIAN(D1971:D2011)</f>
        <v/>
      </c>
      <c r="F1991">
        <f>E1971</f>
        <v/>
      </c>
      <c r="G1991">
        <f>F1991-E1991</f>
        <v/>
      </c>
      <c r="H1991">
        <f>IF(OR(NOT(ISNUMBER(D1991)),ABS(D1991-E1991)&gt;$O$3,AND($O$11=1,B1991&lt;$O$12)),1,0)</f>
        <v/>
      </c>
      <c r="I1991">
        <f>IF(H1991=1,NA(),D1991)</f>
        <v/>
      </c>
      <c r="J1991">
        <f>IF(AND(ISNUMBER(D1991),D1991&gt;=$O$4,OR($O$11=0,B1991&gt;=$O$12)),1,0)</f>
        <v/>
      </c>
      <c r="K1991">
        <f>B1991-$O$14</f>
        <v/>
      </c>
    </row>
    <row r="1992">
      <c r="A1992" t="n">
        <v>5970</v>
      </c>
      <c r="B1992" t="n">
        <v>199</v>
      </c>
      <c r="C1992" t="inlineStr">
        <is>
          <t>910</t>
        </is>
      </c>
      <c r="D1992" t="n">
        <v>9.1</v>
      </c>
      <c r="E1992">
        <f>MEDIAN(D1972:D2012)</f>
        <v/>
      </c>
      <c r="F1992">
        <f>E1972</f>
        <v/>
      </c>
      <c r="G1992">
        <f>F1992-E1992</f>
        <v/>
      </c>
      <c r="H1992">
        <f>IF(OR(NOT(ISNUMBER(D1992)),ABS(D1992-E1992)&gt;$O$3,AND($O$11=1,B1992&lt;$O$12)),1,0)</f>
        <v/>
      </c>
      <c r="I1992">
        <f>IF(H1992=1,NA(),D1992)</f>
        <v/>
      </c>
      <c r="J1992">
        <f>IF(AND(ISNUMBER(D1992),D1992&gt;=$O$4,OR($O$11=0,B1992&gt;=$O$12)),1,0)</f>
        <v/>
      </c>
      <c r="K1992">
        <f>B1992-$O$14</f>
        <v/>
      </c>
    </row>
    <row r="1993">
      <c r="A1993" t="n">
        <v>5973</v>
      </c>
      <c r="B1993" t="n">
        <v>199.1</v>
      </c>
      <c r="C1993" t="inlineStr">
        <is>
          <t>910</t>
        </is>
      </c>
      <c r="D1993" t="n">
        <v>9.1</v>
      </c>
      <c r="E1993">
        <f>MEDIAN(D1973:D2013)</f>
        <v/>
      </c>
      <c r="F1993">
        <f>E1973</f>
        <v/>
      </c>
      <c r="G1993">
        <f>F1993-E1993</f>
        <v/>
      </c>
      <c r="H1993">
        <f>IF(OR(NOT(ISNUMBER(D1993)),ABS(D1993-E1993)&gt;$O$3,AND($O$11=1,B1993&lt;$O$12)),1,0)</f>
        <v/>
      </c>
      <c r="I1993">
        <f>IF(H1993=1,NA(),D1993)</f>
        <v/>
      </c>
      <c r="J1993">
        <f>IF(AND(ISNUMBER(D1993),D1993&gt;=$O$4,OR($O$11=0,B1993&gt;=$O$12)),1,0)</f>
        <v/>
      </c>
      <c r="K1993">
        <f>B1993-$O$14</f>
        <v/>
      </c>
    </row>
    <row r="1994">
      <c r="A1994" t="n">
        <v>5976</v>
      </c>
      <c r="B1994" t="n">
        <v>199.2</v>
      </c>
      <c r="C1994" t="inlineStr">
        <is>
          <t>910</t>
        </is>
      </c>
      <c r="D1994" t="n">
        <v>9.1</v>
      </c>
      <c r="E1994">
        <f>MEDIAN(D1974:D2014)</f>
        <v/>
      </c>
      <c r="F1994">
        <f>E1974</f>
        <v/>
      </c>
      <c r="G1994">
        <f>F1994-E1994</f>
        <v/>
      </c>
      <c r="H1994">
        <f>IF(OR(NOT(ISNUMBER(D1994)),ABS(D1994-E1994)&gt;$O$3,AND($O$11=1,B1994&lt;$O$12)),1,0)</f>
        <v/>
      </c>
      <c r="I1994">
        <f>IF(H1994=1,NA(),D1994)</f>
        <v/>
      </c>
      <c r="J1994">
        <f>IF(AND(ISNUMBER(D1994),D1994&gt;=$O$4,OR($O$11=0,B1994&gt;=$O$12)),1,0)</f>
        <v/>
      </c>
      <c r="K1994">
        <f>B1994-$O$14</f>
        <v/>
      </c>
    </row>
    <row r="1995">
      <c r="A1995" t="n">
        <v>5979</v>
      </c>
      <c r="B1995" t="n">
        <v>199.3</v>
      </c>
      <c r="C1995" t="inlineStr">
        <is>
          <t>910</t>
        </is>
      </c>
      <c r="D1995" t="n">
        <v>9.1</v>
      </c>
      <c r="E1995">
        <f>MEDIAN(D1975:D2015)</f>
        <v/>
      </c>
      <c r="F1995">
        <f>E1975</f>
        <v/>
      </c>
      <c r="G1995">
        <f>F1995-E1995</f>
        <v/>
      </c>
      <c r="H1995">
        <f>IF(OR(NOT(ISNUMBER(D1995)),ABS(D1995-E1995)&gt;$O$3,AND($O$11=1,B1995&lt;$O$12)),1,0)</f>
        <v/>
      </c>
      <c r="I1995">
        <f>IF(H1995=1,NA(),D1995)</f>
        <v/>
      </c>
      <c r="J1995">
        <f>IF(AND(ISNUMBER(D1995),D1995&gt;=$O$4,OR($O$11=0,B1995&gt;=$O$12)),1,0)</f>
        <v/>
      </c>
      <c r="K1995">
        <f>B1995-$O$14</f>
        <v/>
      </c>
    </row>
    <row r="1996">
      <c r="A1996" t="n">
        <v>5982</v>
      </c>
      <c r="B1996" t="n">
        <v>199.4</v>
      </c>
      <c r="C1996" t="inlineStr">
        <is>
          <t>910</t>
        </is>
      </c>
      <c r="D1996" t="n">
        <v>9.1</v>
      </c>
      <c r="E1996">
        <f>MEDIAN(D1976:D2016)</f>
        <v/>
      </c>
      <c r="F1996">
        <f>E1976</f>
        <v/>
      </c>
      <c r="G1996">
        <f>F1996-E1996</f>
        <v/>
      </c>
      <c r="H1996">
        <f>IF(OR(NOT(ISNUMBER(D1996)),ABS(D1996-E1996)&gt;$O$3,AND($O$11=1,B1996&lt;$O$12)),1,0)</f>
        <v/>
      </c>
      <c r="I1996">
        <f>IF(H1996=1,NA(),D1996)</f>
        <v/>
      </c>
      <c r="J1996">
        <f>IF(AND(ISNUMBER(D1996),D1996&gt;=$O$4,OR($O$11=0,B1996&gt;=$O$12)),1,0)</f>
        <v/>
      </c>
      <c r="K1996">
        <f>B1996-$O$14</f>
        <v/>
      </c>
    </row>
    <row r="1997">
      <c r="A1997" t="n">
        <v>5985</v>
      </c>
      <c r="B1997" t="n">
        <v>199.5</v>
      </c>
      <c r="C1997" t="inlineStr">
        <is>
          <t>910</t>
        </is>
      </c>
      <c r="D1997" t="n">
        <v>9.1</v>
      </c>
      <c r="E1997">
        <f>MEDIAN(D1977:D2017)</f>
        <v/>
      </c>
      <c r="F1997">
        <f>E1977</f>
        <v/>
      </c>
      <c r="G1997">
        <f>F1997-E1997</f>
        <v/>
      </c>
      <c r="H1997">
        <f>IF(OR(NOT(ISNUMBER(D1997)),ABS(D1997-E1997)&gt;$O$3,AND($O$11=1,B1997&lt;$O$12)),1,0)</f>
        <v/>
      </c>
      <c r="I1997">
        <f>IF(H1997=1,NA(),D1997)</f>
        <v/>
      </c>
      <c r="J1997">
        <f>IF(AND(ISNUMBER(D1997),D1997&gt;=$O$4,OR($O$11=0,B1997&gt;=$O$12)),1,0)</f>
        <v/>
      </c>
      <c r="K1997">
        <f>B1997-$O$14</f>
        <v/>
      </c>
    </row>
    <row r="1998">
      <c r="A1998" t="n">
        <v>5988</v>
      </c>
      <c r="B1998" t="n">
        <v>199.6</v>
      </c>
      <c r="C1998" t="inlineStr">
        <is>
          <t>910</t>
        </is>
      </c>
      <c r="D1998" t="n">
        <v>9.1</v>
      </c>
      <c r="E1998">
        <f>MEDIAN(D1978:D2018)</f>
        <v/>
      </c>
      <c r="F1998">
        <f>E1978</f>
        <v/>
      </c>
      <c r="G1998">
        <f>F1998-E1998</f>
        <v/>
      </c>
      <c r="H1998">
        <f>IF(OR(NOT(ISNUMBER(D1998)),ABS(D1998-E1998)&gt;$O$3,AND($O$11=1,B1998&lt;$O$12)),1,0)</f>
        <v/>
      </c>
      <c r="I1998">
        <f>IF(H1998=1,NA(),D1998)</f>
        <v/>
      </c>
      <c r="J1998">
        <f>IF(AND(ISNUMBER(D1998),D1998&gt;=$O$4,OR($O$11=0,B1998&gt;=$O$12)),1,0)</f>
        <v/>
      </c>
      <c r="K1998">
        <f>B1998-$O$14</f>
        <v/>
      </c>
    </row>
    <row r="1999">
      <c r="A1999" t="n">
        <v>5991</v>
      </c>
      <c r="B1999" t="n">
        <v>199.7</v>
      </c>
      <c r="C1999" t="inlineStr">
        <is>
          <t>910</t>
        </is>
      </c>
      <c r="D1999" t="n">
        <v>9.1</v>
      </c>
      <c r="E1999">
        <f>MEDIAN(D1979:D2019)</f>
        <v/>
      </c>
      <c r="F1999">
        <f>E1979</f>
        <v/>
      </c>
      <c r="G1999">
        <f>F1999-E1999</f>
        <v/>
      </c>
      <c r="H1999">
        <f>IF(OR(NOT(ISNUMBER(D1999)),ABS(D1999-E1999)&gt;$O$3,AND($O$11=1,B1999&lt;$O$12)),1,0)</f>
        <v/>
      </c>
      <c r="I1999">
        <f>IF(H1999=1,NA(),D1999)</f>
        <v/>
      </c>
      <c r="J1999">
        <f>IF(AND(ISNUMBER(D1999),D1999&gt;=$O$4,OR($O$11=0,B1999&gt;=$O$12)),1,0)</f>
        <v/>
      </c>
      <c r="K1999">
        <f>B1999-$O$14</f>
        <v/>
      </c>
    </row>
    <row r="2000">
      <c r="A2000" t="n">
        <v>5994</v>
      </c>
      <c r="B2000" t="n">
        <v>199.8</v>
      </c>
      <c r="C2000" t="inlineStr">
        <is>
          <t>910</t>
        </is>
      </c>
      <c r="D2000" t="n">
        <v>9.1</v>
      </c>
      <c r="E2000">
        <f>MEDIAN(D1980:D2020)</f>
        <v/>
      </c>
      <c r="F2000">
        <f>E1980</f>
        <v/>
      </c>
      <c r="G2000">
        <f>F2000-E2000</f>
        <v/>
      </c>
      <c r="H2000">
        <f>IF(OR(NOT(ISNUMBER(D2000)),ABS(D2000-E2000)&gt;$O$3,AND($O$11=1,B2000&lt;$O$12)),1,0)</f>
        <v/>
      </c>
      <c r="I2000">
        <f>IF(H2000=1,NA(),D2000)</f>
        <v/>
      </c>
      <c r="J2000">
        <f>IF(AND(ISNUMBER(D2000),D2000&gt;=$O$4,OR($O$11=0,B2000&gt;=$O$12)),1,0)</f>
        <v/>
      </c>
      <c r="K2000">
        <f>B2000-$O$14</f>
        <v/>
      </c>
    </row>
    <row r="2001">
      <c r="A2001" t="n">
        <v>5997</v>
      </c>
      <c r="B2001" t="n">
        <v>199.9</v>
      </c>
      <c r="C2001" t="inlineStr">
        <is>
          <t>910</t>
        </is>
      </c>
      <c r="D2001" t="n">
        <v>9.1</v>
      </c>
      <c r="E2001">
        <f>MEDIAN(D1981:D2021)</f>
        <v/>
      </c>
      <c r="F2001">
        <f>E1981</f>
        <v/>
      </c>
      <c r="G2001">
        <f>F2001-E2001</f>
        <v/>
      </c>
      <c r="H2001">
        <f>IF(OR(NOT(ISNUMBER(D2001)),ABS(D2001-E2001)&gt;$O$3,AND($O$11=1,B2001&lt;$O$12)),1,0)</f>
        <v/>
      </c>
      <c r="I2001">
        <f>IF(H2001=1,NA(),D2001)</f>
        <v/>
      </c>
      <c r="J2001">
        <f>IF(AND(ISNUMBER(D2001),D2001&gt;=$O$4,OR($O$11=0,B2001&gt;=$O$12)),1,0)</f>
        <v/>
      </c>
      <c r="K2001">
        <f>B2001-$O$14</f>
        <v/>
      </c>
    </row>
    <row r="2002">
      <c r="A2002" t="n">
        <v>6000</v>
      </c>
      <c r="B2002" t="n">
        <v>200</v>
      </c>
      <c r="C2002" t="inlineStr">
        <is>
          <t>910</t>
        </is>
      </c>
      <c r="D2002" t="n">
        <v>9.1</v>
      </c>
      <c r="E2002">
        <f>MEDIAN(D1982:D2022)</f>
        <v/>
      </c>
      <c r="F2002">
        <f>E1982</f>
        <v/>
      </c>
      <c r="G2002">
        <f>F2002-E2002</f>
        <v/>
      </c>
      <c r="H2002">
        <f>IF(OR(NOT(ISNUMBER(D2002)),ABS(D2002-E2002)&gt;$O$3,AND($O$11=1,B2002&lt;$O$12)),1,0)</f>
        <v/>
      </c>
      <c r="I2002">
        <f>IF(H2002=1,NA(),D2002)</f>
        <v/>
      </c>
      <c r="J2002">
        <f>IF(AND(ISNUMBER(D2002),D2002&gt;=$O$4,OR($O$11=0,B2002&gt;=$O$12)),1,0)</f>
        <v/>
      </c>
      <c r="K2002">
        <f>B2002-$O$14</f>
        <v/>
      </c>
    </row>
    <row r="2003">
      <c r="A2003" t="n">
        <v>6003</v>
      </c>
      <c r="B2003" t="n">
        <v>200.1</v>
      </c>
      <c r="C2003" t="inlineStr">
        <is>
          <t>910</t>
        </is>
      </c>
      <c r="D2003" t="n">
        <v>9.1</v>
      </c>
      <c r="E2003">
        <f>MEDIAN(D1983:D2023)</f>
        <v/>
      </c>
      <c r="F2003">
        <f>E1983</f>
        <v/>
      </c>
      <c r="G2003">
        <f>F2003-E2003</f>
        <v/>
      </c>
      <c r="H2003">
        <f>IF(OR(NOT(ISNUMBER(D2003)),ABS(D2003-E2003)&gt;$O$3,AND($O$11=1,B2003&lt;$O$12)),1,0)</f>
        <v/>
      </c>
      <c r="I2003">
        <f>IF(H2003=1,NA(),D2003)</f>
        <v/>
      </c>
      <c r="J2003">
        <f>IF(AND(ISNUMBER(D2003),D2003&gt;=$O$4,OR($O$11=0,B2003&gt;=$O$12)),1,0)</f>
        <v/>
      </c>
      <c r="K2003">
        <f>B2003-$O$14</f>
        <v/>
      </c>
    </row>
    <row r="2004">
      <c r="A2004" t="n">
        <v>6006</v>
      </c>
      <c r="B2004" t="n">
        <v>200.2</v>
      </c>
      <c r="C2004" t="inlineStr">
        <is>
          <t>910</t>
        </is>
      </c>
      <c r="D2004" t="n">
        <v>9.1</v>
      </c>
      <c r="E2004">
        <f>MEDIAN(D1984:D2024)</f>
        <v/>
      </c>
      <c r="F2004">
        <f>E1984</f>
        <v/>
      </c>
      <c r="G2004">
        <f>F2004-E2004</f>
        <v/>
      </c>
      <c r="H2004">
        <f>IF(OR(NOT(ISNUMBER(D2004)),ABS(D2004-E2004)&gt;$O$3,AND($O$11=1,B2004&lt;$O$12)),1,0)</f>
        <v/>
      </c>
      <c r="I2004">
        <f>IF(H2004=1,NA(),D2004)</f>
        <v/>
      </c>
      <c r="J2004">
        <f>IF(AND(ISNUMBER(D2004),D2004&gt;=$O$4,OR($O$11=0,B2004&gt;=$O$12)),1,0)</f>
        <v/>
      </c>
      <c r="K2004">
        <f>B2004-$O$14</f>
        <v/>
      </c>
    </row>
    <row r="2005">
      <c r="A2005" t="n">
        <v>6009</v>
      </c>
      <c r="B2005" t="n">
        <v>200.3</v>
      </c>
      <c r="C2005" t="inlineStr">
        <is>
          <t>910</t>
        </is>
      </c>
      <c r="D2005" t="n">
        <v>9.1</v>
      </c>
      <c r="E2005">
        <f>MEDIAN(D1985:D2025)</f>
        <v/>
      </c>
      <c r="F2005">
        <f>E1985</f>
        <v/>
      </c>
      <c r="G2005">
        <f>F2005-E2005</f>
        <v/>
      </c>
      <c r="H2005">
        <f>IF(OR(NOT(ISNUMBER(D2005)),ABS(D2005-E2005)&gt;$O$3,AND($O$11=1,B2005&lt;$O$12)),1,0)</f>
        <v/>
      </c>
      <c r="I2005">
        <f>IF(H2005=1,NA(),D2005)</f>
        <v/>
      </c>
      <c r="J2005">
        <f>IF(AND(ISNUMBER(D2005),D2005&gt;=$O$4,OR($O$11=0,B2005&gt;=$O$12)),1,0)</f>
        <v/>
      </c>
      <c r="K2005">
        <f>B2005-$O$14</f>
        <v/>
      </c>
    </row>
    <row r="2006">
      <c r="A2006" t="n">
        <v>6012</v>
      </c>
      <c r="B2006" t="n">
        <v>200.4</v>
      </c>
      <c r="C2006" t="inlineStr">
        <is>
          <t>911</t>
        </is>
      </c>
      <c r="D2006" t="n">
        <v>9.109999999999999</v>
      </c>
      <c r="E2006">
        <f>MEDIAN(D1986:D2026)</f>
        <v/>
      </c>
      <c r="F2006">
        <f>E1986</f>
        <v/>
      </c>
      <c r="G2006">
        <f>F2006-E2006</f>
        <v/>
      </c>
      <c r="H2006">
        <f>IF(OR(NOT(ISNUMBER(D2006)),ABS(D2006-E2006)&gt;$O$3,AND($O$11=1,B2006&lt;$O$12)),1,0)</f>
        <v/>
      </c>
      <c r="I2006">
        <f>IF(H2006=1,NA(),D2006)</f>
        <v/>
      </c>
      <c r="J2006">
        <f>IF(AND(ISNUMBER(D2006),D2006&gt;=$O$4,OR($O$11=0,B2006&gt;=$O$12)),1,0)</f>
        <v/>
      </c>
      <c r="K2006">
        <f>B2006-$O$14</f>
        <v/>
      </c>
    </row>
    <row r="2007">
      <c r="A2007" t="n">
        <v>6015</v>
      </c>
      <c r="B2007" t="n">
        <v>200.5</v>
      </c>
      <c r="C2007" t="inlineStr">
        <is>
          <t>911</t>
        </is>
      </c>
      <c r="D2007" t="n">
        <v>9.109999999999999</v>
      </c>
      <c r="E2007">
        <f>MEDIAN(D1987:D2027)</f>
        <v/>
      </c>
      <c r="F2007">
        <f>E1987</f>
        <v/>
      </c>
      <c r="G2007">
        <f>F2007-E2007</f>
        <v/>
      </c>
      <c r="H2007">
        <f>IF(OR(NOT(ISNUMBER(D2007)),ABS(D2007-E2007)&gt;$O$3,AND($O$11=1,B2007&lt;$O$12)),1,0)</f>
        <v/>
      </c>
      <c r="I2007">
        <f>IF(H2007=1,NA(),D2007)</f>
        <v/>
      </c>
      <c r="J2007">
        <f>IF(AND(ISNUMBER(D2007),D2007&gt;=$O$4,OR($O$11=0,B2007&gt;=$O$12)),1,0)</f>
        <v/>
      </c>
      <c r="K2007">
        <f>B2007-$O$14</f>
        <v/>
      </c>
    </row>
    <row r="2008">
      <c r="A2008" t="n">
        <v>6018</v>
      </c>
      <c r="B2008" t="n">
        <v>200.6</v>
      </c>
      <c r="C2008" t="inlineStr">
        <is>
          <t>911</t>
        </is>
      </c>
      <c r="D2008" t="n">
        <v>9.109999999999999</v>
      </c>
      <c r="E2008">
        <f>MEDIAN(D1988:D2028)</f>
        <v/>
      </c>
      <c r="F2008">
        <f>E1988</f>
        <v/>
      </c>
      <c r="G2008">
        <f>F2008-E2008</f>
        <v/>
      </c>
      <c r="H2008">
        <f>IF(OR(NOT(ISNUMBER(D2008)),ABS(D2008-E2008)&gt;$O$3,AND($O$11=1,B2008&lt;$O$12)),1,0)</f>
        <v/>
      </c>
      <c r="I2008">
        <f>IF(H2008=1,NA(),D2008)</f>
        <v/>
      </c>
      <c r="J2008">
        <f>IF(AND(ISNUMBER(D2008),D2008&gt;=$O$4,OR($O$11=0,B2008&gt;=$O$12)),1,0)</f>
        <v/>
      </c>
      <c r="K2008">
        <f>B2008-$O$14</f>
        <v/>
      </c>
    </row>
    <row r="2009">
      <c r="A2009" t="n">
        <v>6021</v>
      </c>
      <c r="B2009" t="n">
        <v>200.7</v>
      </c>
      <c r="C2009" t="inlineStr">
        <is>
          <t>911</t>
        </is>
      </c>
      <c r="D2009" t="n">
        <v>9.109999999999999</v>
      </c>
      <c r="E2009">
        <f>MEDIAN(D1989:D2029)</f>
        <v/>
      </c>
      <c r="F2009">
        <f>E1989</f>
        <v/>
      </c>
      <c r="G2009">
        <f>F2009-E2009</f>
        <v/>
      </c>
      <c r="H2009">
        <f>IF(OR(NOT(ISNUMBER(D2009)),ABS(D2009-E2009)&gt;$O$3,AND($O$11=1,B2009&lt;$O$12)),1,0)</f>
        <v/>
      </c>
      <c r="I2009">
        <f>IF(H2009=1,NA(),D2009)</f>
        <v/>
      </c>
      <c r="J2009">
        <f>IF(AND(ISNUMBER(D2009),D2009&gt;=$O$4,OR($O$11=0,B2009&gt;=$O$12)),1,0)</f>
        <v/>
      </c>
      <c r="K2009">
        <f>B2009-$O$14</f>
        <v/>
      </c>
    </row>
    <row r="2010">
      <c r="A2010" t="n">
        <v>6024</v>
      </c>
      <c r="B2010" t="n">
        <v>200.8</v>
      </c>
      <c r="C2010" t="inlineStr">
        <is>
          <t>911</t>
        </is>
      </c>
      <c r="D2010" t="n">
        <v>9.109999999999999</v>
      </c>
      <c r="E2010">
        <f>MEDIAN(D1990:D2030)</f>
        <v/>
      </c>
      <c r="F2010">
        <f>E1990</f>
        <v/>
      </c>
      <c r="G2010">
        <f>F2010-E2010</f>
        <v/>
      </c>
      <c r="H2010">
        <f>IF(OR(NOT(ISNUMBER(D2010)),ABS(D2010-E2010)&gt;$O$3,AND($O$11=1,B2010&lt;$O$12)),1,0)</f>
        <v/>
      </c>
      <c r="I2010">
        <f>IF(H2010=1,NA(),D2010)</f>
        <v/>
      </c>
      <c r="J2010">
        <f>IF(AND(ISNUMBER(D2010),D2010&gt;=$O$4,OR($O$11=0,B2010&gt;=$O$12)),1,0)</f>
        <v/>
      </c>
      <c r="K2010">
        <f>B2010-$O$14</f>
        <v/>
      </c>
    </row>
    <row r="2011">
      <c r="A2011" t="n">
        <v>6027</v>
      </c>
      <c r="B2011" t="n">
        <v>200.9</v>
      </c>
      <c r="C2011" t="inlineStr">
        <is>
          <t>911</t>
        </is>
      </c>
      <c r="D2011" t="n">
        <v>9.109999999999999</v>
      </c>
      <c r="E2011">
        <f>MEDIAN(D1991:D2031)</f>
        <v/>
      </c>
      <c r="F2011">
        <f>E1991</f>
        <v/>
      </c>
      <c r="G2011">
        <f>F2011-E2011</f>
        <v/>
      </c>
      <c r="H2011">
        <f>IF(OR(NOT(ISNUMBER(D2011)),ABS(D2011-E2011)&gt;$O$3,AND($O$11=1,B2011&lt;$O$12)),1,0)</f>
        <v/>
      </c>
      <c r="I2011">
        <f>IF(H2011=1,NA(),D2011)</f>
        <v/>
      </c>
      <c r="J2011">
        <f>IF(AND(ISNUMBER(D2011),D2011&gt;=$O$4,OR($O$11=0,B2011&gt;=$O$12)),1,0)</f>
        <v/>
      </c>
      <c r="K2011">
        <f>B2011-$O$14</f>
        <v/>
      </c>
    </row>
    <row r="2012">
      <c r="A2012" t="n">
        <v>6030</v>
      </c>
      <c r="B2012" t="n">
        <v>201</v>
      </c>
      <c r="C2012" t="inlineStr">
        <is>
          <t>913</t>
        </is>
      </c>
      <c r="D2012" t="n">
        <v>9.130000000000001</v>
      </c>
      <c r="E2012">
        <f>MEDIAN(D1992:D2032)</f>
        <v/>
      </c>
      <c r="F2012">
        <f>E1992</f>
        <v/>
      </c>
      <c r="G2012">
        <f>F2012-E2012</f>
        <v/>
      </c>
      <c r="H2012">
        <f>IF(OR(NOT(ISNUMBER(D2012)),ABS(D2012-E2012)&gt;$O$3,AND($O$11=1,B2012&lt;$O$12)),1,0)</f>
        <v/>
      </c>
      <c r="I2012">
        <f>IF(H2012=1,NA(),D2012)</f>
        <v/>
      </c>
      <c r="J2012">
        <f>IF(AND(ISNUMBER(D2012),D2012&gt;=$O$4,OR($O$11=0,B2012&gt;=$O$12)),1,0)</f>
        <v/>
      </c>
      <c r="K2012">
        <f>B2012-$O$14</f>
        <v/>
      </c>
    </row>
    <row r="2013">
      <c r="A2013" t="n">
        <v>6033</v>
      </c>
      <c r="B2013" t="n">
        <v>201.1</v>
      </c>
      <c r="C2013" t="inlineStr">
        <is>
          <t>912</t>
        </is>
      </c>
      <c r="D2013" t="n">
        <v>9.119999999999999</v>
      </c>
      <c r="E2013">
        <f>MEDIAN(D1993:D2033)</f>
        <v/>
      </c>
      <c r="F2013">
        <f>E1993</f>
        <v/>
      </c>
      <c r="G2013">
        <f>F2013-E2013</f>
        <v/>
      </c>
      <c r="H2013">
        <f>IF(OR(NOT(ISNUMBER(D2013)),ABS(D2013-E2013)&gt;$O$3,AND($O$11=1,B2013&lt;$O$12)),1,0)</f>
        <v/>
      </c>
      <c r="I2013">
        <f>IF(H2013=1,NA(),D2013)</f>
        <v/>
      </c>
      <c r="J2013">
        <f>IF(AND(ISNUMBER(D2013),D2013&gt;=$O$4,OR($O$11=0,B2013&gt;=$O$12)),1,0)</f>
        <v/>
      </c>
      <c r="K2013">
        <f>B2013-$O$14</f>
        <v/>
      </c>
    </row>
    <row r="2014">
      <c r="A2014" t="n">
        <v>6036</v>
      </c>
      <c r="B2014" t="n">
        <v>201.2</v>
      </c>
      <c r="C2014" t="inlineStr">
        <is>
          <t>912</t>
        </is>
      </c>
      <c r="D2014" t="n">
        <v>9.119999999999999</v>
      </c>
      <c r="E2014">
        <f>MEDIAN(D1994:D2034)</f>
        <v/>
      </c>
      <c r="F2014">
        <f>E1994</f>
        <v/>
      </c>
      <c r="G2014">
        <f>F2014-E2014</f>
        <v/>
      </c>
      <c r="H2014">
        <f>IF(OR(NOT(ISNUMBER(D2014)),ABS(D2014-E2014)&gt;$O$3,AND($O$11=1,B2014&lt;$O$12)),1,0)</f>
        <v/>
      </c>
      <c r="I2014">
        <f>IF(H2014=1,NA(),D2014)</f>
        <v/>
      </c>
      <c r="J2014">
        <f>IF(AND(ISNUMBER(D2014),D2014&gt;=$O$4,OR($O$11=0,B2014&gt;=$O$12)),1,0)</f>
        <v/>
      </c>
      <c r="K2014">
        <f>B2014-$O$14</f>
        <v/>
      </c>
    </row>
    <row r="2015">
      <c r="A2015" t="n">
        <v>6039</v>
      </c>
      <c r="B2015" t="n">
        <v>201.3</v>
      </c>
      <c r="C2015" t="inlineStr">
        <is>
          <t>912</t>
        </is>
      </c>
      <c r="D2015" t="n">
        <v>9.119999999999999</v>
      </c>
      <c r="E2015">
        <f>MEDIAN(D1995:D2035)</f>
        <v/>
      </c>
      <c r="F2015">
        <f>E1995</f>
        <v/>
      </c>
      <c r="G2015">
        <f>F2015-E2015</f>
        <v/>
      </c>
      <c r="H2015">
        <f>IF(OR(NOT(ISNUMBER(D2015)),ABS(D2015-E2015)&gt;$O$3,AND($O$11=1,B2015&lt;$O$12)),1,0)</f>
        <v/>
      </c>
      <c r="I2015">
        <f>IF(H2015=1,NA(),D2015)</f>
        <v/>
      </c>
      <c r="J2015">
        <f>IF(AND(ISNUMBER(D2015),D2015&gt;=$O$4,OR($O$11=0,B2015&gt;=$O$12)),1,0)</f>
        <v/>
      </c>
      <c r="K2015">
        <f>B2015-$O$14</f>
        <v/>
      </c>
    </row>
    <row r="2016">
      <c r="A2016" t="n">
        <v>6042</v>
      </c>
      <c r="B2016" t="n">
        <v>201.4</v>
      </c>
      <c r="C2016" t="inlineStr">
        <is>
          <t>912</t>
        </is>
      </c>
      <c r="D2016" t="n">
        <v>9.119999999999999</v>
      </c>
      <c r="E2016">
        <f>MEDIAN(D1996:D2036)</f>
        <v/>
      </c>
      <c r="F2016">
        <f>E1996</f>
        <v/>
      </c>
      <c r="G2016">
        <f>F2016-E2016</f>
        <v/>
      </c>
      <c r="H2016">
        <f>IF(OR(NOT(ISNUMBER(D2016)),ABS(D2016-E2016)&gt;$O$3,AND($O$11=1,B2016&lt;$O$12)),1,0)</f>
        <v/>
      </c>
      <c r="I2016">
        <f>IF(H2016=1,NA(),D2016)</f>
        <v/>
      </c>
      <c r="J2016">
        <f>IF(AND(ISNUMBER(D2016),D2016&gt;=$O$4,OR($O$11=0,B2016&gt;=$O$12)),1,0)</f>
        <v/>
      </c>
      <c r="K2016">
        <f>B2016-$O$14</f>
        <v/>
      </c>
    </row>
    <row r="2017">
      <c r="A2017" t="n">
        <v>6045</v>
      </c>
      <c r="B2017" t="n">
        <v>201.5</v>
      </c>
      <c r="C2017" t="inlineStr">
        <is>
          <t>912</t>
        </is>
      </c>
      <c r="D2017" t="n">
        <v>9.119999999999999</v>
      </c>
      <c r="E2017">
        <f>MEDIAN(D1997:D2037)</f>
        <v/>
      </c>
      <c r="F2017">
        <f>E1997</f>
        <v/>
      </c>
      <c r="G2017">
        <f>F2017-E2017</f>
        <v/>
      </c>
      <c r="H2017">
        <f>IF(OR(NOT(ISNUMBER(D2017)),ABS(D2017-E2017)&gt;$O$3,AND($O$11=1,B2017&lt;$O$12)),1,0)</f>
        <v/>
      </c>
      <c r="I2017">
        <f>IF(H2017=1,NA(),D2017)</f>
        <v/>
      </c>
      <c r="J2017">
        <f>IF(AND(ISNUMBER(D2017),D2017&gt;=$O$4,OR($O$11=0,B2017&gt;=$O$12)),1,0)</f>
        <v/>
      </c>
      <c r="K2017">
        <f>B2017-$O$14</f>
        <v/>
      </c>
    </row>
    <row r="2018">
      <c r="A2018" t="n">
        <v>6048</v>
      </c>
      <c r="B2018" t="n">
        <v>201.6</v>
      </c>
      <c r="C2018" t="inlineStr">
        <is>
          <t>912</t>
        </is>
      </c>
      <c r="D2018" t="n">
        <v>9.119999999999999</v>
      </c>
      <c r="E2018">
        <f>MEDIAN(D1998:D2038)</f>
        <v/>
      </c>
      <c r="F2018">
        <f>E1998</f>
        <v/>
      </c>
      <c r="G2018">
        <f>F2018-E2018</f>
        <v/>
      </c>
      <c r="H2018">
        <f>IF(OR(NOT(ISNUMBER(D2018)),ABS(D2018-E2018)&gt;$O$3,AND($O$11=1,B2018&lt;$O$12)),1,0)</f>
        <v/>
      </c>
      <c r="I2018">
        <f>IF(H2018=1,NA(),D2018)</f>
        <v/>
      </c>
      <c r="J2018">
        <f>IF(AND(ISNUMBER(D2018),D2018&gt;=$O$4,OR($O$11=0,B2018&gt;=$O$12)),1,0)</f>
        <v/>
      </c>
      <c r="K2018">
        <f>B2018-$O$14</f>
        <v/>
      </c>
    </row>
    <row r="2019">
      <c r="A2019" t="n">
        <v>6051</v>
      </c>
      <c r="B2019" t="n">
        <v>201.7</v>
      </c>
      <c r="C2019" t="inlineStr">
        <is>
          <t>914</t>
        </is>
      </c>
      <c r="D2019" t="n">
        <v>9.140000000000001</v>
      </c>
      <c r="E2019">
        <f>MEDIAN(D1999:D2039)</f>
        <v/>
      </c>
      <c r="F2019">
        <f>E1999</f>
        <v/>
      </c>
      <c r="G2019">
        <f>F2019-E2019</f>
        <v/>
      </c>
      <c r="H2019">
        <f>IF(OR(NOT(ISNUMBER(D2019)),ABS(D2019-E2019)&gt;$O$3,AND($O$11=1,B2019&lt;$O$12)),1,0)</f>
        <v/>
      </c>
      <c r="I2019">
        <f>IF(H2019=1,NA(),D2019)</f>
        <v/>
      </c>
      <c r="J2019">
        <f>IF(AND(ISNUMBER(D2019),D2019&gt;=$O$4,OR($O$11=0,B2019&gt;=$O$12)),1,0)</f>
        <v/>
      </c>
      <c r="K2019">
        <f>B2019-$O$14</f>
        <v/>
      </c>
    </row>
    <row r="2020">
      <c r="A2020" t="n">
        <v>6054</v>
      </c>
      <c r="B2020" t="n">
        <v>201.8</v>
      </c>
      <c r="C2020" t="inlineStr">
        <is>
          <t>914</t>
        </is>
      </c>
      <c r="D2020" t="n">
        <v>9.140000000000001</v>
      </c>
      <c r="E2020">
        <f>MEDIAN(D2000:D2040)</f>
        <v/>
      </c>
      <c r="F2020">
        <f>E2000</f>
        <v/>
      </c>
      <c r="G2020">
        <f>F2020-E2020</f>
        <v/>
      </c>
      <c r="H2020">
        <f>IF(OR(NOT(ISNUMBER(D2020)),ABS(D2020-E2020)&gt;$O$3,AND($O$11=1,B2020&lt;$O$12)),1,0)</f>
        <v/>
      </c>
      <c r="I2020">
        <f>IF(H2020=1,NA(),D2020)</f>
        <v/>
      </c>
      <c r="J2020">
        <f>IF(AND(ISNUMBER(D2020),D2020&gt;=$O$4,OR($O$11=0,B2020&gt;=$O$12)),1,0)</f>
        <v/>
      </c>
      <c r="K2020">
        <f>B2020-$O$14</f>
        <v/>
      </c>
    </row>
    <row r="2021">
      <c r="A2021" t="n">
        <v>6057</v>
      </c>
      <c r="B2021" t="n">
        <v>201.9</v>
      </c>
      <c r="C2021" t="inlineStr">
        <is>
          <t>914</t>
        </is>
      </c>
      <c r="D2021" t="n">
        <v>9.140000000000001</v>
      </c>
      <c r="E2021">
        <f>MEDIAN(D2001:D2041)</f>
        <v/>
      </c>
      <c r="F2021">
        <f>E2001</f>
        <v/>
      </c>
      <c r="G2021">
        <f>F2021-E2021</f>
        <v/>
      </c>
      <c r="H2021">
        <f>IF(OR(NOT(ISNUMBER(D2021)),ABS(D2021-E2021)&gt;$O$3,AND($O$11=1,B2021&lt;$O$12)),1,0)</f>
        <v/>
      </c>
      <c r="I2021">
        <f>IF(H2021=1,NA(),D2021)</f>
        <v/>
      </c>
      <c r="J2021">
        <f>IF(AND(ISNUMBER(D2021),D2021&gt;=$O$4,OR($O$11=0,B2021&gt;=$O$12)),1,0)</f>
        <v/>
      </c>
      <c r="K2021">
        <f>B2021-$O$14</f>
        <v/>
      </c>
    </row>
    <row r="2022">
      <c r="A2022" t="n">
        <v>6060</v>
      </c>
      <c r="B2022" t="n">
        <v>202</v>
      </c>
      <c r="C2022" t="inlineStr">
        <is>
          <t>914</t>
        </is>
      </c>
      <c r="D2022" t="n">
        <v>9.140000000000001</v>
      </c>
      <c r="E2022">
        <f>MEDIAN(D2002:D2042)</f>
        <v/>
      </c>
      <c r="F2022">
        <f>E2002</f>
        <v/>
      </c>
      <c r="G2022">
        <f>F2022-E2022</f>
        <v/>
      </c>
      <c r="H2022">
        <f>IF(OR(NOT(ISNUMBER(D2022)),ABS(D2022-E2022)&gt;$O$3,AND($O$11=1,B2022&lt;$O$12)),1,0)</f>
        <v/>
      </c>
      <c r="I2022">
        <f>IF(H2022=1,NA(),D2022)</f>
        <v/>
      </c>
      <c r="J2022">
        <f>IF(AND(ISNUMBER(D2022),D2022&gt;=$O$4,OR($O$11=0,B2022&gt;=$O$12)),1,0)</f>
        <v/>
      </c>
      <c r="K2022">
        <f>B2022-$O$14</f>
        <v/>
      </c>
    </row>
    <row r="2023">
      <c r="A2023" t="n">
        <v>6063</v>
      </c>
      <c r="B2023" t="n">
        <v>202.1</v>
      </c>
      <c r="C2023" t="inlineStr">
        <is>
          <t>914</t>
        </is>
      </c>
      <c r="D2023" t="n">
        <v>9.140000000000001</v>
      </c>
      <c r="E2023">
        <f>MEDIAN(D2003:D2043)</f>
        <v/>
      </c>
      <c r="F2023">
        <f>E2003</f>
        <v/>
      </c>
      <c r="G2023">
        <f>F2023-E2023</f>
        <v/>
      </c>
      <c r="H2023">
        <f>IF(OR(NOT(ISNUMBER(D2023)),ABS(D2023-E2023)&gt;$O$3,AND($O$11=1,B2023&lt;$O$12)),1,0)</f>
        <v/>
      </c>
      <c r="I2023">
        <f>IF(H2023=1,NA(),D2023)</f>
        <v/>
      </c>
      <c r="J2023">
        <f>IF(AND(ISNUMBER(D2023),D2023&gt;=$O$4,OR($O$11=0,B2023&gt;=$O$12)),1,0)</f>
        <v/>
      </c>
      <c r="K2023">
        <f>B2023-$O$14</f>
        <v/>
      </c>
    </row>
    <row r="2024">
      <c r="A2024" t="n">
        <v>6066</v>
      </c>
      <c r="B2024" t="n">
        <v>202.2</v>
      </c>
      <c r="C2024" t="inlineStr">
        <is>
          <t>914</t>
        </is>
      </c>
      <c r="D2024" t="n">
        <v>9.140000000000001</v>
      </c>
      <c r="E2024">
        <f>MEDIAN(D2004:D2044)</f>
        <v/>
      </c>
      <c r="F2024">
        <f>E2004</f>
        <v/>
      </c>
      <c r="G2024">
        <f>F2024-E2024</f>
        <v/>
      </c>
      <c r="H2024">
        <f>IF(OR(NOT(ISNUMBER(D2024)),ABS(D2024-E2024)&gt;$O$3,AND($O$11=1,B2024&lt;$O$12)),1,0)</f>
        <v/>
      </c>
      <c r="I2024">
        <f>IF(H2024=1,NA(),D2024)</f>
        <v/>
      </c>
      <c r="J2024">
        <f>IF(AND(ISNUMBER(D2024),D2024&gt;=$O$4,OR($O$11=0,B2024&gt;=$O$12)),1,0)</f>
        <v/>
      </c>
      <c r="K2024">
        <f>B2024-$O$14</f>
        <v/>
      </c>
    </row>
    <row r="2025">
      <c r="A2025" t="n">
        <v>6069</v>
      </c>
      <c r="B2025" t="n">
        <v>202.3</v>
      </c>
      <c r="C2025" t="inlineStr">
        <is>
          <t>914</t>
        </is>
      </c>
      <c r="D2025" t="n">
        <v>9.140000000000001</v>
      </c>
      <c r="E2025">
        <f>MEDIAN(D2005:D2045)</f>
        <v/>
      </c>
      <c r="F2025">
        <f>E2005</f>
        <v/>
      </c>
      <c r="G2025">
        <f>F2025-E2025</f>
        <v/>
      </c>
      <c r="H2025">
        <f>IF(OR(NOT(ISNUMBER(D2025)),ABS(D2025-E2025)&gt;$O$3,AND($O$11=1,B2025&lt;$O$12)),1,0)</f>
        <v/>
      </c>
      <c r="I2025">
        <f>IF(H2025=1,NA(),D2025)</f>
        <v/>
      </c>
      <c r="J2025">
        <f>IF(AND(ISNUMBER(D2025),D2025&gt;=$O$4,OR($O$11=0,B2025&gt;=$O$12)),1,0)</f>
        <v/>
      </c>
      <c r="K2025">
        <f>B2025-$O$14</f>
        <v/>
      </c>
    </row>
    <row r="2026">
      <c r="A2026" t="n">
        <v>6072</v>
      </c>
      <c r="B2026" t="n">
        <v>202.4</v>
      </c>
      <c r="C2026" t="inlineStr">
        <is>
          <t>914</t>
        </is>
      </c>
      <c r="D2026" t="n">
        <v>9.140000000000001</v>
      </c>
      <c r="E2026">
        <f>MEDIAN(D2006:D2046)</f>
        <v/>
      </c>
      <c r="F2026">
        <f>E2006</f>
        <v/>
      </c>
      <c r="G2026">
        <f>F2026-E2026</f>
        <v/>
      </c>
      <c r="H2026">
        <f>IF(OR(NOT(ISNUMBER(D2026)),ABS(D2026-E2026)&gt;$O$3,AND($O$11=1,B2026&lt;$O$12)),1,0)</f>
        <v/>
      </c>
      <c r="I2026">
        <f>IF(H2026=1,NA(),D2026)</f>
        <v/>
      </c>
      <c r="J2026">
        <f>IF(AND(ISNUMBER(D2026),D2026&gt;=$O$4,OR($O$11=0,B2026&gt;=$O$12)),1,0)</f>
        <v/>
      </c>
      <c r="K2026">
        <f>B2026-$O$14</f>
        <v/>
      </c>
    </row>
    <row r="2027">
      <c r="A2027" t="n">
        <v>6075</v>
      </c>
      <c r="B2027" t="n">
        <v>202.5</v>
      </c>
      <c r="C2027" t="inlineStr">
        <is>
          <t>914</t>
        </is>
      </c>
      <c r="D2027" t="n">
        <v>9.140000000000001</v>
      </c>
      <c r="E2027">
        <f>MEDIAN(D2007:D2047)</f>
        <v/>
      </c>
      <c r="F2027">
        <f>E2007</f>
        <v/>
      </c>
      <c r="G2027">
        <f>F2027-E2027</f>
        <v/>
      </c>
      <c r="H2027">
        <f>IF(OR(NOT(ISNUMBER(D2027)),ABS(D2027-E2027)&gt;$O$3,AND($O$11=1,B2027&lt;$O$12)),1,0)</f>
        <v/>
      </c>
      <c r="I2027">
        <f>IF(H2027=1,NA(),D2027)</f>
        <v/>
      </c>
      <c r="J2027">
        <f>IF(AND(ISNUMBER(D2027),D2027&gt;=$O$4,OR($O$11=0,B2027&gt;=$O$12)),1,0)</f>
        <v/>
      </c>
      <c r="K2027">
        <f>B2027-$O$14</f>
        <v/>
      </c>
    </row>
    <row r="2028">
      <c r="A2028" t="n">
        <v>6078</v>
      </c>
      <c r="B2028" t="n">
        <v>202.6</v>
      </c>
      <c r="C2028" t="inlineStr">
        <is>
          <t>914</t>
        </is>
      </c>
      <c r="D2028" t="n">
        <v>9.140000000000001</v>
      </c>
      <c r="E2028">
        <f>MEDIAN(D2008:D2048)</f>
        <v/>
      </c>
      <c r="F2028">
        <f>E2008</f>
        <v/>
      </c>
      <c r="G2028">
        <f>F2028-E2028</f>
        <v/>
      </c>
      <c r="H2028">
        <f>IF(OR(NOT(ISNUMBER(D2028)),ABS(D2028-E2028)&gt;$O$3,AND($O$11=1,B2028&lt;$O$12)),1,0)</f>
        <v/>
      </c>
      <c r="I2028">
        <f>IF(H2028=1,NA(),D2028)</f>
        <v/>
      </c>
      <c r="J2028">
        <f>IF(AND(ISNUMBER(D2028),D2028&gt;=$O$4,OR($O$11=0,B2028&gt;=$O$12)),1,0)</f>
        <v/>
      </c>
      <c r="K2028">
        <f>B2028-$O$14</f>
        <v/>
      </c>
    </row>
    <row r="2029">
      <c r="A2029" t="n">
        <v>6081</v>
      </c>
      <c r="B2029" t="n">
        <v>202.7</v>
      </c>
      <c r="C2029" t="inlineStr">
        <is>
          <t>914</t>
        </is>
      </c>
      <c r="D2029" t="n">
        <v>9.140000000000001</v>
      </c>
      <c r="E2029">
        <f>MEDIAN(D2009:D2049)</f>
        <v/>
      </c>
      <c r="F2029">
        <f>E2009</f>
        <v/>
      </c>
      <c r="G2029">
        <f>F2029-E2029</f>
        <v/>
      </c>
      <c r="H2029">
        <f>IF(OR(NOT(ISNUMBER(D2029)),ABS(D2029-E2029)&gt;$O$3,AND($O$11=1,B2029&lt;$O$12)),1,0)</f>
        <v/>
      </c>
      <c r="I2029">
        <f>IF(H2029=1,NA(),D2029)</f>
        <v/>
      </c>
      <c r="J2029">
        <f>IF(AND(ISNUMBER(D2029),D2029&gt;=$O$4,OR($O$11=0,B2029&gt;=$O$12)),1,0)</f>
        <v/>
      </c>
      <c r="K2029">
        <f>B2029-$O$14</f>
        <v/>
      </c>
    </row>
    <row r="2030">
      <c r="A2030" t="n">
        <v>6084</v>
      </c>
      <c r="B2030" t="n">
        <v>202.8</v>
      </c>
      <c r="C2030" t="inlineStr">
        <is>
          <t>914</t>
        </is>
      </c>
      <c r="D2030" t="n">
        <v>9.140000000000001</v>
      </c>
      <c r="E2030">
        <f>MEDIAN(D2010:D2050)</f>
        <v/>
      </c>
      <c r="F2030">
        <f>E2010</f>
        <v/>
      </c>
      <c r="G2030">
        <f>F2030-E2030</f>
        <v/>
      </c>
      <c r="H2030">
        <f>IF(OR(NOT(ISNUMBER(D2030)),ABS(D2030-E2030)&gt;$O$3,AND($O$11=1,B2030&lt;$O$12)),1,0)</f>
        <v/>
      </c>
      <c r="I2030">
        <f>IF(H2030=1,NA(),D2030)</f>
        <v/>
      </c>
      <c r="J2030">
        <f>IF(AND(ISNUMBER(D2030),D2030&gt;=$O$4,OR($O$11=0,B2030&gt;=$O$12)),1,0)</f>
        <v/>
      </c>
      <c r="K2030">
        <f>B2030-$O$14</f>
        <v/>
      </c>
    </row>
    <row r="2031">
      <c r="A2031" t="n">
        <v>6087</v>
      </c>
      <c r="B2031" t="n">
        <v>202.9</v>
      </c>
      <c r="C2031" t="inlineStr">
        <is>
          <t>914</t>
        </is>
      </c>
      <c r="D2031" t="n">
        <v>9.140000000000001</v>
      </c>
      <c r="E2031">
        <f>MEDIAN(D2011:D2051)</f>
        <v/>
      </c>
      <c r="F2031">
        <f>E2011</f>
        <v/>
      </c>
      <c r="G2031">
        <f>F2031-E2031</f>
        <v/>
      </c>
      <c r="H2031">
        <f>IF(OR(NOT(ISNUMBER(D2031)),ABS(D2031-E2031)&gt;$O$3,AND($O$11=1,B2031&lt;$O$12)),1,0)</f>
        <v/>
      </c>
      <c r="I2031">
        <f>IF(H2031=1,NA(),D2031)</f>
        <v/>
      </c>
      <c r="J2031">
        <f>IF(AND(ISNUMBER(D2031),D2031&gt;=$O$4,OR($O$11=0,B2031&gt;=$O$12)),1,0)</f>
        <v/>
      </c>
      <c r="K2031">
        <f>B2031-$O$14</f>
        <v/>
      </c>
    </row>
    <row r="2032">
      <c r="A2032" t="n">
        <v>6090</v>
      </c>
      <c r="B2032" t="n">
        <v>203</v>
      </c>
      <c r="C2032" t="inlineStr">
        <is>
          <t>914</t>
        </is>
      </c>
      <c r="D2032" t="n">
        <v>9.140000000000001</v>
      </c>
      <c r="E2032">
        <f>MEDIAN(D2012:D2052)</f>
        <v/>
      </c>
      <c r="F2032">
        <f>E2012</f>
        <v/>
      </c>
      <c r="G2032">
        <f>F2032-E2032</f>
        <v/>
      </c>
      <c r="H2032">
        <f>IF(OR(NOT(ISNUMBER(D2032)),ABS(D2032-E2032)&gt;$O$3,AND($O$11=1,B2032&lt;$O$12)),1,0)</f>
        <v/>
      </c>
      <c r="I2032">
        <f>IF(H2032=1,NA(),D2032)</f>
        <v/>
      </c>
      <c r="J2032">
        <f>IF(AND(ISNUMBER(D2032),D2032&gt;=$O$4,OR($O$11=0,B2032&gt;=$O$12)),1,0)</f>
        <v/>
      </c>
      <c r="K2032">
        <f>B2032-$O$14</f>
        <v/>
      </c>
    </row>
    <row r="2033">
      <c r="A2033" t="n">
        <v>6093</v>
      </c>
      <c r="B2033" t="n">
        <v>203.1</v>
      </c>
      <c r="C2033" t="inlineStr">
        <is>
          <t>914</t>
        </is>
      </c>
      <c r="D2033" t="n">
        <v>9.140000000000001</v>
      </c>
      <c r="E2033">
        <f>MEDIAN(D2013:D2053)</f>
        <v/>
      </c>
      <c r="F2033">
        <f>E2013</f>
        <v/>
      </c>
      <c r="G2033">
        <f>F2033-E2033</f>
        <v/>
      </c>
      <c r="H2033">
        <f>IF(OR(NOT(ISNUMBER(D2033)),ABS(D2033-E2033)&gt;$O$3,AND($O$11=1,B2033&lt;$O$12)),1,0)</f>
        <v/>
      </c>
      <c r="I2033">
        <f>IF(H2033=1,NA(),D2033)</f>
        <v/>
      </c>
      <c r="J2033">
        <f>IF(AND(ISNUMBER(D2033),D2033&gt;=$O$4,OR($O$11=0,B2033&gt;=$O$12)),1,0)</f>
        <v/>
      </c>
      <c r="K2033">
        <f>B2033-$O$14</f>
        <v/>
      </c>
    </row>
    <row r="2034">
      <c r="A2034" t="n">
        <v>6096</v>
      </c>
      <c r="B2034" t="n">
        <v>203.2</v>
      </c>
      <c r="C2034" t="inlineStr">
        <is>
          <t>914</t>
        </is>
      </c>
      <c r="D2034" t="n">
        <v>9.140000000000001</v>
      </c>
      <c r="E2034">
        <f>MEDIAN(D2014:D2054)</f>
        <v/>
      </c>
      <c r="F2034">
        <f>E2014</f>
        <v/>
      </c>
      <c r="G2034">
        <f>F2034-E2034</f>
        <v/>
      </c>
      <c r="H2034">
        <f>IF(OR(NOT(ISNUMBER(D2034)),ABS(D2034-E2034)&gt;$O$3,AND($O$11=1,B2034&lt;$O$12)),1,0)</f>
        <v/>
      </c>
      <c r="I2034">
        <f>IF(H2034=1,NA(),D2034)</f>
        <v/>
      </c>
      <c r="J2034">
        <f>IF(AND(ISNUMBER(D2034),D2034&gt;=$O$4,OR($O$11=0,B2034&gt;=$O$12)),1,0)</f>
        <v/>
      </c>
      <c r="K2034">
        <f>B2034-$O$14</f>
        <v/>
      </c>
    </row>
    <row r="2035">
      <c r="A2035" t="n">
        <v>6099</v>
      </c>
      <c r="B2035" t="n">
        <v>203.3</v>
      </c>
      <c r="C2035" t="inlineStr">
        <is>
          <t>914</t>
        </is>
      </c>
      <c r="D2035" t="n">
        <v>9.140000000000001</v>
      </c>
      <c r="E2035">
        <f>MEDIAN(D2015:D2055)</f>
        <v/>
      </c>
      <c r="F2035">
        <f>E2015</f>
        <v/>
      </c>
      <c r="G2035">
        <f>F2035-E2035</f>
        <v/>
      </c>
      <c r="H2035">
        <f>IF(OR(NOT(ISNUMBER(D2035)),ABS(D2035-E2035)&gt;$O$3,AND($O$11=1,B2035&lt;$O$12)),1,0)</f>
        <v/>
      </c>
      <c r="I2035">
        <f>IF(H2035=1,NA(),D2035)</f>
        <v/>
      </c>
      <c r="J2035">
        <f>IF(AND(ISNUMBER(D2035),D2035&gt;=$O$4,OR($O$11=0,B2035&gt;=$O$12)),1,0)</f>
        <v/>
      </c>
      <c r="K2035">
        <f>B2035-$O$14</f>
        <v/>
      </c>
    </row>
    <row r="2036">
      <c r="A2036" t="n">
        <v>6102</v>
      </c>
      <c r="B2036" t="n">
        <v>203.4</v>
      </c>
      <c r="C2036" t="inlineStr">
        <is>
          <t>914</t>
        </is>
      </c>
      <c r="D2036" t="n">
        <v>9.140000000000001</v>
      </c>
      <c r="E2036">
        <f>MEDIAN(D2016:D2056)</f>
        <v/>
      </c>
      <c r="F2036">
        <f>E2016</f>
        <v/>
      </c>
      <c r="G2036">
        <f>F2036-E2036</f>
        <v/>
      </c>
      <c r="H2036">
        <f>IF(OR(NOT(ISNUMBER(D2036)),ABS(D2036-E2036)&gt;$O$3,AND($O$11=1,B2036&lt;$O$12)),1,0)</f>
        <v/>
      </c>
      <c r="I2036">
        <f>IF(H2036=1,NA(),D2036)</f>
        <v/>
      </c>
      <c r="J2036">
        <f>IF(AND(ISNUMBER(D2036),D2036&gt;=$O$4,OR($O$11=0,B2036&gt;=$O$12)),1,0)</f>
        <v/>
      </c>
      <c r="K2036">
        <f>B2036-$O$14</f>
        <v/>
      </c>
    </row>
    <row r="2037">
      <c r="A2037" t="n">
        <v>6105</v>
      </c>
      <c r="B2037" t="n">
        <v>203.5</v>
      </c>
      <c r="C2037" t="inlineStr">
        <is>
          <t>914</t>
        </is>
      </c>
      <c r="D2037" t="n">
        <v>9.140000000000001</v>
      </c>
      <c r="E2037">
        <f>MEDIAN(D2017:D2057)</f>
        <v/>
      </c>
      <c r="F2037">
        <f>E2017</f>
        <v/>
      </c>
      <c r="G2037">
        <f>F2037-E2037</f>
        <v/>
      </c>
      <c r="H2037">
        <f>IF(OR(NOT(ISNUMBER(D2037)),ABS(D2037-E2037)&gt;$O$3,AND($O$11=1,B2037&lt;$O$12)),1,0)</f>
        <v/>
      </c>
      <c r="I2037">
        <f>IF(H2037=1,NA(),D2037)</f>
        <v/>
      </c>
      <c r="J2037">
        <f>IF(AND(ISNUMBER(D2037),D2037&gt;=$O$4,OR($O$11=0,B2037&gt;=$O$12)),1,0)</f>
        <v/>
      </c>
      <c r="K2037">
        <f>B2037-$O$14</f>
        <v/>
      </c>
    </row>
    <row r="2038">
      <c r="A2038" t="n">
        <v>6108</v>
      </c>
      <c r="B2038" t="n">
        <v>203.6</v>
      </c>
      <c r="C2038" t="inlineStr">
        <is>
          <t>914</t>
        </is>
      </c>
      <c r="D2038" t="n">
        <v>9.140000000000001</v>
      </c>
      <c r="E2038">
        <f>MEDIAN(D2018:D2058)</f>
        <v/>
      </c>
      <c r="F2038">
        <f>E2018</f>
        <v/>
      </c>
      <c r="G2038">
        <f>F2038-E2038</f>
        <v/>
      </c>
      <c r="H2038">
        <f>IF(OR(NOT(ISNUMBER(D2038)),ABS(D2038-E2038)&gt;$O$3,AND($O$11=1,B2038&lt;$O$12)),1,0)</f>
        <v/>
      </c>
      <c r="I2038">
        <f>IF(H2038=1,NA(),D2038)</f>
        <v/>
      </c>
      <c r="J2038">
        <f>IF(AND(ISNUMBER(D2038),D2038&gt;=$O$4,OR($O$11=0,B2038&gt;=$O$12)),1,0)</f>
        <v/>
      </c>
      <c r="K2038">
        <f>B2038-$O$14</f>
        <v/>
      </c>
    </row>
    <row r="2039">
      <c r="A2039" t="n">
        <v>6111</v>
      </c>
      <c r="B2039" t="n">
        <v>203.7</v>
      </c>
      <c r="C2039" t="inlineStr">
        <is>
          <t>914</t>
        </is>
      </c>
      <c r="D2039" t="n">
        <v>9.140000000000001</v>
      </c>
      <c r="E2039">
        <f>MEDIAN(D2019:D2059)</f>
        <v/>
      </c>
      <c r="F2039">
        <f>E2019</f>
        <v/>
      </c>
      <c r="G2039">
        <f>F2039-E2039</f>
        <v/>
      </c>
      <c r="H2039">
        <f>IF(OR(NOT(ISNUMBER(D2039)),ABS(D2039-E2039)&gt;$O$3,AND($O$11=1,B2039&lt;$O$12)),1,0)</f>
        <v/>
      </c>
      <c r="I2039">
        <f>IF(H2039=1,NA(),D2039)</f>
        <v/>
      </c>
      <c r="J2039">
        <f>IF(AND(ISNUMBER(D2039),D2039&gt;=$O$4,OR($O$11=0,B2039&gt;=$O$12)),1,0)</f>
        <v/>
      </c>
      <c r="K2039">
        <f>B2039-$O$14</f>
        <v/>
      </c>
    </row>
    <row r="2040">
      <c r="A2040" t="n">
        <v>6114</v>
      </c>
      <c r="B2040" t="n">
        <v>203.8</v>
      </c>
      <c r="C2040" t="inlineStr">
        <is>
          <t>914</t>
        </is>
      </c>
      <c r="D2040" t="n">
        <v>9.140000000000001</v>
      </c>
      <c r="E2040">
        <f>MEDIAN(D2020:D2060)</f>
        <v/>
      </c>
      <c r="F2040">
        <f>E2020</f>
        <v/>
      </c>
      <c r="G2040">
        <f>F2040-E2040</f>
        <v/>
      </c>
      <c r="H2040">
        <f>IF(OR(NOT(ISNUMBER(D2040)),ABS(D2040-E2040)&gt;$O$3,AND($O$11=1,B2040&lt;$O$12)),1,0)</f>
        <v/>
      </c>
      <c r="I2040">
        <f>IF(H2040=1,NA(),D2040)</f>
        <v/>
      </c>
      <c r="J2040">
        <f>IF(AND(ISNUMBER(D2040),D2040&gt;=$O$4,OR($O$11=0,B2040&gt;=$O$12)),1,0)</f>
        <v/>
      </c>
      <c r="K2040">
        <f>B2040-$O$14</f>
        <v/>
      </c>
    </row>
    <row r="2041">
      <c r="A2041" t="n">
        <v>6117</v>
      </c>
      <c r="B2041" t="n">
        <v>203.9</v>
      </c>
      <c r="C2041" t="inlineStr">
        <is>
          <t>914</t>
        </is>
      </c>
      <c r="D2041" t="n">
        <v>9.140000000000001</v>
      </c>
      <c r="E2041">
        <f>MEDIAN(D2021:D2061)</f>
        <v/>
      </c>
      <c r="F2041">
        <f>E2021</f>
        <v/>
      </c>
      <c r="G2041">
        <f>F2041-E2041</f>
        <v/>
      </c>
      <c r="H2041">
        <f>IF(OR(NOT(ISNUMBER(D2041)),ABS(D2041-E2041)&gt;$O$3,AND($O$11=1,B2041&lt;$O$12)),1,0)</f>
        <v/>
      </c>
      <c r="I2041">
        <f>IF(H2041=1,NA(),D2041)</f>
        <v/>
      </c>
      <c r="J2041">
        <f>IF(AND(ISNUMBER(D2041),D2041&gt;=$O$4,OR($O$11=0,B2041&gt;=$O$12)),1,0)</f>
        <v/>
      </c>
      <c r="K2041">
        <f>B2041-$O$14</f>
        <v/>
      </c>
    </row>
    <row r="2042">
      <c r="A2042" t="n">
        <v>6120</v>
      </c>
      <c r="B2042" t="n">
        <v>204</v>
      </c>
      <c r="C2042" t="inlineStr">
        <is>
          <t>914</t>
        </is>
      </c>
      <c r="D2042" t="n">
        <v>9.140000000000001</v>
      </c>
      <c r="E2042">
        <f>MEDIAN(D2022:D2062)</f>
        <v/>
      </c>
      <c r="F2042">
        <f>E2022</f>
        <v/>
      </c>
      <c r="G2042">
        <f>F2042-E2042</f>
        <v/>
      </c>
      <c r="H2042">
        <f>IF(OR(NOT(ISNUMBER(D2042)),ABS(D2042-E2042)&gt;$O$3,AND($O$11=1,B2042&lt;$O$12)),1,0)</f>
        <v/>
      </c>
      <c r="I2042">
        <f>IF(H2042=1,NA(),D2042)</f>
        <v/>
      </c>
      <c r="J2042">
        <f>IF(AND(ISNUMBER(D2042),D2042&gt;=$O$4,OR($O$11=0,B2042&gt;=$O$12)),1,0)</f>
        <v/>
      </c>
      <c r="K2042">
        <f>B2042-$O$14</f>
        <v/>
      </c>
    </row>
    <row r="2043">
      <c r="A2043" t="n">
        <v>6123</v>
      </c>
      <c r="B2043" t="n">
        <v>204.1</v>
      </c>
      <c r="C2043" t="inlineStr">
        <is>
          <t>914</t>
        </is>
      </c>
      <c r="D2043" t="n">
        <v>9.140000000000001</v>
      </c>
      <c r="E2043">
        <f>MEDIAN(D2023:D2063)</f>
        <v/>
      </c>
      <c r="F2043">
        <f>E2023</f>
        <v/>
      </c>
      <c r="G2043">
        <f>F2043-E2043</f>
        <v/>
      </c>
      <c r="H2043">
        <f>IF(OR(NOT(ISNUMBER(D2043)),ABS(D2043-E2043)&gt;$O$3,AND($O$11=1,B2043&lt;$O$12)),1,0)</f>
        <v/>
      </c>
      <c r="I2043">
        <f>IF(H2043=1,NA(),D2043)</f>
        <v/>
      </c>
      <c r="J2043">
        <f>IF(AND(ISNUMBER(D2043),D2043&gt;=$O$4,OR($O$11=0,B2043&gt;=$O$12)),1,0)</f>
        <v/>
      </c>
      <c r="K2043">
        <f>B2043-$O$14</f>
        <v/>
      </c>
    </row>
    <row r="2044">
      <c r="A2044" t="n">
        <v>6126</v>
      </c>
      <c r="B2044" t="n">
        <v>204.2</v>
      </c>
      <c r="C2044" t="inlineStr">
        <is>
          <t>914</t>
        </is>
      </c>
      <c r="D2044" t="n">
        <v>9.140000000000001</v>
      </c>
      <c r="E2044">
        <f>MEDIAN(D2024:D2064)</f>
        <v/>
      </c>
      <c r="F2044">
        <f>E2024</f>
        <v/>
      </c>
      <c r="G2044">
        <f>F2044-E2044</f>
        <v/>
      </c>
      <c r="H2044">
        <f>IF(OR(NOT(ISNUMBER(D2044)),ABS(D2044-E2044)&gt;$O$3,AND($O$11=1,B2044&lt;$O$12)),1,0)</f>
        <v/>
      </c>
      <c r="I2044">
        <f>IF(H2044=1,NA(),D2044)</f>
        <v/>
      </c>
      <c r="J2044">
        <f>IF(AND(ISNUMBER(D2044),D2044&gt;=$O$4,OR($O$11=0,B2044&gt;=$O$12)),1,0)</f>
        <v/>
      </c>
      <c r="K2044">
        <f>B2044-$O$14</f>
        <v/>
      </c>
    </row>
    <row r="2045">
      <c r="A2045" t="n">
        <v>6129</v>
      </c>
      <c r="B2045" t="n">
        <v>204.3</v>
      </c>
      <c r="C2045" t="inlineStr">
        <is>
          <t>914</t>
        </is>
      </c>
      <c r="D2045" t="n">
        <v>9.140000000000001</v>
      </c>
      <c r="E2045">
        <f>MEDIAN(D2025:D2065)</f>
        <v/>
      </c>
      <c r="F2045">
        <f>E2025</f>
        <v/>
      </c>
      <c r="G2045">
        <f>F2045-E2045</f>
        <v/>
      </c>
      <c r="H2045">
        <f>IF(OR(NOT(ISNUMBER(D2045)),ABS(D2045-E2045)&gt;$O$3,AND($O$11=1,B2045&lt;$O$12)),1,0)</f>
        <v/>
      </c>
      <c r="I2045">
        <f>IF(H2045=1,NA(),D2045)</f>
        <v/>
      </c>
      <c r="J2045">
        <f>IF(AND(ISNUMBER(D2045),D2045&gt;=$O$4,OR($O$11=0,B2045&gt;=$O$12)),1,0)</f>
        <v/>
      </c>
      <c r="K2045">
        <f>B2045-$O$14</f>
        <v/>
      </c>
    </row>
    <row r="2046">
      <c r="A2046" t="n">
        <v>6132</v>
      </c>
      <c r="B2046" t="n">
        <v>204.4</v>
      </c>
      <c r="C2046" t="inlineStr">
        <is>
          <t>914</t>
        </is>
      </c>
      <c r="D2046" t="n">
        <v>9.140000000000001</v>
      </c>
      <c r="E2046">
        <f>MEDIAN(D2026:D2066)</f>
        <v/>
      </c>
      <c r="F2046">
        <f>E2026</f>
        <v/>
      </c>
      <c r="G2046">
        <f>F2046-E2046</f>
        <v/>
      </c>
      <c r="H2046">
        <f>IF(OR(NOT(ISNUMBER(D2046)),ABS(D2046-E2046)&gt;$O$3,AND($O$11=1,B2046&lt;$O$12)),1,0)</f>
        <v/>
      </c>
      <c r="I2046">
        <f>IF(H2046=1,NA(),D2046)</f>
        <v/>
      </c>
      <c r="J2046">
        <f>IF(AND(ISNUMBER(D2046),D2046&gt;=$O$4,OR($O$11=0,B2046&gt;=$O$12)),1,0)</f>
        <v/>
      </c>
      <c r="K2046">
        <f>B2046-$O$14</f>
        <v/>
      </c>
    </row>
    <row r="2047">
      <c r="A2047" t="n">
        <v>6135</v>
      </c>
      <c r="B2047" t="n">
        <v>204.5</v>
      </c>
      <c r="C2047" t="inlineStr">
        <is>
          <t>914</t>
        </is>
      </c>
      <c r="D2047" t="n">
        <v>9.140000000000001</v>
      </c>
      <c r="E2047">
        <f>MEDIAN(D2027:D2067)</f>
        <v/>
      </c>
      <c r="F2047">
        <f>E2027</f>
        <v/>
      </c>
      <c r="G2047">
        <f>F2047-E2047</f>
        <v/>
      </c>
      <c r="H2047">
        <f>IF(OR(NOT(ISNUMBER(D2047)),ABS(D2047-E2047)&gt;$O$3,AND($O$11=1,B2047&lt;$O$12)),1,0)</f>
        <v/>
      </c>
      <c r="I2047">
        <f>IF(H2047=1,NA(),D2047)</f>
        <v/>
      </c>
      <c r="J2047">
        <f>IF(AND(ISNUMBER(D2047),D2047&gt;=$O$4,OR($O$11=0,B2047&gt;=$O$12)),1,0)</f>
        <v/>
      </c>
      <c r="K2047">
        <f>B2047-$O$14</f>
        <v/>
      </c>
    </row>
    <row r="2048">
      <c r="A2048" t="n">
        <v>6138</v>
      </c>
      <c r="B2048" t="n">
        <v>204.6</v>
      </c>
      <c r="C2048" t="inlineStr">
        <is>
          <t>914</t>
        </is>
      </c>
      <c r="D2048" t="n">
        <v>9.140000000000001</v>
      </c>
      <c r="E2048">
        <f>MEDIAN(D2028:D2068)</f>
        <v/>
      </c>
      <c r="F2048">
        <f>E2028</f>
        <v/>
      </c>
      <c r="G2048">
        <f>F2048-E2048</f>
        <v/>
      </c>
      <c r="H2048">
        <f>IF(OR(NOT(ISNUMBER(D2048)),ABS(D2048-E2048)&gt;$O$3,AND($O$11=1,B2048&lt;$O$12)),1,0)</f>
        <v/>
      </c>
      <c r="I2048">
        <f>IF(H2048=1,NA(),D2048)</f>
        <v/>
      </c>
      <c r="J2048">
        <f>IF(AND(ISNUMBER(D2048),D2048&gt;=$O$4,OR($O$11=0,B2048&gt;=$O$12)),1,0)</f>
        <v/>
      </c>
      <c r="K2048">
        <f>B2048-$O$14</f>
        <v/>
      </c>
    </row>
    <row r="2049">
      <c r="A2049" t="n">
        <v>6141</v>
      </c>
      <c r="B2049" t="n">
        <v>204.7</v>
      </c>
      <c r="C2049" t="inlineStr">
        <is>
          <t>914</t>
        </is>
      </c>
      <c r="D2049" t="n">
        <v>9.140000000000001</v>
      </c>
      <c r="E2049">
        <f>MEDIAN(D2029:D2069)</f>
        <v/>
      </c>
      <c r="F2049">
        <f>E2029</f>
        <v/>
      </c>
      <c r="G2049">
        <f>F2049-E2049</f>
        <v/>
      </c>
      <c r="H2049">
        <f>IF(OR(NOT(ISNUMBER(D2049)),ABS(D2049-E2049)&gt;$O$3,AND($O$11=1,B2049&lt;$O$12)),1,0)</f>
        <v/>
      </c>
      <c r="I2049">
        <f>IF(H2049=1,NA(),D2049)</f>
        <v/>
      </c>
      <c r="J2049">
        <f>IF(AND(ISNUMBER(D2049),D2049&gt;=$O$4,OR($O$11=0,B2049&gt;=$O$12)),1,0)</f>
        <v/>
      </c>
      <c r="K2049">
        <f>B2049-$O$14</f>
        <v/>
      </c>
    </row>
    <row r="2050">
      <c r="A2050" t="n">
        <v>6144</v>
      </c>
      <c r="B2050" t="n">
        <v>204.8</v>
      </c>
      <c r="C2050" t="inlineStr">
        <is>
          <t>914</t>
        </is>
      </c>
      <c r="D2050" t="n">
        <v>9.140000000000001</v>
      </c>
      <c r="E2050">
        <f>MEDIAN(D2030:D2070)</f>
        <v/>
      </c>
      <c r="F2050">
        <f>E2030</f>
        <v/>
      </c>
      <c r="G2050">
        <f>F2050-E2050</f>
        <v/>
      </c>
      <c r="H2050">
        <f>IF(OR(NOT(ISNUMBER(D2050)),ABS(D2050-E2050)&gt;$O$3,AND($O$11=1,B2050&lt;$O$12)),1,0)</f>
        <v/>
      </c>
      <c r="I2050">
        <f>IF(H2050=1,NA(),D2050)</f>
        <v/>
      </c>
      <c r="J2050">
        <f>IF(AND(ISNUMBER(D2050),D2050&gt;=$O$4,OR($O$11=0,B2050&gt;=$O$12)),1,0)</f>
        <v/>
      </c>
      <c r="K2050">
        <f>B2050-$O$14</f>
        <v/>
      </c>
    </row>
    <row r="2051">
      <c r="A2051" t="n">
        <v>6147</v>
      </c>
      <c r="B2051" t="n">
        <v>204.9</v>
      </c>
      <c r="C2051" t="inlineStr">
        <is>
          <t>919</t>
        </is>
      </c>
      <c r="D2051" t="n">
        <v>9.19</v>
      </c>
      <c r="E2051">
        <f>MEDIAN(D2031:D2071)</f>
        <v/>
      </c>
      <c r="F2051">
        <f>E2031</f>
        <v/>
      </c>
      <c r="G2051">
        <f>F2051-E2051</f>
        <v/>
      </c>
      <c r="H2051">
        <f>IF(OR(NOT(ISNUMBER(D2051)),ABS(D2051-E2051)&gt;$O$3,AND($O$11=1,B2051&lt;$O$12)),1,0)</f>
        <v/>
      </c>
      <c r="I2051">
        <f>IF(H2051=1,NA(),D2051)</f>
        <v/>
      </c>
      <c r="J2051">
        <f>IF(AND(ISNUMBER(D2051),D2051&gt;=$O$4,OR($O$11=0,B2051&gt;=$O$12)),1,0)</f>
        <v/>
      </c>
      <c r="K2051">
        <f>B2051-$O$14</f>
        <v/>
      </c>
    </row>
    <row r="2052">
      <c r="A2052" t="n">
        <v>6150</v>
      </c>
      <c r="B2052" t="n">
        <v>205</v>
      </c>
      <c r="C2052" t="inlineStr">
        <is>
          <t>915</t>
        </is>
      </c>
      <c r="D2052" t="n">
        <v>9.15</v>
      </c>
      <c r="E2052">
        <f>MEDIAN(D2032:D2072)</f>
        <v/>
      </c>
      <c r="F2052">
        <f>E2032</f>
        <v/>
      </c>
      <c r="G2052">
        <f>F2052-E2052</f>
        <v/>
      </c>
      <c r="H2052">
        <f>IF(OR(NOT(ISNUMBER(D2052)),ABS(D2052-E2052)&gt;$O$3,AND($O$11=1,B2052&lt;$O$12)),1,0)</f>
        <v/>
      </c>
      <c r="I2052">
        <f>IF(H2052=1,NA(),D2052)</f>
        <v/>
      </c>
      <c r="J2052">
        <f>IF(AND(ISNUMBER(D2052),D2052&gt;=$O$4,OR($O$11=0,B2052&gt;=$O$12)),1,0)</f>
        <v/>
      </c>
      <c r="K2052">
        <f>B2052-$O$14</f>
        <v/>
      </c>
    </row>
    <row r="2053">
      <c r="A2053" t="n">
        <v>6153</v>
      </c>
      <c r="B2053" t="n">
        <v>205.1</v>
      </c>
      <c r="C2053" t="inlineStr">
        <is>
          <t>919</t>
        </is>
      </c>
      <c r="D2053" t="n">
        <v>9.19</v>
      </c>
      <c r="E2053">
        <f>MEDIAN(D2033:D2073)</f>
        <v/>
      </c>
      <c r="F2053">
        <f>E2033</f>
        <v/>
      </c>
      <c r="G2053">
        <f>F2053-E2053</f>
        <v/>
      </c>
      <c r="H2053">
        <f>IF(OR(NOT(ISNUMBER(D2053)),ABS(D2053-E2053)&gt;$O$3,AND($O$11=1,B2053&lt;$O$12)),1,0)</f>
        <v/>
      </c>
      <c r="I2053">
        <f>IF(H2053=1,NA(),D2053)</f>
        <v/>
      </c>
      <c r="J2053">
        <f>IF(AND(ISNUMBER(D2053),D2053&gt;=$O$4,OR($O$11=0,B2053&gt;=$O$12)),1,0)</f>
        <v/>
      </c>
      <c r="K2053">
        <f>B2053-$O$14</f>
        <v/>
      </c>
    </row>
    <row r="2054">
      <c r="A2054" t="n">
        <v>6156</v>
      </c>
      <c r="B2054" t="n">
        <v>205.2</v>
      </c>
      <c r="C2054" t="inlineStr">
        <is>
          <t>919</t>
        </is>
      </c>
      <c r="D2054" t="n">
        <v>9.19</v>
      </c>
      <c r="E2054">
        <f>MEDIAN(D2034:D2074)</f>
        <v/>
      </c>
      <c r="F2054">
        <f>E2034</f>
        <v/>
      </c>
      <c r="G2054">
        <f>F2054-E2054</f>
        <v/>
      </c>
      <c r="H2054">
        <f>IF(OR(NOT(ISNUMBER(D2054)),ABS(D2054-E2054)&gt;$O$3,AND($O$11=1,B2054&lt;$O$12)),1,0)</f>
        <v/>
      </c>
      <c r="I2054">
        <f>IF(H2054=1,NA(),D2054)</f>
        <v/>
      </c>
      <c r="J2054">
        <f>IF(AND(ISNUMBER(D2054),D2054&gt;=$O$4,OR($O$11=0,B2054&gt;=$O$12)),1,0)</f>
        <v/>
      </c>
      <c r="K2054">
        <f>B2054-$O$14</f>
        <v/>
      </c>
    </row>
    <row r="2055">
      <c r="A2055" t="n">
        <v>6159</v>
      </c>
      <c r="B2055" t="n">
        <v>205.3</v>
      </c>
      <c r="C2055" t="inlineStr">
        <is>
          <t>915</t>
        </is>
      </c>
      <c r="D2055" t="n">
        <v>9.15</v>
      </c>
      <c r="E2055">
        <f>MEDIAN(D2035:D2075)</f>
        <v/>
      </c>
      <c r="F2055">
        <f>E2035</f>
        <v/>
      </c>
      <c r="G2055">
        <f>F2055-E2055</f>
        <v/>
      </c>
      <c r="H2055">
        <f>IF(OR(NOT(ISNUMBER(D2055)),ABS(D2055-E2055)&gt;$O$3,AND($O$11=1,B2055&lt;$O$12)),1,0)</f>
        <v/>
      </c>
      <c r="I2055">
        <f>IF(H2055=1,NA(),D2055)</f>
        <v/>
      </c>
      <c r="J2055">
        <f>IF(AND(ISNUMBER(D2055),D2055&gt;=$O$4,OR($O$11=0,B2055&gt;=$O$12)),1,0)</f>
        <v/>
      </c>
      <c r="K2055">
        <f>B2055-$O$14</f>
        <v/>
      </c>
    </row>
    <row r="2056">
      <c r="A2056" t="n">
        <v>6162</v>
      </c>
      <c r="B2056" t="n">
        <v>205.4</v>
      </c>
      <c r="C2056" t="inlineStr">
        <is>
          <t>915</t>
        </is>
      </c>
      <c r="D2056" t="n">
        <v>9.15</v>
      </c>
      <c r="E2056">
        <f>MEDIAN(D2036:D2076)</f>
        <v/>
      </c>
      <c r="F2056">
        <f>E2036</f>
        <v/>
      </c>
      <c r="G2056">
        <f>F2056-E2056</f>
        <v/>
      </c>
      <c r="H2056">
        <f>IF(OR(NOT(ISNUMBER(D2056)),ABS(D2056-E2056)&gt;$O$3,AND($O$11=1,B2056&lt;$O$12)),1,0)</f>
        <v/>
      </c>
      <c r="I2056">
        <f>IF(H2056=1,NA(),D2056)</f>
        <v/>
      </c>
      <c r="J2056">
        <f>IF(AND(ISNUMBER(D2056),D2056&gt;=$O$4,OR($O$11=0,B2056&gt;=$O$12)),1,0)</f>
        <v/>
      </c>
      <c r="K2056">
        <f>B2056-$O$14</f>
        <v/>
      </c>
    </row>
    <row r="2057">
      <c r="A2057" t="n">
        <v>6165</v>
      </c>
      <c r="B2057" t="n">
        <v>205.5</v>
      </c>
      <c r="C2057" t="inlineStr">
        <is>
          <t>915</t>
        </is>
      </c>
      <c r="D2057" t="n">
        <v>9.15</v>
      </c>
      <c r="E2057">
        <f>MEDIAN(D2037:D2077)</f>
        <v/>
      </c>
      <c r="F2057">
        <f>E2037</f>
        <v/>
      </c>
      <c r="G2057">
        <f>F2057-E2057</f>
        <v/>
      </c>
      <c r="H2057">
        <f>IF(OR(NOT(ISNUMBER(D2057)),ABS(D2057-E2057)&gt;$O$3,AND($O$11=1,B2057&lt;$O$12)),1,0)</f>
        <v/>
      </c>
      <c r="I2057">
        <f>IF(H2057=1,NA(),D2057)</f>
        <v/>
      </c>
      <c r="J2057">
        <f>IF(AND(ISNUMBER(D2057),D2057&gt;=$O$4,OR($O$11=0,B2057&gt;=$O$12)),1,0)</f>
        <v/>
      </c>
      <c r="K2057">
        <f>B2057-$O$14</f>
        <v/>
      </c>
    </row>
    <row r="2058">
      <c r="A2058" t="n">
        <v>6168</v>
      </c>
      <c r="B2058" t="n">
        <v>205.6</v>
      </c>
      <c r="C2058" t="inlineStr">
        <is>
          <t>915</t>
        </is>
      </c>
      <c r="D2058" t="n">
        <v>9.15</v>
      </c>
      <c r="E2058">
        <f>MEDIAN(D2038:D2078)</f>
        <v/>
      </c>
      <c r="F2058">
        <f>E2038</f>
        <v/>
      </c>
      <c r="G2058">
        <f>F2058-E2058</f>
        <v/>
      </c>
      <c r="H2058">
        <f>IF(OR(NOT(ISNUMBER(D2058)),ABS(D2058-E2058)&gt;$O$3,AND($O$11=1,B2058&lt;$O$12)),1,0)</f>
        <v/>
      </c>
      <c r="I2058">
        <f>IF(H2058=1,NA(),D2058)</f>
        <v/>
      </c>
      <c r="J2058">
        <f>IF(AND(ISNUMBER(D2058),D2058&gt;=$O$4,OR($O$11=0,B2058&gt;=$O$12)),1,0)</f>
        <v/>
      </c>
      <c r="K2058">
        <f>B2058-$O$14</f>
        <v/>
      </c>
    </row>
    <row r="2059">
      <c r="A2059" t="n">
        <v>6171</v>
      </c>
      <c r="B2059" t="n">
        <v>205.7</v>
      </c>
      <c r="C2059" t="inlineStr">
        <is>
          <t>915</t>
        </is>
      </c>
      <c r="D2059" t="n">
        <v>9.15</v>
      </c>
      <c r="E2059">
        <f>MEDIAN(D2039:D2079)</f>
        <v/>
      </c>
      <c r="F2059">
        <f>E2039</f>
        <v/>
      </c>
      <c r="G2059">
        <f>F2059-E2059</f>
        <v/>
      </c>
      <c r="H2059">
        <f>IF(OR(NOT(ISNUMBER(D2059)),ABS(D2059-E2059)&gt;$O$3,AND($O$11=1,B2059&lt;$O$12)),1,0)</f>
        <v/>
      </c>
      <c r="I2059">
        <f>IF(H2059=1,NA(),D2059)</f>
        <v/>
      </c>
      <c r="J2059">
        <f>IF(AND(ISNUMBER(D2059),D2059&gt;=$O$4,OR($O$11=0,B2059&gt;=$O$12)),1,0)</f>
        <v/>
      </c>
      <c r="K2059">
        <f>B2059-$O$14</f>
        <v/>
      </c>
    </row>
    <row r="2060">
      <c r="A2060" t="n">
        <v>6174</v>
      </c>
      <c r="B2060" t="n">
        <v>205.8</v>
      </c>
      <c r="C2060" t="inlineStr">
        <is>
          <t>915</t>
        </is>
      </c>
      <c r="D2060" t="n">
        <v>9.15</v>
      </c>
      <c r="E2060">
        <f>MEDIAN(D2040:D2080)</f>
        <v/>
      </c>
      <c r="F2060">
        <f>E2040</f>
        <v/>
      </c>
      <c r="G2060">
        <f>F2060-E2060</f>
        <v/>
      </c>
      <c r="H2060">
        <f>IF(OR(NOT(ISNUMBER(D2060)),ABS(D2060-E2060)&gt;$O$3,AND($O$11=1,B2060&lt;$O$12)),1,0)</f>
        <v/>
      </c>
      <c r="I2060">
        <f>IF(H2060=1,NA(),D2060)</f>
        <v/>
      </c>
      <c r="J2060">
        <f>IF(AND(ISNUMBER(D2060),D2060&gt;=$O$4,OR($O$11=0,B2060&gt;=$O$12)),1,0)</f>
        <v/>
      </c>
      <c r="K2060">
        <f>B2060-$O$14</f>
        <v/>
      </c>
    </row>
    <row r="2061">
      <c r="A2061" t="n">
        <v>6177</v>
      </c>
      <c r="B2061" t="n">
        <v>205.9</v>
      </c>
      <c r="C2061" t="inlineStr">
        <is>
          <t>915</t>
        </is>
      </c>
      <c r="D2061" t="n">
        <v>9.15</v>
      </c>
      <c r="E2061">
        <f>MEDIAN(D2041:D2081)</f>
        <v/>
      </c>
      <c r="F2061">
        <f>E2041</f>
        <v/>
      </c>
      <c r="G2061">
        <f>F2061-E2061</f>
        <v/>
      </c>
      <c r="H2061">
        <f>IF(OR(NOT(ISNUMBER(D2061)),ABS(D2061-E2061)&gt;$O$3,AND($O$11=1,B2061&lt;$O$12)),1,0)</f>
        <v/>
      </c>
      <c r="I2061">
        <f>IF(H2061=1,NA(),D2061)</f>
        <v/>
      </c>
      <c r="J2061">
        <f>IF(AND(ISNUMBER(D2061),D2061&gt;=$O$4,OR($O$11=0,B2061&gt;=$O$12)),1,0)</f>
        <v/>
      </c>
      <c r="K2061">
        <f>B2061-$O$14</f>
        <v/>
      </c>
    </row>
    <row r="2062">
      <c r="A2062" t="n">
        <v>6180</v>
      </c>
      <c r="B2062" t="n">
        <v>206</v>
      </c>
      <c r="C2062" t="inlineStr">
        <is>
          <t>915</t>
        </is>
      </c>
      <c r="D2062" t="n">
        <v>9.15</v>
      </c>
      <c r="E2062">
        <f>MEDIAN(D2042:D2082)</f>
        <v/>
      </c>
      <c r="F2062">
        <f>E2042</f>
        <v/>
      </c>
      <c r="G2062">
        <f>F2062-E2062</f>
        <v/>
      </c>
      <c r="H2062">
        <f>IF(OR(NOT(ISNUMBER(D2062)),ABS(D2062-E2062)&gt;$O$3,AND($O$11=1,B2062&lt;$O$12)),1,0)</f>
        <v/>
      </c>
      <c r="I2062">
        <f>IF(H2062=1,NA(),D2062)</f>
        <v/>
      </c>
      <c r="J2062">
        <f>IF(AND(ISNUMBER(D2062),D2062&gt;=$O$4,OR($O$11=0,B2062&gt;=$O$12)),1,0)</f>
        <v/>
      </c>
      <c r="K2062">
        <f>B2062-$O$14</f>
        <v/>
      </c>
    </row>
    <row r="2063">
      <c r="A2063" t="n">
        <v>6183</v>
      </c>
      <c r="B2063" t="n">
        <v>206.1</v>
      </c>
      <c r="C2063" t="inlineStr">
        <is>
          <t>915</t>
        </is>
      </c>
      <c r="D2063" t="n">
        <v>9.15</v>
      </c>
      <c r="E2063">
        <f>MEDIAN(D2043:D2083)</f>
        <v/>
      </c>
      <c r="F2063">
        <f>E2043</f>
        <v/>
      </c>
      <c r="G2063">
        <f>F2063-E2063</f>
        <v/>
      </c>
      <c r="H2063">
        <f>IF(OR(NOT(ISNUMBER(D2063)),ABS(D2063-E2063)&gt;$O$3,AND($O$11=1,B2063&lt;$O$12)),1,0)</f>
        <v/>
      </c>
      <c r="I2063">
        <f>IF(H2063=1,NA(),D2063)</f>
        <v/>
      </c>
      <c r="J2063">
        <f>IF(AND(ISNUMBER(D2063),D2063&gt;=$O$4,OR($O$11=0,B2063&gt;=$O$12)),1,0)</f>
        <v/>
      </c>
      <c r="K2063">
        <f>B2063-$O$14</f>
        <v/>
      </c>
    </row>
    <row r="2064">
      <c r="A2064" t="n">
        <v>6186</v>
      </c>
      <c r="B2064" t="n">
        <v>206.2</v>
      </c>
      <c r="C2064" t="inlineStr">
        <is>
          <t>915</t>
        </is>
      </c>
      <c r="D2064" t="n">
        <v>9.15</v>
      </c>
      <c r="E2064">
        <f>MEDIAN(D2044:D2084)</f>
        <v/>
      </c>
      <c r="F2064">
        <f>E2044</f>
        <v/>
      </c>
      <c r="G2064">
        <f>F2064-E2064</f>
        <v/>
      </c>
      <c r="H2064">
        <f>IF(OR(NOT(ISNUMBER(D2064)),ABS(D2064-E2064)&gt;$O$3,AND($O$11=1,B2064&lt;$O$12)),1,0)</f>
        <v/>
      </c>
      <c r="I2064">
        <f>IF(H2064=1,NA(),D2064)</f>
        <v/>
      </c>
      <c r="J2064">
        <f>IF(AND(ISNUMBER(D2064),D2064&gt;=$O$4,OR($O$11=0,B2064&gt;=$O$12)),1,0)</f>
        <v/>
      </c>
      <c r="K2064">
        <f>B2064-$O$14</f>
        <v/>
      </c>
    </row>
    <row r="2065">
      <c r="A2065" t="n">
        <v>6189</v>
      </c>
      <c r="B2065" t="n">
        <v>206.3</v>
      </c>
      <c r="C2065" t="inlineStr">
        <is>
          <t>915</t>
        </is>
      </c>
      <c r="D2065" t="n">
        <v>9.15</v>
      </c>
      <c r="E2065">
        <f>MEDIAN(D2045:D2085)</f>
        <v/>
      </c>
      <c r="F2065">
        <f>E2045</f>
        <v/>
      </c>
      <c r="G2065">
        <f>F2065-E2065</f>
        <v/>
      </c>
      <c r="H2065">
        <f>IF(OR(NOT(ISNUMBER(D2065)),ABS(D2065-E2065)&gt;$O$3,AND($O$11=1,B2065&lt;$O$12)),1,0)</f>
        <v/>
      </c>
      <c r="I2065">
        <f>IF(H2065=1,NA(),D2065)</f>
        <v/>
      </c>
      <c r="J2065">
        <f>IF(AND(ISNUMBER(D2065),D2065&gt;=$O$4,OR($O$11=0,B2065&gt;=$O$12)),1,0)</f>
        <v/>
      </c>
      <c r="K2065">
        <f>B2065-$O$14</f>
        <v/>
      </c>
    </row>
    <row r="2066">
      <c r="A2066" t="n">
        <v>6192</v>
      </c>
      <c r="B2066" t="n">
        <v>206.4</v>
      </c>
      <c r="C2066" t="inlineStr">
        <is>
          <t>915</t>
        </is>
      </c>
      <c r="D2066" t="n">
        <v>9.15</v>
      </c>
      <c r="E2066">
        <f>MEDIAN(D2046:D2086)</f>
        <v/>
      </c>
      <c r="F2066">
        <f>E2046</f>
        <v/>
      </c>
      <c r="G2066">
        <f>F2066-E2066</f>
        <v/>
      </c>
      <c r="H2066">
        <f>IF(OR(NOT(ISNUMBER(D2066)),ABS(D2066-E2066)&gt;$O$3,AND($O$11=1,B2066&lt;$O$12)),1,0)</f>
        <v/>
      </c>
      <c r="I2066">
        <f>IF(H2066=1,NA(),D2066)</f>
        <v/>
      </c>
      <c r="J2066">
        <f>IF(AND(ISNUMBER(D2066),D2066&gt;=$O$4,OR($O$11=0,B2066&gt;=$O$12)),1,0)</f>
        <v/>
      </c>
      <c r="K2066">
        <f>B2066-$O$14</f>
        <v/>
      </c>
    </row>
    <row r="2067">
      <c r="A2067" t="n">
        <v>6195</v>
      </c>
      <c r="B2067" t="n">
        <v>206.5</v>
      </c>
      <c r="C2067" t="inlineStr">
        <is>
          <t>915</t>
        </is>
      </c>
      <c r="D2067" t="n">
        <v>9.15</v>
      </c>
      <c r="E2067">
        <f>MEDIAN(D2047:D2087)</f>
        <v/>
      </c>
      <c r="F2067">
        <f>E2047</f>
        <v/>
      </c>
      <c r="G2067">
        <f>F2067-E2067</f>
        <v/>
      </c>
      <c r="H2067">
        <f>IF(OR(NOT(ISNUMBER(D2067)),ABS(D2067-E2067)&gt;$O$3,AND($O$11=1,B2067&lt;$O$12)),1,0)</f>
        <v/>
      </c>
      <c r="I2067">
        <f>IF(H2067=1,NA(),D2067)</f>
        <v/>
      </c>
      <c r="J2067">
        <f>IF(AND(ISNUMBER(D2067),D2067&gt;=$O$4,OR($O$11=0,B2067&gt;=$O$12)),1,0)</f>
        <v/>
      </c>
      <c r="K2067">
        <f>B2067-$O$14</f>
        <v/>
      </c>
    </row>
    <row r="2068">
      <c r="A2068" t="n">
        <v>6198</v>
      </c>
      <c r="B2068" t="n">
        <v>206.6</v>
      </c>
      <c r="C2068" t="inlineStr">
        <is>
          <t>915</t>
        </is>
      </c>
      <c r="D2068" t="n">
        <v>9.15</v>
      </c>
      <c r="E2068">
        <f>MEDIAN(D2048:D2088)</f>
        <v/>
      </c>
      <c r="F2068">
        <f>E2048</f>
        <v/>
      </c>
      <c r="G2068">
        <f>F2068-E2068</f>
        <v/>
      </c>
      <c r="H2068">
        <f>IF(OR(NOT(ISNUMBER(D2068)),ABS(D2068-E2068)&gt;$O$3,AND($O$11=1,B2068&lt;$O$12)),1,0)</f>
        <v/>
      </c>
      <c r="I2068">
        <f>IF(H2068=1,NA(),D2068)</f>
        <v/>
      </c>
      <c r="J2068">
        <f>IF(AND(ISNUMBER(D2068),D2068&gt;=$O$4,OR($O$11=0,B2068&gt;=$O$12)),1,0)</f>
        <v/>
      </c>
      <c r="K2068">
        <f>B2068-$O$14</f>
        <v/>
      </c>
    </row>
    <row r="2069">
      <c r="A2069" t="n">
        <v>6201</v>
      </c>
      <c r="B2069" t="n">
        <v>206.7</v>
      </c>
      <c r="C2069" t="inlineStr">
        <is>
          <t>915</t>
        </is>
      </c>
      <c r="D2069" t="n">
        <v>9.15</v>
      </c>
      <c r="E2069">
        <f>MEDIAN(D2049:D2089)</f>
        <v/>
      </c>
      <c r="F2069">
        <f>E2049</f>
        <v/>
      </c>
      <c r="G2069">
        <f>F2069-E2069</f>
        <v/>
      </c>
      <c r="H2069">
        <f>IF(OR(NOT(ISNUMBER(D2069)),ABS(D2069-E2069)&gt;$O$3,AND($O$11=1,B2069&lt;$O$12)),1,0)</f>
        <v/>
      </c>
      <c r="I2069">
        <f>IF(H2069=1,NA(),D2069)</f>
        <v/>
      </c>
      <c r="J2069">
        <f>IF(AND(ISNUMBER(D2069),D2069&gt;=$O$4,OR($O$11=0,B2069&gt;=$O$12)),1,0)</f>
        <v/>
      </c>
      <c r="K2069">
        <f>B2069-$O$14</f>
        <v/>
      </c>
    </row>
    <row r="2070">
      <c r="A2070" t="n">
        <v>6204</v>
      </c>
      <c r="B2070" t="n">
        <v>206.8</v>
      </c>
      <c r="C2070" t="inlineStr">
        <is>
          <t>915</t>
        </is>
      </c>
      <c r="D2070" t="n">
        <v>9.15</v>
      </c>
      <c r="E2070">
        <f>MEDIAN(D2050:D2090)</f>
        <v/>
      </c>
      <c r="F2070">
        <f>E2050</f>
        <v/>
      </c>
      <c r="G2070">
        <f>F2070-E2070</f>
        <v/>
      </c>
      <c r="H2070">
        <f>IF(OR(NOT(ISNUMBER(D2070)),ABS(D2070-E2070)&gt;$O$3,AND($O$11=1,B2070&lt;$O$12)),1,0)</f>
        <v/>
      </c>
      <c r="I2070">
        <f>IF(H2070=1,NA(),D2070)</f>
        <v/>
      </c>
      <c r="J2070">
        <f>IF(AND(ISNUMBER(D2070),D2070&gt;=$O$4,OR($O$11=0,B2070&gt;=$O$12)),1,0)</f>
        <v/>
      </c>
      <c r="K2070">
        <f>B2070-$O$14</f>
        <v/>
      </c>
    </row>
    <row r="2071">
      <c r="A2071" t="n">
        <v>6207</v>
      </c>
      <c r="B2071" t="n">
        <v>206.9</v>
      </c>
      <c r="C2071" t="inlineStr">
        <is>
          <t>914</t>
        </is>
      </c>
      <c r="D2071" t="n">
        <v>9.140000000000001</v>
      </c>
      <c r="E2071">
        <f>MEDIAN(D2051:D2091)</f>
        <v/>
      </c>
      <c r="F2071">
        <f>E2051</f>
        <v/>
      </c>
      <c r="G2071">
        <f>F2071-E2071</f>
        <v/>
      </c>
      <c r="H2071">
        <f>IF(OR(NOT(ISNUMBER(D2071)),ABS(D2071-E2071)&gt;$O$3,AND($O$11=1,B2071&lt;$O$12)),1,0)</f>
        <v/>
      </c>
      <c r="I2071">
        <f>IF(H2071=1,NA(),D2071)</f>
        <v/>
      </c>
      <c r="J2071">
        <f>IF(AND(ISNUMBER(D2071),D2071&gt;=$O$4,OR($O$11=0,B2071&gt;=$O$12)),1,0)</f>
        <v/>
      </c>
      <c r="K2071">
        <f>B2071-$O$14</f>
        <v/>
      </c>
    </row>
    <row r="2072">
      <c r="A2072" t="n">
        <v>6210</v>
      </c>
      <c r="B2072" t="n">
        <v>207</v>
      </c>
      <c r="C2072" t="inlineStr">
        <is>
          <t>914</t>
        </is>
      </c>
      <c r="D2072" t="n">
        <v>9.140000000000001</v>
      </c>
      <c r="E2072">
        <f>MEDIAN(D2052:D2092)</f>
        <v/>
      </c>
      <c r="F2072">
        <f>E2052</f>
        <v/>
      </c>
      <c r="G2072">
        <f>F2072-E2072</f>
        <v/>
      </c>
      <c r="H2072">
        <f>IF(OR(NOT(ISNUMBER(D2072)),ABS(D2072-E2072)&gt;$O$3,AND($O$11=1,B2072&lt;$O$12)),1,0)</f>
        <v/>
      </c>
      <c r="I2072">
        <f>IF(H2072=1,NA(),D2072)</f>
        <v/>
      </c>
      <c r="J2072">
        <f>IF(AND(ISNUMBER(D2072),D2072&gt;=$O$4,OR($O$11=0,B2072&gt;=$O$12)),1,0)</f>
        <v/>
      </c>
      <c r="K2072">
        <f>B2072-$O$14</f>
        <v/>
      </c>
    </row>
    <row r="2073">
      <c r="A2073" t="n">
        <v>6213</v>
      </c>
      <c r="B2073" t="n">
        <v>207.1</v>
      </c>
      <c r="C2073" t="inlineStr">
        <is>
          <t>914</t>
        </is>
      </c>
      <c r="D2073" t="n">
        <v>9.140000000000001</v>
      </c>
      <c r="E2073">
        <f>MEDIAN(D2053:D2093)</f>
        <v/>
      </c>
      <c r="F2073">
        <f>E2053</f>
        <v/>
      </c>
      <c r="G2073">
        <f>F2073-E2073</f>
        <v/>
      </c>
      <c r="H2073">
        <f>IF(OR(NOT(ISNUMBER(D2073)),ABS(D2073-E2073)&gt;$O$3,AND($O$11=1,B2073&lt;$O$12)),1,0)</f>
        <v/>
      </c>
      <c r="I2073">
        <f>IF(H2073=1,NA(),D2073)</f>
        <v/>
      </c>
      <c r="J2073">
        <f>IF(AND(ISNUMBER(D2073),D2073&gt;=$O$4,OR($O$11=0,B2073&gt;=$O$12)),1,0)</f>
        <v/>
      </c>
      <c r="K2073">
        <f>B2073-$O$14</f>
        <v/>
      </c>
    </row>
    <row r="2074">
      <c r="A2074" t="n">
        <v>6216</v>
      </c>
      <c r="B2074" t="n">
        <v>207.2</v>
      </c>
      <c r="C2074" t="inlineStr">
        <is>
          <t>914</t>
        </is>
      </c>
      <c r="D2074" t="n">
        <v>9.140000000000001</v>
      </c>
      <c r="E2074">
        <f>MEDIAN(D2054:D2094)</f>
        <v/>
      </c>
      <c r="F2074">
        <f>E2054</f>
        <v/>
      </c>
      <c r="G2074">
        <f>F2074-E2074</f>
        <v/>
      </c>
      <c r="H2074">
        <f>IF(OR(NOT(ISNUMBER(D2074)),ABS(D2074-E2074)&gt;$O$3,AND($O$11=1,B2074&lt;$O$12)),1,0)</f>
        <v/>
      </c>
      <c r="I2074">
        <f>IF(H2074=1,NA(),D2074)</f>
        <v/>
      </c>
      <c r="J2074">
        <f>IF(AND(ISNUMBER(D2074),D2074&gt;=$O$4,OR($O$11=0,B2074&gt;=$O$12)),1,0)</f>
        <v/>
      </c>
      <c r="K2074">
        <f>B2074-$O$14</f>
        <v/>
      </c>
    </row>
    <row r="2075">
      <c r="A2075" t="n">
        <v>6219</v>
      </c>
      <c r="B2075" t="n">
        <v>207.3</v>
      </c>
      <c r="C2075" t="inlineStr">
        <is>
          <t>914</t>
        </is>
      </c>
      <c r="D2075" t="n">
        <v>9.140000000000001</v>
      </c>
      <c r="E2075">
        <f>MEDIAN(D2055:D2095)</f>
        <v/>
      </c>
      <c r="F2075">
        <f>E2055</f>
        <v/>
      </c>
      <c r="G2075">
        <f>F2075-E2075</f>
        <v/>
      </c>
      <c r="H2075">
        <f>IF(OR(NOT(ISNUMBER(D2075)),ABS(D2075-E2075)&gt;$O$3,AND($O$11=1,B2075&lt;$O$12)),1,0)</f>
        <v/>
      </c>
      <c r="I2075">
        <f>IF(H2075=1,NA(),D2075)</f>
        <v/>
      </c>
      <c r="J2075">
        <f>IF(AND(ISNUMBER(D2075),D2075&gt;=$O$4,OR($O$11=0,B2075&gt;=$O$12)),1,0)</f>
        <v/>
      </c>
      <c r="K2075">
        <f>B2075-$O$14</f>
        <v/>
      </c>
    </row>
    <row r="2076">
      <c r="A2076" t="n">
        <v>6222</v>
      </c>
      <c r="B2076" t="n">
        <v>207.4</v>
      </c>
      <c r="C2076" t="inlineStr">
        <is>
          <t>914</t>
        </is>
      </c>
      <c r="D2076" t="n">
        <v>9.140000000000001</v>
      </c>
      <c r="E2076">
        <f>MEDIAN(D2056:D2096)</f>
        <v/>
      </c>
      <c r="F2076">
        <f>E2056</f>
        <v/>
      </c>
      <c r="G2076">
        <f>F2076-E2076</f>
        <v/>
      </c>
      <c r="H2076">
        <f>IF(OR(NOT(ISNUMBER(D2076)),ABS(D2076-E2076)&gt;$O$3,AND($O$11=1,B2076&lt;$O$12)),1,0)</f>
        <v/>
      </c>
      <c r="I2076">
        <f>IF(H2076=1,NA(),D2076)</f>
        <v/>
      </c>
      <c r="J2076">
        <f>IF(AND(ISNUMBER(D2076),D2076&gt;=$O$4,OR($O$11=0,B2076&gt;=$O$12)),1,0)</f>
        <v/>
      </c>
      <c r="K2076">
        <f>B2076-$O$14</f>
        <v/>
      </c>
    </row>
    <row r="2077">
      <c r="A2077" t="n">
        <v>6225</v>
      </c>
      <c r="B2077" t="n">
        <v>207.5</v>
      </c>
      <c r="C2077" t="inlineStr">
        <is>
          <t>914</t>
        </is>
      </c>
      <c r="D2077" t="n">
        <v>9.140000000000001</v>
      </c>
      <c r="E2077">
        <f>MEDIAN(D2057:D2097)</f>
        <v/>
      </c>
      <c r="F2077">
        <f>E2057</f>
        <v/>
      </c>
      <c r="G2077">
        <f>F2077-E2077</f>
        <v/>
      </c>
      <c r="H2077">
        <f>IF(OR(NOT(ISNUMBER(D2077)),ABS(D2077-E2077)&gt;$O$3,AND($O$11=1,B2077&lt;$O$12)),1,0)</f>
        <v/>
      </c>
      <c r="I2077">
        <f>IF(H2077=1,NA(),D2077)</f>
        <v/>
      </c>
      <c r="J2077">
        <f>IF(AND(ISNUMBER(D2077),D2077&gt;=$O$4,OR($O$11=0,B2077&gt;=$O$12)),1,0)</f>
        <v/>
      </c>
      <c r="K2077">
        <f>B2077-$O$14</f>
        <v/>
      </c>
    </row>
    <row r="2078">
      <c r="A2078" t="n">
        <v>6228</v>
      </c>
      <c r="B2078" t="n">
        <v>207.6</v>
      </c>
      <c r="C2078" t="inlineStr">
        <is>
          <t>914</t>
        </is>
      </c>
      <c r="D2078" t="n">
        <v>9.140000000000001</v>
      </c>
      <c r="E2078">
        <f>MEDIAN(D2058:D2098)</f>
        <v/>
      </c>
      <c r="F2078">
        <f>E2058</f>
        <v/>
      </c>
      <c r="G2078">
        <f>F2078-E2078</f>
        <v/>
      </c>
      <c r="H2078">
        <f>IF(OR(NOT(ISNUMBER(D2078)),ABS(D2078-E2078)&gt;$O$3,AND($O$11=1,B2078&lt;$O$12)),1,0)</f>
        <v/>
      </c>
      <c r="I2078">
        <f>IF(H2078=1,NA(),D2078)</f>
        <v/>
      </c>
      <c r="J2078">
        <f>IF(AND(ISNUMBER(D2078),D2078&gt;=$O$4,OR($O$11=0,B2078&gt;=$O$12)),1,0)</f>
        <v/>
      </c>
      <c r="K2078">
        <f>B2078-$O$14</f>
        <v/>
      </c>
    </row>
    <row r="2079">
      <c r="A2079" t="n">
        <v>6231</v>
      </c>
      <c r="B2079" t="n">
        <v>207.7</v>
      </c>
      <c r="C2079" t="inlineStr">
        <is>
          <t>914</t>
        </is>
      </c>
      <c r="D2079" t="n">
        <v>9.140000000000001</v>
      </c>
      <c r="E2079">
        <f>MEDIAN(D2059:D2099)</f>
        <v/>
      </c>
      <c r="F2079">
        <f>E2059</f>
        <v/>
      </c>
      <c r="G2079">
        <f>F2079-E2079</f>
        <v/>
      </c>
      <c r="H2079">
        <f>IF(OR(NOT(ISNUMBER(D2079)),ABS(D2079-E2079)&gt;$O$3,AND($O$11=1,B2079&lt;$O$12)),1,0)</f>
        <v/>
      </c>
      <c r="I2079">
        <f>IF(H2079=1,NA(),D2079)</f>
        <v/>
      </c>
      <c r="J2079">
        <f>IF(AND(ISNUMBER(D2079),D2079&gt;=$O$4,OR($O$11=0,B2079&gt;=$O$12)),1,0)</f>
        <v/>
      </c>
      <c r="K2079">
        <f>B2079-$O$14</f>
        <v/>
      </c>
    </row>
    <row r="2080">
      <c r="A2080" t="n">
        <v>6234</v>
      </c>
      <c r="B2080" t="n">
        <v>207.8</v>
      </c>
      <c r="C2080" t="inlineStr">
        <is>
          <t>914</t>
        </is>
      </c>
      <c r="D2080" t="n">
        <v>9.140000000000001</v>
      </c>
      <c r="E2080">
        <f>MEDIAN(D2060:D2100)</f>
        <v/>
      </c>
      <c r="F2080">
        <f>E2060</f>
        <v/>
      </c>
      <c r="G2080">
        <f>F2080-E2080</f>
        <v/>
      </c>
      <c r="H2080">
        <f>IF(OR(NOT(ISNUMBER(D2080)),ABS(D2080-E2080)&gt;$O$3,AND($O$11=1,B2080&lt;$O$12)),1,0)</f>
        <v/>
      </c>
      <c r="I2080">
        <f>IF(H2080=1,NA(),D2080)</f>
        <v/>
      </c>
      <c r="J2080">
        <f>IF(AND(ISNUMBER(D2080),D2080&gt;=$O$4,OR($O$11=0,B2080&gt;=$O$12)),1,0)</f>
        <v/>
      </c>
      <c r="K2080">
        <f>B2080-$O$14</f>
        <v/>
      </c>
    </row>
    <row r="2081">
      <c r="A2081" t="n">
        <v>6237</v>
      </c>
      <c r="B2081" t="n">
        <v>207.9</v>
      </c>
      <c r="C2081" t="inlineStr">
        <is>
          <t>914</t>
        </is>
      </c>
      <c r="D2081" t="n">
        <v>9.140000000000001</v>
      </c>
      <c r="E2081">
        <f>MEDIAN(D2061:D2101)</f>
        <v/>
      </c>
      <c r="F2081">
        <f>E2061</f>
        <v/>
      </c>
      <c r="G2081">
        <f>F2081-E2081</f>
        <v/>
      </c>
      <c r="H2081">
        <f>IF(OR(NOT(ISNUMBER(D2081)),ABS(D2081-E2081)&gt;$O$3,AND($O$11=1,B2081&lt;$O$12)),1,0)</f>
        <v/>
      </c>
      <c r="I2081">
        <f>IF(H2081=1,NA(),D2081)</f>
        <v/>
      </c>
      <c r="J2081">
        <f>IF(AND(ISNUMBER(D2081),D2081&gt;=$O$4,OR($O$11=0,B2081&gt;=$O$12)),1,0)</f>
        <v/>
      </c>
      <c r="K2081">
        <f>B2081-$O$14</f>
        <v/>
      </c>
    </row>
    <row r="2082">
      <c r="A2082" t="n">
        <v>6240</v>
      </c>
      <c r="B2082" t="n">
        <v>208</v>
      </c>
      <c r="C2082" t="inlineStr">
        <is>
          <t>914</t>
        </is>
      </c>
      <c r="D2082" t="n">
        <v>9.140000000000001</v>
      </c>
      <c r="E2082">
        <f>MEDIAN(D2062:D2102)</f>
        <v/>
      </c>
      <c r="F2082">
        <f>E2062</f>
        <v/>
      </c>
      <c r="G2082">
        <f>F2082-E2082</f>
        <v/>
      </c>
      <c r="H2082">
        <f>IF(OR(NOT(ISNUMBER(D2082)),ABS(D2082-E2082)&gt;$O$3,AND($O$11=1,B2082&lt;$O$12)),1,0)</f>
        <v/>
      </c>
      <c r="I2082">
        <f>IF(H2082=1,NA(),D2082)</f>
        <v/>
      </c>
      <c r="J2082">
        <f>IF(AND(ISNUMBER(D2082),D2082&gt;=$O$4,OR($O$11=0,B2082&gt;=$O$12)),1,0)</f>
        <v/>
      </c>
      <c r="K2082">
        <f>B2082-$O$14</f>
        <v/>
      </c>
    </row>
    <row r="2083">
      <c r="A2083" t="n">
        <v>6243</v>
      </c>
      <c r="B2083" t="n">
        <v>208.1</v>
      </c>
      <c r="C2083" t="inlineStr">
        <is>
          <t>914</t>
        </is>
      </c>
      <c r="D2083" t="n">
        <v>9.140000000000001</v>
      </c>
      <c r="E2083">
        <f>MEDIAN(D2063:D2103)</f>
        <v/>
      </c>
      <c r="F2083">
        <f>E2063</f>
        <v/>
      </c>
      <c r="G2083">
        <f>F2083-E2083</f>
        <v/>
      </c>
      <c r="H2083">
        <f>IF(OR(NOT(ISNUMBER(D2083)),ABS(D2083-E2083)&gt;$O$3,AND($O$11=1,B2083&lt;$O$12)),1,0)</f>
        <v/>
      </c>
      <c r="I2083">
        <f>IF(H2083=1,NA(),D2083)</f>
        <v/>
      </c>
      <c r="J2083">
        <f>IF(AND(ISNUMBER(D2083),D2083&gt;=$O$4,OR($O$11=0,B2083&gt;=$O$12)),1,0)</f>
        <v/>
      </c>
      <c r="K2083">
        <f>B2083-$O$14</f>
        <v/>
      </c>
    </row>
    <row r="2084">
      <c r="A2084" t="n">
        <v>6246</v>
      </c>
      <c r="B2084" t="n">
        <v>208.2</v>
      </c>
      <c r="C2084" t="inlineStr">
        <is>
          <t>914</t>
        </is>
      </c>
      <c r="D2084" t="n">
        <v>9.140000000000001</v>
      </c>
      <c r="E2084">
        <f>MEDIAN(D2064:D2104)</f>
        <v/>
      </c>
      <c r="F2084">
        <f>E2064</f>
        <v/>
      </c>
      <c r="G2084">
        <f>F2084-E2084</f>
        <v/>
      </c>
      <c r="H2084">
        <f>IF(OR(NOT(ISNUMBER(D2084)),ABS(D2084-E2084)&gt;$O$3,AND($O$11=1,B2084&lt;$O$12)),1,0)</f>
        <v/>
      </c>
      <c r="I2084">
        <f>IF(H2084=1,NA(),D2084)</f>
        <v/>
      </c>
      <c r="J2084">
        <f>IF(AND(ISNUMBER(D2084),D2084&gt;=$O$4,OR($O$11=0,B2084&gt;=$O$12)),1,0)</f>
        <v/>
      </c>
      <c r="K2084">
        <f>B2084-$O$14</f>
        <v/>
      </c>
    </row>
    <row r="2085">
      <c r="A2085" t="n">
        <v>6249</v>
      </c>
      <c r="B2085" t="n">
        <v>208.3</v>
      </c>
      <c r="C2085" t="inlineStr">
        <is>
          <t>914</t>
        </is>
      </c>
      <c r="D2085" t="n">
        <v>9.140000000000001</v>
      </c>
      <c r="E2085">
        <f>MEDIAN(D2065:D2105)</f>
        <v/>
      </c>
      <c r="F2085">
        <f>E2065</f>
        <v/>
      </c>
      <c r="G2085">
        <f>F2085-E2085</f>
        <v/>
      </c>
      <c r="H2085">
        <f>IF(OR(NOT(ISNUMBER(D2085)),ABS(D2085-E2085)&gt;$O$3,AND($O$11=1,B2085&lt;$O$12)),1,0)</f>
        <v/>
      </c>
      <c r="I2085">
        <f>IF(H2085=1,NA(),D2085)</f>
        <v/>
      </c>
      <c r="J2085">
        <f>IF(AND(ISNUMBER(D2085),D2085&gt;=$O$4,OR($O$11=0,B2085&gt;=$O$12)),1,0)</f>
        <v/>
      </c>
      <c r="K2085">
        <f>B2085-$O$14</f>
        <v/>
      </c>
    </row>
    <row r="2086">
      <c r="A2086" t="n">
        <v>6252</v>
      </c>
      <c r="B2086" t="n">
        <v>208.4</v>
      </c>
      <c r="C2086" t="inlineStr">
        <is>
          <t>914</t>
        </is>
      </c>
      <c r="D2086" t="n">
        <v>9.140000000000001</v>
      </c>
      <c r="E2086">
        <f>MEDIAN(D2066:D2105)</f>
        <v/>
      </c>
      <c r="F2086">
        <f>E2066</f>
        <v/>
      </c>
      <c r="G2086">
        <f>F2086-E2086</f>
        <v/>
      </c>
      <c r="H2086">
        <f>IF(OR(NOT(ISNUMBER(D2086)),ABS(D2086-E2086)&gt;$O$3,AND($O$11=1,B2086&lt;$O$12)),1,0)</f>
        <v/>
      </c>
      <c r="I2086">
        <f>IF(H2086=1,NA(),D2086)</f>
        <v/>
      </c>
      <c r="J2086">
        <f>IF(AND(ISNUMBER(D2086),D2086&gt;=$O$4,OR($O$11=0,B2086&gt;=$O$12)),1,0)</f>
        <v/>
      </c>
      <c r="K2086">
        <f>B2086-$O$14</f>
        <v/>
      </c>
    </row>
    <row r="2087">
      <c r="A2087" t="n">
        <v>6255</v>
      </c>
      <c r="B2087" t="n">
        <v>208.5</v>
      </c>
      <c r="C2087" t="inlineStr">
        <is>
          <t>914</t>
        </is>
      </c>
      <c r="D2087" t="n">
        <v>9.140000000000001</v>
      </c>
      <c r="E2087">
        <f>MEDIAN(D2067:D2105)</f>
        <v/>
      </c>
      <c r="F2087">
        <f>E2067</f>
        <v/>
      </c>
      <c r="G2087">
        <f>F2087-E2087</f>
        <v/>
      </c>
      <c r="H2087">
        <f>IF(OR(NOT(ISNUMBER(D2087)),ABS(D2087-E2087)&gt;$O$3,AND($O$11=1,B2087&lt;$O$12)),1,0)</f>
        <v/>
      </c>
      <c r="I2087">
        <f>IF(H2087=1,NA(),D2087)</f>
        <v/>
      </c>
      <c r="J2087">
        <f>IF(AND(ISNUMBER(D2087),D2087&gt;=$O$4,OR($O$11=0,B2087&gt;=$O$12)),1,0)</f>
        <v/>
      </c>
      <c r="K2087">
        <f>B2087-$O$14</f>
        <v/>
      </c>
    </row>
    <row r="2088">
      <c r="A2088" t="n">
        <v>6258</v>
      </c>
      <c r="B2088" t="n">
        <v>208.6</v>
      </c>
      <c r="C2088" t="inlineStr">
        <is>
          <t>914</t>
        </is>
      </c>
      <c r="D2088" t="n">
        <v>9.140000000000001</v>
      </c>
      <c r="E2088">
        <f>MEDIAN(D2068:D2105)</f>
        <v/>
      </c>
      <c r="F2088">
        <f>E2068</f>
        <v/>
      </c>
      <c r="G2088">
        <f>F2088-E2088</f>
        <v/>
      </c>
      <c r="H2088">
        <f>IF(OR(NOT(ISNUMBER(D2088)),ABS(D2088-E2088)&gt;$O$3,AND($O$11=1,B2088&lt;$O$12)),1,0)</f>
        <v/>
      </c>
      <c r="I2088">
        <f>IF(H2088=1,NA(),D2088)</f>
        <v/>
      </c>
      <c r="J2088">
        <f>IF(AND(ISNUMBER(D2088),D2088&gt;=$O$4,OR($O$11=0,B2088&gt;=$O$12)),1,0)</f>
        <v/>
      </c>
      <c r="K2088">
        <f>B2088-$O$14</f>
        <v/>
      </c>
    </row>
    <row r="2089">
      <c r="A2089" t="n">
        <v>6261</v>
      </c>
      <c r="B2089" t="n">
        <v>208.7</v>
      </c>
      <c r="C2089" t="inlineStr">
        <is>
          <t>914</t>
        </is>
      </c>
      <c r="D2089" t="n">
        <v>9.140000000000001</v>
      </c>
      <c r="E2089">
        <f>MEDIAN(D2069:D2105)</f>
        <v/>
      </c>
      <c r="F2089">
        <f>E2069</f>
        <v/>
      </c>
      <c r="G2089">
        <f>F2089-E2089</f>
        <v/>
      </c>
      <c r="H2089">
        <f>IF(OR(NOT(ISNUMBER(D2089)),ABS(D2089-E2089)&gt;$O$3,AND($O$11=1,B2089&lt;$O$12)),1,0)</f>
        <v/>
      </c>
      <c r="I2089">
        <f>IF(H2089=1,NA(),D2089)</f>
        <v/>
      </c>
      <c r="J2089">
        <f>IF(AND(ISNUMBER(D2089),D2089&gt;=$O$4,OR($O$11=0,B2089&gt;=$O$12)),1,0)</f>
        <v/>
      </c>
      <c r="K2089">
        <f>B2089-$O$14</f>
        <v/>
      </c>
    </row>
    <row r="2090">
      <c r="A2090" t="n">
        <v>6264</v>
      </c>
      <c r="B2090" t="n">
        <v>208.8</v>
      </c>
      <c r="C2090" t="inlineStr">
        <is>
          <t>914</t>
        </is>
      </c>
      <c r="D2090" t="n">
        <v>9.140000000000001</v>
      </c>
      <c r="E2090">
        <f>MEDIAN(D2070:D2105)</f>
        <v/>
      </c>
      <c r="F2090">
        <f>E2070</f>
        <v/>
      </c>
      <c r="G2090">
        <f>F2090-E2090</f>
        <v/>
      </c>
      <c r="H2090">
        <f>IF(OR(NOT(ISNUMBER(D2090)),ABS(D2090-E2090)&gt;$O$3,AND($O$11=1,B2090&lt;$O$12)),1,0)</f>
        <v/>
      </c>
      <c r="I2090">
        <f>IF(H2090=1,NA(),D2090)</f>
        <v/>
      </c>
      <c r="J2090">
        <f>IF(AND(ISNUMBER(D2090),D2090&gt;=$O$4,OR($O$11=0,B2090&gt;=$O$12)),1,0)</f>
        <v/>
      </c>
      <c r="K2090">
        <f>B2090-$O$14</f>
        <v/>
      </c>
    </row>
    <row r="2091">
      <c r="A2091" t="n">
        <v>6267</v>
      </c>
      <c r="B2091" t="n">
        <v>208.9</v>
      </c>
      <c r="C2091" t="inlineStr">
        <is>
          <t>914</t>
        </is>
      </c>
      <c r="D2091" t="n">
        <v>9.140000000000001</v>
      </c>
      <c r="E2091">
        <f>MEDIAN(D2071:D2105)</f>
        <v/>
      </c>
      <c r="F2091">
        <f>E2071</f>
        <v/>
      </c>
      <c r="G2091">
        <f>F2091-E2091</f>
        <v/>
      </c>
      <c r="H2091">
        <f>IF(OR(NOT(ISNUMBER(D2091)),ABS(D2091-E2091)&gt;$O$3,AND($O$11=1,B2091&lt;$O$12)),1,0)</f>
        <v/>
      </c>
      <c r="I2091">
        <f>IF(H2091=1,NA(),D2091)</f>
        <v/>
      </c>
      <c r="J2091">
        <f>IF(AND(ISNUMBER(D2091),D2091&gt;=$O$4,OR($O$11=0,B2091&gt;=$O$12)),1,0)</f>
        <v/>
      </c>
      <c r="K2091">
        <f>B2091-$O$14</f>
        <v/>
      </c>
    </row>
    <row r="2092">
      <c r="A2092" t="n">
        <v>6270</v>
      </c>
      <c r="B2092" t="n">
        <v>209</v>
      </c>
      <c r="C2092" t="inlineStr">
        <is>
          <t>914</t>
        </is>
      </c>
      <c r="D2092" t="n">
        <v>9.140000000000001</v>
      </c>
      <c r="E2092">
        <f>MEDIAN(D2072:D2105)</f>
        <v/>
      </c>
      <c r="F2092">
        <f>E2072</f>
        <v/>
      </c>
      <c r="G2092">
        <f>F2092-E2092</f>
        <v/>
      </c>
      <c r="H2092">
        <f>IF(OR(NOT(ISNUMBER(D2092)),ABS(D2092-E2092)&gt;$O$3,AND($O$11=1,B2092&lt;$O$12)),1,0)</f>
        <v/>
      </c>
      <c r="I2092">
        <f>IF(H2092=1,NA(),D2092)</f>
        <v/>
      </c>
      <c r="J2092">
        <f>IF(AND(ISNUMBER(D2092),D2092&gt;=$O$4,OR($O$11=0,B2092&gt;=$O$12)),1,0)</f>
        <v/>
      </c>
      <c r="K2092">
        <f>B2092-$O$14</f>
        <v/>
      </c>
    </row>
    <row r="2093">
      <c r="A2093" t="n">
        <v>6273</v>
      </c>
      <c r="B2093" t="n">
        <v>209.1</v>
      </c>
      <c r="C2093" t="inlineStr">
        <is>
          <t>914</t>
        </is>
      </c>
      <c r="D2093" t="n">
        <v>9.140000000000001</v>
      </c>
      <c r="E2093">
        <f>MEDIAN(D2073:D2105)</f>
        <v/>
      </c>
      <c r="F2093">
        <f>E2073</f>
        <v/>
      </c>
      <c r="G2093">
        <f>F2093-E2093</f>
        <v/>
      </c>
      <c r="H2093">
        <f>IF(OR(NOT(ISNUMBER(D2093)),ABS(D2093-E2093)&gt;$O$3,AND($O$11=1,B2093&lt;$O$12)),1,0)</f>
        <v/>
      </c>
      <c r="I2093">
        <f>IF(H2093=1,NA(),D2093)</f>
        <v/>
      </c>
      <c r="J2093">
        <f>IF(AND(ISNUMBER(D2093),D2093&gt;=$O$4,OR($O$11=0,B2093&gt;=$O$12)),1,0)</f>
        <v/>
      </c>
      <c r="K2093">
        <f>B2093-$O$14</f>
        <v/>
      </c>
    </row>
    <row r="2094">
      <c r="A2094" t="n">
        <v>6276</v>
      </c>
      <c r="B2094" t="n">
        <v>209.2</v>
      </c>
      <c r="C2094" t="inlineStr">
        <is>
          <t>914</t>
        </is>
      </c>
      <c r="D2094" t="n">
        <v>9.140000000000001</v>
      </c>
      <c r="E2094">
        <f>MEDIAN(D2074:D2105)</f>
        <v/>
      </c>
      <c r="F2094">
        <f>E2074</f>
        <v/>
      </c>
      <c r="G2094">
        <f>F2094-E2094</f>
        <v/>
      </c>
      <c r="H2094">
        <f>IF(OR(NOT(ISNUMBER(D2094)),ABS(D2094-E2094)&gt;$O$3,AND($O$11=1,B2094&lt;$O$12)),1,0)</f>
        <v/>
      </c>
      <c r="I2094">
        <f>IF(H2094=1,NA(),D2094)</f>
        <v/>
      </c>
      <c r="J2094">
        <f>IF(AND(ISNUMBER(D2094),D2094&gt;=$O$4,OR($O$11=0,B2094&gt;=$O$12)),1,0)</f>
        <v/>
      </c>
      <c r="K2094">
        <f>B2094-$O$14</f>
        <v/>
      </c>
    </row>
    <row r="2095">
      <c r="A2095" t="n">
        <v>6279</v>
      </c>
      <c r="B2095" t="n">
        <v>209.3</v>
      </c>
      <c r="C2095" t="inlineStr">
        <is>
          <t>914</t>
        </is>
      </c>
      <c r="D2095" t="n">
        <v>9.140000000000001</v>
      </c>
      <c r="E2095">
        <f>MEDIAN(D2075:D2105)</f>
        <v/>
      </c>
      <c r="F2095">
        <f>E2075</f>
        <v/>
      </c>
      <c r="G2095">
        <f>F2095-E2095</f>
        <v/>
      </c>
      <c r="H2095">
        <f>IF(OR(NOT(ISNUMBER(D2095)),ABS(D2095-E2095)&gt;$O$3,AND($O$11=1,B2095&lt;$O$12)),1,0)</f>
        <v/>
      </c>
      <c r="I2095">
        <f>IF(H2095=1,NA(),D2095)</f>
        <v/>
      </c>
      <c r="J2095">
        <f>IF(AND(ISNUMBER(D2095),D2095&gt;=$O$4,OR($O$11=0,B2095&gt;=$O$12)),1,0)</f>
        <v/>
      </c>
      <c r="K2095">
        <f>B2095-$O$14</f>
        <v/>
      </c>
    </row>
    <row r="2096">
      <c r="A2096" t="n">
        <v>6282</v>
      </c>
      <c r="B2096" t="n">
        <v>209.4</v>
      </c>
      <c r="C2096" t="inlineStr">
        <is>
          <t>914</t>
        </is>
      </c>
      <c r="D2096" t="n">
        <v>9.140000000000001</v>
      </c>
      <c r="E2096">
        <f>MEDIAN(D2076:D2105)</f>
        <v/>
      </c>
      <c r="F2096">
        <f>E2076</f>
        <v/>
      </c>
      <c r="G2096">
        <f>F2096-E2096</f>
        <v/>
      </c>
      <c r="H2096">
        <f>IF(OR(NOT(ISNUMBER(D2096)),ABS(D2096-E2096)&gt;$O$3,AND($O$11=1,B2096&lt;$O$12)),1,0)</f>
        <v/>
      </c>
      <c r="I2096">
        <f>IF(H2096=1,NA(),D2096)</f>
        <v/>
      </c>
      <c r="J2096">
        <f>IF(AND(ISNUMBER(D2096),D2096&gt;=$O$4,OR($O$11=0,B2096&gt;=$O$12)),1,0)</f>
        <v/>
      </c>
      <c r="K2096">
        <f>B2096-$O$14</f>
        <v/>
      </c>
    </row>
    <row r="2097">
      <c r="A2097" t="n">
        <v>6285</v>
      </c>
      <c r="B2097" t="n">
        <v>209.5</v>
      </c>
      <c r="C2097" t="inlineStr">
        <is>
          <t>914</t>
        </is>
      </c>
      <c r="D2097" t="n">
        <v>9.140000000000001</v>
      </c>
      <c r="E2097">
        <f>MEDIAN(D2077:D2105)</f>
        <v/>
      </c>
      <c r="F2097">
        <f>E2077</f>
        <v/>
      </c>
      <c r="G2097">
        <f>F2097-E2097</f>
        <v/>
      </c>
      <c r="H2097">
        <f>IF(OR(NOT(ISNUMBER(D2097)),ABS(D2097-E2097)&gt;$O$3,AND($O$11=1,B2097&lt;$O$12)),1,0)</f>
        <v/>
      </c>
      <c r="I2097">
        <f>IF(H2097=1,NA(),D2097)</f>
        <v/>
      </c>
      <c r="J2097">
        <f>IF(AND(ISNUMBER(D2097),D2097&gt;=$O$4,OR($O$11=0,B2097&gt;=$O$12)),1,0)</f>
        <v/>
      </c>
      <c r="K2097">
        <f>B2097-$O$14</f>
        <v/>
      </c>
    </row>
    <row r="2098">
      <c r="A2098" t="n">
        <v>6288</v>
      </c>
      <c r="B2098" t="n">
        <v>209.6</v>
      </c>
      <c r="C2098" t="inlineStr">
        <is>
          <t>914</t>
        </is>
      </c>
      <c r="D2098" t="n">
        <v>9.140000000000001</v>
      </c>
      <c r="E2098">
        <f>MEDIAN(D2078:D2105)</f>
        <v/>
      </c>
      <c r="F2098">
        <f>E2078</f>
        <v/>
      </c>
      <c r="G2098">
        <f>F2098-E2098</f>
        <v/>
      </c>
      <c r="H2098">
        <f>IF(OR(NOT(ISNUMBER(D2098)),ABS(D2098-E2098)&gt;$O$3,AND($O$11=1,B2098&lt;$O$12)),1,0)</f>
        <v/>
      </c>
      <c r="I2098">
        <f>IF(H2098=1,NA(),D2098)</f>
        <v/>
      </c>
      <c r="J2098">
        <f>IF(AND(ISNUMBER(D2098),D2098&gt;=$O$4,OR($O$11=0,B2098&gt;=$O$12)),1,0)</f>
        <v/>
      </c>
      <c r="K2098">
        <f>B2098-$O$14</f>
        <v/>
      </c>
    </row>
    <row r="2099">
      <c r="A2099" t="n">
        <v>6291</v>
      </c>
      <c r="B2099" t="n">
        <v>209.7</v>
      </c>
      <c r="C2099" t="inlineStr">
        <is>
          <t>914</t>
        </is>
      </c>
      <c r="D2099" t="n">
        <v>9.140000000000001</v>
      </c>
      <c r="E2099">
        <f>MEDIAN(D2079:D2105)</f>
        <v/>
      </c>
      <c r="F2099">
        <f>E2079</f>
        <v/>
      </c>
      <c r="G2099">
        <f>F2099-E2099</f>
        <v/>
      </c>
      <c r="H2099">
        <f>IF(OR(NOT(ISNUMBER(D2099)),ABS(D2099-E2099)&gt;$O$3,AND($O$11=1,B2099&lt;$O$12)),1,0)</f>
        <v/>
      </c>
      <c r="I2099">
        <f>IF(H2099=1,NA(),D2099)</f>
        <v/>
      </c>
      <c r="J2099">
        <f>IF(AND(ISNUMBER(D2099),D2099&gt;=$O$4,OR($O$11=0,B2099&gt;=$O$12)),1,0)</f>
        <v/>
      </c>
      <c r="K2099">
        <f>B2099-$O$14</f>
        <v/>
      </c>
    </row>
    <row r="2100">
      <c r="A2100" t="n">
        <v>6294</v>
      </c>
      <c r="B2100" t="n">
        <v>209.8</v>
      </c>
      <c r="C2100" t="inlineStr">
        <is>
          <t>914</t>
        </is>
      </c>
      <c r="D2100" t="n">
        <v>9.140000000000001</v>
      </c>
      <c r="E2100">
        <f>MEDIAN(D2080:D2105)</f>
        <v/>
      </c>
      <c r="F2100">
        <f>E2080</f>
        <v/>
      </c>
      <c r="G2100">
        <f>F2100-E2100</f>
        <v/>
      </c>
      <c r="H2100">
        <f>IF(OR(NOT(ISNUMBER(D2100)),ABS(D2100-E2100)&gt;$O$3,AND($O$11=1,B2100&lt;$O$12)),1,0)</f>
        <v/>
      </c>
      <c r="I2100">
        <f>IF(H2100=1,NA(),D2100)</f>
        <v/>
      </c>
      <c r="J2100">
        <f>IF(AND(ISNUMBER(D2100),D2100&gt;=$O$4,OR($O$11=0,B2100&gt;=$O$12)),1,0)</f>
        <v/>
      </c>
      <c r="K2100">
        <f>B2100-$O$14</f>
        <v/>
      </c>
    </row>
    <row r="2101">
      <c r="A2101" t="n">
        <v>6297</v>
      </c>
      <c r="B2101" t="n">
        <v>209.9</v>
      </c>
      <c r="C2101" t="inlineStr">
        <is>
          <t>914</t>
        </is>
      </c>
      <c r="D2101" t="n">
        <v>9.140000000000001</v>
      </c>
      <c r="E2101">
        <f>MEDIAN(D2081:D2105)</f>
        <v/>
      </c>
      <c r="F2101">
        <f>E2081</f>
        <v/>
      </c>
      <c r="G2101">
        <f>F2101-E2101</f>
        <v/>
      </c>
      <c r="H2101">
        <f>IF(OR(NOT(ISNUMBER(D2101)),ABS(D2101-E2101)&gt;$O$3,AND($O$11=1,B2101&lt;$O$12)),1,0)</f>
        <v/>
      </c>
      <c r="I2101">
        <f>IF(H2101=1,NA(),D2101)</f>
        <v/>
      </c>
      <c r="J2101">
        <f>IF(AND(ISNUMBER(D2101),D2101&gt;=$O$4,OR($O$11=0,B2101&gt;=$O$12)),1,0)</f>
        <v/>
      </c>
      <c r="K2101">
        <f>B2101-$O$14</f>
        <v/>
      </c>
    </row>
    <row r="2102">
      <c r="A2102" t="n">
        <v>6300</v>
      </c>
      <c r="B2102" t="n">
        <v>210</v>
      </c>
      <c r="C2102" t="inlineStr">
        <is>
          <t>914</t>
        </is>
      </c>
      <c r="D2102" t="n">
        <v>9.140000000000001</v>
      </c>
      <c r="E2102">
        <f>MEDIAN(D2082:D2105)</f>
        <v/>
      </c>
      <c r="F2102">
        <f>E2082</f>
        <v/>
      </c>
      <c r="G2102">
        <f>F2102-E2102</f>
        <v/>
      </c>
      <c r="H2102">
        <f>IF(OR(NOT(ISNUMBER(D2102)),ABS(D2102-E2102)&gt;$O$3,AND($O$11=1,B2102&lt;$O$12)),1,0)</f>
        <v/>
      </c>
      <c r="I2102">
        <f>IF(H2102=1,NA(),D2102)</f>
        <v/>
      </c>
      <c r="J2102">
        <f>IF(AND(ISNUMBER(D2102),D2102&gt;=$O$4,OR($O$11=0,B2102&gt;=$O$12)),1,0)</f>
        <v/>
      </c>
      <c r="K2102">
        <f>B2102-$O$14</f>
        <v/>
      </c>
    </row>
    <row r="2103">
      <c r="A2103" t="n">
        <v>6303</v>
      </c>
      <c r="B2103" t="n">
        <v>210.1</v>
      </c>
      <c r="C2103" t="inlineStr">
        <is>
          <t>914</t>
        </is>
      </c>
      <c r="D2103" t="n">
        <v>9.140000000000001</v>
      </c>
      <c r="E2103">
        <f>MEDIAN(D2083:D2105)</f>
        <v/>
      </c>
      <c r="F2103">
        <f>E2083</f>
        <v/>
      </c>
      <c r="G2103">
        <f>F2103-E2103</f>
        <v/>
      </c>
      <c r="H2103">
        <f>IF(OR(NOT(ISNUMBER(D2103)),ABS(D2103-E2103)&gt;$O$3,AND($O$11=1,B2103&lt;$O$12)),1,0)</f>
        <v/>
      </c>
      <c r="I2103">
        <f>IF(H2103=1,NA(),D2103)</f>
        <v/>
      </c>
      <c r="J2103">
        <f>IF(AND(ISNUMBER(D2103),D2103&gt;=$O$4,OR($O$11=0,B2103&gt;=$O$12)),1,0)</f>
        <v/>
      </c>
      <c r="K2103">
        <f>B2103-$O$14</f>
        <v/>
      </c>
    </row>
    <row r="2104">
      <c r="A2104" t="n">
        <v>6306</v>
      </c>
      <c r="B2104" t="n">
        <v>210.2</v>
      </c>
      <c r="C2104" t="inlineStr">
        <is>
          <t>914</t>
        </is>
      </c>
      <c r="D2104" t="n">
        <v>9.140000000000001</v>
      </c>
      <c r="E2104">
        <f>MEDIAN(D2084:D2105)</f>
        <v/>
      </c>
      <c r="F2104">
        <f>E2084</f>
        <v/>
      </c>
      <c r="G2104">
        <f>F2104-E2104</f>
        <v/>
      </c>
      <c r="H2104">
        <f>IF(OR(NOT(ISNUMBER(D2104)),ABS(D2104-E2104)&gt;$O$3,AND($O$11=1,B2104&lt;$O$12)),1,0)</f>
        <v/>
      </c>
      <c r="I2104">
        <f>IF(H2104=1,NA(),D2104)</f>
        <v/>
      </c>
      <c r="J2104">
        <f>IF(AND(ISNUMBER(D2104),D2104&gt;=$O$4,OR($O$11=0,B2104&gt;=$O$12)),1,0)</f>
        <v/>
      </c>
      <c r="K2104">
        <f>B2104-$O$14</f>
        <v/>
      </c>
    </row>
    <row r="2105">
      <c r="A2105" t="n">
        <v>6309</v>
      </c>
      <c r="B2105" t="n">
        <v>210.3</v>
      </c>
      <c r="C2105" t="inlineStr">
        <is>
          <t>914</t>
        </is>
      </c>
      <c r="D2105" t="n">
        <v>9.140000000000001</v>
      </c>
      <c r="E2105">
        <f>MEDIAN(D2085:D2105)</f>
        <v/>
      </c>
      <c r="F2105">
        <f>E2085</f>
        <v/>
      </c>
      <c r="G2105">
        <f>F2105-E2105</f>
        <v/>
      </c>
      <c r="H2105">
        <f>IF(OR(NOT(ISNUMBER(D2105)),ABS(D2105-E2105)&gt;$O$3,AND($O$11=1,B2105&lt;$O$12)),1,0)</f>
        <v/>
      </c>
      <c r="I2105">
        <f>IF(H2105=1,NA(),D2105)</f>
        <v/>
      </c>
      <c r="J2105">
        <f>IF(AND(ISNUMBER(D2105),D2105&gt;=$O$4,OR($O$11=0,B2105&gt;=$O$12)),1,0)</f>
        <v/>
      </c>
      <c r="K2105">
        <f>B2105-$O$14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Sheet1!K2</f>
        <v/>
      </c>
      <c r="B2">
        <f>IF(ISNA(Sheet1!I2),NA(),Sheet1!$O$5-(Sheet1!I2/Sheet1!$O$6))</f>
        <v/>
      </c>
    </row>
    <row r="3">
      <c r="A3">
        <f>Sheet1!K3</f>
        <v/>
      </c>
      <c r="B3">
        <f>IF(ISNA(Sheet1!I3),NA(),Sheet1!$O$5-(Sheet1!I3/Sheet1!$O$6))</f>
        <v/>
      </c>
    </row>
    <row r="4">
      <c r="A4">
        <f>Sheet1!K4</f>
        <v/>
      </c>
      <c r="B4">
        <f>IF(ISNA(Sheet1!I4),NA(),Sheet1!$O$5-(Sheet1!I4/Sheet1!$O$6))</f>
        <v/>
      </c>
    </row>
    <row r="5">
      <c r="A5">
        <f>Sheet1!K5</f>
        <v/>
      </c>
      <c r="B5">
        <f>IF(ISNA(Sheet1!I5),NA(),Sheet1!$O$5-(Sheet1!I5/Sheet1!$O$6))</f>
        <v/>
      </c>
    </row>
    <row r="6">
      <c r="A6">
        <f>Sheet1!K6</f>
        <v/>
      </c>
      <c r="B6">
        <f>IF(ISNA(Sheet1!I6),NA(),Sheet1!$O$5-(Sheet1!I6/Sheet1!$O$6))</f>
        <v/>
      </c>
    </row>
    <row r="7">
      <c r="A7">
        <f>Sheet1!K7</f>
        <v/>
      </c>
      <c r="B7">
        <f>IF(ISNA(Sheet1!I7),NA(),Sheet1!$O$5-(Sheet1!I7/Sheet1!$O$6))</f>
        <v/>
      </c>
    </row>
    <row r="8">
      <c r="A8">
        <f>Sheet1!K8</f>
        <v/>
      </c>
      <c r="B8">
        <f>IF(ISNA(Sheet1!I8),NA(),Sheet1!$O$5-(Sheet1!I8/Sheet1!$O$6))</f>
        <v/>
      </c>
    </row>
    <row r="9">
      <c r="A9">
        <f>Sheet1!K9</f>
        <v/>
      </c>
      <c r="B9">
        <f>IF(ISNA(Sheet1!I9),NA(),Sheet1!$O$5-(Sheet1!I9/Sheet1!$O$6))</f>
        <v/>
      </c>
    </row>
    <row r="10">
      <c r="A10">
        <f>Sheet1!K10</f>
        <v/>
      </c>
      <c r="B10">
        <f>IF(ISNA(Sheet1!I10),NA(),Sheet1!$O$5-(Sheet1!I10/Sheet1!$O$6))</f>
        <v/>
      </c>
    </row>
    <row r="11">
      <c r="A11">
        <f>Sheet1!K11</f>
        <v/>
      </c>
      <c r="B11">
        <f>IF(ISNA(Sheet1!I11),NA(),Sheet1!$O$5-(Sheet1!I11/Sheet1!$O$6))</f>
        <v/>
      </c>
    </row>
    <row r="12">
      <c r="A12">
        <f>Sheet1!K12</f>
        <v/>
      </c>
      <c r="B12">
        <f>IF(ISNA(Sheet1!I12),NA(),Sheet1!$O$5-(Sheet1!I12/Sheet1!$O$6))</f>
        <v/>
      </c>
    </row>
    <row r="13">
      <c r="A13">
        <f>Sheet1!K13</f>
        <v/>
      </c>
      <c r="B13">
        <f>IF(ISNA(Sheet1!I13),NA(),Sheet1!$O$5-(Sheet1!I13/Sheet1!$O$6))</f>
        <v/>
      </c>
    </row>
    <row r="14">
      <c r="A14">
        <f>Sheet1!K14</f>
        <v/>
      </c>
      <c r="B14">
        <f>IF(ISNA(Sheet1!I14),NA(),Sheet1!$O$5-(Sheet1!I14/Sheet1!$O$6))</f>
        <v/>
      </c>
    </row>
    <row r="15">
      <c r="A15">
        <f>Sheet1!K15</f>
        <v/>
      </c>
      <c r="B15">
        <f>IF(ISNA(Sheet1!I15),NA(),Sheet1!$O$5-(Sheet1!I15/Sheet1!$O$6))</f>
        <v/>
      </c>
    </row>
    <row r="16">
      <c r="A16">
        <f>Sheet1!K16</f>
        <v/>
      </c>
      <c r="B16">
        <f>IF(ISNA(Sheet1!I16),NA(),Sheet1!$O$5-(Sheet1!I16/Sheet1!$O$6))</f>
        <v/>
      </c>
    </row>
    <row r="17">
      <c r="A17">
        <f>Sheet1!K17</f>
        <v/>
      </c>
      <c r="B17">
        <f>IF(ISNA(Sheet1!I17),NA(),Sheet1!$O$5-(Sheet1!I17/Sheet1!$O$6))</f>
        <v/>
      </c>
    </row>
    <row r="18">
      <c r="A18">
        <f>Sheet1!K18</f>
        <v/>
      </c>
      <c r="B18">
        <f>IF(ISNA(Sheet1!I18),NA(),Sheet1!$O$5-(Sheet1!I18/Sheet1!$O$6))</f>
        <v/>
      </c>
    </row>
    <row r="19">
      <c r="A19">
        <f>Sheet1!K19</f>
        <v/>
      </c>
      <c r="B19">
        <f>IF(ISNA(Sheet1!I19),NA(),Sheet1!$O$5-(Sheet1!I19/Sheet1!$O$6))</f>
        <v/>
      </c>
    </row>
    <row r="20">
      <c r="A20">
        <f>Sheet1!K20</f>
        <v/>
      </c>
      <c r="B20">
        <f>IF(ISNA(Sheet1!I20),NA(),Sheet1!$O$5-(Sheet1!I20/Sheet1!$O$6))</f>
        <v/>
      </c>
    </row>
    <row r="21">
      <c r="A21">
        <f>Sheet1!K21</f>
        <v/>
      </c>
      <c r="B21">
        <f>IF(ISNA(Sheet1!I21),NA(),Sheet1!$O$5-(Sheet1!I21/Sheet1!$O$6))</f>
        <v/>
      </c>
    </row>
    <row r="22">
      <c r="A22">
        <f>Sheet1!K22</f>
        <v/>
      </c>
      <c r="B22">
        <f>IF(ISNA(Sheet1!I22),NA(),Sheet1!$O$5-(Sheet1!I22/Sheet1!$O$6))</f>
        <v/>
      </c>
    </row>
    <row r="23">
      <c r="A23">
        <f>Sheet1!K23</f>
        <v/>
      </c>
      <c r="B23">
        <f>IF(ISNA(Sheet1!I23),NA(),Sheet1!$O$5-(Sheet1!I23/Sheet1!$O$6))</f>
        <v/>
      </c>
    </row>
    <row r="24">
      <c r="A24">
        <f>Sheet1!K24</f>
        <v/>
      </c>
      <c r="B24">
        <f>IF(ISNA(Sheet1!I24),NA(),Sheet1!$O$5-(Sheet1!I24/Sheet1!$O$6))</f>
        <v/>
      </c>
    </row>
    <row r="25">
      <c r="A25">
        <f>Sheet1!K25</f>
        <v/>
      </c>
      <c r="B25">
        <f>IF(ISNA(Sheet1!I25),NA(),Sheet1!$O$5-(Sheet1!I25/Sheet1!$O$6))</f>
        <v/>
      </c>
    </row>
    <row r="26">
      <c r="A26">
        <f>Sheet1!K26</f>
        <v/>
      </c>
      <c r="B26">
        <f>IF(ISNA(Sheet1!I26),NA(),Sheet1!$O$5-(Sheet1!I26/Sheet1!$O$6))</f>
        <v/>
      </c>
    </row>
    <row r="27">
      <c r="A27">
        <f>Sheet1!K27</f>
        <v/>
      </c>
      <c r="B27">
        <f>IF(ISNA(Sheet1!I27),NA(),Sheet1!$O$5-(Sheet1!I27/Sheet1!$O$6))</f>
        <v/>
      </c>
    </row>
    <row r="28">
      <c r="A28">
        <f>Sheet1!K28</f>
        <v/>
      </c>
      <c r="B28">
        <f>IF(ISNA(Sheet1!I28),NA(),Sheet1!$O$5-(Sheet1!I28/Sheet1!$O$6))</f>
        <v/>
      </c>
    </row>
    <row r="29">
      <c r="A29">
        <f>Sheet1!K29</f>
        <v/>
      </c>
      <c r="B29">
        <f>IF(ISNA(Sheet1!I29),NA(),Sheet1!$O$5-(Sheet1!I29/Sheet1!$O$6))</f>
        <v/>
      </c>
    </row>
    <row r="30">
      <c r="A30">
        <f>Sheet1!K30</f>
        <v/>
      </c>
      <c r="B30">
        <f>IF(ISNA(Sheet1!I30),NA(),Sheet1!$O$5-(Sheet1!I30/Sheet1!$O$6))</f>
        <v/>
      </c>
    </row>
    <row r="31">
      <c r="A31">
        <f>Sheet1!K31</f>
        <v/>
      </c>
      <c r="B31">
        <f>IF(ISNA(Sheet1!I31),NA(),Sheet1!$O$5-(Sheet1!I31/Sheet1!$O$6))</f>
        <v/>
      </c>
    </row>
    <row r="32">
      <c r="A32">
        <f>Sheet1!K32</f>
        <v/>
      </c>
      <c r="B32">
        <f>IF(ISNA(Sheet1!I32),NA(),Sheet1!$O$5-(Sheet1!I32/Sheet1!$O$6))</f>
        <v/>
      </c>
    </row>
    <row r="33">
      <c r="A33">
        <f>Sheet1!K33</f>
        <v/>
      </c>
      <c r="B33">
        <f>IF(ISNA(Sheet1!I33),NA(),Sheet1!$O$5-(Sheet1!I33/Sheet1!$O$6))</f>
        <v/>
      </c>
    </row>
    <row r="34">
      <c r="A34">
        <f>Sheet1!K34</f>
        <v/>
      </c>
      <c r="B34">
        <f>IF(ISNA(Sheet1!I34),NA(),Sheet1!$O$5-(Sheet1!I34/Sheet1!$O$6))</f>
        <v/>
      </c>
    </row>
    <row r="35">
      <c r="A35">
        <f>Sheet1!K35</f>
        <v/>
      </c>
      <c r="B35">
        <f>IF(ISNA(Sheet1!I35),NA(),Sheet1!$O$5-(Sheet1!I35/Sheet1!$O$6))</f>
        <v/>
      </c>
    </row>
    <row r="36">
      <c r="A36">
        <f>Sheet1!K36</f>
        <v/>
      </c>
      <c r="B36">
        <f>IF(ISNA(Sheet1!I36),NA(),Sheet1!$O$5-(Sheet1!I36/Sheet1!$O$6))</f>
        <v/>
      </c>
    </row>
    <row r="37">
      <c r="A37">
        <f>Sheet1!K37</f>
        <v/>
      </c>
      <c r="B37">
        <f>IF(ISNA(Sheet1!I37),NA(),Sheet1!$O$5-(Sheet1!I37/Sheet1!$O$6))</f>
        <v/>
      </c>
    </row>
    <row r="38">
      <c r="A38">
        <f>Sheet1!K38</f>
        <v/>
      </c>
      <c r="B38">
        <f>IF(ISNA(Sheet1!I38),NA(),Sheet1!$O$5-(Sheet1!I38/Sheet1!$O$6))</f>
        <v/>
      </c>
    </row>
    <row r="39">
      <c r="A39">
        <f>Sheet1!K39</f>
        <v/>
      </c>
      <c r="B39">
        <f>IF(ISNA(Sheet1!I39),NA(),Sheet1!$O$5-(Sheet1!I39/Sheet1!$O$6))</f>
        <v/>
      </c>
    </row>
    <row r="40">
      <c r="A40">
        <f>Sheet1!K40</f>
        <v/>
      </c>
      <c r="B40">
        <f>IF(ISNA(Sheet1!I40),NA(),Sheet1!$O$5-(Sheet1!I40/Sheet1!$O$6))</f>
        <v/>
      </c>
    </row>
    <row r="41">
      <c r="A41">
        <f>Sheet1!K41</f>
        <v/>
      </c>
      <c r="B41">
        <f>IF(ISNA(Sheet1!I41),NA(),Sheet1!$O$5-(Sheet1!I41/Sheet1!$O$6))</f>
        <v/>
      </c>
    </row>
    <row r="42">
      <c r="A42">
        <f>Sheet1!K42</f>
        <v/>
      </c>
      <c r="B42">
        <f>IF(ISNA(Sheet1!I42),NA(),Sheet1!$O$5-(Sheet1!I42/Sheet1!$O$6))</f>
        <v/>
      </c>
    </row>
    <row r="43">
      <c r="A43">
        <f>Sheet1!K43</f>
        <v/>
      </c>
      <c r="B43">
        <f>IF(ISNA(Sheet1!I43),NA(),Sheet1!$O$5-(Sheet1!I43/Sheet1!$O$6))</f>
        <v/>
      </c>
    </row>
    <row r="44">
      <c r="A44">
        <f>Sheet1!K44</f>
        <v/>
      </c>
      <c r="B44">
        <f>IF(ISNA(Sheet1!I44),NA(),Sheet1!$O$5-(Sheet1!I44/Sheet1!$O$6))</f>
        <v/>
      </c>
    </row>
    <row r="45">
      <c r="A45">
        <f>Sheet1!K45</f>
        <v/>
      </c>
      <c r="B45">
        <f>IF(ISNA(Sheet1!I45),NA(),Sheet1!$O$5-(Sheet1!I45/Sheet1!$O$6))</f>
        <v/>
      </c>
    </row>
    <row r="46">
      <c r="A46">
        <f>Sheet1!K46</f>
        <v/>
      </c>
      <c r="B46">
        <f>IF(ISNA(Sheet1!I46),NA(),Sheet1!$O$5-(Sheet1!I46/Sheet1!$O$6))</f>
        <v/>
      </c>
    </row>
    <row r="47">
      <c r="A47">
        <f>Sheet1!K47</f>
        <v/>
      </c>
      <c r="B47">
        <f>IF(ISNA(Sheet1!I47),NA(),Sheet1!$O$5-(Sheet1!I47/Sheet1!$O$6))</f>
        <v/>
      </c>
    </row>
    <row r="48">
      <c r="A48">
        <f>Sheet1!K48</f>
        <v/>
      </c>
      <c r="B48">
        <f>IF(ISNA(Sheet1!I48),NA(),Sheet1!$O$5-(Sheet1!I48/Sheet1!$O$6))</f>
        <v/>
      </c>
    </row>
    <row r="49">
      <c r="A49">
        <f>Sheet1!K49</f>
        <v/>
      </c>
      <c r="B49">
        <f>IF(ISNA(Sheet1!I49),NA(),Sheet1!$O$5-(Sheet1!I49/Sheet1!$O$6))</f>
        <v/>
      </c>
    </row>
    <row r="50">
      <c r="A50">
        <f>Sheet1!K50</f>
        <v/>
      </c>
      <c r="B50">
        <f>IF(ISNA(Sheet1!I50),NA(),Sheet1!$O$5-(Sheet1!I50/Sheet1!$O$6))</f>
        <v/>
      </c>
    </row>
    <row r="51">
      <c r="A51">
        <f>Sheet1!K51</f>
        <v/>
      </c>
      <c r="B51">
        <f>IF(ISNA(Sheet1!I51),NA(),Sheet1!$O$5-(Sheet1!I51/Sheet1!$O$6))</f>
        <v/>
      </c>
    </row>
    <row r="52">
      <c r="A52">
        <f>Sheet1!K52</f>
        <v/>
      </c>
      <c r="B52">
        <f>IF(ISNA(Sheet1!I52),NA(),Sheet1!$O$5-(Sheet1!I52/Sheet1!$O$6))</f>
        <v/>
      </c>
    </row>
    <row r="53">
      <c r="A53">
        <f>Sheet1!K53</f>
        <v/>
      </c>
      <c r="B53">
        <f>IF(ISNA(Sheet1!I53),NA(),Sheet1!$O$5-(Sheet1!I53/Sheet1!$O$6))</f>
        <v/>
      </c>
    </row>
    <row r="54">
      <c r="A54">
        <f>Sheet1!K54</f>
        <v/>
      </c>
      <c r="B54">
        <f>IF(ISNA(Sheet1!I54),NA(),Sheet1!$O$5-(Sheet1!I54/Sheet1!$O$6))</f>
        <v/>
      </c>
    </row>
    <row r="55">
      <c r="A55">
        <f>Sheet1!K55</f>
        <v/>
      </c>
      <c r="B55">
        <f>IF(ISNA(Sheet1!I55),NA(),Sheet1!$O$5-(Sheet1!I55/Sheet1!$O$6))</f>
        <v/>
      </c>
    </row>
    <row r="56">
      <c r="A56">
        <f>Sheet1!K56</f>
        <v/>
      </c>
      <c r="B56">
        <f>IF(ISNA(Sheet1!I56),NA(),Sheet1!$O$5-(Sheet1!I56/Sheet1!$O$6))</f>
        <v/>
      </c>
    </row>
    <row r="57">
      <c r="A57">
        <f>Sheet1!K57</f>
        <v/>
      </c>
      <c r="B57">
        <f>IF(ISNA(Sheet1!I57),NA(),Sheet1!$O$5-(Sheet1!I57/Sheet1!$O$6))</f>
        <v/>
      </c>
    </row>
    <row r="58">
      <c r="A58">
        <f>Sheet1!K58</f>
        <v/>
      </c>
      <c r="B58">
        <f>IF(ISNA(Sheet1!I58),NA(),Sheet1!$O$5-(Sheet1!I58/Sheet1!$O$6))</f>
        <v/>
      </c>
    </row>
    <row r="59">
      <c r="A59">
        <f>Sheet1!K59</f>
        <v/>
      </c>
      <c r="B59">
        <f>IF(ISNA(Sheet1!I59),NA(),Sheet1!$O$5-(Sheet1!I59/Sheet1!$O$6))</f>
        <v/>
      </c>
    </row>
    <row r="60">
      <c r="A60">
        <f>Sheet1!K60</f>
        <v/>
      </c>
      <c r="B60">
        <f>IF(ISNA(Sheet1!I60),NA(),Sheet1!$O$5-(Sheet1!I60/Sheet1!$O$6))</f>
        <v/>
      </c>
    </row>
    <row r="61">
      <c r="A61">
        <f>Sheet1!K61</f>
        <v/>
      </c>
      <c r="B61">
        <f>IF(ISNA(Sheet1!I61),NA(),Sheet1!$O$5-(Sheet1!I61/Sheet1!$O$6))</f>
        <v/>
      </c>
    </row>
    <row r="62">
      <c r="A62">
        <f>Sheet1!K62</f>
        <v/>
      </c>
      <c r="B62">
        <f>IF(ISNA(Sheet1!I62),NA(),Sheet1!$O$5-(Sheet1!I62/Sheet1!$O$6))</f>
        <v/>
      </c>
    </row>
    <row r="63">
      <c r="A63">
        <f>Sheet1!K63</f>
        <v/>
      </c>
      <c r="B63">
        <f>IF(ISNA(Sheet1!I63),NA(),Sheet1!$O$5-(Sheet1!I63/Sheet1!$O$6))</f>
        <v/>
      </c>
    </row>
    <row r="64">
      <c r="A64">
        <f>Sheet1!K64</f>
        <v/>
      </c>
      <c r="B64">
        <f>IF(ISNA(Sheet1!I64),NA(),Sheet1!$O$5-(Sheet1!I64/Sheet1!$O$6))</f>
        <v/>
      </c>
    </row>
    <row r="65">
      <c r="A65">
        <f>Sheet1!K65</f>
        <v/>
      </c>
      <c r="B65">
        <f>IF(ISNA(Sheet1!I65),NA(),Sheet1!$O$5-(Sheet1!I65/Sheet1!$O$6))</f>
        <v/>
      </c>
    </row>
    <row r="66">
      <c r="A66">
        <f>Sheet1!K66</f>
        <v/>
      </c>
      <c r="B66">
        <f>IF(ISNA(Sheet1!I66),NA(),Sheet1!$O$5-(Sheet1!I66/Sheet1!$O$6))</f>
        <v/>
      </c>
    </row>
    <row r="67">
      <c r="A67">
        <f>Sheet1!K67</f>
        <v/>
      </c>
      <c r="B67">
        <f>IF(ISNA(Sheet1!I67),NA(),Sheet1!$O$5-(Sheet1!I67/Sheet1!$O$6))</f>
        <v/>
      </c>
    </row>
    <row r="68">
      <c r="A68">
        <f>Sheet1!K68</f>
        <v/>
      </c>
      <c r="B68">
        <f>IF(ISNA(Sheet1!I68),NA(),Sheet1!$O$5-(Sheet1!I68/Sheet1!$O$6))</f>
        <v/>
      </c>
    </row>
    <row r="69">
      <c r="A69">
        <f>Sheet1!K69</f>
        <v/>
      </c>
      <c r="B69">
        <f>IF(ISNA(Sheet1!I69),NA(),Sheet1!$O$5-(Sheet1!I69/Sheet1!$O$6))</f>
        <v/>
      </c>
    </row>
    <row r="70">
      <c r="A70">
        <f>Sheet1!K70</f>
        <v/>
      </c>
      <c r="B70">
        <f>IF(ISNA(Sheet1!I70),NA(),Sheet1!$O$5-(Sheet1!I70/Sheet1!$O$6))</f>
        <v/>
      </c>
    </row>
    <row r="71">
      <c r="A71">
        <f>Sheet1!K71</f>
        <v/>
      </c>
      <c r="B71">
        <f>IF(ISNA(Sheet1!I71),NA(),Sheet1!$O$5-(Sheet1!I71/Sheet1!$O$6))</f>
        <v/>
      </c>
    </row>
    <row r="72">
      <c r="A72">
        <f>Sheet1!K72</f>
        <v/>
      </c>
      <c r="B72">
        <f>IF(ISNA(Sheet1!I72),NA(),Sheet1!$O$5-(Sheet1!I72/Sheet1!$O$6))</f>
        <v/>
      </c>
    </row>
    <row r="73">
      <c r="A73">
        <f>Sheet1!K73</f>
        <v/>
      </c>
      <c r="B73">
        <f>IF(ISNA(Sheet1!I73),NA(),Sheet1!$O$5-(Sheet1!I73/Sheet1!$O$6))</f>
        <v/>
      </c>
    </row>
    <row r="74">
      <c r="A74">
        <f>Sheet1!K74</f>
        <v/>
      </c>
      <c r="B74">
        <f>IF(ISNA(Sheet1!I74),NA(),Sheet1!$O$5-(Sheet1!I74/Sheet1!$O$6))</f>
        <v/>
      </c>
    </row>
    <row r="75">
      <c r="A75">
        <f>Sheet1!K75</f>
        <v/>
      </c>
      <c r="B75">
        <f>IF(ISNA(Sheet1!I75),NA(),Sheet1!$O$5-(Sheet1!I75/Sheet1!$O$6))</f>
        <v/>
      </c>
    </row>
    <row r="76">
      <c r="A76">
        <f>Sheet1!K76</f>
        <v/>
      </c>
      <c r="B76">
        <f>IF(ISNA(Sheet1!I76),NA(),Sheet1!$O$5-(Sheet1!I76/Sheet1!$O$6))</f>
        <v/>
      </c>
    </row>
    <row r="77">
      <c r="A77">
        <f>Sheet1!K77</f>
        <v/>
      </c>
      <c r="B77">
        <f>IF(ISNA(Sheet1!I77),NA(),Sheet1!$O$5-(Sheet1!I77/Sheet1!$O$6))</f>
        <v/>
      </c>
    </row>
    <row r="78">
      <c r="A78">
        <f>Sheet1!K78</f>
        <v/>
      </c>
      <c r="B78">
        <f>IF(ISNA(Sheet1!I78),NA(),Sheet1!$O$5-(Sheet1!I78/Sheet1!$O$6))</f>
        <v/>
      </c>
    </row>
    <row r="79">
      <c r="A79">
        <f>Sheet1!K79</f>
        <v/>
      </c>
      <c r="B79">
        <f>IF(ISNA(Sheet1!I79),NA(),Sheet1!$O$5-(Sheet1!I79/Sheet1!$O$6))</f>
        <v/>
      </c>
    </row>
    <row r="80">
      <c r="A80">
        <f>Sheet1!K80</f>
        <v/>
      </c>
      <c r="B80">
        <f>IF(ISNA(Sheet1!I80),NA(),Sheet1!$O$5-(Sheet1!I80/Sheet1!$O$6))</f>
        <v/>
      </c>
    </row>
    <row r="81">
      <c r="A81">
        <f>Sheet1!K81</f>
        <v/>
      </c>
      <c r="B81">
        <f>IF(ISNA(Sheet1!I81),NA(),Sheet1!$O$5-(Sheet1!I81/Sheet1!$O$6))</f>
        <v/>
      </c>
    </row>
    <row r="82">
      <c r="A82">
        <f>Sheet1!K82</f>
        <v/>
      </c>
      <c r="B82">
        <f>IF(ISNA(Sheet1!I82),NA(),Sheet1!$O$5-(Sheet1!I82/Sheet1!$O$6))</f>
        <v/>
      </c>
    </row>
    <row r="83">
      <c r="A83">
        <f>Sheet1!K83</f>
        <v/>
      </c>
      <c r="B83">
        <f>IF(ISNA(Sheet1!I83),NA(),Sheet1!$O$5-(Sheet1!I83/Sheet1!$O$6))</f>
        <v/>
      </c>
    </row>
    <row r="84">
      <c r="A84">
        <f>Sheet1!K84</f>
        <v/>
      </c>
      <c r="B84">
        <f>IF(ISNA(Sheet1!I84),NA(),Sheet1!$O$5-(Sheet1!I84/Sheet1!$O$6))</f>
        <v/>
      </c>
    </row>
    <row r="85">
      <c r="A85">
        <f>Sheet1!K85</f>
        <v/>
      </c>
      <c r="B85">
        <f>IF(ISNA(Sheet1!I85),NA(),Sheet1!$O$5-(Sheet1!I85/Sheet1!$O$6))</f>
        <v/>
      </c>
    </row>
    <row r="86">
      <c r="A86">
        <f>Sheet1!K86</f>
        <v/>
      </c>
      <c r="B86">
        <f>IF(ISNA(Sheet1!I86),NA(),Sheet1!$O$5-(Sheet1!I86/Sheet1!$O$6))</f>
        <v/>
      </c>
    </row>
    <row r="87">
      <c r="A87">
        <f>Sheet1!K87</f>
        <v/>
      </c>
      <c r="B87">
        <f>IF(ISNA(Sheet1!I87),NA(),Sheet1!$O$5-(Sheet1!I87/Sheet1!$O$6))</f>
        <v/>
      </c>
    </row>
    <row r="88">
      <c r="A88">
        <f>Sheet1!K88</f>
        <v/>
      </c>
      <c r="B88">
        <f>IF(ISNA(Sheet1!I88),NA(),Sheet1!$O$5-(Sheet1!I88/Sheet1!$O$6))</f>
        <v/>
      </c>
    </row>
    <row r="89">
      <c r="A89">
        <f>Sheet1!K89</f>
        <v/>
      </c>
      <c r="B89">
        <f>IF(ISNA(Sheet1!I89),NA(),Sheet1!$O$5-(Sheet1!I89/Sheet1!$O$6))</f>
        <v/>
      </c>
    </row>
    <row r="90">
      <c r="A90">
        <f>Sheet1!K90</f>
        <v/>
      </c>
      <c r="B90">
        <f>IF(ISNA(Sheet1!I90),NA(),Sheet1!$O$5-(Sheet1!I90/Sheet1!$O$6))</f>
        <v/>
      </c>
    </row>
    <row r="91">
      <c r="A91">
        <f>Sheet1!K91</f>
        <v/>
      </c>
      <c r="B91">
        <f>IF(ISNA(Sheet1!I91),NA(),Sheet1!$O$5-(Sheet1!I91/Sheet1!$O$6))</f>
        <v/>
      </c>
    </row>
    <row r="92">
      <c r="A92">
        <f>Sheet1!K92</f>
        <v/>
      </c>
      <c r="B92">
        <f>IF(ISNA(Sheet1!I92),NA(),Sheet1!$O$5-(Sheet1!I92/Sheet1!$O$6))</f>
        <v/>
      </c>
    </row>
    <row r="93">
      <c r="A93">
        <f>Sheet1!K93</f>
        <v/>
      </c>
      <c r="B93">
        <f>IF(ISNA(Sheet1!I93),NA(),Sheet1!$O$5-(Sheet1!I93/Sheet1!$O$6))</f>
        <v/>
      </c>
    </row>
    <row r="94">
      <c r="A94">
        <f>Sheet1!K94</f>
        <v/>
      </c>
      <c r="B94">
        <f>IF(ISNA(Sheet1!I94),NA(),Sheet1!$O$5-(Sheet1!I94/Sheet1!$O$6))</f>
        <v/>
      </c>
    </row>
    <row r="95">
      <c r="A95">
        <f>Sheet1!K95</f>
        <v/>
      </c>
      <c r="B95">
        <f>IF(ISNA(Sheet1!I95),NA(),Sheet1!$O$5-(Sheet1!I95/Sheet1!$O$6))</f>
        <v/>
      </c>
    </row>
    <row r="96">
      <c r="A96">
        <f>Sheet1!K96</f>
        <v/>
      </c>
      <c r="B96">
        <f>IF(ISNA(Sheet1!I96),NA(),Sheet1!$O$5-(Sheet1!I96/Sheet1!$O$6))</f>
        <v/>
      </c>
    </row>
    <row r="97">
      <c r="A97">
        <f>Sheet1!K97</f>
        <v/>
      </c>
      <c r="B97">
        <f>IF(ISNA(Sheet1!I97),NA(),Sheet1!$O$5-(Sheet1!I97/Sheet1!$O$6))</f>
        <v/>
      </c>
    </row>
    <row r="98">
      <c r="A98">
        <f>Sheet1!K98</f>
        <v/>
      </c>
      <c r="B98">
        <f>IF(ISNA(Sheet1!I98),NA(),Sheet1!$O$5-(Sheet1!I98/Sheet1!$O$6))</f>
        <v/>
      </c>
    </row>
    <row r="99">
      <c r="A99">
        <f>Sheet1!K99</f>
        <v/>
      </c>
      <c r="B99">
        <f>IF(ISNA(Sheet1!I99),NA(),Sheet1!$O$5-(Sheet1!I99/Sheet1!$O$6))</f>
        <v/>
      </c>
    </row>
    <row r="100">
      <c r="A100">
        <f>Sheet1!K100</f>
        <v/>
      </c>
      <c r="B100">
        <f>IF(ISNA(Sheet1!I100),NA(),Sheet1!$O$5-(Sheet1!I100/Sheet1!$O$6))</f>
        <v/>
      </c>
    </row>
    <row r="101">
      <c r="A101">
        <f>Sheet1!K101</f>
        <v/>
      </c>
      <c r="B101">
        <f>IF(ISNA(Sheet1!I101),NA(),Sheet1!$O$5-(Sheet1!I101/Sheet1!$O$6))</f>
        <v/>
      </c>
    </row>
    <row r="102">
      <c r="A102">
        <f>Sheet1!K102</f>
        <v/>
      </c>
      <c r="B102">
        <f>IF(ISNA(Sheet1!I102),NA(),Sheet1!$O$5-(Sheet1!I102/Sheet1!$O$6))</f>
        <v/>
      </c>
    </row>
    <row r="103">
      <c r="A103">
        <f>Sheet1!K103</f>
        <v/>
      </c>
      <c r="B103">
        <f>IF(ISNA(Sheet1!I103),NA(),Sheet1!$O$5-(Sheet1!I103/Sheet1!$O$6))</f>
        <v/>
      </c>
    </row>
    <row r="104">
      <c r="A104">
        <f>Sheet1!K104</f>
        <v/>
      </c>
      <c r="B104">
        <f>IF(ISNA(Sheet1!I104),NA(),Sheet1!$O$5-(Sheet1!I104/Sheet1!$O$6))</f>
        <v/>
      </c>
    </row>
    <row r="105">
      <c r="A105">
        <f>Sheet1!K105</f>
        <v/>
      </c>
      <c r="B105">
        <f>IF(ISNA(Sheet1!I105),NA(),Sheet1!$O$5-(Sheet1!I105/Sheet1!$O$6))</f>
        <v/>
      </c>
    </row>
    <row r="106">
      <c r="A106">
        <f>Sheet1!K106</f>
        <v/>
      </c>
      <c r="B106">
        <f>IF(ISNA(Sheet1!I106),NA(),Sheet1!$O$5-(Sheet1!I106/Sheet1!$O$6))</f>
        <v/>
      </c>
    </row>
    <row r="107">
      <c r="A107">
        <f>Sheet1!K107</f>
        <v/>
      </c>
      <c r="B107">
        <f>IF(ISNA(Sheet1!I107),NA(),Sheet1!$O$5-(Sheet1!I107/Sheet1!$O$6))</f>
        <v/>
      </c>
    </row>
    <row r="108">
      <c r="A108">
        <f>Sheet1!K108</f>
        <v/>
      </c>
      <c r="B108">
        <f>IF(ISNA(Sheet1!I108),NA(),Sheet1!$O$5-(Sheet1!I108/Sheet1!$O$6))</f>
        <v/>
      </c>
    </row>
    <row r="109">
      <c r="A109">
        <f>Sheet1!K109</f>
        <v/>
      </c>
      <c r="B109">
        <f>IF(ISNA(Sheet1!I109),NA(),Sheet1!$O$5-(Sheet1!I109/Sheet1!$O$6))</f>
        <v/>
      </c>
    </row>
    <row r="110">
      <c r="A110">
        <f>Sheet1!K110</f>
        <v/>
      </c>
      <c r="B110">
        <f>IF(ISNA(Sheet1!I110),NA(),Sheet1!$O$5-(Sheet1!I110/Sheet1!$O$6))</f>
        <v/>
      </c>
    </row>
    <row r="111">
      <c r="A111">
        <f>Sheet1!K111</f>
        <v/>
      </c>
      <c r="B111">
        <f>IF(ISNA(Sheet1!I111),NA(),Sheet1!$O$5-(Sheet1!I111/Sheet1!$O$6))</f>
        <v/>
      </c>
    </row>
    <row r="112">
      <c r="A112">
        <f>Sheet1!K112</f>
        <v/>
      </c>
      <c r="B112">
        <f>IF(ISNA(Sheet1!I112),NA(),Sheet1!$O$5-(Sheet1!I112/Sheet1!$O$6))</f>
        <v/>
      </c>
    </row>
    <row r="113">
      <c r="A113">
        <f>Sheet1!K113</f>
        <v/>
      </c>
      <c r="B113">
        <f>IF(ISNA(Sheet1!I113),NA(),Sheet1!$O$5-(Sheet1!I113/Sheet1!$O$6))</f>
        <v/>
      </c>
    </row>
    <row r="114">
      <c r="A114">
        <f>Sheet1!K114</f>
        <v/>
      </c>
      <c r="B114">
        <f>IF(ISNA(Sheet1!I114),NA(),Sheet1!$O$5-(Sheet1!I114/Sheet1!$O$6))</f>
        <v/>
      </c>
    </row>
    <row r="115">
      <c r="A115">
        <f>Sheet1!K115</f>
        <v/>
      </c>
      <c r="B115">
        <f>IF(ISNA(Sheet1!I115),NA(),Sheet1!$O$5-(Sheet1!I115/Sheet1!$O$6))</f>
        <v/>
      </c>
    </row>
    <row r="116">
      <c r="A116">
        <f>Sheet1!K116</f>
        <v/>
      </c>
      <c r="B116">
        <f>IF(ISNA(Sheet1!I116),NA(),Sheet1!$O$5-(Sheet1!I116/Sheet1!$O$6))</f>
        <v/>
      </c>
    </row>
    <row r="117">
      <c r="A117">
        <f>Sheet1!K117</f>
        <v/>
      </c>
      <c r="B117">
        <f>IF(ISNA(Sheet1!I117),NA(),Sheet1!$O$5-(Sheet1!I117/Sheet1!$O$6))</f>
        <v/>
      </c>
    </row>
    <row r="118">
      <c r="A118">
        <f>Sheet1!K118</f>
        <v/>
      </c>
      <c r="B118">
        <f>IF(ISNA(Sheet1!I118),NA(),Sheet1!$O$5-(Sheet1!I118/Sheet1!$O$6))</f>
        <v/>
      </c>
    </row>
    <row r="119">
      <c r="A119">
        <f>Sheet1!K119</f>
        <v/>
      </c>
      <c r="B119">
        <f>IF(ISNA(Sheet1!I119),NA(),Sheet1!$O$5-(Sheet1!I119/Sheet1!$O$6))</f>
        <v/>
      </c>
    </row>
    <row r="120">
      <c r="A120">
        <f>Sheet1!K120</f>
        <v/>
      </c>
      <c r="B120">
        <f>IF(ISNA(Sheet1!I120),NA(),Sheet1!$O$5-(Sheet1!I120/Sheet1!$O$6))</f>
        <v/>
      </c>
    </row>
    <row r="121">
      <c r="A121">
        <f>Sheet1!K121</f>
        <v/>
      </c>
      <c r="B121">
        <f>IF(ISNA(Sheet1!I121),NA(),Sheet1!$O$5-(Sheet1!I121/Sheet1!$O$6))</f>
        <v/>
      </c>
    </row>
    <row r="122">
      <c r="A122">
        <f>Sheet1!K122</f>
        <v/>
      </c>
      <c r="B122">
        <f>IF(ISNA(Sheet1!I122),NA(),Sheet1!$O$5-(Sheet1!I122/Sheet1!$O$6))</f>
        <v/>
      </c>
    </row>
    <row r="123">
      <c r="A123">
        <f>Sheet1!K123</f>
        <v/>
      </c>
      <c r="B123">
        <f>IF(ISNA(Sheet1!I123),NA(),Sheet1!$O$5-(Sheet1!I123/Sheet1!$O$6))</f>
        <v/>
      </c>
    </row>
    <row r="124">
      <c r="A124">
        <f>Sheet1!K124</f>
        <v/>
      </c>
      <c r="B124">
        <f>IF(ISNA(Sheet1!I124),NA(),Sheet1!$O$5-(Sheet1!I124/Sheet1!$O$6))</f>
        <v/>
      </c>
    </row>
    <row r="125">
      <c r="A125">
        <f>Sheet1!K125</f>
        <v/>
      </c>
      <c r="B125">
        <f>IF(ISNA(Sheet1!I125),NA(),Sheet1!$O$5-(Sheet1!I125/Sheet1!$O$6))</f>
        <v/>
      </c>
    </row>
    <row r="126">
      <c r="A126">
        <f>Sheet1!K126</f>
        <v/>
      </c>
      <c r="B126">
        <f>IF(ISNA(Sheet1!I126),NA(),Sheet1!$O$5-(Sheet1!I126/Sheet1!$O$6))</f>
        <v/>
      </c>
    </row>
    <row r="127">
      <c r="A127">
        <f>Sheet1!K127</f>
        <v/>
      </c>
      <c r="B127">
        <f>IF(ISNA(Sheet1!I127),NA(),Sheet1!$O$5-(Sheet1!I127/Sheet1!$O$6))</f>
        <v/>
      </c>
    </row>
    <row r="128">
      <c r="A128">
        <f>Sheet1!K128</f>
        <v/>
      </c>
      <c r="B128">
        <f>IF(ISNA(Sheet1!I128),NA(),Sheet1!$O$5-(Sheet1!I128/Sheet1!$O$6))</f>
        <v/>
      </c>
    </row>
    <row r="129">
      <c r="A129">
        <f>Sheet1!K129</f>
        <v/>
      </c>
      <c r="B129">
        <f>IF(ISNA(Sheet1!I129),NA(),Sheet1!$O$5-(Sheet1!I129/Sheet1!$O$6))</f>
        <v/>
      </c>
    </row>
    <row r="130">
      <c r="A130">
        <f>Sheet1!K130</f>
        <v/>
      </c>
      <c r="B130">
        <f>IF(ISNA(Sheet1!I130),NA(),Sheet1!$O$5-(Sheet1!I130/Sheet1!$O$6))</f>
        <v/>
      </c>
    </row>
    <row r="131">
      <c r="A131">
        <f>Sheet1!K131</f>
        <v/>
      </c>
      <c r="B131">
        <f>IF(ISNA(Sheet1!I131),NA(),Sheet1!$O$5-(Sheet1!I131/Sheet1!$O$6))</f>
        <v/>
      </c>
    </row>
    <row r="132">
      <c r="A132">
        <f>Sheet1!K132</f>
        <v/>
      </c>
      <c r="B132">
        <f>IF(ISNA(Sheet1!I132),NA(),Sheet1!$O$5-(Sheet1!I132/Sheet1!$O$6))</f>
        <v/>
      </c>
    </row>
    <row r="133">
      <c r="A133">
        <f>Sheet1!K133</f>
        <v/>
      </c>
      <c r="B133">
        <f>IF(ISNA(Sheet1!I133),NA(),Sheet1!$O$5-(Sheet1!I133/Sheet1!$O$6))</f>
        <v/>
      </c>
    </row>
    <row r="134">
      <c r="A134">
        <f>Sheet1!K134</f>
        <v/>
      </c>
      <c r="B134">
        <f>IF(ISNA(Sheet1!I134),NA(),Sheet1!$O$5-(Sheet1!I134/Sheet1!$O$6))</f>
        <v/>
      </c>
    </row>
    <row r="135">
      <c r="A135">
        <f>Sheet1!K135</f>
        <v/>
      </c>
      <c r="B135">
        <f>IF(ISNA(Sheet1!I135),NA(),Sheet1!$O$5-(Sheet1!I135/Sheet1!$O$6))</f>
        <v/>
      </c>
    </row>
    <row r="136">
      <c r="A136">
        <f>Sheet1!K136</f>
        <v/>
      </c>
      <c r="B136">
        <f>IF(ISNA(Sheet1!I136),NA(),Sheet1!$O$5-(Sheet1!I136/Sheet1!$O$6))</f>
        <v/>
      </c>
    </row>
    <row r="137">
      <c r="A137">
        <f>Sheet1!K137</f>
        <v/>
      </c>
      <c r="B137">
        <f>IF(ISNA(Sheet1!I137),NA(),Sheet1!$O$5-(Sheet1!I137/Sheet1!$O$6))</f>
        <v/>
      </c>
    </row>
    <row r="138">
      <c r="A138">
        <f>Sheet1!K138</f>
        <v/>
      </c>
      <c r="B138">
        <f>IF(ISNA(Sheet1!I138),NA(),Sheet1!$O$5-(Sheet1!I138/Sheet1!$O$6))</f>
        <v/>
      </c>
    </row>
    <row r="139">
      <c r="A139">
        <f>Sheet1!K139</f>
        <v/>
      </c>
      <c r="B139">
        <f>IF(ISNA(Sheet1!I139),NA(),Sheet1!$O$5-(Sheet1!I139/Sheet1!$O$6))</f>
        <v/>
      </c>
    </row>
    <row r="140">
      <c r="A140">
        <f>Sheet1!K140</f>
        <v/>
      </c>
      <c r="B140">
        <f>IF(ISNA(Sheet1!I140),NA(),Sheet1!$O$5-(Sheet1!I140/Sheet1!$O$6))</f>
        <v/>
      </c>
    </row>
    <row r="141">
      <c r="A141">
        <f>Sheet1!K141</f>
        <v/>
      </c>
      <c r="B141">
        <f>IF(ISNA(Sheet1!I141),NA(),Sheet1!$O$5-(Sheet1!I141/Sheet1!$O$6))</f>
        <v/>
      </c>
    </row>
    <row r="142">
      <c r="A142">
        <f>Sheet1!K142</f>
        <v/>
      </c>
      <c r="B142">
        <f>IF(ISNA(Sheet1!I142),NA(),Sheet1!$O$5-(Sheet1!I142/Sheet1!$O$6))</f>
        <v/>
      </c>
    </row>
    <row r="143">
      <c r="A143">
        <f>Sheet1!K143</f>
        <v/>
      </c>
      <c r="B143">
        <f>IF(ISNA(Sheet1!I143),NA(),Sheet1!$O$5-(Sheet1!I143/Sheet1!$O$6))</f>
        <v/>
      </c>
    </row>
    <row r="144">
      <c r="A144">
        <f>Sheet1!K144</f>
        <v/>
      </c>
      <c r="B144">
        <f>IF(ISNA(Sheet1!I144),NA(),Sheet1!$O$5-(Sheet1!I144/Sheet1!$O$6))</f>
        <v/>
      </c>
    </row>
    <row r="145">
      <c r="A145">
        <f>Sheet1!K145</f>
        <v/>
      </c>
      <c r="B145">
        <f>IF(ISNA(Sheet1!I145),NA(),Sheet1!$O$5-(Sheet1!I145/Sheet1!$O$6))</f>
        <v/>
      </c>
    </row>
    <row r="146">
      <c r="A146">
        <f>Sheet1!K146</f>
        <v/>
      </c>
      <c r="B146">
        <f>IF(ISNA(Sheet1!I146),NA(),Sheet1!$O$5-(Sheet1!I146/Sheet1!$O$6))</f>
        <v/>
      </c>
    </row>
    <row r="147">
      <c r="A147">
        <f>Sheet1!K147</f>
        <v/>
      </c>
      <c r="B147">
        <f>IF(ISNA(Sheet1!I147),NA(),Sheet1!$O$5-(Sheet1!I147/Sheet1!$O$6))</f>
        <v/>
      </c>
    </row>
    <row r="148">
      <c r="A148">
        <f>Sheet1!K148</f>
        <v/>
      </c>
      <c r="B148">
        <f>IF(ISNA(Sheet1!I148),NA(),Sheet1!$O$5-(Sheet1!I148/Sheet1!$O$6))</f>
        <v/>
      </c>
    </row>
    <row r="149">
      <c r="A149">
        <f>Sheet1!K149</f>
        <v/>
      </c>
      <c r="B149">
        <f>IF(ISNA(Sheet1!I149),NA(),Sheet1!$O$5-(Sheet1!I149/Sheet1!$O$6))</f>
        <v/>
      </c>
    </row>
    <row r="150">
      <c r="A150">
        <f>Sheet1!K150</f>
        <v/>
      </c>
      <c r="B150">
        <f>IF(ISNA(Sheet1!I150),NA(),Sheet1!$O$5-(Sheet1!I150/Sheet1!$O$6))</f>
        <v/>
      </c>
    </row>
    <row r="151">
      <c r="A151">
        <f>Sheet1!K151</f>
        <v/>
      </c>
      <c r="B151">
        <f>IF(ISNA(Sheet1!I151),NA(),Sheet1!$O$5-(Sheet1!I151/Sheet1!$O$6))</f>
        <v/>
      </c>
    </row>
    <row r="152">
      <c r="A152">
        <f>Sheet1!K152</f>
        <v/>
      </c>
      <c r="B152">
        <f>IF(ISNA(Sheet1!I152),NA(),Sheet1!$O$5-(Sheet1!I152/Sheet1!$O$6))</f>
        <v/>
      </c>
    </row>
    <row r="153">
      <c r="A153">
        <f>Sheet1!K153</f>
        <v/>
      </c>
      <c r="B153">
        <f>IF(ISNA(Sheet1!I153),NA(),Sheet1!$O$5-(Sheet1!I153/Sheet1!$O$6))</f>
        <v/>
      </c>
    </row>
    <row r="154">
      <c r="A154">
        <f>Sheet1!K154</f>
        <v/>
      </c>
      <c r="B154">
        <f>IF(ISNA(Sheet1!I154),NA(),Sheet1!$O$5-(Sheet1!I154/Sheet1!$O$6))</f>
        <v/>
      </c>
    </row>
    <row r="155">
      <c r="A155">
        <f>Sheet1!K155</f>
        <v/>
      </c>
      <c r="B155">
        <f>IF(ISNA(Sheet1!I155),NA(),Sheet1!$O$5-(Sheet1!I155/Sheet1!$O$6))</f>
        <v/>
      </c>
    </row>
    <row r="156">
      <c r="A156">
        <f>Sheet1!K156</f>
        <v/>
      </c>
      <c r="B156">
        <f>IF(ISNA(Sheet1!I156),NA(),Sheet1!$O$5-(Sheet1!I156/Sheet1!$O$6))</f>
        <v/>
      </c>
    </row>
    <row r="157">
      <c r="A157">
        <f>Sheet1!K157</f>
        <v/>
      </c>
      <c r="B157">
        <f>IF(ISNA(Sheet1!I157),NA(),Sheet1!$O$5-(Sheet1!I157/Sheet1!$O$6))</f>
        <v/>
      </c>
    </row>
    <row r="158">
      <c r="A158">
        <f>Sheet1!K158</f>
        <v/>
      </c>
      <c r="B158">
        <f>IF(ISNA(Sheet1!I158),NA(),Sheet1!$O$5-(Sheet1!I158/Sheet1!$O$6))</f>
        <v/>
      </c>
    </row>
    <row r="159">
      <c r="A159">
        <f>Sheet1!K159</f>
        <v/>
      </c>
      <c r="B159">
        <f>IF(ISNA(Sheet1!I159),NA(),Sheet1!$O$5-(Sheet1!I159/Sheet1!$O$6))</f>
        <v/>
      </c>
    </row>
    <row r="160">
      <c r="A160">
        <f>Sheet1!K160</f>
        <v/>
      </c>
      <c r="B160">
        <f>IF(ISNA(Sheet1!I160),NA(),Sheet1!$O$5-(Sheet1!I160/Sheet1!$O$6))</f>
        <v/>
      </c>
    </row>
    <row r="161">
      <c r="A161">
        <f>Sheet1!K161</f>
        <v/>
      </c>
      <c r="B161">
        <f>IF(ISNA(Sheet1!I161),NA(),Sheet1!$O$5-(Sheet1!I161/Sheet1!$O$6))</f>
        <v/>
      </c>
    </row>
    <row r="162">
      <c r="A162">
        <f>Sheet1!K162</f>
        <v/>
      </c>
      <c r="B162">
        <f>IF(ISNA(Sheet1!I162),NA(),Sheet1!$O$5-(Sheet1!I162/Sheet1!$O$6))</f>
        <v/>
      </c>
    </row>
    <row r="163">
      <c r="A163">
        <f>Sheet1!K163</f>
        <v/>
      </c>
      <c r="B163">
        <f>IF(ISNA(Sheet1!I163),NA(),Sheet1!$O$5-(Sheet1!I163/Sheet1!$O$6))</f>
        <v/>
      </c>
    </row>
    <row r="164">
      <c r="A164">
        <f>Sheet1!K164</f>
        <v/>
      </c>
      <c r="B164">
        <f>IF(ISNA(Sheet1!I164),NA(),Sheet1!$O$5-(Sheet1!I164/Sheet1!$O$6))</f>
        <v/>
      </c>
    </row>
    <row r="165">
      <c r="A165">
        <f>Sheet1!K165</f>
        <v/>
      </c>
      <c r="B165">
        <f>IF(ISNA(Sheet1!I165),NA(),Sheet1!$O$5-(Sheet1!I165/Sheet1!$O$6))</f>
        <v/>
      </c>
    </row>
    <row r="166">
      <c r="A166">
        <f>Sheet1!K166</f>
        <v/>
      </c>
      <c r="B166">
        <f>IF(ISNA(Sheet1!I166),NA(),Sheet1!$O$5-(Sheet1!I166/Sheet1!$O$6))</f>
        <v/>
      </c>
    </row>
    <row r="167">
      <c r="A167">
        <f>Sheet1!K167</f>
        <v/>
      </c>
      <c r="B167">
        <f>IF(ISNA(Sheet1!I167),NA(),Sheet1!$O$5-(Sheet1!I167/Sheet1!$O$6))</f>
        <v/>
      </c>
    </row>
    <row r="168">
      <c r="A168">
        <f>Sheet1!K168</f>
        <v/>
      </c>
      <c r="B168">
        <f>IF(ISNA(Sheet1!I168),NA(),Sheet1!$O$5-(Sheet1!I168/Sheet1!$O$6))</f>
        <v/>
      </c>
    </row>
    <row r="169">
      <c r="A169">
        <f>Sheet1!K169</f>
        <v/>
      </c>
      <c r="B169">
        <f>IF(ISNA(Sheet1!I169),NA(),Sheet1!$O$5-(Sheet1!I169/Sheet1!$O$6))</f>
        <v/>
      </c>
    </row>
    <row r="170">
      <c r="A170">
        <f>Sheet1!K170</f>
        <v/>
      </c>
      <c r="B170">
        <f>IF(ISNA(Sheet1!I170),NA(),Sheet1!$O$5-(Sheet1!I170/Sheet1!$O$6))</f>
        <v/>
      </c>
    </row>
    <row r="171">
      <c r="A171">
        <f>Sheet1!K171</f>
        <v/>
      </c>
      <c r="B171">
        <f>IF(ISNA(Sheet1!I171),NA(),Sheet1!$O$5-(Sheet1!I171/Sheet1!$O$6))</f>
        <v/>
      </c>
    </row>
    <row r="172">
      <c r="A172">
        <f>Sheet1!K172</f>
        <v/>
      </c>
      <c r="B172">
        <f>IF(ISNA(Sheet1!I172),NA(),Sheet1!$O$5-(Sheet1!I172/Sheet1!$O$6))</f>
        <v/>
      </c>
    </row>
    <row r="173">
      <c r="A173">
        <f>Sheet1!K173</f>
        <v/>
      </c>
      <c r="B173">
        <f>IF(ISNA(Sheet1!I173),NA(),Sheet1!$O$5-(Sheet1!I173/Sheet1!$O$6))</f>
        <v/>
      </c>
    </row>
    <row r="174">
      <c r="A174">
        <f>Sheet1!K174</f>
        <v/>
      </c>
      <c r="B174">
        <f>IF(ISNA(Sheet1!I174),NA(),Sheet1!$O$5-(Sheet1!I174/Sheet1!$O$6))</f>
        <v/>
      </c>
    </row>
    <row r="175">
      <c r="A175">
        <f>Sheet1!K175</f>
        <v/>
      </c>
      <c r="B175">
        <f>IF(ISNA(Sheet1!I175),NA(),Sheet1!$O$5-(Sheet1!I175/Sheet1!$O$6))</f>
        <v/>
      </c>
    </row>
    <row r="176">
      <c r="A176">
        <f>Sheet1!K176</f>
        <v/>
      </c>
      <c r="B176">
        <f>IF(ISNA(Sheet1!I176),NA(),Sheet1!$O$5-(Sheet1!I176/Sheet1!$O$6))</f>
        <v/>
      </c>
    </row>
    <row r="177">
      <c r="A177">
        <f>Sheet1!K177</f>
        <v/>
      </c>
      <c r="B177">
        <f>IF(ISNA(Sheet1!I177),NA(),Sheet1!$O$5-(Sheet1!I177/Sheet1!$O$6))</f>
        <v/>
      </c>
    </row>
    <row r="178">
      <c r="A178">
        <f>Sheet1!K178</f>
        <v/>
      </c>
      <c r="B178">
        <f>IF(ISNA(Sheet1!I178),NA(),Sheet1!$O$5-(Sheet1!I178/Sheet1!$O$6))</f>
        <v/>
      </c>
    </row>
    <row r="179">
      <c r="A179">
        <f>Sheet1!K179</f>
        <v/>
      </c>
      <c r="B179">
        <f>IF(ISNA(Sheet1!I179),NA(),Sheet1!$O$5-(Sheet1!I179/Sheet1!$O$6))</f>
        <v/>
      </c>
    </row>
    <row r="180">
      <c r="A180">
        <f>Sheet1!K180</f>
        <v/>
      </c>
      <c r="B180">
        <f>IF(ISNA(Sheet1!I180),NA(),Sheet1!$O$5-(Sheet1!I180/Sheet1!$O$6))</f>
        <v/>
      </c>
    </row>
    <row r="181">
      <c r="A181">
        <f>Sheet1!K181</f>
        <v/>
      </c>
      <c r="B181">
        <f>IF(ISNA(Sheet1!I181),NA(),Sheet1!$O$5-(Sheet1!I181/Sheet1!$O$6))</f>
        <v/>
      </c>
    </row>
    <row r="182">
      <c r="A182">
        <f>Sheet1!K182</f>
        <v/>
      </c>
      <c r="B182">
        <f>IF(ISNA(Sheet1!I182),NA(),Sheet1!$O$5-(Sheet1!I182/Sheet1!$O$6))</f>
        <v/>
      </c>
    </row>
    <row r="183">
      <c r="A183">
        <f>Sheet1!K183</f>
        <v/>
      </c>
      <c r="B183">
        <f>IF(ISNA(Sheet1!I183),NA(),Sheet1!$O$5-(Sheet1!I183/Sheet1!$O$6))</f>
        <v/>
      </c>
    </row>
    <row r="184">
      <c r="A184">
        <f>Sheet1!K184</f>
        <v/>
      </c>
      <c r="B184">
        <f>IF(ISNA(Sheet1!I184),NA(),Sheet1!$O$5-(Sheet1!I184/Sheet1!$O$6))</f>
        <v/>
      </c>
    </row>
    <row r="185">
      <c r="A185">
        <f>Sheet1!K185</f>
        <v/>
      </c>
      <c r="B185">
        <f>IF(ISNA(Sheet1!I185),NA(),Sheet1!$O$5-(Sheet1!I185/Sheet1!$O$6))</f>
        <v/>
      </c>
    </row>
    <row r="186">
      <c r="A186">
        <f>Sheet1!K186</f>
        <v/>
      </c>
      <c r="B186">
        <f>IF(ISNA(Sheet1!I186),NA(),Sheet1!$O$5-(Sheet1!I186/Sheet1!$O$6))</f>
        <v/>
      </c>
    </row>
    <row r="187">
      <c r="A187">
        <f>Sheet1!K187</f>
        <v/>
      </c>
      <c r="B187">
        <f>IF(ISNA(Sheet1!I187),NA(),Sheet1!$O$5-(Sheet1!I187/Sheet1!$O$6))</f>
        <v/>
      </c>
    </row>
    <row r="188">
      <c r="A188">
        <f>Sheet1!K188</f>
        <v/>
      </c>
      <c r="B188">
        <f>IF(ISNA(Sheet1!I188),NA(),Sheet1!$O$5-(Sheet1!I188/Sheet1!$O$6))</f>
        <v/>
      </c>
    </row>
    <row r="189">
      <c r="A189">
        <f>Sheet1!K189</f>
        <v/>
      </c>
      <c r="B189">
        <f>IF(ISNA(Sheet1!I189),NA(),Sheet1!$O$5-(Sheet1!I189/Sheet1!$O$6))</f>
        <v/>
      </c>
    </row>
    <row r="190">
      <c r="A190">
        <f>Sheet1!K190</f>
        <v/>
      </c>
      <c r="B190">
        <f>IF(ISNA(Sheet1!I190),NA(),Sheet1!$O$5-(Sheet1!I190/Sheet1!$O$6))</f>
        <v/>
      </c>
    </row>
    <row r="191">
      <c r="A191">
        <f>Sheet1!K191</f>
        <v/>
      </c>
      <c r="B191">
        <f>IF(ISNA(Sheet1!I191),NA(),Sheet1!$O$5-(Sheet1!I191/Sheet1!$O$6))</f>
        <v/>
      </c>
    </row>
    <row r="192">
      <c r="A192">
        <f>Sheet1!K192</f>
        <v/>
      </c>
      <c r="B192">
        <f>IF(ISNA(Sheet1!I192),NA(),Sheet1!$O$5-(Sheet1!I192/Sheet1!$O$6))</f>
        <v/>
      </c>
    </row>
    <row r="193">
      <c r="A193">
        <f>Sheet1!K193</f>
        <v/>
      </c>
      <c r="B193">
        <f>IF(ISNA(Sheet1!I193),NA(),Sheet1!$O$5-(Sheet1!I193/Sheet1!$O$6))</f>
        <v/>
      </c>
    </row>
    <row r="194">
      <c r="A194">
        <f>Sheet1!K194</f>
        <v/>
      </c>
      <c r="B194">
        <f>IF(ISNA(Sheet1!I194),NA(),Sheet1!$O$5-(Sheet1!I194/Sheet1!$O$6))</f>
        <v/>
      </c>
    </row>
    <row r="195">
      <c r="A195">
        <f>Sheet1!K195</f>
        <v/>
      </c>
      <c r="B195">
        <f>IF(ISNA(Sheet1!I195),NA(),Sheet1!$O$5-(Sheet1!I195/Sheet1!$O$6))</f>
        <v/>
      </c>
    </row>
    <row r="196">
      <c r="A196">
        <f>Sheet1!K196</f>
        <v/>
      </c>
      <c r="B196">
        <f>IF(ISNA(Sheet1!I196),NA(),Sheet1!$O$5-(Sheet1!I196/Sheet1!$O$6))</f>
        <v/>
      </c>
    </row>
    <row r="197">
      <c r="A197">
        <f>Sheet1!K197</f>
        <v/>
      </c>
      <c r="B197">
        <f>IF(ISNA(Sheet1!I197),NA(),Sheet1!$O$5-(Sheet1!I197/Sheet1!$O$6))</f>
        <v/>
      </c>
    </row>
    <row r="198">
      <c r="A198">
        <f>Sheet1!K198</f>
        <v/>
      </c>
      <c r="B198">
        <f>IF(ISNA(Sheet1!I198),NA(),Sheet1!$O$5-(Sheet1!I198/Sheet1!$O$6))</f>
        <v/>
      </c>
    </row>
    <row r="199">
      <c r="A199">
        <f>Sheet1!K199</f>
        <v/>
      </c>
      <c r="B199">
        <f>IF(ISNA(Sheet1!I199),NA(),Sheet1!$O$5-(Sheet1!I199/Sheet1!$O$6))</f>
        <v/>
      </c>
    </row>
    <row r="200">
      <c r="A200">
        <f>Sheet1!K200</f>
        <v/>
      </c>
      <c r="B200">
        <f>IF(ISNA(Sheet1!I200),NA(),Sheet1!$O$5-(Sheet1!I200/Sheet1!$O$6))</f>
        <v/>
      </c>
    </row>
    <row r="201">
      <c r="A201">
        <f>Sheet1!K201</f>
        <v/>
      </c>
      <c r="B201">
        <f>IF(ISNA(Sheet1!I201),NA(),Sheet1!$O$5-(Sheet1!I201/Sheet1!$O$6))</f>
        <v/>
      </c>
    </row>
    <row r="202">
      <c r="A202">
        <f>Sheet1!K202</f>
        <v/>
      </c>
      <c r="B202">
        <f>IF(ISNA(Sheet1!I202),NA(),Sheet1!$O$5-(Sheet1!I202/Sheet1!$O$6))</f>
        <v/>
      </c>
    </row>
    <row r="203">
      <c r="A203">
        <f>Sheet1!K203</f>
        <v/>
      </c>
      <c r="B203">
        <f>IF(ISNA(Sheet1!I203),NA(),Sheet1!$O$5-(Sheet1!I203/Sheet1!$O$6))</f>
        <v/>
      </c>
    </row>
    <row r="204">
      <c r="A204">
        <f>Sheet1!K204</f>
        <v/>
      </c>
      <c r="B204">
        <f>IF(ISNA(Sheet1!I204),NA(),Sheet1!$O$5-(Sheet1!I204/Sheet1!$O$6))</f>
        <v/>
      </c>
    </row>
    <row r="205">
      <c r="A205">
        <f>Sheet1!K205</f>
        <v/>
      </c>
      <c r="B205">
        <f>IF(ISNA(Sheet1!I205),NA(),Sheet1!$O$5-(Sheet1!I205/Sheet1!$O$6))</f>
        <v/>
      </c>
    </row>
    <row r="206">
      <c r="A206">
        <f>Sheet1!K206</f>
        <v/>
      </c>
      <c r="B206">
        <f>IF(ISNA(Sheet1!I206),NA(),Sheet1!$O$5-(Sheet1!I206/Sheet1!$O$6))</f>
        <v/>
      </c>
    </row>
    <row r="207">
      <c r="A207">
        <f>Sheet1!K207</f>
        <v/>
      </c>
      <c r="B207">
        <f>IF(ISNA(Sheet1!I207),NA(),Sheet1!$O$5-(Sheet1!I207/Sheet1!$O$6))</f>
        <v/>
      </c>
    </row>
    <row r="208">
      <c r="A208">
        <f>Sheet1!K208</f>
        <v/>
      </c>
      <c r="B208">
        <f>IF(ISNA(Sheet1!I208),NA(),Sheet1!$O$5-(Sheet1!I208/Sheet1!$O$6))</f>
        <v/>
      </c>
    </row>
    <row r="209">
      <c r="A209">
        <f>Sheet1!K209</f>
        <v/>
      </c>
      <c r="B209">
        <f>IF(ISNA(Sheet1!I209),NA(),Sheet1!$O$5-(Sheet1!I209/Sheet1!$O$6))</f>
        <v/>
      </c>
    </row>
    <row r="210">
      <c r="A210">
        <f>Sheet1!K210</f>
        <v/>
      </c>
      <c r="B210">
        <f>IF(ISNA(Sheet1!I210),NA(),Sheet1!$O$5-(Sheet1!I210/Sheet1!$O$6))</f>
        <v/>
      </c>
    </row>
    <row r="211">
      <c r="A211">
        <f>Sheet1!K211</f>
        <v/>
      </c>
      <c r="B211">
        <f>IF(ISNA(Sheet1!I211),NA(),Sheet1!$O$5-(Sheet1!I211/Sheet1!$O$6))</f>
        <v/>
      </c>
    </row>
    <row r="212">
      <c r="A212">
        <f>Sheet1!K212</f>
        <v/>
      </c>
      <c r="B212">
        <f>IF(ISNA(Sheet1!I212),NA(),Sheet1!$O$5-(Sheet1!I212/Sheet1!$O$6))</f>
        <v/>
      </c>
    </row>
    <row r="213">
      <c r="A213">
        <f>Sheet1!K213</f>
        <v/>
      </c>
      <c r="B213">
        <f>IF(ISNA(Sheet1!I213),NA(),Sheet1!$O$5-(Sheet1!I213/Sheet1!$O$6))</f>
        <v/>
      </c>
    </row>
    <row r="214">
      <c r="A214">
        <f>Sheet1!K214</f>
        <v/>
      </c>
      <c r="B214">
        <f>IF(ISNA(Sheet1!I214),NA(),Sheet1!$O$5-(Sheet1!I214/Sheet1!$O$6))</f>
        <v/>
      </c>
    </row>
    <row r="215">
      <c r="A215">
        <f>Sheet1!K215</f>
        <v/>
      </c>
      <c r="B215">
        <f>IF(ISNA(Sheet1!I215),NA(),Sheet1!$O$5-(Sheet1!I215/Sheet1!$O$6))</f>
        <v/>
      </c>
    </row>
    <row r="216">
      <c r="A216">
        <f>Sheet1!K216</f>
        <v/>
      </c>
      <c r="B216">
        <f>IF(ISNA(Sheet1!I216),NA(),Sheet1!$O$5-(Sheet1!I216/Sheet1!$O$6))</f>
        <v/>
      </c>
    </row>
    <row r="217">
      <c r="A217">
        <f>Sheet1!K217</f>
        <v/>
      </c>
      <c r="B217">
        <f>IF(ISNA(Sheet1!I217),NA(),Sheet1!$O$5-(Sheet1!I217/Sheet1!$O$6))</f>
        <v/>
      </c>
    </row>
    <row r="218">
      <c r="A218">
        <f>Sheet1!K218</f>
        <v/>
      </c>
      <c r="B218">
        <f>IF(ISNA(Sheet1!I218),NA(),Sheet1!$O$5-(Sheet1!I218/Sheet1!$O$6))</f>
        <v/>
      </c>
    </row>
    <row r="219">
      <c r="A219">
        <f>Sheet1!K219</f>
        <v/>
      </c>
      <c r="B219">
        <f>IF(ISNA(Sheet1!I219),NA(),Sheet1!$O$5-(Sheet1!I219/Sheet1!$O$6))</f>
        <v/>
      </c>
    </row>
    <row r="220">
      <c r="A220">
        <f>Sheet1!K220</f>
        <v/>
      </c>
      <c r="B220">
        <f>IF(ISNA(Sheet1!I220),NA(),Sheet1!$O$5-(Sheet1!I220/Sheet1!$O$6))</f>
        <v/>
      </c>
    </row>
    <row r="221">
      <c r="A221">
        <f>Sheet1!K221</f>
        <v/>
      </c>
      <c r="B221">
        <f>IF(ISNA(Sheet1!I221),NA(),Sheet1!$O$5-(Sheet1!I221/Sheet1!$O$6))</f>
        <v/>
      </c>
    </row>
    <row r="222">
      <c r="A222">
        <f>Sheet1!K222</f>
        <v/>
      </c>
      <c r="B222">
        <f>IF(ISNA(Sheet1!I222),NA(),Sheet1!$O$5-(Sheet1!I222/Sheet1!$O$6))</f>
        <v/>
      </c>
    </row>
    <row r="223">
      <c r="A223">
        <f>Sheet1!K223</f>
        <v/>
      </c>
      <c r="B223">
        <f>IF(ISNA(Sheet1!I223),NA(),Sheet1!$O$5-(Sheet1!I223/Sheet1!$O$6))</f>
        <v/>
      </c>
    </row>
    <row r="224">
      <c r="A224">
        <f>Sheet1!K224</f>
        <v/>
      </c>
      <c r="B224">
        <f>IF(ISNA(Sheet1!I224),NA(),Sheet1!$O$5-(Sheet1!I224/Sheet1!$O$6))</f>
        <v/>
      </c>
    </row>
    <row r="225">
      <c r="A225">
        <f>Sheet1!K225</f>
        <v/>
      </c>
      <c r="B225">
        <f>IF(ISNA(Sheet1!I225),NA(),Sheet1!$O$5-(Sheet1!I225/Sheet1!$O$6))</f>
        <v/>
      </c>
    </row>
    <row r="226">
      <c r="A226">
        <f>Sheet1!K226</f>
        <v/>
      </c>
      <c r="B226">
        <f>IF(ISNA(Sheet1!I226),NA(),Sheet1!$O$5-(Sheet1!I226/Sheet1!$O$6))</f>
        <v/>
      </c>
    </row>
    <row r="227">
      <c r="A227">
        <f>Sheet1!K227</f>
        <v/>
      </c>
      <c r="B227">
        <f>IF(ISNA(Sheet1!I227),NA(),Sheet1!$O$5-(Sheet1!I227/Sheet1!$O$6))</f>
        <v/>
      </c>
    </row>
    <row r="228">
      <c r="A228">
        <f>Sheet1!K228</f>
        <v/>
      </c>
      <c r="B228">
        <f>IF(ISNA(Sheet1!I228),NA(),Sheet1!$O$5-(Sheet1!I228/Sheet1!$O$6))</f>
        <v/>
      </c>
    </row>
    <row r="229">
      <c r="A229">
        <f>Sheet1!K229</f>
        <v/>
      </c>
      <c r="B229">
        <f>IF(ISNA(Sheet1!I229),NA(),Sheet1!$O$5-(Sheet1!I229/Sheet1!$O$6))</f>
        <v/>
      </c>
    </row>
    <row r="230">
      <c r="A230">
        <f>Sheet1!K230</f>
        <v/>
      </c>
      <c r="B230">
        <f>IF(ISNA(Sheet1!I230),NA(),Sheet1!$O$5-(Sheet1!I230/Sheet1!$O$6))</f>
        <v/>
      </c>
    </row>
    <row r="231">
      <c r="A231">
        <f>Sheet1!K231</f>
        <v/>
      </c>
      <c r="B231">
        <f>IF(ISNA(Sheet1!I231),NA(),Sheet1!$O$5-(Sheet1!I231/Sheet1!$O$6))</f>
        <v/>
      </c>
    </row>
    <row r="232">
      <c r="A232">
        <f>Sheet1!K232</f>
        <v/>
      </c>
      <c r="B232">
        <f>IF(ISNA(Sheet1!I232),NA(),Sheet1!$O$5-(Sheet1!I232/Sheet1!$O$6))</f>
        <v/>
      </c>
    </row>
    <row r="233">
      <c r="A233">
        <f>Sheet1!K233</f>
        <v/>
      </c>
      <c r="B233">
        <f>IF(ISNA(Sheet1!I233),NA(),Sheet1!$O$5-(Sheet1!I233/Sheet1!$O$6))</f>
        <v/>
      </c>
    </row>
    <row r="234">
      <c r="A234">
        <f>Sheet1!K234</f>
        <v/>
      </c>
      <c r="B234">
        <f>IF(ISNA(Sheet1!I234),NA(),Sheet1!$O$5-(Sheet1!I234/Sheet1!$O$6))</f>
        <v/>
      </c>
    </row>
    <row r="235">
      <c r="A235">
        <f>Sheet1!K235</f>
        <v/>
      </c>
      <c r="B235">
        <f>IF(ISNA(Sheet1!I235),NA(),Sheet1!$O$5-(Sheet1!I235/Sheet1!$O$6))</f>
        <v/>
      </c>
    </row>
    <row r="236">
      <c r="A236">
        <f>Sheet1!K236</f>
        <v/>
      </c>
      <c r="B236">
        <f>IF(ISNA(Sheet1!I236),NA(),Sheet1!$O$5-(Sheet1!I236/Sheet1!$O$6))</f>
        <v/>
      </c>
    </row>
    <row r="237">
      <c r="A237">
        <f>Sheet1!K237</f>
        <v/>
      </c>
      <c r="B237">
        <f>IF(ISNA(Sheet1!I237),NA(),Sheet1!$O$5-(Sheet1!I237/Sheet1!$O$6))</f>
        <v/>
      </c>
    </row>
    <row r="238">
      <c r="A238">
        <f>Sheet1!K238</f>
        <v/>
      </c>
      <c r="B238">
        <f>IF(ISNA(Sheet1!I238),NA(),Sheet1!$O$5-(Sheet1!I238/Sheet1!$O$6))</f>
        <v/>
      </c>
    </row>
    <row r="239">
      <c r="A239">
        <f>Sheet1!K239</f>
        <v/>
      </c>
      <c r="B239">
        <f>IF(ISNA(Sheet1!I239),NA(),Sheet1!$O$5-(Sheet1!I239/Sheet1!$O$6))</f>
        <v/>
      </c>
    </row>
    <row r="240">
      <c r="A240">
        <f>Sheet1!K240</f>
        <v/>
      </c>
      <c r="B240">
        <f>IF(ISNA(Sheet1!I240),NA(),Sheet1!$O$5-(Sheet1!I240/Sheet1!$O$6))</f>
        <v/>
      </c>
    </row>
    <row r="241">
      <c r="A241">
        <f>Sheet1!K241</f>
        <v/>
      </c>
      <c r="B241">
        <f>IF(ISNA(Sheet1!I241),NA(),Sheet1!$O$5-(Sheet1!I241/Sheet1!$O$6))</f>
        <v/>
      </c>
    </row>
    <row r="242">
      <c r="A242">
        <f>Sheet1!K242</f>
        <v/>
      </c>
      <c r="B242">
        <f>IF(ISNA(Sheet1!I242),NA(),Sheet1!$O$5-(Sheet1!I242/Sheet1!$O$6))</f>
        <v/>
      </c>
    </row>
    <row r="243">
      <c r="A243">
        <f>Sheet1!K243</f>
        <v/>
      </c>
      <c r="B243">
        <f>IF(ISNA(Sheet1!I243),NA(),Sheet1!$O$5-(Sheet1!I243/Sheet1!$O$6))</f>
        <v/>
      </c>
    </row>
    <row r="244">
      <c r="A244">
        <f>Sheet1!K244</f>
        <v/>
      </c>
      <c r="B244">
        <f>IF(ISNA(Sheet1!I244),NA(),Sheet1!$O$5-(Sheet1!I244/Sheet1!$O$6))</f>
        <v/>
      </c>
    </row>
    <row r="245">
      <c r="A245">
        <f>Sheet1!K245</f>
        <v/>
      </c>
      <c r="B245">
        <f>IF(ISNA(Sheet1!I245),NA(),Sheet1!$O$5-(Sheet1!I245/Sheet1!$O$6))</f>
        <v/>
      </c>
    </row>
    <row r="246">
      <c r="A246">
        <f>Sheet1!K246</f>
        <v/>
      </c>
      <c r="B246">
        <f>IF(ISNA(Sheet1!I246),NA(),Sheet1!$O$5-(Sheet1!I246/Sheet1!$O$6))</f>
        <v/>
      </c>
    </row>
    <row r="247">
      <c r="A247">
        <f>Sheet1!K247</f>
        <v/>
      </c>
      <c r="B247">
        <f>IF(ISNA(Sheet1!I247),NA(),Sheet1!$O$5-(Sheet1!I247/Sheet1!$O$6))</f>
        <v/>
      </c>
    </row>
    <row r="248">
      <c r="A248">
        <f>Sheet1!K248</f>
        <v/>
      </c>
      <c r="B248">
        <f>IF(ISNA(Sheet1!I248),NA(),Sheet1!$O$5-(Sheet1!I248/Sheet1!$O$6))</f>
        <v/>
      </c>
    </row>
    <row r="249">
      <c r="A249">
        <f>Sheet1!K249</f>
        <v/>
      </c>
      <c r="B249">
        <f>IF(ISNA(Sheet1!I249),NA(),Sheet1!$O$5-(Sheet1!I249/Sheet1!$O$6))</f>
        <v/>
      </c>
    </row>
    <row r="250">
      <c r="A250">
        <f>Sheet1!K250</f>
        <v/>
      </c>
      <c r="B250">
        <f>IF(ISNA(Sheet1!I250),NA(),Sheet1!$O$5-(Sheet1!I250/Sheet1!$O$6))</f>
        <v/>
      </c>
    </row>
    <row r="251">
      <c r="A251">
        <f>Sheet1!K251</f>
        <v/>
      </c>
      <c r="B251">
        <f>IF(ISNA(Sheet1!I251),NA(),Sheet1!$O$5-(Sheet1!I251/Sheet1!$O$6))</f>
        <v/>
      </c>
    </row>
    <row r="252">
      <c r="A252">
        <f>Sheet1!K252</f>
        <v/>
      </c>
      <c r="B252">
        <f>IF(ISNA(Sheet1!I252),NA(),Sheet1!$O$5-(Sheet1!I252/Sheet1!$O$6))</f>
        <v/>
      </c>
    </row>
    <row r="253">
      <c r="A253">
        <f>Sheet1!K253</f>
        <v/>
      </c>
      <c r="B253">
        <f>IF(ISNA(Sheet1!I253),NA(),Sheet1!$O$5-(Sheet1!I253/Sheet1!$O$6))</f>
        <v/>
      </c>
    </row>
    <row r="254">
      <c r="A254">
        <f>Sheet1!K254</f>
        <v/>
      </c>
      <c r="B254">
        <f>IF(ISNA(Sheet1!I254),NA(),Sheet1!$O$5-(Sheet1!I254/Sheet1!$O$6))</f>
        <v/>
      </c>
    </row>
    <row r="255">
      <c r="A255">
        <f>Sheet1!K255</f>
        <v/>
      </c>
      <c r="B255">
        <f>IF(ISNA(Sheet1!I255),NA(),Sheet1!$O$5-(Sheet1!I255/Sheet1!$O$6))</f>
        <v/>
      </c>
    </row>
    <row r="256">
      <c r="A256">
        <f>Sheet1!K256</f>
        <v/>
      </c>
      <c r="B256">
        <f>IF(ISNA(Sheet1!I256),NA(),Sheet1!$O$5-(Sheet1!I256/Sheet1!$O$6))</f>
        <v/>
      </c>
    </row>
    <row r="257">
      <c r="A257">
        <f>Sheet1!K257</f>
        <v/>
      </c>
      <c r="B257">
        <f>IF(ISNA(Sheet1!I257),NA(),Sheet1!$O$5-(Sheet1!I257/Sheet1!$O$6))</f>
        <v/>
      </c>
    </row>
    <row r="258">
      <c r="A258">
        <f>Sheet1!K258</f>
        <v/>
      </c>
      <c r="B258">
        <f>IF(ISNA(Sheet1!I258),NA(),Sheet1!$O$5-(Sheet1!I258/Sheet1!$O$6))</f>
        <v/>
      </c>
    </row>
    <row r="259">
      <c r="A259">
        <f>Sheet1!K259</f>
        <v/>
      </c>
      <c r="B259">
        <f>IF(ISNA(Sheet1!I259),NA(),Sheet1!$O$5-(Sheet1!I259/Sheet1!$O$6))</f>
        <v/>
      </c>
    </row>
    <row r="260">
      <c r="A260">
        <f>Sheet1!K260</f>
        <v/>
      </c>
      <c r="B260">
        <f>IF(ISNA(Sheet1!I260),NA(),Sheet1!$O$5-(Sheet1!I260/Sheet1!$O$6))</f>
        <v/>
      </c>
    </row>
    <row r="261">
      <c r="A261">
        <f>Sheet1!K261</f>
        <v/>
      </c>
      <c r="B261">
        <f>IF(ISNA(Sheet1!I261),NA(),Sheet1!$O$5-(Sheet1!I261/Sheet1!$O$6))</f>
        <v/>
      </c>
    </row>
    <row r="262">
      <c r="A262">
        <f>Sheet1!K262</f>
        <v/>
      </c>
      <c r="B262">
        <f>IF(ISNA(Sheet1!I262),NA(),Sheet1!$O$5-(Sheet1!I262/Sheet1!$O$6))</f>
        <v/>
      </c>
    </row>
    <row r="263">
      <c r="A263">
        <f>Sheet1!K263</f>
        <v/>
      </c>
      <c r="B263">
        <f>IF(ISNA(Sheet1!I263),NA(),Sheet1!$O$5-(Sheet1!I263/Sheet1!$O$6))</f>
        <v/>
      </c>
    </row>
    <row r="264">
      <c r="A264">
        <f>Sheet1!K264</f>
        <v/>
      </c>
      <c r="B264">
        <f>IF(ISNA(Sheet1!I264),NA(),Sheet1!$O$5-(Sheet1!I264/Sheet1!$O$6))</f>
        <v/>
      </c>
    </row>
    <row r="265">
      <c r="A265">
        <f>Sheet1!K265</f>
        <v/>
      </c>
      <c r="B265">
        <f>IF(ISNA(Sheet1!I265),NA(),Sheet1!$O$5-(Sheet1!I265/Sheet1!$O$6))</f>
        <v/>
      </c>
    </row>
    <row r="266">
      <c r="A266">
        <f>Sheet1!K266</f>
        <v/>
      </c>
      <c r="B266">
        <f>IF(ISNA(Sheet1!I266),NA(),Sheet1!$O$5-(Sheet1!I266/Sheet1!$O$6))</f>
        <v/>
      </c>
    </row>
    <row r="267">
      <c r="A267">
        <f>Sheet1!K267</f>
        <v/>
      </c>
      <c r="B267">
        <f>IF(ISNA(Sheet1!I267),NA(),Sheet1!$O$5-(Sheet1!I267/Sheet1!$O$6))</f>
        <v/>
      </c>
    </row>
    <row r="268">
      <c r="A268">
        <f>Sheet1!K268</f>
        <v/>
      </c>
      <c r="B268">
        <f>IF(ISNA(Sheet1!I268),NA(),Sheet1!$O$5-(Sheet1!I268/Sheet1!$O$6))</f>
        <v/>
      </c>
    </row>
    <row r="269">
      <c r="A269">
        <f>Sheet1!K269</f>
        <v/>
      </c>
      <c r="B269">
        <f>IF(ISNA(Sheet1!I269),NA(),Sheet1!$O$5-(Sheet1!I269/Sheet1!$O$6))</f>
        <v/>
      </c>
    </row>
    <row r="270">
      <c r="A270">
        <f>Sheet1!K270</f>
        <v/>
      </c>
      <c r="B270">
        <f>IF(ISNA(Sheet1!I270),NA(),Sheet1!$O$5-(Sheet1!I270/Sheet1!$O$6))</f>
        <v/>
      </c>
    </row>
    <row r="271">
      <c r="A271">
        <f>Sheet1!K271</f>
        <v/>
      </c>
      <c r="B271">
        <f>IF(ISNA(Sheet1!I271),NA(),Sheet1!$O$5-(Sheet1!I271/Sheet1!$O$6))</f>
        <v/>
      </c>
    </row>
    <row r="272">
      <c r="A272">
        <f>Sheet1!K272</f>
        <v/>
      </c>
      <c r="B272">
        <f>IF(ISNA(Sheet1!I272),NA(),Sheet1!$O$5-(Sheet1!I272/Sheet1!$O$6))</f>
        <v/>
      </c>
    </row>
    <row r="273">
      <c r="A273">
        <f>Sheet1!K273</f>
        <v/>
      </c>
      <c r="B273">
        <f>IF(ISNA(Sheet1!I273),NA(),Sheet1!$O$5-(Sheet1!I273/Sheet1!$O$6))</f>
        <v/>
      </c>
    </row>
    <row r="274">
      <c r="A274">
        <f>Sheet1!K274</f>
        <v/>
      </c>
      <c r="B274">
        <f>IF(ISNA(Sheet1!I274),NA(),Sheet1!$O$5-(Sheet1!I274/Sheet1!$O$6))</f>
        <v/>
      </c>
    </row>
    <row r="275">
      <c r="A275">
        <f>Sheet1!K275</f>
        <v/>
      </c>
      <c r="B275">
        <f>IF(ISNA(Sheet1!I275),NA(),Sheet1!$O$5-(Sheet1!I275/Sheet1!$O$6))</f>
        <v/>
      </c>
    </row>
    <row r="276">
      <c r="A276">
        <f>Sheet1!K276</f>
        <v/>
      </c>
      <c r="B276">
        <f>IF(ISNA(Sheet1!I276),NA(),Sheet1!$O$5-(Sheet1!I276/Sheet1!$O$6))</f>
        <v/>
      </c>
    </row>
    <row r="277">
      <c r="A277">
        <f>Sheet1!K277</f>
        <v/>
      </c>
      <c r="B277">
        <f>IF(ISNA(Sheet1!I277),NA(),Sheet1!$O$5-(Sheet1!I277/Sheet1!$O$6))</f>
        <v/>
      </c>
    </row>
    <row r="278">
      <c r="A278">
        <f>Sheet1!K278</f>
        <v/>
      </c>
      <c r="B278">
        <f>IF(ISNA(Sheet1!I278),NA(),Sheet1!$O$5-(Sheet1!I278/Sheet1!$O$6))</f>
        <v/>
      </c>
    </row>
    <row r="279">
      <c r="A279">
        <f>Sheet1!K279</f>
        <v/>
      </c>
      <c r="B279">
        <f>IF(ISNA(Sheet1!I279),NA(),Sheet1!$O$5-(Sheet1!I279/Sheet1!$O$6))</f>
        <v/>
      </c>
    </row>
    <row r="280">
      <c r="A280">
        <f>Sheet1!K280</f>
        <v/>
      </c>
      <c r="B280">
        <f>IF(ISNA(Sheet1!I280),NA(),Sheet1!$O$5-(Sheet1!I280/Sheet1!$O$6))</f>
        <v/>
      </c>
    </row>
    <row r="281">
      <c r="A281">
        <f>Sheet1!K281</f>
        <v/>
      </c>
      <c r="B281">
        <f>IF(ISNA(Sheet1!I281),NA(),Sheet1!$O$5-(Sheet1!I281/Sheet1!$O$6))</f>
        <v/>
      </c>
    </row>
    <row r="282">
      <c r="A282">
        <f>Sheet1!K282</f>
        <v/>
      </c>
      <c r="B282">
        <f>IF(ISNA(Sheet1!I282),NA(),Sheet1!$O$5-(Sheet1!I282/Sheet1!$O$6))</f>
        <v/>
      </c>
    </row>
    <row r="283">
      <c r="A283">
        <f>Sheet1!K283</f>
        <v/>
      </c>
      <c r="B283">
        <f>IF(ISNA(Sheet1!I283),NA(),Sheet1!$O$5-(Sheet1!I283/Sheet1!$O$6))</f>
        <v/>
      </c>
    </row>
    <row r="284">
      <c r="A284">
        <f>Sheet1!K284</f>
        <v/>
      </c>
      <c r="B284">
        <f>IF(ISNA(Sheet1!I284),NA(),Sheet1!$O$5-(Sheet1!I284/Sheet1!$O$6))</f>
        <v/>
      </c>
    </row>
    <row r="285">
      <c r="A285">
        <f>Sheet1!K285</f>
        <v/>
      </c>
      <c r="B285">
        <f>IF(ISNA(Sheet1!I285),NA(),Sheet1!$O$5-(Sheet1!I285/Sheet1!$O$6))</f>
        <v/>
      </c>
    </row>
    <row r="286">
      <c r="A286">
        <f>Sheet1!K286</f>
        <v/>
      </c>
      <c r="B286">
        <f>IF(ISNA(Sheet1!I286),NA(),Sheet1!$O$5-(Sheet1!I286/Sheet1!$O$6))</f>
        <v/>
      </c>
    </row>
    <row r="287">
      <c r="A287">
        <f>Sheet1!K287</f>
        <v/>
      </c>
      <c r="B287">
        <f>IF(ISNA(Sheet1!I287),NA(),Sheet1!$O$5-(Sheet1!I287/Sheet1!$O$6))</f>
        <v/>
      </c>
    </row>
    <row r="288">
      <c r="A288">
        <f>Sheet1!K288</f>
        <v/>
      </c>
      <c r="B288">
        <f>IF(ISNA(Sheet1!I288),NA(),Sheet1!$O$5-(Sheet1!I288/Sheet1!$O$6))</f>
        <v/>
      </c>
    </row>
    <row r="289">
      <c r="A289">
        <f>Sheet1!K289</f>
        <v/>
      </c>
      <c r="B289">
        <f>IF(ISNA(Sheet1!I289),NA(),Sheet1!$O$5-(Sheet1!I289/Sheet1!$O$6))</f>
        <v/>
      </c>
    </row>
    <row r="290">
      <c r="A290">
        <f>Sheet1!K290</f>
        <v/>
      </c>
      <c r="B290">
        <f>IF(ISNA(Sheet1!I290),NA(),Sheet1!$O$5-(Sheet1!I290/Sheet1!$O$6))</f>
        <v/>
      </c>
    </row>
    <row r="291">
      <c r="A291">
        <f>Sheet1!K291</f>
        <v/>
      </c>
      <c r="B291">
        <f>IF(ISNA(Sheet1!I291),NA(),Sheet1!$O$5-(Sheet1!I291/Sheet1!$O$6))</f>
        <v/>
      </c>
    </row>
    <row r="292">
      <c r="A292">
        <f>Sheet1!K292</f>
        <v/>
      </c>
      <c r="B292">
        <f>IF(ISNA(Sheet1!I292),NA(),Sheet1!$O$5-(Sheet1!I292/Sheet1!$O$6))</f>
        <v/>
      </c>
    </row>
    <row r="293">
      <c r="A293">
        <f>Sheet1!K293</f>
        <v/>
      </c>
      <c r="B293">
        <f>IF(ISNA(Sheet1!I293),NA(),Sheet1!$O$5-(Sheet1!I293/Sheet1!$O$6))</f>
        <v/>
      </c>
    </row>
    <row r="294">
      <c r="A294">
        <f>Sheet1!K294</f>
        <v/>
      </c>
      <c r="B294">
        <f>IF(ISNA(Sheet1!I294),NA(),Sheet1!$O$5-(Sheet1!I294/Sheet1!$O$6))</f>
        <v/>
      </c>
    </row>
    <row r="295">
      <c r="A295">
        <f>Sheet1!K295</f>
        <v/>
      </c>
      <c r="B295">
        <f>IF(ISNA(Sheet1!I295),NA(),Sheet1!$O$5-(Sheet1!I295/Sheet1!$O$6))</f>
        <v/>
      </c>
    </row>
    <row r="296">
      <c r="A296">
        <f>Sheet1!K296</f>
        <v/>
      </c>
      <c r="B296">
        <f>IF(ISNA(Sheet1!I296),NA(),Sheet1!$O$5-(Sheet1!I296/Sheet1!$O$6))</f>
        <v/>
      </c>
    </row>
    <row r="297">
      <c r="A297">
        <f>Sheet1!K297</f>
        <v/>
      </c>
      <c r="B297">
        <f>IF(ISNA(Sheet1!I297),NA(),Sheet1!$O$5-(Sheet1!I297/Sheet1!$O$6))</f>
        <v/>
      </c>
    </row>
    <row r="298">
      <c r="A298">
        <f>Sheet1!K298</f>
        <v/>
      </c>
      <c r="B298">
        <f>IF(ISNA(Sheet1!I298),NA(),Sheet1!$O$5-(Sheet1!I298/Sheet1!$O$6))</f>
        <v/>
      </c>
    </row>
    <row r="299">
      <c r="A299">
        <f>Sheet1!K299</f>
        <v/>
      </c>
      <c r="B299">
        <f>IF(ISNA(Sheet1!I299),NA(),Sheet1!$O$5-(Sheet1!I299/Sheet1!$O$6))</f>
        <v/>
      </c>
    </row>
    <row r="300">
      <c r="A300">
        <f>Sheet1!K300</f>
        <v/>
      </c>
      <c r="B300">
        <f>IF(ISNA(Sheet1!I300),NA(),Sheet1!$O$5-(Sheet1!I300/Sheet1!$O$6))</f>
        <v/>
      </c>
    </row>
    <row r="301">
      <c r="A301">
        <f>Sheet1!K301</f>
        <v/>
      </c>
      <c r="B301">
        <f>IF(ISNA(Sheet1!I301),NA(),Sheet1!$O$5-(Sheet1!I301/Sheet1!$O$6))</f>
        <v/>
      </c>
    </row>
    <row r="302">
      <c r="A302">
        <f>Sheet1!K302</f>
        <v/>
      </c>
      <c r="B302">
        <f>IF(ISNA(Sheet1!I302),NA(),Sheet1!$O$5-(Sheet1!I302/Sheet1!$O$6))</f>
        <v/>
      </c>
    </row>
    <row r="303">
      <c r="A303">
        <f>Sheet1!K303</f>
        <v/>
      </c>
      <c r="B303">
        <f>IF(ISNA(Sheet1!I303),NA(),Sheet1!$O$5-(Sheet1!I303/Sheet1!$O$6))</f>
        <v/>
      </c>
    </row>
    <row r="304">
      <c r="A304">
        <f>Sheet1!K304</f>
        <v/>
      </c>
      <c r="B304">
        <f>IF(ISNA(Sheet1!I304),NA(),Sheet1!$O$5-(Sheet1!I304/Sheet1!$O$6))</f>
        <v/>
      </c>
    </row>
    <row r="305">
      <c r="A305">
        <f>Sheet1!K305</f>
        <v/>
      </c>
      <c r="B305">
        <f>IF(ISNA(Sheet1!I305),NA(),Sheet1!$O$5-(Sheet1!I305/Sheet1!$O$6))</f>
        <v/>
      </c>
    </row>
    <row r="306">
      <c r="A306">
        <f>Sheet1!K306</f>
        <v/>
      </c>
      <c r="B306">
        <f>IF(ISNA(Sheet1!I306),NA(),Sheet1!$O$5-(Sheet1!I306/Sheet1!$O$6))</f>
        <v/>
      </c>
    </row>
    <row r="307">
      <c r="A307">
        <f>Sheet1!K307</f>
        <v/>
      </c>
      <c r="B307">
        <f>IF(ISNA(Sheet1!I307),NA(),Sheet1!$O$5-(Sheet1!I307/Sheet1!$O$6))</f>
        <v/>
      </c>
    </row>
    <row r="308">
      <c r="A308">
        <f>Sheet1!K308</f>
        <v/>
      </c>
      <c r="B308">
        <f>IF(ISNA(Sheet1!I308),NA(),Sheet1!$O$5-(Sheet1!I308/Sheet1!$O$6))</f>
        <v/>
      </c>
    </row>
    <row r="309">
      <c r="A309">
        <f>Sheet1!K309</f>
        <v/>
      </c>
      <c r="B309">
        <f>IF(ISNA(Sheet1!I309),NA(),Sheet1!$O$5-(Sheet1!I309/Sheet1!$O$6))</f>
        <v/>
      </c>
    </row>
    <row r="310">
      <c r="A310">
        <f>Sheet1!K310</f>
        <v/>
      </c>
      <c r="B310">
        <f>IF(ISNA(Sheet1!I310),NA(),Sheet1!$O$5-(Sheet1!I310/Sheet1!$O$6))</f>
        <v/>
      </c>
    </row>
    <row r="311">
      <c r="A311">
        <f>Sheet1!K311</f>
        <v/>
      </c>
      <c r="B311">
        <f>IF(ISNA(Sheet1!I311),NA(),Sheet1!$O$5-(Sheet1!I311/Sheet1!$O$6))</f>
        <v/>
      </c>
    </row>
    <row r="312">
      <c r="A312">
        <f>Sheet1!K312</f>
        <v/>
      </c>
      <c r="B312">
        <f>IF(ISNA(Sheet1!I312),NA(),Sheet1!$O$5-(Sheet1!I312/Sheet1!$O$6))</f>
        <v/>
      </c>
    </row>
    <row r="313">
      <c r="A313">
        <f>Sheet1!K313</f>
        <v/>
      </c>
      <c r="B313">
        <f>IF(ISNA(Sheet1!I313),NA(),Sheet1!$O$5-(Sheet1!I313/Sheet1!$O$6))</f>
        <v/>
      </c>
    </row>
    <row r="314">
      <c r="A314">
        <f>Sheet1!K314</f>
        <v/>
      </c>
      <c r="B314">
        <f>IF(ISNA(Sheet1!I314),NA(),Sheet1!$O$5-(Sheet1!I314/Sheet1!$O$6))</f>
        <v/>
      </c>
    </row>
    <row r="315">
      <c r="A315">
        <f>Sheet1!K315</f>
        <v/>
      </c>
      <c r="B315">
        <f>IF(ISNA(Sheet1!I315),NA(),Sheet1!$O$5-(Sheet1!I315/Sheet1!$O$6))</f>
        <v/>
      </c>
    </row>
    <row r="316">
      <c r="A316">
        <f>Sheet1!K316</f>
        <v/>
      </c>
      <c r="B316">
        <f>IF(ISNA(Sheet1!I316),NA(),Sheet1!$O$5-(Sheet1!I316/Sheet1!$O$6))</f>
        <v/>
      </c>
    </row>
    <row r="317">
      <c r="A317">
        <f>Sheet1!K317</f>
        <v/>
      </c>
      <c r="B317">
        <f>IF(ISNA(Sheet1!I317),NA(),Sheet1!$O$5-(Sheet1!I317/Sheet1!$O$6))</f>
        <v/>
      </c>
    </row>
    <row r="318">
      <c r="A318">
        <f>Sheet1!K318</f>
        <v/>
      </c>
      <c r="B318">
        <f>IF(ISNA(Sheet1!I318),NA(),Sheet1!$O$5-(Sheet1!I318/Sheet1!$O$6))</f>
        <v/>
      </c>
    </row>
    <row r="319">
      <c r="A319">
        <f>Sheet1!K319</f>
        <v/>
      </c>
      <c r="B319">
        <f>IF(ISNA(Sheet1!I319),NA(),Sheet1!$O$5-(Sheet1!I319/Sheet1!$O$6))</f>
        <v/>
      </c>
    </row>
    <row r="320">
      <c r="A320">
        <f>Sheet1!K320</f>
        <v/>
      </c>
      <c r="B320">
        <f>IF(ISNA(Sheet1!I320),NA(),Sheet1!$O$5-(Sheet1!I320/Sheet1!$O$6))</f>
        <v/>
      </c>
    </row>
    <row r="321">
      <c r="A321">
        <f>Sheet1!K321</f>
        <v/>
      </c>
      <c r="B321">
        <f>IF(ISNA(Sheet1!I321),NA(),Sheet1!$O$5-(Sheet1!I321/Sheet1!$O$6))</f>
        <v/>
      </c>
    </row>
    <row r="322">
      <c r="A322">
        <f>Sheet1!K322</f>
        <v/>
      </c>
      <c r="B322">
        <f>IF(ISNA(Sheet1!I322),NA(),Sheet1!$O$5-(Sheet1!I322/Sheet1!$O$6))</f>
        <v/>
      </c>
    </row>
    <row r="323">
      <c r="A323">
        <f>Sheet1!K323</f>
        <v/>
      </c>
      <c r="B323">
        <f>IF(ISNA(Sheet1!I323),NA(),Sheet1!$O$5-(Sheet1!I323/Sheet1!$O$6))</f>
        <v/>
      </c>
    </row>
    <row r="324">
      <c r="A324">
        <f>Sheet1!K324</f>
        <v/>
      </c>
      <c r="B324">
        <f>IF(ISNA(Sheet1!I324),NA(),Sheet1!$O$5-(Sheet1!I324/Sheet1!$O$6))</f>
        <v/>
      </c>
    </row>
    <row r="325">
      <c r="A325">
        <f>Sheet1!K325</f>
        <v/>
      </c>
      <c r="B325">
        <f>IF(ISNA(Sheet1!I325),NA(),Sheet1!$O$5-(Sheet1!I325/Sheet1!$O$6))</f>
        <v/>
      </c>
    </row>
    <row r="326">
      <c r="A326">
        <f>Sheet1!K326</f>
        <v/>
      </c>
      <c r="B326">
        <f>IF(ISNA(Sheet1!I326),NA(),Sheet1!$O$5-(Sheet1!I326/Sheet1!$O$6))</f>
        <v/>
      </c>
    </row>
    <row r="327">
      <c r="A327">
        <f>Sheet1!K327</f>
        <v/>
      </c>
      <c r="B327">
        <f>IF(ISNA(Sheet1!I327),NA(),Sheet1!$O$5-(Sheet1!I327/Sheet1!$O$6))</f>
        <v/>
      </c>
    </row>
    <row r="328">
      <c r="A328">
        <f>Sheet1!K328</f>
        <v/>
      </c>
      <c r="B328">
        <f>IF(ISNA(Sheet1!I328),NA(),Sheet1!$O$5-(Sheet1!I328/Sheet1!$O$6))</f>
        <v/>
      </c>
    </row>
    <row r="329">
      <c r="A329">
        <f>Sheet1!K329</f>
        <v/>
      </c>
      <c r="B329">
        <f>IF(ISNA(Sheet1!I329),NA(),Sheet1!$O$5-(Sheet1!I329/Sheet1!$O$6))</f>
        <v/>
      </c>
    </row>
    <row r="330">
      <c r="A330">
        <f>Sheet1!K330</f>
        <v/>
      </c>
      <c r="B330">
        <f>IF(ISNA(Sheet1!I330),NA(),Sheet1!$O$5-(Sheet1!I330/Sheet1!$O$6))</f>
        <v/>
      </c>
    </row>
    <row r="331">
      <c r="A331">
        <f>Sheet1!K331</f>
        <v/>
      </c>
      <c r="B331">
        <f>IF(ISNA(Sheet1!I331),NA(),Sheet1!$O$5-(Sheet1!I331/Sheet1!$O$6))</f>
        <v/>
      </c>
    </row>
    <row r="332">
      <c r="A332">
        <f>Sheet1!K332</f>
        <v/>
      </c>
      <c r="B332">
        <f>IF(ISNA(Sheet1!I332),NA(),Sheet1!$O$5-(Sheet1!I332/Sheet1!$O$6))</f>
        <v/>
      </c>
    </row>
    <row r="333">
      <c r="A333">
        <f>Sheet1!K333</f>
        <v/>
      </c>
      <c r="B333">
        <f>IF(ISNA(Sheet1!I333),NA(),Sheet1!$O$5-(Sheet1!I333/Sheet1!$O$6))</f>
        <v/>
      </c>
    </row>
    <row r="334">
      <c r="A334">
        <f>Sheet1!K334</f>
        <v/>
      </c>
      <c r="B334">
        <f>IF(ISNA(Sheet1!I334),NA(),Sheet1!$O$5-(Sheet1!I334/Sheet1!$O$6))</f>
        <v/>
      </c>
    </row>
    <row r="335">
      <c r="A335">
        <f>Sheet1!K335</f>
        <v/>
      </c>
      <c r="B335">
        <f>IF(ISNA(Sheet1!I335),NA(),Sheet1!$O$5-(Sheet1!I335/Sheet1!$O$6))</f>
        <v/>
      </c>
    </row>
    <row r="336">
      <c r="A336">
        <f>Sheet1!K336</f>
        <v/>
      </c>
      <c r="B336">
        <f>IF(ISNA(Sheet1!I336),NA(),Sheet1!$O$5-(Sheet1!I336/Sheet1!$O$6))</f>
        <v/>
      </c>
    </row>
    <row r="337">
      <c r="A337">
        <f>Sheet1!K337</f>
        <v/>
      </c>
      <c r="B337">
        <f>IF(ISNA(Sheet1!I337),NA(),Sheet1!$O$5-(Sheet1!I337/Sheet1!$O$6))</f>
        <v/>
      </c>
    </row>
    <row r="338">
      <c r="A338">
        <f>Sheet1!K338</f>
        <v/>
      </c>
      <c r="B338">
        <f>IF(ISNA(Sheet1!I338),NA(),Sheet1!$O$5-(Sheet1!I338/Sheet1!$O$6))</f>
        <v/>
      </c>
    </row>
    <row r="339">
      <c r="A339">
        <f>Sheet1!K339</f>
        <v/>
      </c>
      <c r="B339">
        <f>IF(ISNA(Sheet1!I339),NA(),Sheet1!$O$5-(Sheet1!I339/Sheet1!$O$6))</f>
        <v/>
      </c>
    </row>
    <row r="340">
      <c r="A340">
        <f>Sheet1!K340</f>
        <v/>
      </c>
      <c r="B340">
        <f>IF(ISNA(Sheet1!I340),NA(),Sheet1!$O$5-(Sheet1!I340/Sheet1!$O$6))</f>
        <v/>
      </c>
    </row>
    <row r="341">
      <c r="A341">
        <f>Sheet1!K341</f>
        <v/>
      </c>
      <c r="B341">
        <f>IF(ISNA(Sheet1!I341),NA(),Sheet1!$O$5-(Sheet1!I341/Sheet1!$O$6))</f>
        <v/>
      </c>
    </row>
    <row r="342">
      <c r="A342">
        <f>Sheet1!K342</f>
        <v/>
      </c>
      <c r="B342">
        <f>IF(ISNA(Sheet1!I342),NA(),Sheet1!$O$5-(Sheet1!I342/Sheet1!$O$6))</f>
        <v/>
      </c>
    </row>
    <row r="343">
      <c r="A343">
        <f>Sheet1!K343</f>
        <v/>
      </c>
      <c r="B343">
        <f>IF(ISNA(Sheet1!I343),NA(),Sheet1!$O$5-(Sheet1!I343/Sheet1!$O$6))</f>
        <v/>
      </c>
    </row>
    <row r="344">
      <c r="A344">
        <f>Sheet1!K344</f>
        <v/>
      </c>
      <c r="B344">
        <f>IF(ISNA(Sheet1!I344),NA(),Sheet1!$O$5-(Sheet1!I344/Sheet1!$O$6))</f>
        <v/>
      </c>
    </row>
    <row r="345">
      <c r="A345">
        <f>Sheet1!K345</f>
        <v/>
      </c>
      <c r="B345">
        <f>IF(ISNA(Sheet1!I345),NA(),Sheet1!$O$5-(Sheet1!I345/Sheet1!$O$6))</f>
        <v/>
      </c>
    </row>
    <row r="346">
      <c r="A346">
        <f>Sheet1!K346</f>
        <v/>
      </c>
      <c r="B346">
        <f>IF(ISNA(Sheet1!I346),NA(),Sheet1!$O$5-(Sheet1!I346/Sheet1!$O$6))</f>
        <v/>
      </c>
    </row>
    <row r="347">
      <c r="A347">
        <f>Sheet1!K347</f>
        <v/>
      </c>
      <c r="B347">
        <f>IF(ISNA(Sheet1!I347),NA(),Sheet1!$O$5-(Sheet1!I347/Sheet1!$O$6))</f>
        <v/>
      </c>
    </row>
    <row r="348">
      <c r="A348">
        <f>Sheet1!K348</f>
        <v/>
      </c>
      <c r="B348">
        <f>IF(ISNA(Sheet1!I348),NA(),Sheet1!$O$5-(Sheet1!I348/Sheet1!$O$6))</f>
        <v/>
      </c>
    </row>
    <row r="349">
      <c r="A349">
        <f>Sheet1!K349</f>
        <v/>
      </c>
      <c r="B349">
        <f>IF(ISNA(Sheet1!I349),NA(),Sheet1!$O$5-(Sheet1!I349/Sheet1!$O$6))</f>
        <v/>
      </c>
    </row>
    <row r="350">
      <c r="A350">
        <f>Sheet1!K350</f>
        <v/>
      </c>
      <c r="B350">
        <f>IF(ISNA(Sheet1!I350),NA(),Sheet1!$O$5-(Sheet1!I350/Sheet1!$O$6))</f>
        <v/>
      </c>
    </row>
    <row r="351">
      <c r="A351">
        <f>Sheet1!K351</f>
        <v/>
      </c>
      <c r="B351">
        <f>IF(ISNA(Sheet1!I351),NA(),Sheet1!$O$5-(Sheet1!I351/Sheet1!$O$6))</f>
        <v/>
      </c>
    </row>
    <row r="352">
      <c r="A352">
        <f>Sheet1!K352</f>
        <v/>
      </c>
      <c r="B352">
        <f>IF(ISNA(Sheet1!I352),NA(),Sheet1!$O$5-(Sheet1!I352/Sheet1!$O$6))</f>
        <v/>
      </c>
    </row>
    <row r="353">
      <c r="A353">
        <f>Sheet1!K353</f>
        <v/>
      </c>
      <c r="B353">
        <f>IF(ISNA(Sheet1!I353),NA(),Sheet1!$O$5-(Sheet1!I353/Sheet1!$O$6))</f>
        <v/>
      </c>
    </row>
    <row r="354">
      <c r="A354">
        <f>Sheet1!K354</f>
        <v/>
      </c>
      <c r="B354">
        <f>IF(ISNA(Sheet1!I354),NA(),Sheet1!$O$5-(Sheet1!I354/Sheet1!$O$6))</f>
        <v/>
      </c>
    </row>
    <row r="355">
      <c r="A355">
        <f>Sheet1!K355</f>
        <v/>
      </c>
      <c r="B355">
        <f>IF(ISNA(Sheet1!I355),NA(),Sheet1!$O$5-(Sheet1!I355/Sheet1!$O$6))</f>
        <v/>
      </c>
    </row>
    <row r="356">
      <c r="A356">
        <f>Sheet1!K356</f>
        <v/>
      </c>
      <c r="B356">
        <f>IF(ISNA(Sheet1!I356),NA(),Sheet1!$O$5-(Sheet1!I356/Sheet1!$O$6))</f>
        <v/>
      </c>
    </row>
    <row r="357">
      <c r="A357">
        <f>Sheet1!K357</f>
        <v/>
      </c>
      <c r="B357">
        <f>IF(ISNA(Sheet1!I357),NA(),Sheet1!$O$5-(Sheet1!I357/Sheet1!$O$6))</f>
        <v/>
      </c>
    </row>
    <row r="358">
      <c r="A358">
        <f>Sheet1!K358</f>
        <v/>
      </c>
      <c r="B358">
        <f>IF(ISNA(Sheet1!I358),NA(),Sheet1!$O$5-(Sheet1!I358/Sheet1!$O$6))</f>
        <v/>
      </c>
    </row>
    <row r="359">
      <c r="A359">
        <f>Sheet1!K359</f>
        <v/>
      </c>
      <c r="B359">
        <f>IF(ISNA(Sheet1!I359),NA(),Sheet1!$O$5-(Sheet1!I359/Sheet1!$O$6))</f>
        <v/>
      </c>
    </row>
    <row r="360">
      <c r="A360">
        <f>Sheet1!K360</f>
        <v/>
      </c>
      <c r="B360">
        <f>IF(ISNA(Sheet1!I360),NA(),Sheet1!$O$5-(Sheet1!I360/Sheet1!$O$6))</f>
        <v/>
      </c>
    </row>
    <row r="361">
      <c r="A361">
        <f>Sheet1!K361</f>
        <v/>
      </c>
      <c r="B361">
        <f>IF(ISNA(Sheet1!I361),NA(),Sheet1!$O$5-(Sheet1!I361/Sheet1!$O$6))</f>
        <v/>
      </c>
    </row>
    <row r="362">
      <c r="A362">
        <f>Sheet1!K362</f>
        <v/>
      </c>
      <c r="B362">
        <f>IF(ISNA(Sheet1!I362),NA(),Sheet1!$O$5-(Sheet1!I362/Sheet1!$O$6))</f>
        <v/>
      </c>
    </row>
    <row r="363">
      <c r="A363">
        <f>Sheet1!K363</f>
        <v/>
      </c>
      <c r="B363">
        <f>IF(ISNA(Sheet1!I363),NA(),Sheet1!$O$5-(Sheet1!I363/Sheet1!$O$6))</f>
        <v/>
      </c>
    </row>
    <row r="364">
      <c r="A364">
        <f>Sheet1!K364</f>
        <v/>
      </c>
      <c r="B364">
        <f>IF(ISNA(Sheet1!I364),NA(),Sheet1!$O$5-(Sheet1!I364/Sheet1!$O$6))</f>
        <v/>
      </c>
    </row>
    <row r="365">
      <c r="A365">
        <f>Sheet1!K365</f>
        <v/>
      </c>
      <c r="B365">
        <f>IF(ISNA(Sheet1!I365),NA(),Sheet1!$O$5-(Sheet1!I365/Sheet1!$O$6))</f>
        <v/>
      </c>
    </row>
    <row r="366">
      <c r="A366">
        <f>Sheet1!K366</f>
        <v/>
      </c>
      <c r="B366">
        <f>IF(ISNA(Sheet1!I366),NA(),Sheet1!$O$5-(Sheet1!I366/Sheet1!$O$6))</f>
        <v/>
      </c>
    </row>
    <row r="367">
      <c r="A367">
        <f>Sheet1!K367</f>
        <v/>
      </c>
      <c r="B367">
        <f>IF(ISNA(Sheet1!I367),NA(),Sheet1!$O$5-(Sheet1!I367/Sheet1!$O$6))</f>
        <v/>
      </c>
    </row>
    <row r="368">
      <c r="A368">
        <f>Sheet1!K368</f>
        <v/>
      </c>
      <c r="B368">
        <f>IF(ISNA(Sheet1!I368),NA(),Sheet1!$O$5-(Sheet1!I368/Sheet1!$O$6))</f>
        <v/>
      </c>
    </row>
    <row r="369">
      <c r="A369">
        <f>Sheet1!K369</f>
        <v/>
      </c>
      <c r="B369">
        <f>IF(ISNA(Sheet1!I369),NA(),Sheet1!$O$5-(Sheet1!I369/Sheet1!$O$6))</f>
        <v/>
      </c>
    </row>
    <row r="370">
      <c r="A370">
        <f>Sheet1!K370</f>
        <v/>
      </c>
      <c r="B370">
        <f>IF(ISNA(Sheet1!I370),NA(),Sheet1!$O$5-(Sheet1!I370/Sheet1!$O$6))</f>
        <v/>
      </c>
    </row>
    <row r="371">
      <c r="A371">
        <f>Sheet1!K371</f>
        <v/>
      </c>
      <c r="B371">
        <f>IF(ISNA(Sheet1!I371),NA(),Sheet1!$O$5-(Sheet1!I371/Sheet1!$O$6))</f>
        <v/>
      </c>
    </row>
    <row r="372">
      <c r="A372">
        <f>Sheet1!K372</f>
        <v/>
      </c>
      <c r="B372">
        <f>IF(ISNA(Sheet1!I372),NA(),Sheet1!$O$5-(Sheet1!I372/Sheet1!$O$6))</f>
        <v/>
      </c>
    </row>
    <row r="373">
      <c r="A373">
        <f>Sheet1!K373</f>
        <v/>
      </c>
      <c r="B373">
        <f>IF(ISNA(Sheet1!I373),NA(),Sheet1!$O$5-(Sheet1!I373/Sheet1!$O$6))</f>
        <v/>
      </c>
    </row>
    <row r="374">
      <c r="A374">
        <f>Sheet1!K374</f>
        <v/>
      </c>
      <c r="B374">
        <f>IF(ISNA(Sheet1!I374),NA(),Sheet1!$O$5-(Sheet1!I374/Sheet1!$O$6))</f>
        <v/>
      </c>
    </row>
    <row r="375">
      <c r="A375">
        <f>Sheet1!K375</f>
        <v/>
      </c>
      <c r="B375">
        <f>IF(ISNA(Sheet1!I375),NA(),Sheet1!$O$5-(Sheet1!I375/Sheet1!$O$6))</f>
        <v/>
      </c>
    </row>
    <row r="376">
      <c r="A376">
        <f>Sheet1!K376</f>
        <v/>
      </c>
      <c r="B376">
        <f>IF(ISNA(Sheet1!I376),NA(),Sheet1!$O$5-(Sheet1!I376/Sheet1!$O$6))</f>
        <v/>
      </c>
    </row>
    <row r="377">
      <c r="A377">
        <f>Sheet1!K377</f>
        <v/>
      </c>
      <c r="B377">
        <f>IF(ISNA(Sheet1!I377),NA(),Sheet1!$O$5-(Sheet1!I377/Sheet1!$O$6))</f>
        <v/>
      </c>
    </row>
    <row r="378">
      <c r="A378">
        <f>Sheet1!K378</f>
        <v/>
      </c>
      <c r="B378">
        <f>IF(ISNA(Sheet1!I378),NA(),Sheet1!$O$5-(Sheet1!I378/Sheet1!$O$6))</f>
        <v/>
      </c>
    </row>
    <row r="379">
      <c r="A379">
        <f>Sheet1!K379</f>
        <v/>
      </c>
      <c r="B379">
        <f>IF(ISNA(Sheet1!I379),NA(),Sheet1!$O$5-(Sheet1!I379/Sheet1!$O$6))</f>
        <v/>
      </c>
    </row>
    <row r="380">
      <c r="A380">
        <f>Sheet1!K380</f>
        <v/>
      </c>
      <c r="B380">
        <f>IF(ISNA(Sheet1!I380),NA(),Sheet1!$O$5-(Sheet1!I380/Sheet1!$O$6))</f>
        <v/>
      </c>
    </row>
    <row r="381">
      <c r="A381">
        <f>Sheet1!K381</f>
        <v/>
      </c>
      <c r="B381">
        <f>IF(ISNA(Sheet1!I381),NA(),Sheet1!$O$5-(Sheet1!I381/Sheet1!$O$6))</f>
        <v/>
      </c>
    </row>
    <row r="382">
      <c r="A382">
        <f>Sheet1!K382</f>
        <v/>
      </c>
      <c r="B382">
        <f>IF(ISNA(Sheet1!I382),NA(),Sheet1!$O$5-(Sheet1!I382/Sheet1!$O$6))</f>
        <v/>
      </c>
    </row>
    <row r="383">
      <c r="A383">
        <f>Sheet1!K383</f>
        <v/>
      </c>
      <c r="B383">
        <f>IF(ISNA(Sheet1!I383),NA(),Sheet1!$O$5-(Sheet1!I383/Sheet1!$O$6))</f>
        <v/>
      </c>
    </row>
    <row r="384">
      <c r="A384">
        <f>Sheet1!K384</f>
        <v/>
      </c>
      <c r="B384">
        <f>IF(ISNA(Sheet1!I384),NA(),Sheet1!$O$5-(Sheet1!I384/Sheet1!$O$6))</f>
        <v/>
      </c>
    </row>
    <row r="385">
      <c r="A385">
        <f>Sheet1!K385</f>
        <v/>
      </c>
      <c r="B385">
        <f>IF(ISNA(Sheet1!I385),NA(),Sheet1!$O$5-(Sheet1!I385/Sheet1!$O$6))</f>
        <v/>
      </c>
    </row>
    <row r="386">
      <c r="A386">
        <f>Sheet1!K386</f>
        <v/>
      </c>
      <c r="B386">
        <f>IF(ISNA(Sheet1!I386),NA(),Sheet1!$O$5-(Sheet1!I386/Sheet1!$O$6))</f>
        <v/>
      </c>
    </row>
    <row r="387">
      <c r="A387">
        <f>Sheet1!K387</f>
        <v/>
      </c>
      <c r="B387">
        <f>IF(ISNA(Sheet1!I387),NA(),Sheet1!$O$5-(Sheet1!I387/Sheet1!$O$6))</f>
        <v/>
      </c>
    </row>
    <row r="388">
      <c r="A388">
        <f>Sheet1!K388</f>
        <v/>
      </c>
      <c r="B388">
        <f>IF(ISNA(Sheet1!I388),NA(),Sheet1!$O$5-(Sheet1!I388/Sheet1!$O$6))</f>
        <v/>
      </c>
    </row>
    <row r="389">
      <c r="A389">
        <f>Sheet1!K389</f>
        <v/>
      </c>
      <c r="B389">
        <f>IF(ISNA(Sheet1!I389),NA(),Sheet1!$O$5-(Sheet1!I389/Sheet1!$O$6))</f>
        <v/>
      </c>
    </row>
    <row r="390">
      <c r="A390">
        <f>Sheet1!K390</f>
        <v/>
      </c>
      <c r="B390">
        <f>IF(ISNA(Sheet1!I390),NA(),Sheet1!$O$5-(Sheet1!I390/Sheet1!$O$6))</f>
        <v/>
      </c>
    </row>
    <row r="391">
      <c r="A391">
        <f>Sheet1!K391</f>
        <v/>
      </c>
      <c r="B391">
        <f>IF(ISNA(Sheet1!I391),NA(),Sheet1!$O$5-(Sheet1!I391/Sheet1!$O$6))</f>
        <v/>
      </c>
    </row>
    <row r="392">
      <c r="A392">
        <f>Sheet1!K392</f>
        <v/>
      </c>
      <c r="B392">
        <f>IF(ISNA(Sheet1!I392),NA(),Sheet1!$O$5-(Sheet1!I392/Sheet1!$O$6))</f>
        <v/>
      </c>
    </row>
    <row r="393">
      <c r="A393">
        <f>Sheet1!K393</f>
        <v/>
      </c>
      <c r="B393">
        <f>IF(ISNA(Sheet1!I393),NA(),Sheet1!$O$5-(Sheet1!I393/Sheet1!$O$6))</f>
        <v/>
      </c>
    </row>
    <row r="394">
      <c r="A394">
        <f>Sheet1!K394</f>
        <v/>
      </c>
      <c r="B394">
        <f>IF(ISNA(Sheet1!I394),NA(),Sheet1!$O$5-(Sheet1!I394/Sheet1!$O$6))</f>
        <v/>
      </c>
    </row>
    <row r="395">
      <c r="A395">
        <f>Sheet1!K395</f>
        <v/>
      </c>
      <c r="B395">
        <f>IF(ISNA(Sheet1!I395),NA(),Sheet1!$O$5-(Sheet1!I395/Sheet1!$O$6))</f>
        <v/>
      </c>
    </row>
    <row r="396">
      <c r="A396">
        <f>Sheet1!K396</f>
        <v/>
      </c>
      <c r="B396">
        <f>IF(ISNA(Sheet1!I396),NA(),Sheet1!$O$5-(Sheet1!I396/Sheet1!$O$6))</f>
        <v/>
      </c>
    </row>
    <row r="397">
      <c r="A397">
        <f>Sheet1!K397</f>
        <v/>
      </c>
      <c r="B397">
        <f>IF(ISNA(Sheet1!I397),NA(),Sheet1!$O$5-(Sheet1!I397/Sheet1!$O$6))</f>
        <v/>
      </c>
    </row>
    <row r="398">
      <c r="A398">
        <f>Sheet1!K398</f>
        <v/>
      </c>
      <c r="B398">
        <f>IF(ISNA(Sheet1!I398),NA(),Sheet1!$O$5-(Sheet1!I398/Sheet1!$O$6))</f>
        <v/>
      </c>
    </row>
    <row r="399">
      <c r="A399">
        <f>Sheet1!K399</f>
        <v/>
      </c>
      <c r="B399">
        <f>IF(ISNA(Sheet1!I399),NA(),Sheet1!$O$5-(Sheet1!I399/Sheet1!$O$6))</f>
        <v/>
      </c>
    </row>
    <row r="400">
      <c r="A400">
        <f>Sheet1!K400</f>
        <v/>
      </c>
      <c r="B400">
        <f>IF(ISNA(Sheet1!I400),NA(),Sheet1!$O$5-(Sheet1!I400/Sheet1!$O$6))</f>
        <v/>
      </c>
    </row>
    <row r="401">
      <c r="A401">
        <f>Sheet1!K401</f>
        <v/>
      </c>
      <c r="B401">
        <f>IF(ISNA(Sheet1!I401),NA(),Sheet1!$O$5-(Sheet1!I401/Sheet1!$O$6))</f>
        <v/>
      </c>
    </row>
    <row r="402">
      <c r="A402">
        <f>Sheet1!K402</f>
        <v/>
      </c>
      <c r="B402">
        <f>IF(ISNA(Sheet1!I402),NA(),Sheet1!$O$5-(Sheet1!I402/Sheet1!$O$6))</f>
        <v/>
      </c>
    </row>
    <row r="403">
      <c r="A403">
        <f>Sheet1!K403</f>
        <v/>
      </c>
      <c r="B403">
        <f>IF(ISNA(Sheet1!I403),NA(),Sheet1!$O$5-(Sheet1!I403/Sheet1!$O$6))</f>
        <v/>
      </c>
    </row>
    <row r="404">
      <c r="A404">
        <f>Sheet1!K404</f>
        <v/>
      </c>
      <c r="B404">
        <f>IF(ISNA(Sheet1!I404),NA(),Sheet1!$O$5-(Sheet1!I404/Sheet1!$O$6))</f>
        <v/>
      </c>
    </row>
    <row r="405">
      <c r="A405">
        <f>Sheet1!K405</f>
        <v/>
      </c>
      <c r="B405">
        <f>IF(ISNA(Sheet1!I405),NA(),Sheet1!$O$5-(Sheet1!I405/Sheet1!$O$6))</f>
        <v/>
      </c>
    </row>
    <row r="406">
      <c r="A406">
        <f>Sheet1!K406</f>
        <v/>
      </c>
      <c r="B406">
        <f>IF(ISNA(Sheet1!I406),NA(),Sheet1!$O$5-(Sheet1!I406/Sheet1!$O$6))</f>
        <v/>
      </c>
    </row>
    <row r="407">
      <c r="A407">
        <f>Sheet1!K407</f>
        <v/>
      </c>
      <c r="B407">
        <f>IF(ISNA(Sheet1!I407),NA(),Sheet1!$O$5-(Sheet1!I407/Sheet1!$O$6))</f>
        <v/>
      </c>
    </row>
    <row r="408">
      <c r="A408">
        <f>Sheet1!K408</f>
        <v/>
      </c>
      <c r="B408">
        <f>IF(ISNA(Sheet1!I408),NA(),Sheet1!$O$5-(Sheet1!I408/Sheet1!$O$6))</f>
        <v/>
      </c>
    </row>
    <row r="409">
      <c r="A409">
        <f>Sheet1!K409</f>
        <v/>
      </c>
      <c r="B409">
        <f>IF(ISNA(Sheet1!I409),NA(),Sheet1!$O$5-(Sheet1!I409/Sheet1!$O$6))</f>
        <v/>
      </c>
    </row>
    <row r="410">
      <c r="A410">
        <f>Sheet1!K410</f>
        <v/>
      </c>
      <c r="B410">
        <f>IF(ISNA(Sheet1!I410),NA(),Sheet1!$O$5-(Sheet1!I410/Sheet1!$O$6))</f>
        <v/>
      </c>
    </row>
    <row r="411">
      <c r="A411">
        <f>Sheet1!K411</f>
        <v/>
      </c>
      <c r="B411">
        <f>IF(ISNA(Sheet1!I411),NA(),Sheet1!$O$5-(Sheet1!I411/Sheet1!$O$6))</f>
        <v/>
      </c>
    </row>
    <row r="412">
      <c r="A412">
        <f>Sheet1!K412</f>
        <v/>
      </c>
      <c r="B412">
        <f>IF(ISNA(Sheet1!I412),NA(),Sheet1!$O$5-(Sheet1!I412/Sheet1!$O$6))</f>
        <v/>
      </c>
    </row>
    <row r="413">
      <c r="A413">
        <f>Sheet1!K413</f>
        <v/>
      </c>
      <c r="B413">
        <f>IF(ISNA(Sheet1!I413),NA(),Sheet1!$O$5-(Sheet1!I413/Sheet1!$O$6))</f>
        <v/>
      </c>
    </row>
    <row r="414">
      <c r="A414">
        <f>Sheet1!K414</f>
        <v/>
      </c>
      <c r="B414">
        <f>IF(ISNA(Sheet1!I414),NA(),Sheet1!$O$5-(Sheet1!I414/Sheet1!$O$6))</f>
        <v/>
      </c>
    </row>
    <row r="415">
      <c r="A415">
        <f>Sheet1!K415</f>
        <v/>
      </c>
      <c r="B415">
        <f>IF(ISNA(Sheet1!I415),NA(),Sheet1!$O$5-(Sheet1!I415/Sheet1!$O$6))</f>
        <v/>
      </c>
    </row>
    <row r="416">
      <c r="A416">
        <f>Sheet1!K416</f>
        <v/>
      </c>
      <c r="B416">
        <f>IF(ISNA(Sheet1!I416),NA(),Sheet1!$O$5-(Sheet1!I416/Sheet1!$O$6))</f>
        <v/>
      </c>
    </row>
    <row r="417">
      <c r="A417">
        <f>Sheet1!K417</f>
        <v/>
      </c>
      <c r="B417">
        <f>IF(ISNA(Sheet1!I417),NA(),Sheet1!$O$5-(Sheet1!I417/Sheet1!$O$6))</f>
        <v/>
      </c>
    </row>
    <row r="418">
      <c r="A418">
        <f>Sheet1!K418</f>
        <v/>
      </c>
      <c r="B418">
        <f>IF(ISNA(Sheet1!I418),NA(),Sheet1!$O$5-(Sheet1!I418/Sheet1!$O$6))</f>
        <v/>
      </c>
    </row>
    <row r="419">
      <c r="A419">
        <f>Sheet1!K419</f>
        <v/>
      </c>
      <c r="B419">
        <f>IF(ISNA(Sheet1!I419),NA(),Sheet1!$O$5-(Sheet1!I419/Sheet1!$O$6))</f>
        <v/>
      </c>
    </row>
    <row r="420">
      <c r="A420">
        <f>Sheet1!K420</f>
        <v/>
      </c>
      <c r="B420">
        <f>IF(ISNA(Sheet1!I420),NA(),Sheet1!$O$5-(Sheet1!I420/Sheet1!$O$6))</f>
        <v/>
      </c>
    </row>
    <row r="421">
      <c r="A421">
        <f>Sheet1!K421</f>
        <v/>
      </c>
      <c r="B421">
        <f>IF(ISNA(Sheet1!I421),NA(),Sheet1!$O$5-(Sheet1!I421/Sheet1!$O$6))</f>
        <v/>
      </c>
    </row>
    <row r="422">
      <c r="A422">
        <f>Sheet1!K422</f>
        <v/>
      </c>
      <c r="B422">
        <f>IF(ISNA(Sheet1!I422),NA(),Sheet1!$O$5-(Sheet1!I422/Sheet1!$O$6))</f>
        <v/>
      </c>
    </row>
    <row r="423">
      <c r="A423">
        <f>Sheet1!K423</f>
        <v/>
      </c>
      <c r="B423">
        <f>IF(ISNA(Sheet1!I423),NA(),Sheet1!$O$5-(Sheet1!I423/Sheet1!$O$6))</f>
        <v/>
      </c>
    </row>
    <row r="424">
      <c r="A424">
        <f>Sheet1!K424</f>
        <v/>
      </c>
      <c r="B424">
        <f>IF(ISNA(Sheet1!I424),NA(),Sheet1!$O$5-(Sheet1!I424/Sheet1!$O$6))</f>
        <v/>
      </c>
    </row>
    <row r="425">
      <c r="A425">
        <f>Sheet1!K425</f>
        <v/>
      </c>
      <c r="B425">
        <f>IF(ISNA(Sheet1!I425),NA(),Sheet1!$O$5-(Sheet1!I425/Sheet1!$O$6))</f>
        <v/>
      </c>
    </row>
    <row r="426">
      <c r="A426">
        <f>Sheet1!K426</f>
        <v/>
      </c>
      <c r="B426">
        <f>IF(ISNA(Sheet1!I426),NA(),Sheet1!$O$5-(Sheet1!I426/Sheet1!$O$6))</f>
        <v/>
      </c>
    </row>
    <row r="427">
      <c r="A427">
        <f>Sheet1!K427</f>
        <v/>
      </c>
      <c r="B427">
        <f>IF(ISNA(Sheet1!I427),NA(),Sheet1!$O$5-(Sheet1!I427/Sheet1!$O$6))</f>
        <v/>
      </c>
    </row>
    <row r="428">
      <c r="A428">
        <f>Sheet1!K428</f>
        <v/>
      </c>
      <c r="B428">
        <f>IF(ISNA(Sheet1!I428),NA(),Sheet1!$O$5-(Sheet1!I428/Sheet1!$O$6))</f>
        <v/>
      </c>
    </row>
    <row r="429">
      <c r="A429">
        <f>Sheet1!K429</f>
        <v/>
      </c>
      <c r="B429">
        <f>IF(ISNA(Sheet1!I429),NA(),Sheet1!$O$5-(Sheet1!I429/Sheet1!$O$6))</f>
        <v/>
      </c>
    </row>
    <row r="430">
      <c r="A430">
        <f>Sheet1!K430</f>
        <v/>
      </c>
      <c r="B430">
        <f>IF(ISNA(Sheet1!I430),NA(),Sheet1!$O$5-(Sheet1!I430/Sheet1!$O$6))</f>
        <v/>
      </c>
    </row>
    <row r="431">
      <c r="A431">
        <f>Sheet1!K431</f>
        <v/>
      </c>
      <c r="B431">
        <f>IF(ISNA(Sheet1!I431),NA(),Sheet1!$O$5-(Sheet1!I431/Sheet1!$O$6))</f>
        <v/>
      </c>
    </row>
    <row r="432">
      <c r="A432">
        <f>Sheet1!K432</f>
        <v/>
      </c>
      <c r="B432">
        <f>IF(ISNA(Sheet1!I432),NA(),Sheet1!$O$5-(Sheet1!I432/Sheet1!$O$6))</f>
        <v/>
      </c>
    </row>
    <row r="433">
      <c r="A433">
        <f>Sheet1!K433</f>
        <v/>
      </c>
      <c r="B433">
        <f>IF(ISNA(Sheet1!I433),NA(),Sheet1!$O$5-(Sheet1!I433/Sheet1!$O$6))</f>
        <v/>
      </c>
    </row>
    <row r="434">
      <c r="A434">
        <f>Sheet1!K434</f>
        <v/>
      </c>
      <c r="B434">
        <f>IF(ISNA(Sheet1!I434),NA(),Sheet1!$O$5-(Sheet1!I434/Sheet1!$O$6))</f>
        <v/>
      </c>
    </row>
    <row r="435">
      <c r="A435">
        <f>Sheet1!K435</f>
        <v/>
      </c>
      <c r="B435">
        <f>IF(ISNA(Sheet1!I435),NA(),Sheet1!$O$5-(Sheet1!I435/Sheet1!$O$6))</f>
        <v/>
      </c>
    </row>
    <row r="436">
      <c r="A436">
        <f>Sheet1!K436</f>
        <v/>
      </c>
      <c r="B436">
        <f>IF(ISNA(Sheet1!I436),NA(),Sheet1!$O$5-(Sheet1!I436/Sheet1!$O$6))</f>
        <v/>
      </c>
    </row>
    <row r="437">
      <c r="A437">
        <f>Sheet1!K437</f>
        <v/>
      </c>
      <c r="B437">
        <f>IF(ISNA(Sheet1!I437),NA(),Sheet1!$O$5-(Sheet1!I437/Sheet1!$O$6))</f>
        <v/>
      </c>
    </row>
    <row r="438">
      <c r="A438">
        <f>Sheet1!K438</f>
        <v/>
      </c>
      <c r="B438">
        <f>IF(ISNA(Sheet1!I438),NA(),Sheet1!$O$5-(Sheet1!I438/Sheet1!$O$6))</f>
        <v/>
      </c>
    </row>
    <row r="439">
      <c r="A439">
        <f>Sheet1!K439</f>
        <v/>
      </c>
      <c r="B439">
        <f>IF(ISNA(Sheet1!I439),NA(),Sheet1!$O$5-(Sheet1!I439/Sheet1!$O$6))</f>
        <v/>
      </c>
    </row>
    <row r="440">
      <c r="A440">
        <f>Sheet1!K440</f>
        <v/>
      </c>
      <c r="B440">
        <f>IF(ISNA(Sheet1!I440),NA(),Sheet1!$O$5-(Sheet1!I440/Sheet1!$O$6))</f>
        <v/>
      </c>
    </row>
    <row r="441">
      <c r="A441">
        <f>Sheet1!K441</f>
        <v/>
      </c>
      <c r="B441">
        <f>IF(ISNA(Sheet1!I441),NA(),Sheet1!$O$5-(Sheet1!I441/Sheet1!$O$6))</f>
        <v/>
      </c>
    </row>
    <row r="442">
      <c r="A442">
        <f>Sheet1!K442</f>
        <v/>
      </c>
      <c r="B442">
        <f>IF(ISNA(Sheet1!I442),NA(),Sheet1!$O$5-(Sheet1!I442/Sheet1!$O$6))</f>
        <v/>
      </c>
    </row>
    <row r="443">
      <c r="A443">
        <f>Sheet1!K443</f>
        <v/>
      </c>
      <c r="B443">
        <f>IF(ISNA(Sheet1!I443),NA(),Sheet1!$O$5-(Sheet1!I443/Sheet1!$O$6))</f>
        <v/>
      </c>
    </row>
    <row r="444">
      <c r="A444">
        <f>Sheet1!K444</f>
        <v/>
      </c>
      <c r="B444">
        <f>IF(ISNA(Sheet1!I444),NA(),Sheet1!$O$5-(Sheet1!I444/Sheet1!$O$6))</f>
        <v/>
      </c>
    </row>
    <row r="445">
      <c r="A445">
        <f>Sheet1!K445</f>
        <v/>
      </c>
      <c r="B445">
        <f>IF(ISNA(Sheet1!I445),NA(),Sheet1!$O$5-(Sheet1!I445/Sheet1!$O$6))</f>
        <v/>
      </c>
    </row>
    <row r="446">
      <c r="A446">
        <f>Sheet1!K446</f>
        <v/>
      </c>
      <c r="B446">
        <f>IF(ISNA(Sheet1!I446),NA(),Sheet1!$O$5-(Sheet1!I446/Sheet1!$O$6))</f>
        <v/>
      </c>
    </row>
    <row r="447">
      <c r="A447">
        <f>Sheet1!K447</f>
        <v/>
      </c>
      <c r="B447">
        <f>IF(ISNA(Sheet1!I447),NA(),Sheet1!$O$5-(Sheet1!I447/Sheet1!$O$6))</f>
        <v/>
      </c>
    </row>
    <row r="448">
      <c r="A448">
        <f>Sheet1!K448</f>
        <v/>
      </c>
      <c r="B448">
        <f>IF(ISNA(Sheet1!I448),NA(),Sheet1!$O$5-(Sheet1!I448/Sheet1!$O$6))</f>
        <v/>
      </c>
    </row>
    <row r="449">
      <c r="A449">
        <f>Sheet1!K449</f>
        <v/>
      </c>
      <c r="B449">
        <f>IF(ISNA(Sheet1!I449),NA(),Sheet1!$O$5-(Sheet1!I449/Sheet1!$O$6))</f>
        <v/>
      </c>
    </row>
    <row r="450">
      <c r="A450">
        <f>Sheet1!K450</f>
        <v/>
      </c>
      <c r="B450">
        <f>IF(ISNA(Sheet1!I450),NA(),Sheet1!$O$5-(Sheet1!I450/Sheet1!$O$6))</f>
        <v/>
      </c>
    </row>
    <row r="451">
      <c r="A451">
        <f>Sheet1!K451</f>
        <v/>
      </c>
      <c r="B451">
        <f>IF(ISNA(Sheet1!I451),NA(),Sheet1!$O$5-(Sheet1!I451/Sheet1!$O$6))</f>
        <v/>
      </c>
    </row>
    <row r="452">
      <c r="A452">
        <f>Sheet1!K452</f>
        <v/>
      </c>
      <c r="B452">
        <f>IF(ISNA(Sheet1!I452),NA(),Sheet1!$O$5-(Sheet1!I452/Sheet1!$O$6))</f>
        <v/>
      </c>
    </row>
    <row r="453">
      <c r="A453">
        <f>Sheet1!K453</f>
        <v/>
      </c>
      <c r="B453">
        <f>IF(ISNA(Sheet1!I453),NA(),Sheet1!$O$5-(Sheet1!I453/Sheet1!$O$6))</f>
        <v/>
      </c>
    </row>
    <row r="454">
      <c r="A454">
        <f>Sheet1!K454</f>
        <v/>
      </c>
      <c r="B454">
        <f>IF(ISNA(Sheet1!I454),NA(),Sheet1!$O$5-(Sheet1!I454/Sheet1!$O$6))</f>
        <v/>
      </c>
    </row>
    <row r="455">
      <c r="A455">
        <f>Sheet1!K455</f>
        <v/>
      </c>
      <c r="B455">
        <f>IF(ISNA(Sheet1!I455),NA(),Sheet1!$O$5-(Sheet1!I455/Sheet1!$O$6))</f>
        <v/>
      </c>
    </row>
    <row r="456">
      <c r="A456">
        <f>Sheet1!K456</f>
        <v/>
      </c>
      <c r="B456">
        <f>IF(ISNA(Sheet1!I456),NA(),Sheet1!$O$5-(Sheet1!I456/Sheet1!$O$6))</f>
        <v/>
      </c>
    </row>
    <row r="457">
      <c r="A457">
        <f>Sheet1!K457</f>
        <v/>
      </c>
      <c r="B457">
        <f>IF(ISNA(Sheet1!I457),NA(),Sheet1!$O$5-(Sheet1!I457/Sheet1!$O$6))</f>
        <v/>
      </c>
    </row>
    <row r="458">
      <c r="A458">
        <f>Sheet1!K458</f>
        <v/>
      </c>
      <c r="B458">
        <f>IF(ISNA(Sheet1!I458),NA(),Sheet1!$O$5-(Sheet1!I458/Sheet1!$O$6))</f>
        <v/>
      </c>
    </row>
    <row r="459">
      <c r="A459">
        <f>Sheet1!K459</f>
        <v/>
      </c>
      <c r="B459">
        <f>IF(ISNA(Sheet1!I459),NA(),Sheet1!$O$5-(Sheet1!I459/Sheet1!$O$6))</f>
        <v/>
      </c>
    </row>
    <row r="460">
      <c r="A460">
        <f>Sheet1!K460</f>
        <v/>
      </c>
      <c r="B460">
        <f>IF(ISNA(Sheet1!I460),NA(),Sheet1!$O$5-(Sheet1!I460/Sheet1!$O$6))</f>
        <v/>
      </c>
    </row>
    <row r="461">
      <c r="A461">
        <f>Sheet1!K461</f>
        <v/>
      </c>
      <c r="B461">
        <f>IF(ISNA(Sheet1!I461),NA(),Sheet1!$O$5-(Sheet1!I461/Sheet1!$O$6))</f>
        <v/>
      </c>
    </row>
    <row r="462">
      <c r="A462">
        <f>Sheet1!K462</f>
        <v/>
      </c>
      <c r="B462">
        <f>IF(ISNA(Sheet1!I462),NA(),Sheet1!$O$5-(Sheet1!I462/Sheet1!$O$6))</f>
        <v/>
      </c>
    </row>
    <row r="463">
      <c r="A463">
        <f>Sheet1!K463</f>
        <v/>
      </c>
      <c r="B463">
        <f>IF(ISNA(Sheet1!I463),NA(),Sheet1!$O$5-(Sheet1!I463/Sheet1!$O$6))</f>
        <v/>
      </c>
    </row>
    <row r="464">
      <c r="A464">
        <f>Sheet1!K464</f>
        <v/>
      </c>
      <c r="B464">
        <f>IF(ISNA(Sheet1!I464),NA(),Sheet1!$O$5-(Sheet1!I464/Sheet1!$O$6))</f>
        <v/>
      </c>
    </row>
    <row r="465">
      <c r="A465">
        <f>Sheet1!K465</f>
        <v/>
      </c>
      <c r="B465">
        <f>IF(ISNA(Sheet1!I465),NA(),Sheet1!$O$5-(Sheet1!I465/Sheet1!$O$6))</f>
        <v/>
      </c>
    </row>
    <row r="466">
      <c r="A466">
        <f>Sheet1!K466</f>
        <v/>
      </c>
      <c r="B466">
        <f>IF(ISNA(Sheet1!I466),NA(),Sheet1!$O$5-(Sheet1!I466/Sheet1!$O$6))</f>
        <v/>
      </c>
    </row>
    <row r="467">
      <c r="A467">
        <f>Sheet1!K467</f>
        <v/>
      </c>
      <c r="B467">
        <f>IF(ISNA(Sheet1!I467),NA(),Sheet1!$O$5-(Sheet1!I467/Sheet1!$O$6))</f>
        <v/>
      </c>
    </row>
    <row r="468">
      <c r="A468">
        <f>Sheet1!K468</f>
        <v/>
      </c>
      <c r="B468">
        <f>IF(ISNA(Sheet1!I468),NA(),Sheet1!$O$5-(Sheet1!I468/Sheet1!$O$6))</f>
        <v/>
      </c>
    </row>
    <row r="469">
      <c r="A469">
        <f>Sheet1!K469</f>
        <v/>
      </c>
      <c r="B469">
        <f>IF(ISNA(Sheet1!I469),NA(),Sheet1!$O$5-(Sheet1!I469/Sheet1!$O$6))</f>
        <v/>
      </c>
    </row>
    <row r="470">
      <c r="A470">
        <f>Sheet1!K470</f>
        <v/>
      </c>
      <c r="B470">
        <f>IF(ISNA(Sheet1!I470),NA(),Sheet1!$O$5-(Sheet1!I470/Sheet1!$O$6))</f>
        <v/>
      </c>
    </row>
    <row r="471">
      <c r="A471">
        <f>Sheet1!K471</f>
        <v/>
      </c>
      <c r="B471">
        <f>IF(ISNA(Sheet1!I471),NA(),Sheet1!$O$5-(Sheet1!I471/Sheet1!$O$6))</f>
        <v/>
      </c>
    </row>
    <row r="472">
      <c r="A472">
        <f>Sheet1!K472</f>
        <v/>
      </c>
      <c r="B472">
        <f>IF(ISNA(Sheet1!I472),NA(),Sheet1!$O$5-(Sheet1!I472/Sheet1!$O$6))</f>
        <v/>
      </c>
    </row>
    <row r="473">
      <c r="A473">
        <f>Sheet1!K473</f>
        <v/>
      </c>
      <c r="B473">
        <f>IF(ISNA(Sheet1!I473),NA(),Sheet1!$O$5-(Sheet1!I473/Sheet1!$O$6))</f>
        <v/>
      </c>
    </row>
    <row r="474">
      <c r="A474">
        <f>Sheet1!K474</f>
        <v/>
      </c>
      <c r="B474">
        <f>IF(ISNA(Sheet1!I474),NA(),Sheet1!$O$5-(Sheet1!I474/Sheet1!$O$6))</f>
        <v/>
      </c>
    </row>
    <row r="475">
      <c r="A475">
        <f>Sheet1!K475</f>
        <v/>
      </c>
      <c r="B475">
        <f>IF(ISNA(Sheet1!I475),NA(),Sheet1!$O$5-(Sheet1!I475/Sheet1!$O$6))</f>
        <v/>
      </c>
    </row>
    <row r="476">
      <c r="A476">
        <f>Sheet1!K476</f>
        <v/>
      </c>
      <c r="B476">
        <f>IF(ISNA(Sheet1!I476),NA(),Sheet1!$O$5-(Sheet1!I476/Sheet1!$O$6))</f>
        <v/>
      </c>
    </row>
    <row r="477">
      <c r="A477">
        <f>Sheet1!K477</f>
        <v/>
      </c>
      <c r="B477">
        <f>IF(ISNA(Sheet1!I477),NA(),Sheet1!$O$5-(Sheet1!I477/Sheet1!$O$6))</f>
        <v/>
      </c>
    </row>
    <row r="478">
      <c r="A478">
        <f>Sheet1!K478</f>
        <v/>
      </c>
      <c r="B478">
        <f>IF(ISNA(Sheet1!I478),NA(),Sheet1!$O$5-(Sheet1!I478/Sheet1!$O$6))</f>
        <v/>
      </c>
    </row>
    <row r="479">
      <c r="A479">
        <f>Sheet1!K479</f>
        <v/>
      </c>
      <c r="B479">
        <f>IF(ISNA(Sheet1!I479),NA(),Sheet1!$O$5-(Sheet1!I479/Sheet1!$O$6))</f>
        <v/>
      </c>
    </row>
    <row r="480">
      <c r="A480">
        <f>Sheet1!K480</f>
        <v/>
      </c>
      <c r="B480">
        <f>IF(ISNA(Sheet1!I480),NA(),Sheet1!$O$5-(Sheet1!I480/Sheet1!$O$6))</f>
        <v/>
      </c>
    </row>
    <row r="481">
      <c r="A481">
        <f>Sheet1!K481</f>
        <v/>
      </c>
      <c r="B481">
        <f>IF(ISNA(Sheet1!I481),NA(),Sheet1!$O$5-(Sheet1!I481/Sheet1!$O$6))</f>
        <v/>
      </c>
    </row>
    <row r="482">
      <c r="A482">
        <f>Sheet1!K482</f>
        <v/>
      </c>
      <c r="B482">
        <f>IF(ISNA(Sheet1!I482),NA(),Sheet1!$O$5-(Sheet1!I482/Sheet1!$O$6))</f>
        <v/>
      </c>
    </row>
    <row r="483">
      <c r="A483">
        <f>Sheet1!K483</f>
        <v/>
      </c>
      <c r="B483">
        <f>IF(ISNA(Sheet1!I483),NA(),Sheet1!$O$5-(Sheet1!I483/Sheet1!$O$6))</f>
        <v/>
      </c>
    </row>
    <row r="484">
      <c r="A484">
        <f>Sheet1!K484</f>
        <v/>
      </c>
      <c r="B484">
        <f>IF(ISNA(Sheet1!I484),NA(),Sheet1!$O$5-(Sheet1!I484/Sheet1!$O$6))</f>
        <v/>
      </c>
    </row>
    <row r="485">
      <c r="A485">
        <f>Sheet1!K485</f>
        <v/>
      </c>
      <c r="B485">
        <f>IF(ISNA(Sheet1!I485),NA(),Sheet1!$O$5-(Sheet1!I485/Sheet1!$O$6))</f>
        <v/>
      </c>
    </row>
    <row r="486">
      <c r="A486">
        <f>Sheet1!K486</f>
        <v/>
      </c>
      <c r="B486">
        <f>IF(ISNA(Sheet1!I486),NA(),Sheet1!$O$5-(Sheet1!I486/Sheet1!$O$6))</f>
        <v/>
      </c>
    </row>
    <row r="487">
      <c r="A487">
        <f>Sheet1!K487</f>
        <v/>
      </c>
      <c r="B487">
        <f>IF(ISNA(Sheet1!I487),NA(),Sheet1!$O$5-(Sheet1!I487/Sheet1!$O$6))</f>
        <v/>
      </c>
    </row>
    <row r="488">
      <c r="A488">
        <f>Sheet1!K488</f>
        <v/>
      </c>
      <c r="B488">
        <f>IF(ISNA(Sheet1!I488),NA(),Sheet1!$O$5-(Sheet1!I488/Sheet1!$O$6))</f>
        <v/>
      </c>
    </row>
    <row r="489">
      <c r="A489">
        <f>Sheet1!K489</f>
        <v/>
      </c>
      <c r="B489">
        <f>IF(ISNA(Sheet1!I489),NA(),Sheet1!$O$5-(Sheet1!I489/Sheet1!$O$6))</f>
        <v/>
      </c>
    </row>
    <row r="490">
      <c r="A490">
        <f>Sheet1!K490</f>
        <v/>
      </c>
      <c r="B490">
        <f>IF(ISNA(Sheet1!I490),NA(),Sheet1!$O$5-(Sheet1!I490/Sheet1!$O$6))</f>
        <v/>
      </c>
    </row>
    <row r="491">
      <c r="A491">
        <f>Sheet1!K491</f>
        <v/>
      </c>
      <c r="B491">
        <f>IF(ISNA(Sheet1!I491),NA(),Sheet1!$O$5-(Sheet1!I491/Sheet1!$O$6))</f>
        <v/>
      </c>
    </row>
    <row r="492">
      <c r="A492">
        <f>Sheet1!K492</f>
        <v/>
      </c>
      <c r="B492">
        <f>IF(ISNA(Sheet1!I492),NA(),Sheet1!$O$5-(Sheet1!I492/Sheet1!$O$6))</f>
        <v/>
      </c>
    </row>
    <row r="493">
      <c r="A493">
        <f>Sheet1!K493</f>
        <v/>
      </c>
      <c r="B493">
        <f>IF(ISNA(Sheet1!I493),NA(),Sheet1!$O$5-(Sheet1!I493/Sheet1!$O$6))</f>
        <v/>
      </c>
    </row>
    <row r="494">
      <c r="A494">
        <f>Sheet1!K494</f>
        <v/>
      </c>
      <c r="B494">
        <f>IF(ISNA(Sheet1!I494),NA(),Sheet1!$O$5-(Sheet1!I494/Sheet1!$O$6))</f>
        <v/>
      </c>
    </row>
    <row r="495">
      <c r="A495">
        <f>Sheet1!K495</f>
        <v/>
      </c>
      <c r="B495">
        <f>IF(ISNA(Sheet1!I495),NA(),Sheet1!$O$5-(Sheet1!I495/Sheet1!$O$6))</f>
        <v/>
      </c>
    </row>
    <row r="496">
      <c r="A496">
        <f>Sheet1!K496</f>
        <v/>
      </c>
      <c r="B496">
        <f>IF(ISNA(Sheet1!I496),NA(),Sheet1!$O$5-(Sheet1!I496/Sheet1!$O$6))</f>
        <v/>
      </c>
    </row>
    <row r="497">
      <c r="A497">
        <f>Sheet1!K497</f>
        <v/>
      </c>
      <c r="B497">
        <f>IF(ISNA(Sheet1!I497),NA(),Sheet1!$O$5-(Sheet1!I497/Sheet1!$O$6))</f>
        <v/>
      </c>
    </row>
    <row r="498">
      <c r="A498">
        <f>Sheet1!K498</f>
        <v/>
      </c>
      <c r="B498">
        <f>IF(ISNA(Sheet1!I498),NA(),Sheet1!$O$5-(Sheet1!I498/Sheet1!$O$6))</f>
        <v/>
      </c>
    </row>
    <row r="499">
      <c r="A499">
        <f>Sheet1!K499</f>
        <v/>
      </c>
      <c r="B499">
        <f>IF(ISNA(Sheet1!I499),NA(),Sheet1!$O$5-(Sheet1!I499/Sheet1!$O$6))</f>
        <v/>
      </c>
    </row>
    <row r="500">
      <c r="A500">
        <f>Sheet1!K500</f>
        <v/>
      </c>
      <c r="B500">
        <f>IF(ISNA(Sheet1!I500),NA(),Sheet1!$O$5-(Sheet1!I500/Sheet1!$O$6))</f>
        <v/>
      </c>
    </row>
    <row r="501">
      <c r="A501">
        <f>Sheet1!K501</f>
        <v/>
      </c>
      <c r="B501">
        <f>IF(ISNA(Sheet1!I501),NA(),Sheet1!$O$5-(Sheet1!I501/Sheet1!$O$6))</f>
        <v/>
      </c>
    </row>
    <row r="502">
      <c r="A502">
        <f>Sheet1!K502</f>
        <v/>
      </c>
      <c r="B502">
        <f>IF(ISNA(Sheet1!I502),NA(),Sheet1!$O$5-(Sheet1!I502/Sheet1!$O$6))</f>
        <v/>
      </c>
    </row>
    <row r="503">
      <c r="A503">
        <f>Sheet1!K503</f>
        <v/>
      </c>
      <c r="B503">
        <f>IF(ISNA(Sheet1!I503),NA(),Sheet1!$O$5-(Sheet1!I503/Sheet1!$O$6))</f>
        <v/>
      </c>
    </row>
    <row r="504">
      <c r="A504">
        <f>Sheet1!K504</f>
        <v/>
      </c>
      <c r="B504">
        <f>IF(ISNA(Sheet1!I504),NA(),Sheet1!$O$5-(Sheet1!I504/Sheet1!$O$6))</f>
        <v/>
      </c>
    </row>
    <row r="505">
      <c r="A505">
        <f>Sheet1!K505</f>
        <v/>
      </c>
      <c r="B505">
        <f>IF(ISNA(Sheet1!I505),NA(),Sheet1!$O$5-(Sheet1!I505/Sheet1!$O$6))</f>
        <v/>
      </c>
    </row>
    <row r="506">
      <c r="A506">
        <f>Sheet1!K506</f>
        <v/>
      </c>
      <c r="B506">
        <f>IF(ISNA(Sheet1!I506),NA(),Sheet1!$O$5-(Sheet1!I506/Sheet1!$O$6))</f>
        <v/>
      </c>
    </row>
    <row r="507">
      <c r="A507">
        <f>Sheet1!K507</f>
        <v/>
      </c>
      <c r="B507">
        <f>IF(ISNA(Sheet1!I507),NA(),Sheet1!$O$5-(Sheet1!I507/Sheet1!$O$6))</f>
        <v/>
      </c>
    </row>
    <row r="508">
      <c r="A508">
        <f>Sheet1!K508</f>
        <v/>
      </c>
      <c r="B508">
        <f>IF(ISNA(Sheet1!I508),NA(),Sheet1!$O$5-(Sheet1!I508/Sheet1!$O$6))</f>
        <v/>
      </c>
    </row>
    <row r="509">
      <c r="A509">
        <f>Sheet1!K509</f>
        <v/>
      </c>
      <c r="B509">
        <f>IF(ISNA(Sheet1!I509),NA(),Sheet1!$O$5-(Sheet1!I509/Sheet1!$O$6))</f>
        <v/>
      </c>
    </row>
    <row r="510">
      <c r="A510">
        <f>Sheet1!K510</f>
        <v/>
      </c>
      <c r="B510">
        <f>IF(ISNA(Sheet1!I510),NA(),Sheet1!$O$5-(Sheet1!I510/Sheet1!$O$6))</f>
        <v/>
      </c>
    </row>
    <row r="511">
      <c r="A511">
        <f>Sheet1!K511</f>
        <v/>
      </c>
      <c r="B511">
        <f>IF(ISNA(Sheet1!I511),NA(),Sheet1!$O$5-(Sheet1!I511/Sheet1!$O$6))</f>
        <v/>
      </c>
    </row>
    <row r="512">
      <c r="A512">
        <f>Sheet1!K512</f>
        <v/>
      </c>
      <c r="B512">
        <f>IF(ISNA(Sheet1!I512),NA(),Sheet1!$O$5-(Sheet1!I512/Sheet1!$O$6))</f>
        <v/>
      </c>
    </row>
    <row r="513">
      <c r="A513">
        <f>Sheet1!K513</f>
        <v/>
      </c>
      <c r="B513">
        <f>IF(ISNA(Sheet1!I513),NA(),Sheet1!$O$5-(Sheet1!I513/Sheet1!$O$6))</f>
        <v/>
      </c>
    </row>
    <row r="514">
      <c r="A514">
        <f>Sheet1!K514</f>
        <v/>
      </c>
      <c r="B514">
        <f>IF(ISNA(Sheet1!I514),NA(),Sheet1!$O$5-(Sheet1!I514/Sheet1!$O$6))</f>
        <v/>
      </c>
    </row>
    <row r="515">
      <c r="A515">
        <f>Sheet1!K515</f>
        <v/>
      </c>
      <c r="B515">
        <f>IF(ISNA(Sheet1!I515),NA(),Sheet1!$O$5-(Sheet1!I515/Sheet1!$O$6))</f>
        <v/>
      </c>
    </row>
    <row r="516">
      <c r="A516">
        <f>Sheet1!K516</f>
        <v/>
      </c>
      <c r="B516">
        <f>IF(ISNA(Sheet1!I516),NA(),Sheet1!$O$5-(Sheet1!I516/Sheet1!$O$6))</f>
        <v/>
      </c>
    </row>
    <row r="517">
      <c r="A517">
        <f>Sheet1!K517</f>
        <v/>
      </c>
      <c r="B517">
        <f>IF(ISNA(Sheet1!I517),NA(),Sheet1!$O$5-(Sheet1!I517/Sheet1!$O$6))</f>
        <v/>
      </c>
    </row>
    <row r="518">
      <c r="A518">
        <f>Sheet1!K518</f>
        <v/>
      </c>
      <c r="B518">
        <f>IF(ISNA(Sheet1!I518),NA(),Sheet1!$O$5-(Sheet1!I518/Sheet1!$O$6))</f>
        <v/>
      </c>
    </row>
    <row r="519">
      <c r="A519">
        <f>Sheet1!K519</f>
        <v/>
      </c>
      <c r="B519">
        <f>IF(ISNA(Sheet1!I519),NA(),Sheet1!$O$5-(Sheet1!I519/Sheet1!$O$6))</f>
        <v/>
      </c>
    </row>
    <row r="520">
      <c r="A520">
        <f>Sheet1!K520</f>
        <v/>
      </c>
      <c r="B520">
        <f>IF(ISNA(Sheet1!I520),NA(),Sheet1!$O$5-(Sheet1!I520/Sheet1!$O$6))</f>
        <v/>
      </c>
    </row>
    <row r="521">
      <c r="A521">
        <f>Sheet1!K521</f>
        <v/>
      </c>
      <c r="B521">
        <f>IF(ISNA(Sheet1!I521),NA(),Sheet1!$O$5-(Sheet1!I521/Sheet1!$O$6))</f>
        <v/>
      </c>
    </row>
    <row r="522">
      <c r="A522">
        <f>Sheet1!K522</f>
        <v/>
      </c>
      <c r="B522">
        <f>IF(ISNA(Sheet1!I522),NA(),Sheet1!$O$5-(Sheet1!I522/Sheet1!$O$6))</f>
        <v/>
      </c>
    </row>
    <row r="523">
      <c r="A523">
        <f>Sheet1!K523</f>
        <v/>
      </c>
      <c r="B523">
        <f>IF(ISNA(Sheet1!I523),NA(),Sheet1!$O$5-(Sheet1!I523/Sheet1!$O$6))</f>
        <v/>
      </c>
    </row>
    <row r="524">
      <c r="A524">
        <f>Sheet1!K524</f>
        <v/>
      </c>
      <c r="B524">
        <f>IF(ISNA(Sheet1!I524),NA(),Sheet1!$O$5-(Sheet1!I524/Sheet1!$O$6))</f>
        <v/>
      </c>
    </row>
    <row r="525">
      <c r="A525">
        <f>Sheet1!K525</f>
        <v/>
      </c>
      <c r="B525">
        <f>IF(ISNA(Sheet1!I525),NA(),Sheet1!$O$5-(Sheet1!I525/Sheet1!$O$6))</f>
        <v/>
      </c>
    </row>
    <row r="526">
      <c r="A526">
        <f>Sheet1!K526</f>
        <v/>
      </c>
      <c r="B526">
        <f>IF(ISNA(Sheet1!I526),NA(),Sheet1!$O$5-(Sheet1!I526/Sheet1!$O$6))</f>
        <v/>
      </c>
    </row>
    <row r="527">
      <c r="A527">
        <f>Sheet1!K527</f>
        <v/>
      </c>
      <c r="B527">
        <f>IF(ISNA(Sheet1!I527),NA(),Sheet1!$O$5-(Sheet1!I527/Sheet1!$O$6))</f>
        <v/>
      </c>
    </row>
    <row r="528">
      <c r="A528">
        <f>Sheet1!K528</f>
        <v/>
      </c>
      <c r="B528">
        <f>IF(ISNA(Sheet1!I528),NA(),Sheet1!$O$5-(Sheet1!I528/Sheet1!$O$6))</f>
        <v/>
      </c>
    </row>
    <row r="529">
      <c r="A529">
        <f>Sheet1!K529</f>
        <v/>
      </c>
      <c r="B529">
        <f>IF(ISNA(Sheet1!I529),NA(),Sheet1!$O$5-(Sheet1!I529/Sheet1!$O$6))</f>
        <v/>
      </c>
    </row>
    <row r="530">
      <c r="A530">
        <f>Sheet1!K530</f>
        <v/>
      </c>
      <c r="B530">
        <f>IF(ISNA(Sheet1!I530),NA(),Sheet1!$O$5-(Sheet1!I530/Sheet1!$O$6))</f>
        <v/>
      </c>
    </row>
    <row r="531">
      <c r="A531">
        <f>Sheet1!K531</f>
        <v/>
      </c>
      <c r="B531">
        <f>IF(ISNA(Sheet1!I531),NA(),Sheet1!$O$5-(Sheet1!I531/Sheet1!$O$6))</f>
        <v/>
      </c>
    </row>
    <row r="532">
      <c r="A532">
        <f>Sheet1!K532</f>
        <v/>
      </c>
      <c r="B532">
        <f>IF(ISNA(Sheet1!I532),NA(),Sheet1!$O$5-(Sheet1!I532/Sheet1!$O$6))</f>
        <v/>
      </c>
    </row>
    <row r="533">
      <c r="A533">
        <f>Sheet1!K533</f>
        <v/>
      </c>
      <c r="B533">
        <f>IF(ISNA(Sheet1!I533),NA(),Sheet1!$O$5-(Sheet1!I533/Sheet1!$O$6))</f>
        <v/>
      </c>
    </row>
    <row r="534">
      <c r="A534">
        <f>Sheet1!K534</f>
        <v/>
      </c>
      <c r="B534">
        <f>IF(ISNA(Sheet1!I534),NA(),Sheet1!$O$5-(Sheet1!I534/Sheet1!$O$6))</f>
        <v/>
      </c>
    </row>
    <row r="535">
      <c r="A535">
        <f>Sheet1!K535</f>
        <v/>
      </c>
      <c r="B535">
        <f>IF(ISNA(Sheet1!I535),NA(),Sheet1!$O$5-(Sheet1!I535/Sheet1!$O$6))</f>
        <v/>
      </c>
    </row>
    <row r="536">
      <c r="A536">
        <f>Sheet1!K536</f>
        <v/>
      </c>
      <c r="B536">
        <f>IF(ISNA(Sheet1!I536),NA(),Sheet1!$O$5-(Sheet1!I536/Sheet1!$O$6))</f>
        <v/>
      </c>
    </row>
    <row r="537">
      <c r="A537">
        <f>Sheet1!K537</f>
        <v/>
      </c>
      <c r="B537">
        <f>IF(ISNA(Sheet1!I537),NA(),Sheet1!$O$5-(Sheet1!I537/Sheet1!$O$6))</f>
        <v/>
      </c>
    </row>
    <row r="538">
      <c r="A538">
        <f>Sheet1!K538</f>
        <v/>
      </c>
      <c r="B538">
        <f>IF(ISNA(Sheet1!I538),NA(),Sheet1!$O$5-(Sheet1!I538/Sheet1!$O$6))</f>
        <v/>
      </c>
    </row>
    <row r="539">
      <c r="A539">
        <f>Sheet1!K539</f>
        <v/>
      </c>
      <c r="B539">
        <f>IF(ISNA(Sheet1!I539),NA(),Sheet1!$O$5-(Sheet1!I539/Sheet1!$O$6))</f>
        <v/>
      </c>
    </row>
    <row r="540">
      <c r="A540">
        <f>Sheet1!K540</f>
        <v/>
      </c>
      <c r="B540">
        <f>IF(ISNA(Sheet1!I540),NA(),Sheet1!$O$5-(Sheet1!I540/Sheet1!$O$6))</f>
        <v/>
      </c>
    </row>
    <row r="541">
      <c r="A541">
        <f>Sheet1!K541</f>
        <v/>
      </c>
      <c r="B541">
        <f>IF(ISNA(Sheet1!I541),NA(),Sheet1!$O$5-(Sheet1!I541/Sheet1!$O$6))</f>
        <v/>
      </c>
    </row>
    <row r="542">
      <c r="A542">
        <f>Sheet1!K542</f>
        <v/>
      </c>
      <c r="B542">
        <f>IF(ISNA(Sheet1!I542),NA(),Sheet1!$O$5-(Sheet1!I542/Sheet1!$O$6))</f>
        <v/>
      </c>
    </row>
    <row r="543">
      <c r="A543">
        <f>Sheet1!K543</f>
        <v/>
      </c>
      <c r="B543">
        <f>IF(ISNA(Sheet1!I543),NA(),Sheet1!$O$5-(Sheet1!I543/Sheet1!$O$6))</f>
        <v/>
      </c>
    </row>
    <row r="544">
      <c r="A544">
        <f>Sheet1!K544</f>
        <v/>
      </c>
      <c r="B544">
        <f>IF(ISNA(Sheet1!I544),NA(),Sheet1!$O$5-(Sheet1!I544/Sheet1!$O$6))</f>
        <v/>
      </c>
    </row>
    <row r="545">
      <c r="A545">
        <f>Sheet1!K545</f>
        <v/>
      </c>
      <c r="B545">
        <f>IF(ISNA(Sheet1!I545),NA(),Sheet1!$O$5-(Sheet1!I545/Sheet1!$O$6))</f>
        <v/>
      </c>
    </row>
    <row r="546">
      <c r="A546">
        <f>Sheet1!K546</f>
        <v/>
      </c>
      <c r="B546">
        <f>IF(ISNA(Sheet1!I546),NA(),Sheet1!$O$5-(Sheet1!I546/Sheet1!$O$6))</f>
        <v/>
      </c>
    </row>
    <row r="547">
      <c r="A547">
        <f>Sheet1!K547</f>
        <v/>
      </c>
      <c r="B547">
        <f>IF(ISNA(Sheet1!I547),NA(),Sheet1!$O$5-(Sheet1!I547/Sheet1!$O$6))</f>
        <v/>
      </c>
    </row>
    <row r="548">
      <c r="A548">
        <f>Sheet1!K548</f>
        <v/>
      </c>
      <c r="B548">
        <f>IF(ISNA(Sheet1!I548),NA(),Sheet1!$O$5-(Sheet1!I548/Sheet1!$O$6))</f>
        <v/>
      </c>
    </row>
    <row r="549">
      <c r="A549">
        <f>Sheet1!K549</f>
        <v/>
      </c>
      <c r="B549">
        <f>IF(ISNA(Sheet1!I549),NA(),Sheet1!$O$5-(Sheet1!I549/Sheet1!$O$6))</f>
        <v/>
      </c>
    </row>
    <row r="550">
      <c r="A550">
        <f>Sheet1!K550</f>
        <v/>
      </c>
      <c r="B550">
        <f>IF(ISNA(Sheet1!I550),NA(),Sheet1!$O$5-(Sheet1!I550/Sheet1!$O$6))</f>
        <v/>
      </c>
    </row>
    <row r="551">
      <c r="A551">
        <f>Sheet1!K551</f>
        <v/>
      </c>
      <c r="B551">
        <f>IF(ISNA(Sheet1!I551),NA(),Sheet1!$O$5-(Sheet1!I551/Sheet1!$O$6))</f>
        <v/>
      </c>
    </row>
    <row r="552">
      <c r="A552">
        <f>Sheet1!K552</f>
        <v/>
      </c>
      <c r="B552">
        <f>IF(ISNA(Sheet1!I552),NA(),Sheet1!$O$5-(Sheet1!I552/Sheet1!$O$6))</f>
        <v/>
      </c>
    </row>
    <row r="553">
      <c r="A553">
        <f>Sheet1!K553</f>
        <v/>
      </c>
      <c r="B553">
        <f>IF(ISNA(Sheet1!I553),NA(),Sheet1!$O$5-(Sheet1!I553/Sheet1!$O$6))</f>
        <v/>
      </c>
    </row>
    <row r="554">
      <c r="A554">
        <f>Sheet1!K554</f>
        <v/>
      </c>
      <c r="B554">
        <f>IF(ISNA(Sheet1!I554),NA(),Sheet1!$O$5-(Sheet1!I554/Sheet1!$O$6))</f>
        <v/>
      </c>
    </row>
    <row r="555">
      <c r="A555">
        <f>Sheet1!K555</f>
        <v/>
      </c>
      <c r="B555">
        <f>IF(ISNA(Sheet1!I555),NA(),Sheet1!$O$5-(Sheet1!I555/Sheet1!$O$6))</f>
        <v/>
      </c>
    </row>
    <row r="556">
      <c r="A556">
        <f>Sheet1!K556</f>
        <v/>
      </c>
      <c r="B556">
        <f>IF(ISNA(Sheet1!I556),NA(),Sheet1!$O$5-(Sheet1!I556/Sheet1!$O$6))</f>
        <v/>
      </c>
    </row>
    <row r="557">
      <c r="A557">
        <f>Sheet1!K557</f>
        <v/>
      </c>
      <c r="B557">
        <f>IF(ISNA(Sheet1!I557),NA(),Sheet1!$O$5-(Sheet1!I557/Sheet1!$O$6))</f>
        <v/>
      </c>
    </row>
    <row r="558">
      <c r="A558">
        <f>Sheet1!K558</f>
        <v/>
      </c>
      <c r="B558">
        <f>IF(ISNA(Sheet1!I558),NA(),Sheet1!$O$5-(Sheet1!I558/Sheet1!$O$6))</f>
        <v/>
      </c>
    </row>
    <row r="559">
      <c r="A559">
        <f>Sheet1!K559</f>
        <v/>
      </c>
      <c r="B559">
        <f>IF(ISNA(Sheet1!I559),NA(),Sheet1!$O$5-(Sheet1!I559/Sheet1!$O$6))</f>
        <v/>
      </c>
    </row>
    <row r="560">
      <c r="A560">
        <f>Sheet1!K560</f>
        <v/>
      </c>
      <c r="B560">
        <f>IF(ISNA(Sheet1!I560),NA(),Sheet1!$O$5-(Sheet1!I560/Sheet1!$O$6))</f>
        <v/>
      </c>
    </row>
    <row r="561">
      <c r="A561">
        <f>Sheet1!K561</f>
        <v/>
      </c>
      <c r="B561">
        <f>IF(ISNA(Sheet1!I561),NA(),Sheet1!$O$5-(Sheet1!I561/Sheet1!$O$6))</f>
        <v/>
      </c>
    </row>
    <row r="562">
      <c r="A562">
        <f>Sheet1!K562</f>
        <v/>
      </c>
      <c r="B562">
        <f>IF(ISNA(Sheet1!I562),NA(),Sheet1!$O$5-(Sheet1!I562/Sheet1!$O$6))</f>
        <v/>
      </c>
    </row>
    <row r="563">
      <c r="A563">
        <f>Sheet1!K563</f>
        <v/>
      </c>
      <c r="B563">
        <f>IF(ISNA(Sheet1!I563),NA(),Sheet1!$O$5-(Sheet1!I563/Sheet1!$O$6))</f>
        <v/>
      </c>
    </row>
    <row r="564">
      <c r="A564">
        <f>Sheet1!K564</f>
        <v/>
      </c>
      <c r="B564">
        <f>IF(ISNA(Sheet1!I564),NA(),Sheet1!$O$5-(Sheet1!I564/Sheet1!$O$6))</f>
        <v/>
      </c>
    </row>
    <row r="565">
      <c r="A565">
        <f>Sheet1!K565</f>
        <v/>
      </c>
      <c r="B565">
        <f>IF(ISNA(Sheet1!I565),NA(),Sheet1!$O$5-(Sheet1!I565/Sheet1!$O$6))</f>
        <v/>
      </c>
    </row>
    <row r="566">
      <c r="A566">
        <f>Sheet1!K566</f>
        <v/>
      </c>
      <c r="B566">
        <f>IF(ISNA(Sheet1!I566),NA(),Sheet1!$O$5-(Sheet1!I566/Sheet1!$O$6))</f>
        <v/>
      </c>
    </row>
    <row r="567">
      <c r="A567">
        <f>Sheet1!K567</f>
        <v/>
      </c>
      <c r="B567">
        <f>IF(ISNA(Sheet1!I567),NA(),Sheet1!$O$5-(Sheet1!I567/Sheet1!$O$6))</f>
        <v/>
      </c>
    </row>
    <row r="568">
      <c r="A568">
        <f>Sheet1!K568</f>
        <v/>
      </c>
      <c r="B568">
        <f>IF(ISNA(Sheet1!I568),NA(),Sheet1!$O$5-(Sheet1!I568/Sheet1!$O$6))</f>
        <v/>
      </c>
    </row>
    <row r="569">
      <c r="A569">
        <f>Sheet1!K569</f>
        <v/>
      </c>
      <c r="B569">
        <f>IF(ISNA(Sheet1!I569),NA(),Sheet1!$O$5-(Sheet1!I569/Sheet1!$O$6))</f>
        <v/>
      </c>
    </row>
    <row r="570">
      <c r="A570">
        <f>Sheet1!K570</f>
        <v/>
      </c>
      <c r="B570">
        <f>IF(ISNA(Sheet1!I570),NA(),Sheet1!$O$5-(Sheet1!I570/Sheet1!$O$6))</f>
        <v/>
      </c>
    </row>
    <row r="571">
      <c r="A571">
        <f>Sheet1!K571</f>
        <v/>
      </c>
      <c r="B571">
        <f>IF(ISNA(Sheet1!I571),NA(),Sheet1!$O$5-(Sheet1!I571/Sheet1!$O$6))</f>
        <v/>
      </c>
    </row>
    <row r="572">
      <c r="A572">
        <f>Sheet1!K572</f>
        <v/>
      </c>
      <c r="B572">
        <f>IF(ISNA(Sheet1!I572),NA(),Sheet1!$O$5-(Sheet1!I572/Sheet1!$O$6))</f>
        <v/>
      </c>
    </row>
    <row r="573">
      <c r="A573">
        <f>Sheet1!K573</f>
        <v/>
      </c>
      <c r="B573">
        <f>IF(ISNA(Sheet1!I573),NA(),Sheet1!$O$5-(Sheet1!I573/Sheet1!$O$6))</f>
        <v/>
      </c>
    </row>
    <row r="574">
      <c r="A574">
        <f>Sheet1!K574</f>
        <v/>
      </c>
      <c r="B574">
        <f>IF(ISNA(Sheet1!I574),NA(),Sheet1!$O$5-(Sheet1!I574/Sheet1!$O$6))</f>
        <v/>
      </c>
    </row>
    <row r="575">
      <c r="A575">
        <f>Sheet1!K575</f>
        <v/>
      </c>
      <c r="B575">
        <f>IF(ISNA(Sheet1!I575),NA(),Sheet1!$O$5-(Sheet1!I575/Sheet1!$O$6))</f>
        <v/>
      </c>
    </row>
    <row r="576">
      <c r="A576">
        <f>Sheet1!K576</f>
        <v/>
      </c>
      <c r="B576">
        <f>IF(ISNA(Sheet1!I576),NA(),Sheet1!$O$5-(Sheet1!I576/Sheet1!$O$6))</f>
        <v/>
      </c>
    </row>
    <row r="577">
      <c r="A577">
        <f>Sheet1!K577</f>
        <v/>
      </c>
      <c r="B577">
        <f>IF(ISNA(Sheet1!I577),NA(),Sheet1!$O$5-(Sheet1!I577/Sheet1!$O$6))</f>
        <v/>
      </c>
    </row>
    <row r="578">
      <c r="A578">
        <f>Sheet1!K578</f>
        <v/>
      </c>
      <c r="B578">
        <f>IF(ISNA(Sheet1!I578),NA(),Sheet1!$O$5-(Sheet1!I578/Sheet1!$O$6))</f>
        <v/>
      </c>
    </row>
    <row r="579">
      <c r="A579">
        <f>Sheet1!K579</f>
        <v/>
      </c>
      <c r="B579">
        <f>IF(ISNA(Sheet1!I579),NA(),Sheet1!$O$5-(Sheet1!I579/Sheet1!$O$6))</f>
        <v/>
      </c>
    </row>
    <row r="580">
      <c r="A580">
        <f>Sheet1!K580</f>
        <v/>
      </c>
      <c r="B580">
        <f>IF(ISNA(Sheet1!I580),NA(),Sheet1!$O$5-(Sheet1!I580/Sheet1!$O$6))</f>
        <v/>
      </c>
    </row>
    <row r="581">
      <c r="A581">
        <f>Sheet1!K581</f>
        <v/>
      </c>
      <c r="B581">
        <f>IF(ISNA(Sheet1!I581),NA(),Sheet1!$O$5-(Sheet1!I581/Sheet1!$O$6))</f>
        <v/>
      </c>
    </row>
    <row r="582">
      <c r="A582">
        <f>Sheet1!K582</f>
        <v/>
      </c>
      <c r="B582">
        <f>IF(ISNA(Sheet1!I582),NA(),Sheet1!$O$5-(Sheet1!I582/Sheet1!$O$6))</f>
        <v/>
      </c>
    </row>
    <row r="583">
      <c r="A583">
        <f>Sheet1!K583</f>
        <v/>
      </c>
      <c r="B583">
        <f>IF(ISNA(Sheet1!I583),NA(),Sheet1!$O$5-(Sheet1!I583/Sheet1!$O$6))</f>
        <v/>
      </c>
    </row>
    <row r="584">
      <c r="A584">
        <f>Sheet1!K584</f>
        <v/>
      </c>
      <c r="B584">
        <f>IF(ISNA(Sheet1!I584),NA(),Sheet1!$O$5-(Sheet1!I584/Sheet1!$O$6))</f>
        <v/>
      </c>
    </row>
    <row r="585">
      <c r="A585">
        <f>Sheet1!K585</f>
        <v/>
      </c>
      <c r="B585">
        <f>IF(ISNA(Sheet1!I585),NA(),Sheet1!$O$5-(Sheet1!I585/Sheet1!$O$6))</f>
        <v/>
      </c>
    </row>
    <row r="586">
      <c r="A586">
        <f>Sheet1!K586</f>
        <v/>
      </c>
      <c r="B586">
        <f>IF(ISNA(Sheet1!I586),NA(),Sheet1!$O$5-(Sheet1!I586/Sheet1!$O$6))</f>
        <v/>
      </c>
    </row>
    <row r="587">
      <c r="A587">
        <f>Sheet1!K587</f>
        <v/>
      </c>
      <c r="B587">
        <f>IF(ISNA(Sheet1!I587),NA(),Sheet1!$O$5-(Sheet1!I587/Sheet1!$O$6))</f>
        <v/>
      </c>
    </row>
    <row r="588">
      <c r="A588">
        <f>Sheet1!K588</f>
        <v/>
      </c>
      <c r="B588">
        <f>IF(ISNA(Sheet1!I588),NA(),Sheet1!$O$5-(Sheet1!I588/Sheet1!$O$6))</f>
        <v/>
      </c>
    </row>
    <row r="589">
      <c r="A589">
        <f>Sheet1!K589</f>
        <v/>
      </c>
      <c r="B589">
        <f>IF(ISNA(Sheet1!I589),NA(),Sheet1!$O$5-(Sheet1!I589/Sheet1!$O$6))</f>
        <v/>
      </c>
    </row>
    <row r="590">
      <c r="A590">
        <f>Sheet1!K590</f>
        <v/>
      </c>
      <c r="B590">
        <f>IF(ISNA(Sheet1!I590),NA(),Sheet1!$O$5-(Sheet1!I590/Sheet1!$O$6))</f>
        <v/>
      </c>
    </row>
    <row r="591">
      <c r="A591">
        <f>Sheet1!K591</f>
        <v/>
      </c>
      <c r="B591">
        <f>IF(ISNA(Sheet1!I591),NA(),Sheet1!$O$5-(Sheet1!I591/Sheet1!$O$6))</f>
        <v/>
      </c>
    </row>
    <row r="592">
      <c r="A592">
        <f>Sheet1!K592</f>
        <v/>
      </c>
      <c r="B592">
        <f>IF(ISNA(Sheet1!I592),NA(),Sheet1!$O$5-(Sheet1!I592/Sheet1!$O$6))</f>
        <v/>
      </c>
    </row>
    <row r="593">
      <c r="A593">
        <f>Sheet1!K593</f>
        <v/>
      </c>
      <c r="B593">
        <f>IF(ISNA(Sheet1!I593),NA(),Sheet1!$O$5-(Sheet1!I593/Sheet1!$O$6))</f>
        <v/>
      </c>
    </row>
    <row r="594">
      <c r="A594">
        <f>Sheet1!K594</f>
        <v/>
      </c>
      <c r="B594">
        <f>IF(ISNA(Sheet1!I594),NA(),Sheet1!$O$5-(Sheet1!I594/Sheet1!$O$6))</f>
        <v/>
      </c>
    </row>
    <row r="595">
      <c r="A595">
        <f>Sheet1!K595</f>
        <v/>
      </c>
      <c r="B595">
        <f>IF(ISNA(Sheet1!I595),NA(),Sheet1!$O$5-(Sheet1!I595/Sheet1!$O$6))</f>
        <v/>
      </c>
    </row>
    <row r="596">
      <c r="A596">
        <f>Sheet1!K596</f>
        <v/>
      </c>
      <c r="B596">
        <f>IF(ISNA(Sheet1!I596),NA(),Sheet1!$O$5-(Sheet1!I596/Sheet1!$O$6))</f>
        <v/>
      </c>
    </row>
    <row r="597">
      <c r="A597">
        <f>Sheet1!K597</f>
        <v/>
      </c>
      <c r="B597">
        <f>IF(ISNA(Sheet1!I597),NA(),Sheet1!$O$5-(Sheet1!I597/Sheet1!$O$6))</f>
        <v/>
      </c>
    </row>
    <row r="598">
      <c r="A598">
        <f>Sheet1!K598</f>
        <v/>
      </c>
      <c r="B598">
        <f>IF(ISNA(Sheet1!I598),NA(),Sheet1!$O$5-(Sheet1!I598/Sheet1!$O$6))</f>
        <v/>
      </c>
    </row>
    <row r="599">
      <c r="A599">
        <f>Sheet1!K599</f>
        <v/>
      </c>
      <c r="B599">
        <f>IF(ISNA(Sheet1!I599),NA(),Sheet1!$O$5-(Sheet1!I599/Sheet1!$O$6))</f>
        <v/>
      </c>
    </row>
    <row r="600">
      <c r="A600">
        <f>Sheet1!K600</f>
        <v/>
      </c>
      <c r="B600">
        <f>IF(ISNA(Sheet1!I600),NA(),Sheet1!$O$5-(Sheet1!I600/Sheet1!$O$6))</f>
        <v/>
      </c>
    </row>
    <row r="601">
      <c r="A601">
        <f>Sheet1!K601</f>
        <v/>
      </c>
      <c r="B601">
        <f>IF(ISNA(Sheet1!I601),NA(),Sheet1!$O$5-(Sheet1!I601/Sheet1!$O$6))</f>
        <v/>
      </c>
    </row>
    <row r="602">
      <c r="A602">
        <f>Sheet1!K602</f>
        <v/>
      </c>
      <c r="B602">
        <f>IF(ISNA(Sheet1!I602),NA(),Sheet1!$O$5-(Sheet1!I602/Sheet1!$O$6))</f>
        <v/>
      </c>
    </row>
    <row r="603">
      <c r="A603">
        <f>Sheet1!K603</f>
        <v/>
      </c>
      <c r="B603">
        <f>IF(ISNA(Sheet1!I603),NA(),Sheet1!$O$5-(Sheet1!I603/Sheet1!$O$6))</f>
        <v/>
      </c>
    </row>
    <row r="604">
      <c r="A604">
        <f>Sheet1!K604</f>
        <v/>
      </c>
      <c r="B604">
        <f>IF(ISNA(Sheet1!I604),NA(),Sheet1!$O$5-(Sheet1!I604/Sheet1!$O$6))</f>
        <v/>
      </c>
    </row>
    <row r="605">
      <c r="A605">
        <f>Sheet1!K605</f>
        <v/>
      </c>
      <c r="B605">
        <f>IF(ISNA(Sheet1!I605),NA(),Sheet1!$O$5-(Sheet1!I605/Sheet1!$O$6))</f>
        <v/>
      </c>
    </row>
    <row r="606">
      <c r="A606">
        <f>Sheet1!K606</f>
        <v/>
      </c>
      <c r="B606">
        <f>IF(ISNA(Sheet1!I606),NA(),Sheet1!$O$5-(Sheet1!I606/Sheet1!$O$6))</f>
        <v/>
      </c>
    </row>
    <row r="607">
      <c r="A607">
        <f>Sheet1!K607</f>
        <v/>
      </c>
      <c r="B607">
        <f>IF(ISNA(Sheet1!I607),NA(),Sheet1!$O$5-(Sheet1!I607/Sheet1!$O$6))</f>
        <v/>
      </c>
    </row>
    <row r="608">
      <c r="A608">
        <f>Sheet1!K608</f>
        <v/>
      </c>
      <c r="B608">
        <f>IF(ISNA(Sheet1!I608),NA(),Sheet1!$O$5-(Sheet1!I608/Sheet1!$O$6))</f>
        <v/>
      </c>
    </row>
    <row r="609">
      <c r="A609">
        <f>Sheet1!K609</f>
        <v/>
      </c>
      <c r="B609">
        <f>IF(ISNA(Sheet1!I609),NA(),Sheet1!$O$5-(Sheet1!I609/Sheet1!$O$6))</f>
        <v/>
      </c>
    </row>
    <row r="610">
      <c r="A610">
        <f>Sheet1!K610</f>
        <v/>
      </c>
      <c r="B610">
        <f>IF(ISNA(Sheet1!I610),NA(),Sheet1!$O$5-(Sheet1!I610/Sheet1!$O$6))</f>
        <v/>
      </c>
    </row>
    <row r="611">
      <c r="A611">
        <f>Sheet1!K611</f>
        <v/>
      </c>
      <c r="B611">
        <f>IF(ISNA(Sheet1!I611),NA(),Sheet1!$O$5-(Sheet1!I611/Sheet1!$O$6))</f>
        <v/>
      </c>
    </row>
    <row r="612">
      <c r="A612">
        <f>Sheet1!K612</f>
        <v/>
      </c>
      <c r="B612">
        <f>IF(ISNA(Sheet1!I612),NA(),Sheet1!$O$5-(Sheet1!I612/Sheet1!$O$6))</f>
        <v/>
      </c>
    </row>
    <row r="613">
      <c r="A613">
        <f>Sheet1!K613</f>
        <v/>
      </c>
      <c r="B613">
        <f>IF(ISNA(Sheet1!I613),NA(),Sheet1!$O$5-(Sheet1!I613/Sheet1!$O$6))</f>
        <v/>
      </c>
    </row>
    <row r="614">
      <c r="A614">
        <f>Sheet1!K614</f>
        <v/>
      </c>
      <c r="B614">
        <f>IF(ISNA(Sheet1!I614),NA(),Sheet1!$O$5-(Sheet1!I614/Sheet1!$O$6))</f>
        <v/>
      </c>
    </row>
    <row r="615">
      <c r="A615">
        <f>Sheet1!K615</f>
        <v/>
      </c>
      <c r="B615">
        <f>IF(ISNA(Sheet1!I615),NA(),Sheet1!$O$5-(Sheet1!I615/Sheet1!$O$6))</f>
        <v/>
      </c>
    </row>
    <row r="616">
      <c r="A616">
        <f>Sheet1!K616</f>
        <v/>
      </c>
      <c r="B616">
        <f>IF(ISNA(Sheet1!I616),NA(),Sheet1!$O$5-(Sheet1!I616/Sheet1!$O$6))</f>
        <v/>
      </c>
    </row>
    <row r="617">
      <c r="A617">
        <f>Sheet1!K617</f>
        <v/>
      </c>
      <c r="B617">
        <f>IF(ISNA(Sheet1!I617),NA(),Sheet1!$O$5-(Sheet1!I617/Sheet1!$O$6))</f>
        <v/>
      </c>
    </row>
    <row r="618">
      <c r="A618">
        <f>Sheet1!K618</f>
        <v/>
      </c>
      <c r="B618">
        <f>IF(ISNA(Sheet1!I618),NA(),Sheet1!$O$5-(Sheet1!I618/Sheet1!$O$6))</f>
        <v/>
      </c>
    </row>
    <row r="619">
      <c r="A619">
        <f>Sheet1!K619</f>
        <v/>
      </c>
      <c r="B619">
        <f>IF(ISNA(Sheet1!I619),NA(),Sheet1!$O$5-(Sheet1!I619/Sheet1!$O$6))</f>
        <v/>
      </c>
    </row>
    <row r="620">
      <c r="A620">
        <f>Sheet1!K620</f>
        <v/>
      </c>
      <c r="B620">
        <f>IF(ISNA(Sheet1!I620),NA(),Sheet1!$O$5-(Sheet1!I620/Sheet1!$O$6))</f>
        <v/>
      </c>
    </row>
    <row r="621">
      <c r="A621">
        <f>Sheet1!K621</f>
        <v/>
      </c>
      <c r="B621">
        <f>IF(ISNA(Sheet1!I621),NA(),Sheet1!$O$5-(Sheet1!I621/Sheet1!$O$6))</f>
        <v/>
      </c>
    </row>
    <row r="622">
      <c r="A622">
        <f>Sheet1!K622</f>
        <v/>
      </c>
      <c r="B622">
        <f>IF(ISNA(Sheet1!I622),NA(),Sheet1!$O$5-(Sheet1!I622/Sheet1!$O$6))</f>
        <v/>
      </c>
    </row>
    <row r="623">
      <c r="A623">
        <f>Sheet1!K623</f>
        <v/>
      </c>
      <c r="B623">
        <f>IF(ISNA(Sheet1!I623),NA(),Sheet1!$O$5-(Sheet1!I623/Sheet1!$O$6))</f>
        <v/>
      </c>
    </row>
    <row r="624">
      <c r="A624">
        <f>Sheet1!K624</f>
        <v/>
      </c>
      <c r="B624">
        <f>IF(ISNA(Sheet1!I624),NA(),Sheet1!$O$5-(Sheet1!I624/Sheet1!$O$6))</f>
        <v/>
      </c>
    </row>
    <row r="625">
      <c r="A625">
        <f>Sheet1!K625</f>
        <v/>
      </c>
      <c r="B625">
        <f>IF(ISNA(Sheet1!I625),NA(),Sheet1!$O$5-(Sheet1!I625/Sheet1!$O$6))</f>
        <v/>
      </c>
    </row>
    <row r="626">
      <c r="A626">
        <f>Sheet1!K626</f>
        <v/>
      </c>
      <c r="B626">
        <f>IF(ISNA(Sheet1!I626),NA(),Sheet1!$O$5-(Sheet1!I626/Sheet1!$O$6))</f>
        <v/>
      </c>
    </row>
    <row r="627">
      <c r="A627">
        <f>Sheet1!K627</f>
        <v/>
      </c>
      <c r="B627">
        <f>IF(ISNA(Sheet1!I627),NA(),Sheet1!$O$5-(Sheet1!I627/Sheet1!$O$6))</f>
        <v/>
      </c>
    </row>
    <row r="628">
      <c r="A628">
        <f>Sheet1!K628</f>
        <v/>
      </c>
      <c r="B628">
        <f>IF(ISNA(Sheet1!I628),NA(),Sheet1!$O$5-(Sheet1!I628/Sheet1!$O$6))</f>
        <v/>
      </c>
    </row>
    <row r="629">
      <c r="A629">
        <f>Sheet1!K629</f>
        <v/>
      </c>
      <c r="B629">
        <f>IF(ISNA(Sheet1!I629),NA(),Sheet1!$O$5-(Sheet1!I629/Sheet1!$O$6))</f>
        <v/>
      </c>
    </row>
    <row r="630">
      <c r="A630">
        <f>Sheet1!K630</f>
        <v/>
      </c>
      <c r="B630">
        <f>IF(ISNA(Sheet1!I630),NA(),Sheet1!$O$5-(Sheet1!I630/Sheet1!$O$6))</f>
        <v/>
      </c>
    </row>
    <row r="631">
      <c r="A631">
        <f>Sheet1!K631</f>
        <v/>
      </c>
      <c r="B631">
        <f>IF(ISNA(Sheet1!I631),NA(),Sheet1!$O$5-(Sheet1!I631/Sheet1!$O$6))</f>
        <v/>
      </c>
    </row>
    <row r="632">
      <c r="A632">
        <f>Sheet1!K632</f>
        <v/>
      </c>
      <c r="B632">
        <f>IF(ISNA(Sheet1!I632),NA(),Sheet1!$O$5-(Sheet1!I632/Sheet1!$O$6))</f>
        <v/>
      </c>
    </row>
    <row r="633">
      <c r="A633">
        <f>Sheet1!K633</f>
        <v/>
      </c>
      <c r="B633">
        <f>IF(ISNA(Sheet1!I633),NA(),Sheet1!$O$5-(Sheet1!I633/Sheet1!$O$6))</f>
        <v/>
      </c>
    </row>
    <row r="634">
      <c r="A634">
        <f>Sheet1!K634</f>
        <v/>
      </c>
      <c r="B634">
        <f>IF(ISNA(Sheet1!I634),NA(),Sheet1!$O$5-(Sheet1!I634/Sheet1!$O$6))</f>
        <v/>
      </c>
    </row>
    <row r="635">
      <c r="A635">
        <f>Sheet1!K635</f>
        <v/>
      </c>
      <c r="B635">
        <f>IF(ISNA(Sheet1!I635),NA(),Sheet1!$O$5-(Sheet1!I635/Sheet1!$O$6))</f>
        <v/>
      </c>
    </row>
    <row r="636">
      <c r="A636">
        <f>Sheet1!K636</f>
        <v/>
      </c>
      <c r="B636">
        <f>IF(ISNA(Sheet1!I636),NA(),Sheet1!$O$5-(Sheet1!I636/Sheet1!$O$6))</f>
        <v/>
      </c>
    </row>
    <row r="637">
      <c r="A637">
        <f>Sheet1!K637</f>
        <v/>
      </c>
      <c r="B637">
        <f>IF(ISNA(Sheet1!I637),NA(),Sheet1!$O$5-(Sheet1!I637/Sheet1!$O$6))</f>
        <v/>
      </c>
    </row>
    <row r="638">
      <c r="A638">
        <f>Sheet1!K638</f>
        <v/>
      </c>
      <c r="B638">
        <f>IF(ISNA(Sheet1!I638),NA(),Sheet1!$O$5-(Sheet1!I638/Sheet1!$O$6))</f>
        <v/>
      </c>
    </row>
    <row r="639">
      <c r="A639">
        <f>Sheet1!K639</f>
        <v/>
      </c>
      <c r="B639">
        <f>IF(ISNA(Sheet1!I639),NA(),Sheet1!$O$5-(Sheet1!I639/Sheet1!$O$6))</f>
        <v/>
      </c>
    </row>
    <row r="640">
      <c r="A640">
        <f>Sheet1!K640</f>
        <v/>
      </c>
      <c r="B640">
        <f>IF(ISNA(Sheet1!I640),NA(),Sheet1!$O$5-(Sheet1!I640/Sheet1!$O$6))</f>
        <v/>
      </c>
    </row>
    <row r="641">
      <c r="A641">
        <f>Sheet1!K641</f>
        <v/>
      </c>
      <c r="B641">
        <f>IF(ISNA(Sheet1!I641),NA(),Sheet1!$O$5-(Sheet1!I641/Sheet1!$O$6))</f>
        <v/>
      </c>
    </row>
    <row r="642">
      <c r="A642">
        <f>Sheet1!K642</f>
        <v/>
      </c>
      <c r="B642">
        <f>IF(ISNA(Sheet1!I642),NA(),Sheet1!$O$5-(Sheet1!I642/Sheet1!$O$6))</f>
        <v/>
      </c>
    </row>
    <row r="643">
      <c r="A643">
        <f>Sheet1!K643</f>
        <v/>
      </c>
      <c r="B643">
        <f>IF(ISNA(Sheet1!I643),NA(),Sheet1!$O$5-(Sheet1!I643/Sheet1!$O$6))</f>
        <v/>
      </c>
    </row>
    <row r="644">
      <c r="A644">
        <f>Sheet1!K644</f>
        <v/>
      </c>
      <c r="B644">
        <f>IF(ISNA(Sheet1!I644),NA(),Sheet1!$O$5-(Sheet1!I644/Sheet1!$O$6))</f>
        <v/>
      </c>
    </row>
    <row r="645">
      <c r="A645">
        <f>Sheet1!K645</f>
        <v/>
      </c>
      <c r="B645">
        <f>IF(ISNA(Sheet1!I645),NA(),Sheet1!$O$5-(Sheet1!I645/Sheet1!$O$6))</f>
        <v/>
      </c>
    </row>
    <row r="646">
      <c r="A646">
        <f>Sheet1!K646</f>
        <v/>
      </c>
      <c r="B646">
        <f>IF(ISNA(Sheet1!I646),NA(),Sheet1!$O$5-(Sheet1!I646/Sheet1!$O$6))</f>
        <v/>
      </c>
    </row>
    <row r="647">
      <c r="A647">
        <f>Sheet1!K647</f>
        <v/>
      </c>
      <c r="B647">
        <f>IF(ISNA(Sheet1!I647),NA(),Sheet1!$O$5-(Sheet1!I647/Sheet1!$O$6))</f>
        <v/>
      </c>
    </row>
    <row r="648">
      <c r="A648">
        <f>Sheet1!K648</f>
        <v/>
      </c>
      <c r="B648">
        <f>IF(ISNA(Sheet1!I648),NA(),Sheet1!$O$5-(Sheet1!I648/Sheet1!$O$6))</f>
        <v/>
      </c>
    </row>
    <row r="649">
      <c r="A649">
        <f>Sheet1!K649</f>
        <v/>
      </c>
      <c r="B649">
        <f>IF(ISNA(Sheet1!I649),NA(),Sheet1!$O$5-(Sheet1!I649/Sheet1!$O$6))</f>
        <v/>
      </c>
    </row>
    <row r="650">
      <c r="A650">
        <f>Sheet1!K650</f>
        <v/>
      </c>
      <c r="B650">
        <f>IF(ISNA(Sheet1!I650),NA(),Sheet1!$O$5-(Sheet1!I650/Sheet1!$O$6))</f>
        <v/>
      </c>
    </row>
    <row r="651">
      <c r="A651">
        <f>Sheet1!K651</f>
        <v/>
      </c>
      <c r="B651">
        <f>IF(ISNA(Sheet1!I651),NA(),Sheet1!$O$5-(Sheet1!I651/Sheet1!$O$6))</f>
        <v/>
      </c>
    </row>
    <row r="652">
      <c r="A652">
        <f>Sheet1!K652</f>
        <v/>
      </c>
      <c r="B652">
        <f>IF(ISNA(Sheet1!I652),NA(),Sheet1!$O$5-(Sheet1!I652/Sheet1!$O$6))</f>
        <v/>
      </c>
    </row>
    <row r="653">
      <c r="A653">
        <f>Sheet1!K653</f>
        <v/>
      </c>
      <c r="B653">
        <f>IF(ISNA(Sheet1!I653),NA(),Sheet1!$O$5-(Sheet1!I653/Sheet1!$O$6))</f>
        <v/>
      </c>
    </row>
    <row r="654">
      <c r="A654">
        <f>Sheet1!K654</f>
        <v/>
      </c>
      <c r="B654">
        <f>IF(ISNA(Sheet1!I654),NA(),Sheet1!$O$5-(Sheet1!I654/Sheet1!$O$6))</f>
        <v/>
      </c>
    </row>
    <row r="655">
      <c r="A655">
        <f>Sheet1!K655</f>
        <v/>
      </c>
      <c r="B655">
        <f>IF(ISNA(Sheet1!I655),NA(),Sheet1!$O$5-(Sheet1!I655/Sheet1!$O$6))</f>
        <v/>
      </c>
    </row>
    <row r="656">
      <c r="A656">
        <f>Sheet1!K656</f>
        <v/>
      </c>
      <c r="B656">
        <f>IF(ISNA(Sheet1!I656),NA(),Sheet1!$O$5-(Sheet1!I656/Sheet1!$O$6))</f>
        <v/>
      </c>
    </row>
    <row r="657">
      <c r="A657">
        <f>Sheet1!K657</f>
        <v/>
      </c>
      <c r="B657">
        <f>IF(ISNA(Sheet1!I657),NA(),Sheet1!$O$5-(Sheet1!I657/Sheet1!$O$6))</f>
        <v/>
      </c>
    </row>
    <row r="658">
      <c r="A658">
        <f>Sheet1!K658</f>
        <v/>
      </c>
      <c r="B658">
        <f>IF(ISNA(Sheet1!I658),NA(),Sheet1!$O$5-(Sheet1!I658/Sheet1!$O$6))</f>
        <v/>
      </c>
    </row>
    <row r="659">
      <c r="A659">
        <f>Sheet1!K659</f>
        <v/>
      </c>
      <c r="B659">
        <f>IF(ISNA(Sheet1!I659),NA(),Sheet1!$O$5-(Sheet1!I659/Sheet1!$O$6))</f>
        <v/>
      </c>
    </row>
    <row r="660">
      <c r="A660">
        <f>Sheet1!K660</f>
        <v/>
      </c>
      <c r="B660">
        <f>IF(ISNA(Sheet1!I660),NA(),Sheet1!$O$5-(Sheet1!I660/Sheet1!$O$6))</f>
        <v/>
      </c>
    </row>
    <row r="661">
      <c r="A661">
        <f>Sheet1!K661</f>
        <v/>
      </c>
      <c r="B661">
        <f>IF(ISNA(Sheet1!I661),NA(),Sheet1!$O$5-(Sheet1!I661/Sheet1!$O$6))</f>
        <v/>
      </c>
    </row>
    <row r="662">
      <c r="A662">
        <f>Sheet1!K662</f>
        <v/>
      </c>
      <c r="B662">
        <f>IF(ISNA(Sheet1!I662),NA(),Sheet1!$O$5-(Sheet1!I662/Sheet1!$O$6))</f>
        <v/>
      </c>
    </row>
    <row r="663">
      <c r="A663">
        <f>Sheet1!K663</f>
        <v/>
      </c>
      <c r="B663">
        <f>IF(ISNA(Sheet1!I663),NA(),Sheet1!$O$5-(Sheet1!I663/Sheet1!$O$6))</f>
        <v/>
      </c>
    </row>
    <row r="664">
      <c r="A664">
        <f>Sheet1!K664</f>
        <v/>
      </c>
      <c r="B664">
        <f>IF(ISNA(Sheet1!I664),NA(),Sheet1!$O$5-(Sheet1!I664/Sheet1!$O$6))</f>
        <v/>
      </c>
    </row>
    <row r="665">
      <c r="A665">
        <f>Sheet1!K665</f>
        <v/>
      </c>
      <c r="B665">
        <f>IF(ISNA(Sheet1!I665),NA(),Sheet1!$O$5-(Sheet1!I665/Sheet1!$O$6))</f>
        <v/>
      </c>
    </row>
    <row r="666">
      <c r="A666">
        <f>Sheet1!K666</f>
        <v/>
      </c>
      <c r="B666">
        <f>IF(ISNA(Sheet1!I666),NA(),Sheet1!$O$5-(Sheet1!I666/Sheet1!$O$6))</f>
        <v/>
      </c>
    </row>
    <row r="667">
      <c r="A667">
        <f>Sheet1!K667</f>
        <v/>
      </c>
      <c r="B667">
        <f>IF(ISNA(Sheet1!I667),NA(),Sheet1!$O$5-(Sheet1!I667/Sheet1!$O$6))</f>
        <v/>
      </c>
    </row>
    <row r="668">
      <c r="A668">
        <f>Sheet1!K668</f>
        <v/>
      </c>
      <c r="B668">
        <f>IF(ISNA(Sheet1!I668),NA(),Sheet1!$O$5-(Sheet1!I668/Sheet1!$O$6))</f>
        <v/>
      </c>
    </row>
    <row r="669">
      <c r="A669">
        <f>Sheet1!K669</f>
        <v/>
      </c>
      <c r="B669">
        <f>IF(ISNA(Sheet1!I669),NA(),Sheet1!$O$5-(Sheet1!I669/Sheet1!$O$6))</f>
        <v/>
      </c>
    </row>
    <row r="670">
      <c r="A670">
        <f>Sheet1!K670</f>
        <v/>
      </c>
      <c r="B670">
        <f>IF(ISNA(Sheet1!I670),NA(),Sheet1!$O$5-(Sheet1!I670/Sheet1!$O$6))</f>
        <v/>
      </c>
    </row>
    <row r="671">
      <c r="A671">
        <f>Sheet1!K671</f>
        <v/>
      </c>
      <c r="B671">
        <f>IF(ISNA(Sheet1!I671),NA(),Sheet1!$O$5-(Sheet1!I671/Sheet1!$O$6))</f>
        <v/>
      </c>
    </row>
    <row r="672">
      <c r="A672">
        <f>Sheet1!K672</f>
        <v/>
      </c>
      <c r="B672">
        <f>IF(ISNA(Sheet1!I672),NA(),Sheet1!$O$5-(Sheet1!I672/Sheet1!$O$6))</f>
        <v/>
      </c>
    </row>
    <row r="673">
      <c r="A673">
        <f>Sheet1!K673</f>
        <v/>
      </c>
      <c r="B673">
        <f>IF(ISNA(Sheet1!I673),NA(),Sheet1!$O$5-(Sheet1!I673/Sheet1!$O$6))</f>
        <v/>
      </c>
    </row>
    <row r="674">
      <c r="A674">
        <f>Sheet1!K674</f>
        <v/>
      </c>
      <c r="B674">
        <f>IF(ISNA(Sheet1!I674),NA(),Sheet1!$O$5-(Sheet1!I674/Sheet1!$O$6))</f>
        <v/>
      </c>
    </row>
    <row r="675">
      <c r="A675">
        <f>Sheet1!K675</f>
        <v/>
      </c>
      <c r="B675">
        <f>IF(ISNA(Sheet1!I675),NA(),Sheet1!$O$5-(Sheet1!I675/Sheet1!$O$6))</f>
        <v/>
      </c>
    </row>
    <row r="676">
      <c r="A676">
        <f>Sheet1!K676</f>
        <v/>
      </c>
      <c r="B676">
        <f>IF(ISNA(Sheet1!I676),NA(),Sheet1!$O$5-(Sheet1!I676/Sheet1!$O$6))</f>
        <v/>
      </c>
    </row>
    <row r="677">
      <c r="A677">
        <f>Sheet1!K677</f>
        <v/>
      </c>
      <c r="B677">
        <f>IF(ISNA(Sheet1!I677),NA(),Sheet1!$O$5-(Sheet1!I677/Sheet1!$O$6))</f>
        <v/>
      </c>
    </row>
    <row r="678">
      <c r="A678">
        <f>Sheet1!K678</f>
        <v/>
      </c>
      <c r="B678">
        <f>IF(ISNA(Sheet1!I678),NA(),Sheet1!$O$5-(Sheet1!I678/Sheet1!$O$6))</f>
        <v/>
      </c>
    </row>
    <row r="679">
      <c r="A679">
        <f>Sheet1!K679</f>
        <v/>
      </c>
      <c r="B679">
        <f>IF(ISNA(Sheet1!I679),NA(),Sheet1!$O$5-(Sheet1!I679/Sheet1!$O$6))</f>
        <v/>
      </c>
    </row>
    <row r="680">
      <c r="A680">
        <f>Sheet1!K680</f>
        <v/>
      </c>
      <c r="B680">
        <f>IF(ISNA(Sheet1!I680),NA(),Sheet1!$O$5-(Sheet1!I680/Sheet1!$O$6))</f>
        <v/>
      </c>
    </row>
    <row r="681">
      <c r="A681">
        <f>Sheet1!K681</f>
        <v/>
      </c>
      <c r="B681">
        <f>IF(ISNA(Sheet1!I681),NA(),Sheet1!$O$5-(Sheet1!I681/Sheet1!$O$6))</f>
        <v/>
      </c>
    </row>
    <row r="682">
      <c r="A682">
        <f>Sheet1!K682</f>
        <v/>
      </c>
      <c r="B682">
        <f>IF(ISNA(Sheet1!I682),NA(),Sheet1!$O$5-(Sheet1!I682/Sheet1!$O$6))</f>
        <v/>
      </c>
    </row>
    <row r="683">
      <c r="A683">
        <f>Sheet1!K683</f>
        <v/>
      </c>
      <c r="B683">
        <f>IF(ISNA(Sheet1!I683),NA(),Sheet1!$O$5-(Sheet1!I683/Sheet1!$O$6))</f>
        <v/>
      </c>
    </row>
    <row r="684">
      <c r="A684">
        <f>Sheet1!K684</f>
        <v/>
      </c>
      <c r="B684">
        <f>IF(ISNA(Sheet1!I684),NA(),Sheet1!$O$5-(Sheet1!I684/Sheet1!$O$6))</f>
        <v/>
      </c>
    </row>
    <row r="685">
      <c r="A685">
        <f>Sheet1!K685</f>
        <v/>
      </c>
      <c r="B685">
        <f>IF(ISNA(Sheet1!I685),NA(),Sheet1!$O$5-(Sheet1!I685/Sheet1!$O$6))</f>
        <v/>
      </c>
    </row>
    <row r="686">
      <c r="A686">
        <f>Sheet1!K686</f>
        <v/>
      </c>
      <c r="B686">
        <f>IF(ISNA(Sheet1!I686),NA(),Sheet1!$O$5-(Sheet1!I686/Sheet1!$O$6))</f>
        <v/>
      </c>
    </row>
    <row r="687">
      <c r="A687">
        <f>Sheet1!K687</f>
        <v/>
      </c>
      <c r="B687">
        <f>IF(ISNA(Sheet1!I687),NA(),Sheet1!$O$5-(Sheet1!I687/Sheet1!$O$6))</f>
        <v/>
      </c>
    </row>
    <row r="688">
      <c r="A688">
        <f>Sheet1!K688</f>
        <v/>
      </c>
      <c r="B688">
        <f>IF(ISNA(Sheet1!I688),NA(),Sheet1!$O$5-(Sheet1!I688/Sheet1!$O$6))</f>
        <v/>
      </c>
    </row>
    <row r="689">
      <c r="A689">
        <f>Sheet1!K689</f>
        <v/>
      </c>
      <c r="B689">
        <f>IF(ISNA(Sheet1!I689),NA(),Sheet1!$O$5-(Sheet1!I689/Sheet1!$O$6))</f>
        <v/>
      </c>
    </row>
    <row r="690">
      <c r="A690">
        <f>Sheet1!K690</f>
        <v/>
      </c>
      <c r="B690">
        <f>IF(ISNA(Sheet1!I690),NA(),Sheet1!$O$5-(Sheet1!I690/Sheet1!$O$6))</f>
        <v/>
      </c>
    </row>
    <row r="691">
      <c r="A691">
        <f>Sheet1!K691</f>
        <v/>
      </c>
      <c r="B691">
        <f>IF(ISNA(Sheet1!I691),NA(),Sheet1!$O$5-(Sheet1!I691/Sheet1!$O$6))</f>
        <v/>
      </c>
    </row>
    <row r="692">
      <c r="A692">
        <f>Sheet1!K692</f>
        <v/>
      </c>
      <c r="B692">
        <f>IF(ISNA(Sheet1!I692),NA(),Sheet1!$O$5-(Sheet1!I692/Sheet1!$O$6))</f>
        <v/>
      </c>
    </row>
    <row r="693">
      <c r="A693">
        <f>Sheet1!K693</f>
        <v/>
      </c>
      <c r="B693">
        <f>IF(ISNA(Sheet1!I693),NA(),Sheet1!$O$5-(Sheet1!I693/Sheet1!$O$6))</f>
        <v/>
      </c>
    </row>
    <row r="694">
      <c r="A694">
        <f>Sheet1!K694</f>
        <v/>
      </c>
      <c r="B694">
        <f>IF(ISNA(Sheet1!I694),NA(),Sheet1!$O$5-(Sheet1!I694/Sheet1!$O$6))</f>
        <v/>
      </c>
    </row>
    <row r="695">
      <c r="A695">
        <f>Sheet1!K695</f>
        <v/>
      </c>
      <c r="B695">
        <f>IF(ISNA(Sheet1!I695),NA(),Sheet1!$O$5-(Sheet1!I695/Sheet1!$O$6))</f>
        <v/>
      </c>
    </row>
    <row r="696">
      <c r="A696">
        <f>Sheet1!K696</f>
        <v/>
      </c>
      <c r="B696">
        <f>IF(ISNA(Sheet1!I696),NA(),Sheet1!$O$5-(Sheet1!I696/Sheet1!$O$6))</f>
        <v/>
      </c>
    </row>
    <row r="697">
      <c r="A697">
        <f>Sheet1!K697</f>
        <v/>
      </c>
      <c r="B697">
        <f>IF(ISNA(Sheet1!I697),NA(),Sheet1!$O$5-(Sheet1!I697/Sheet1!$O$6))</f>
        <v/>
      </c>
    </row>
    <row r="698">
      <c r="A698">
        <f>Sheet1!K698</f>
        <v/>
      </c>
      <c r="B698">
        <f>IF(ISNA(Sheet1!I698),NA(),Sheet1!$O$5-(Sheet1!I698/Sheet1!$O$6))</f>
        <v/>
      </c>
    </row>
    <row r="699">
      <c r="A699">
        <f>Sheet1!K699</f>
        <v/>
      </c>
      <c r="B699">
        <f>IF(ISNA(Sheet1!I699),NA(),Sheet1!$O$5-(Sheet1!I699/Sheet1!$O$6))</f>
        <v/>
      </c>
    </row>
    <row r="700">
      <c r="A700">
        <f>Sheet1!K700</f>
        <v/>
      </c>
      <c r="B700">
        <f>IF(ISNA(Sheet1!I700),NA(),Sheet1!$O$5-(Sheet1!I700/Sheet1!$O$6))</f>
        <v/>
      </c>
    </row>
    <row r="701">
      <c r="A701">
        <f>Sheet1!K701</f>
        <v/>
      </c>
      <c r="B701">
        <f>IF(ISNA(Sheet1!I701),NA(),Sheet1!$O$5-(Sheet1!I701/Sheet1!$O$6))</f>
        <v/>
      </c>
    </row>
    <row r="702">
      <c r="A702">
        <f>Sheet1!K702</f>
        <v/>
      </c>
      <c r="B702">
        <f>IF(ISNA(Sheet1!I702),NA(),Sheet1!$O$5-(Sheet1!I702/Sheet1!$O$6))</f>
        <v/>
      </c>
    </row>
    <row r="703">
      <c r="A703">
        <f>Sheet1!K703</f>
        <v/>
      </c>
      <c r="B703">
        <f>IF(ISNA(Sheet1!I703),NA(),Sheet1!$O$5-(Sheet1!I703/Sheet1!$O$6))</f>
        <v/>
      </c>
    </row>
    <row r="704">
      <c r="A704">
        <f>Sheet1!K704</f>
        <v/>
      </c>
      <c r="B704">
        <f>IF(ISNA(Sheet1!I704),NA(),Sheet1!$O$5-(Sheet1!I704/Sheet1!$O$6))</f>
        <v/>
      </c>
    </row>
    <row r="705">
      <c r="A705">
        <f>Sheet1!K705</f>
        <v/>
      </c>
      <c r="B705">
        <f>IF(ISNA(Sheet1!I705),NA(),Sheet1!$O$5-(Sheet1!I705/Sheet1!$O$6))</f>
        <v/>
      </c>
    </row>
    <row r="706">
      <c r="A706">
        <f>Sheet1!K706</f>
        <v/>
      </c>
      <c r="B706">
        <f>IF(ISNA(Sheet1!I706),NA(),Sheet1!$O$5-(Sheet1!I706/Sheet1!$O$6))</f>
        <v/>
      </c>
    </row>
    <row r="707">
      <c r="A707">
        <f>Sheet1!K707</f>
        <v/>
      </c>
      <c r="B707">
        <f>IF(ISNA(Sheet1!I707),NA(),Sheet1!$O$5-(Sheet1!I707/Sheet1!$O$6))</f>
        <v/>
      </c>
    </row>
    <row r="708">
      <c r="A708">
        <f>Sheet1!K708</f>
        <v/>
      </c>
      <c r="B708">
        <f>IF(ISNA(Sheet1!I708),NA(),Sheet1!$O$5-(Sheet1!I708/Sheet1!$O$6))</f>
        <v/>
      </c>
    </row>
    <row r="709">
      <c r="A709">
        <f>Sheet1!K709</f>
        <v/>
      </c>
      <c r="B709">
        <f>IF(ISNA(Sheet1!I709),NA(),Sheet1!$O$5-(Sheet1!I709/Sheet1!$O$6))</f>
        <v/>
      </c>
    </row>
    <row r="710">
      <c r="A710">
        <f>Sheet1!K710</f>
        <v/>
      </c>
      <c r="B710">
        <f>IF(ISNA(Sheet1!I710),NA(),Sheet1!$O$5-(Sheet1!I710/Sheet1!$O$6))</f>
        <v/>
      </c>
    </row>
    <row r="711">
      <c r="A711">
        <f>Sheet1!K711</f>
        <v/>
      </c>
      <c r="B711">
        <f>IF(ISNA(Sheet1!I711),NA(),Sheet1!$O$5-(Sheet1!I711/Sheet1!$O$6))</f>
        <v/>
      </c>
    </row>
    <row r="712">
      <c r="A712">
        <f>Sheet1!K712</f>
        <v/>
      </c>
      <c r="B712">
        <f>IF(ISNA(Sheet1!I712),NA(),Sheet1!$O$5-(Sheet1!I712/Sheet1!$O$6))</f>
        <v/>
      </c>
    </row>
    <row r="713">
      <c r="A713">
        <f>Sheet1!K713</f>
        <v/>
      </c>
      <c r="B713">
        <f>IF(ISNA(Sheet1!I713),NA(),Sheet1!$O$5-(Sheet1!I713/Sheet1!$O$6))</f>
        <v/>
      </c>
    </row>
    <row r="714">
      <c r="A714">
        <f>Sheet1!K714</f>
        <v/>
      </c>
      <c r="B714">
        <f>IF(ISNA(Sheet1!I714),NA(),Sheet1!$O$5-(Sheet1!I714/Sheet1!$O$6))</f>
        <v/>
      </c>
    </row>
    <row r="715">
      <c r="A715">
        <f>Sheet1!K715</f>
        <v/>
      </c>
      <c r="B715">
        <f>IF(ISNA(Sheet1!I715),NA(),Sheet1!$O$5-(Sheet1!I715/Sheet1!$O$6))</f>
        <v/>
      </c>
    </row>
    <row r="716">
      <c r="A716">
        <f>Sheet1!K716</f>
        <v/>
      </c>
      <c r="B716">
        <f>IF(ISNA(Sheet1!I716),NA(),Sheet1!$O$5-(Sheet1!I716/Sheet1!$O$6))</f>
        <v/>
      </c>
    </row>
    <row r="717">
      <c r="A717">
        <f>Sheet1!K717</f>
        <v/>
      </c>
      <c r="B717">
        <f>IF(ISNA(Sheet1!I717),NA(),Sheet1!$O$5-(Sheet1!I717/Sheet1!$O$6))</f>
        <v/>
      </c>
    </row>
    <row r="718">
      <c r="A718">
        <f>Sheet1!K718</f>
        <v/>
      </c>
      <c r="B718">
        <f>IF(ISNA(Sheet1!I718),NA(),Sheet1!$O$5-(Sheet1!I718/Sheet1!$O$6))</f>
        <v/>
      </c>
    </row>
    <row r="719">
      <c r="A719">
        <f>Sheet1!K719</f>
        <v/>
      </c>
      <c r="B719">
        <f>IF(ISNA(Sheet1!I719),NA(),Sheet1!$O$5-(Sheet1!I719/Sheet1!$O$6))</f>
        <v/>
      </c>
    </row>
    <row r="720">
      <c r="A720">
        <f>Sheet1!K720</f>
        <v/>
      </c>
      <c r="B720">
        <f>IF(ISNA(Sheet1!I720),NA(),Sheet1!$O$5-(Sheet1!I720/Sheet1!$O$6))</f>
        <v/>
      </c>
    </row>
    <row r="721">
      <c r="A721">
        <f>Sheet1!K721</f>
        <v/>
      </c>
      <c r="B721">
        <f>IF(ISNA(Sheet1!I721),NA(),Sheet1!$O$5-(Sheet1!I721/Sheet1!$O$6))</f>
        <v/>
      </c>
    </row>
    <row r="722">
      <c r="A722">
        <f>Sheet1!K722</f>
        <v/>
      </c>
      <c r="B722">
        <f>IF(ISNA(Sheet1!I722),NA(),Sheet1!$O$5-(Sheet1!I722/Sheet1!$O$6))</f>
        <v/>
      </c>
    </row>
    <row r="723">
      <c r="A723">
        <f>Sheet1!K723</f>
        <v/>
      </c>
      <c r="B723">
        <f>IF(ISNA(Sheet1!I723),NA(),Sheet1!$O$5-(Sheet1!I723/Sheet1!$O$6))</f>
        <v/>
      </c>
    </row>
    <row r="724">
      <c r="A724">
        <f>Sheet1!K724</f>
        <v/>
      </c>
      <c r="B724">
        <f>IF(ISNA(Sheet1!I724),NA(),Sheet1!$O$5-(Sheet1!I724/Sheet1!$O$6))</f>
        <v/>
      </c>
    </row>
    <row r="725">
      <c r="A725">
        <f>Sheet1!K725</f>
        <v/>
      </c>
      <c r="B725">
        <f>IF(ISNA(Sheet1!I725),NA(),Sheet1!$O$5-(Sheet1!I725/Sheet1!$O$6))</f>
        <v/>
      </c>
    </row>
    <row r="726">
      <c r="A726">
        <f>Sheet1!K726</f>
        <v/>
      </c>
      <c r="B726">
        <f>IF(ISNA(Sheet1!I726),NA(),Sheet1!$O$5-(Sheet1!I726/Sheet1!$O$6))</f>
        <v/>
      </c>
    </row>
    <row r="727">
      <c r="A727">
        <f>Sheet1!K727</f>
        <v/>
      </c>
      <c r="B727">
        <f>IF(ISNA(Sheet1!I727),NA(),Sheet1!$O$5-(Sheet1!I727/Sheet1!$O$6))</f>
        <v/>
      </c>
    </row>
    <row r="728">
      <c r="A728">
        <f>Sheet1!K728</f>
        <v/>
      </c>
      <c r="B728">
        <f>IF(ISNA(Sheet1!I728),NA(),Sheet1!$O$5-(Sheet1!I728/Sheet1!$O$6))</f>
        <v/>
      </c>
    </row>
    <row r="729">
      <c r="A729">
        <f>Sheet1!K729</f>
        <v/>
      </c>
      <c r="B729">
        <f>IF(ISNA(Sheet1!I729),NA(),Sheet1!$O$5-(Sheet1!I729/Sheet1!$O$6))</f>
        <v/>
      </c>
    </row>
    <row r="730">
      <c r="A730">
        <f>Sheet1!K730</f>
        <v/>
      </c>
      <c r="B730">
        <f>IF(ISNA(Sheet1!I730),NA(),Sheet1!$O$5-(Sheet1!I730/Sheet1!$O$6))</f>
        <v/>
      </c>
    </row>
    <row r="731">
      <c r="A731">
        <f>Sheet1!K731</f>
        <v/>
      </c>
      <c r="B731">
        <f>IF(ISNA(Sheet1!I731),NA(),Sheet1!$O$5-(Sheet1!I731/Sheet1!$O$6))</f>
        <v/>
      </c>
    </row>
    <row r="732">
      <c r="A732">
        <f>Sheet1!K732</f>
        <v/>
      </c>
      <c r="B732">
        <f>IF(ISNA(Sheet1!I732),NA(),Sheet1!$O$5-(Sheet1!I732/Sheet1!$O$6))</f>
        <v/>
      </c>
    </row>
    <row r="733">
      <c r="A733">
        <f>Sheet1!K733</f>
        <v/>
      </c>
      <c r="B733">
        <f>IF(ISNA(Sheet1!I733),NA(),Sheet1!$O$5-(Sheet1!I733/Sheet1!$O$6))</f>
        <v/>
      </c>
    </row>
    <row r="734">
      <c r="A734">
        <f>Sheet1!K734</f>
        <v/>
      </c>
      <c r="B734">
        <f>IF(ISNA(Sheet1!I734),NA(),Sheet1!$O$5-(Sheet1!I734/Sheet1!$O$6))</f>
        <v/>
      </c>
    </row>
    <row r="735">
      <c r="A735">
        <f>Sheet1!K735</f>
        <v/>
      </c>
      <c r="B735">
        <f>IF(ISNA(Sheet1!I735),NA(),Sheet1!$O$5-(Sheet1!I735/Sheet1!$O$6))</f>
        <v/>
      </c>
    </row>
    <row r="736">
      <c r="A736">
        <f>Sheet1!K736</f>
        <v/>
      </c>
      <c r="B736">
        <f>IF(ISNA(Sheet1!I736),NA(),Sheet1!$O$5-(Sheet1!I736/Sheet1!$O$6))</f>
        <v/>
      </c>
    </row>
    <row r="737">
      <c r="A737">
        <f>Sheet1!K737</f>
        <v/>
      </c>
      <c r="B737">
        <f>IF(ISNA(Sheet1!I737),NA(),Sheet1!$O$5-(Sheet1!I737/Sheet1!$O$6))</f>
        <v/>
      </c>
    </row>
    <row r="738">
      <c r="A738">
        <f>Sheet1!K738</f>
        <v/>
      </c>
      <c r="B738">
        <f>IF(ISNA(Sheet1!I738),NA(),Sheet1!$O$5-(Sheet1!I738/Sheet1!$O$6))</f>
        <v/>
      </c>
    </row>
    <row r="739">
      <c r="A739">
        <f>Sheet1!K739</f>
        <v/>
      </c>
      <c r="B739">
        <f>IF(ISNA(Sheet1!I739),NA(),Sheet1!$O$5-(Sheet1!I739/Sheet1!$O$6))</f>
        <v/>
      </c>
    </row>
    <row r="740">
      <c r="A740">
        <f>Sheet1!K740</f>
        <v/>
      </c>
      <c r="B740">
        <f>IF(ISNA(Sheet1!I740),NA(),Sheet1!$O$5-(Sheet1!I740/Sheet1!$O$6))</f>
        <v/>
      </c>
    </row>
    <row r="741">
      <c r="A741">
        <f>Sheet1!K741</f>
        <v/>
      </c>
      <c r="B741">
        <f>IF(ISNA(Sheet1!I741),NA(),Sheet1!$O$5-(Sheet1!I741/Sheet1!$O$6))</f>
        <v/>
      </c>
    </row>
    <row r="742">
      <c r="A742">
        <f>Sheet1!K742</f>
        <v/>
      </c>
      <c r="B742">
        <f>IF(ISNA(Sheet1!I742),NA(),Sheet1!$O$5-(Sheet1!I742/Sheet1!$O$6))</f>
        <v/>
      </c>
    </row>
    <row r="743">
      <c r="A743">
        <f>Sheet1!K743</f>
        <v/>
      </c>
      <c r="B743">
        <f>IF(ISNA(Sheet1!I743),NA(),Sheet1!$O$5-(Sheet1!I743/Sheet1!$O$6))</f>
        <v/>
      </c>
    </row>
    <row r="744">
      <c r="A744">
        <f>Sheet1!K744</f>
        <v/>
      </c>
      <c r="B744">
        <f>IF(ISNA(Sheet1!I744),NA(),Sheet1!$O$5-(Sheet1!I744/Sheet1!$O$6))</f>
        <v/>
      </c>
    </row>
    <row r="745">
      <c r="A745">
        <f>Sheet1!K745</f>
        <v/>
      </c>
      <c r="B745">
        <f>IF(ISNA(Sheet1!I745),NA(),Sheet1!$O$5-(Sheet1!I745/Sheet1!$O$6))</f>
        <v/>
      </c>
    </row>
    <row r="746">
      <c r="A746">
        <f>Sheet1!K746</f>
        <v/>
      </c>
      <c r="B746">
        <f>IF(ISNA(Sheet1!I746),NA(),Sheet1!$O$5-(Sheet1!I746/Sheet1!$O$6))</f>
        <v/>
      </c>
    </row>
    <row r="747">
      <c r="A747">
        <f>Sheet1!K747</f>
        <v/>
      </c>
      <c r="B747">
        <f>IF(ISNA(Sheet1!I747),NA(),Sheet1!$O$5-(Sheet1!I747/Sheet1!$O$6))</f>
        <v/>
      </c>
    </row>
    <row r="748">
      <c r="A748">
        <f>Sheet1!K748</f>
        <v/>
      </c>
      <c r="B748">
        <f>IF(ISNA(Sheet1!I748),NA(),Sheet1!$O$5-(Sheet1!I748/Sheet1!$O$6))</f>
        <v/>
      </c>
    </row>
    <row r="749">
      <c r="A749">
        <f>Sheet1!K749</f>
        <v/>
      </c>
      <c r="B749">
        <f>IF(ISNA(Sheet1!I749),NA(),Sheet1!$O$5-(Sheet1!I749/Sheet1!$O$6))</f>
        <v/>
      </c>
    </row>
    <row r="750">
      <c r="A750">
        <f>Sheet1!K750</f>
        <v/>
      </c>
      <c r="B750">
        <f>IF(ISNA(Sheet1!I750),NA(),Sheet1!$O$5-(Sheet1!I750/Sheet1!$O$6))</f>
        <v/>
      </c>
    </row>
    <row r="751">
      <c r="A751">
        <f>Sheet1!K751</f>
        <v/>
      </c>
      <c r="B751">
        <f>IF(ISNA(Sheet1!I751),NA(),Sheet1!$O$5-(Sheet1!I751/Sheet1!$O$6))</f>
        <v/>
      </c>
    </row>
    <row r="752">
      <c r="A752">
        <f>Sheet1!K752</f>
        <v/>
      </c>
      <c r="B752">
        <f>IF(ISNA(Sheet1!I752),NA(),Sheet1!$O$5-(Sheet1!I752/Sheet1!$O$6))</f>
        <v/>
      </c>
    </row>
    <row r="753">
      <c r="A753">
        <f>Sheet1!K753</f>
        <v/>
      </c>
      <c r="B753">
        <f>IF(ISNA(Sheet1!I753),NA(),Sheet1!$O$5-(Sheet1!I753/Sheet1!$O$6))</f>
        <v/>
      </c>
    </row>
    <row r="754">
      <c r="A754">
        <f>Sheet1!K754</f>
        <v/>
      </c>
      <c r="B754">
        <f>IF(ISNA(Sheet1!I754),NA(),Sheet1!$O$5-(Sheet1!I754/Sheet1!$O$6))</f>
        <v/>
      </c>
    </row>
    <row r="755">
      <c r="A755">
        <f>Sheet1!K755</f>
        <v/>
      </c>
      <c r="B755">
        <f>IF(ISNA(Sheet1!I755),NA(),Sheet1!$O$5-(Sheet1!I755/Sheet1!$O$6))</f>
        <v/>
      </c>
    </row>
    <row r="756">
      <c r="A756">
        <f>Sheet1!K756</f>
        <v/>
      </c>
      <c r="B756">
        <f>IF(ISNA(Sheet1!I756),NA(),Sheet1!$O$5-(Sheet1!I756/Sheet1!$O$6))</f>
        <v/>
      </c>
    </row>
    <row r="757">
      <c r="A757">
        <f>Sheet1!K757</f>
        <v/>
      </c>
      <c r="B757">
        <f>IF(ISNA(Sheet1!I757),NA(),Sheet1!$O$5-(Sheet1!I757/Sheet1!$O$6))</f>
        <v/>
      </c>
    </row>
    <row r="758">
      <c r="A758">
        <f>Sheet1!K758</f>
        <v/>
      </c>
      <c r="B758">
        <f>IF(ISNA(Sheet1!I758),NA(),Sheet1!$O$5-(Sheet1!I758/Sheet1!$O$6))</f>
        <v/>
      </c>
    </row>
    <row r="759">
      <c r="A759">
        <f>Sheet1!K759</f>
        <v/>
      </c>
      <c r="B759">
        <f>IF(ISNA(Sheet1!I759),NA(),Sheet1!$O$5-(Sheet1!I759/Sheet1!$O$6))</f>
        <v/>
      </c>
    </row>
    <row r="760">
      <c r="A760">
        <f>Sheet1!K760</f>
        <v/>
      </c>
      <c r="B760">
        <f>IF(ISNA(Sheet1!I760),NA(),Sheet1!$O$5-(Sheet1!I760/Sheet1!$O$6))</f>
        <v/>
      </c>
    </row>
    <row r="761">
      <c r="A761">
        <f>Sheet1!K761</f>
        <v/>
      </c>
      <c r="B761">
        <f>IF(ISNA(Sheet1!I761),NA(),Sheet1!$O$5-(Sheet1!I761/Sheet1!$O$6))</f>
        <v/>
      </c>
    </row>
    <row r="762">
      <c r="A762">
        <f>Sheet1!K762</f>
        <v/>
      </c>
      <c r="B762">
        <f>IF(ISNA(Sheet1!I762),NA(),Sheet1!$O$5-(Sheet1!I762/Sheet1!$O$6))</f>
        <v/>
      </c>
    </row>
    <row r="763">
      <c r="A763">
        <f>Sheet1!K763</f>
        <v/>
      </c>
      <c r="B763">
        <f>IF(ISNA(Sheet1!I763),NA(),Sheet1!$O$5-(Sheet1!I763/Sheet1!$O$6))</f>
        <v/>
      </c>
    </row>
    <row r="764">
      <c r="A764">
        <f>Sheet1!K764</f>
        <v/>
      </c>
      <c r="B764">
        <f>IF(ISNA(Sheet1!I764),NA(),Sheet1!$O$5-(Sheet1!I764/Sheet1!$O$6))</f>
        <v/>
      </c>
    </row>
    <row r="765">
      <c r="A765">
        <f>Sheet1!K765</f>
        <v/>
      </c>
      <c r="B765">
        <f>IF(ISNA(Sheet1!I765),NA(),Sheet1!$O$5-(Sheet1!I765/Sheet1!$O$6))</f>
        <v/>
      </c>
    </row>
    <row r="766">
      <c r="A766">
        <f>Sheet1!K766</f>
        <v/>
      </c>
      <c r="B766">
        <f>IF(ISNA(Sheet1!I766),NA(),Sheet1!$O$5-(Sheet1!I766/Sheet1!$O$6))</f>
        <v/>
      </c>
    </row>
    <row r="767">
      <c r="A767">
        <f>Sheet1!K767</f>
        <v/>
      </c>
      <c r="B767">
        <f>IF(ISNA(Sheet1!I767),NA(),Sheet1!$O$5-(Sheet1!I767/Sheet1!$O$6))</f>
        <v/>
      </c>
    </row>
    <row r="768">
      <c r="A768">
        <f>Sheet1!K768</f>
        <v/>
      </c>
      <c r="B768">
        <f>IF(ISNA(Sheet1!I768),NA(),Sheet1!$O$5-(Sheet1!I768/Sheet1!$O$6))</f>
        <v/>
      </c>
    </row>
    <row r="769">
      <c r="A769">
        <f>Sheet1!K769</f>
        <v/>
      </c>
      <c r="B769">
        <f>IF(ISNA(Sheet1!I769),NA(),Sheet1!$O$5-(Sheet1!I769/Sheet1!$O$6))</f>
        <v/>
      </c>
    </row>
    <row r="770">
      <c r="A770">
        <f>Sheet1!K770</f>
        <v/>
      </c>
      <c r="B770">
        <f>IF(ISNA(Sheet1!I770),NA(),Sheet1!$O$5-(Sheet1!I770/Sheet1!$O$6))</f>
        <v/>
      </c>
    </row>
    <row r="771">
      <c r="A771">
        <f>Sheet1!K771</f>
        <v/>
      </c>
      <c r="B771">
        <f>IF(ISNA(Sheet1!I771),NA(),Sheet1!$O$5-(Sheet1!I771/Sheet1!$O$6))</f>
        <v/>
      </c>
    </row>
    <row r="772">
      <c r="A772">
        <f>Sheet1!K772</f>
        <v/>
      </c>
      <c r="B772">
        <f>IF(ISNA(Sheet1!I772),NA(),Sheet1!$O$5-(Sheet1!I772/Sheet1!$O$6))</f>
        <v/>
      </c>
    </row>
    <row r="773">
      <c r="A773">
        <f>Sheet1!K773</f>
        <v/>
      </c>
      <c r="B773">
        <f>IF(ISNA(Sheet1!I773),NA(),Sheet1!$O$5-(Sheet1!I773/Sheet1!$O$6))</f>
        <v/>
      </c>
    </row>
    <row r="774">
      <c r="A774">
        <f>Sheet1!K774</f>
        <v/>
      </c>
      <c r="B774">
        <f>IF(ISNA(Sheet1!I774),NA(),Sheet1!$O$5-(Sheet1!I774/Sheet1!$O$6))</f>
        <v/>
      </c>
    </row>
    <row r="775">
      <c r="A775">
        <f>Sheet1!K775</f>
        <v/>
      </c>
      <c r="B775">
        <f>IF(ISNA(Sheet1!I775),NA(),Sheet1!$O$5-(Sheet1!I775/Sheet1!$O$6))</f>
        <v/>
      </c>
    </row>
    <row r="776">
      <c r="A776">
        <f>Sheet1!K776</f>
        <v/>
      </c>
      <c r="B776">
        <f>IF(ISNA(Sheet1!I776),NA(),Sheet1!$O$5-(Sheet1!I776/Sheet1!$O$6))</f>
        <v/>
      </c>
    </row>
    <row r="777">
      <c r="A777">
        <f>Sheet1!K777</f>
        <v/>
      </c>
      <c r="B777">
        <f>IF(ISNA(Sheet1!I777),NA(),Sheet1!$O$5-(Sheet1!I777/Sheet1!$O$6))</f>
        <v/>
      </c>
    </row>
    <row r="778">
      <c r="A778">
        <f>Sheet1!K778</f>
        <v/>
      </c>
      <c r="B778">
        <f>IF(ISNA(Sheet1!I778),NA(),Sheet1!$O$5-(Sheet1!I778/Sheet1!$O$6))</f>
        <v/>
      </c>
    </row>
    <row r="779">
      <c r="A779">
        <f>Sheet1!K779</f>
        <v/>
      </c>
      <c r="B779">
        <f>IF(ISNA(Sheet1!I779),NA(),Sheet1!$O$5-(Sheet1!I779/Sheet1!$O$6))</f>
        <v/>
      </c>
    </row>
    <row r="780">
      <c r="A780">
        <f>Sheet1!K780</f>
        <v/>
      </c>
      <c r="B780">
        <f>IF(ISNA(Sheet1!I780),NA(),Sheet1!$O$5-(Sheet1!I780/Sheet1!$O$6))</f>
        <v/>
      </c>
    </row>
    <row r="781">
      <c r="A781">
        <f>Sheet1!K781</f>
        <v/>
      </c>
      <c r="B781">
        <f>IF(ISNA(Sheet1!I781),NA(),Sheet1!$O$5-(Sheet1!I781/Sheet1!$O$6))</f>
        <v/>
      </c>
    </row>
    <row r="782">
      <c r="A782">
        <f>Sheet1!K782</f>
        <v/>
      </c>
      <c r="B782">
        <f>IF(ISNA(Sheet1!I782),NA(),Sheet1!$O$5-(Sheet1!I782/Sheet1!$O$6))</f>
        <v/>
      </c>
    </row>
    <row r="783">
      <c r="A783">
        <f>Sheet1!K783</f>
        <v/>
      </c>
      <c r="B783">
        <f>IF(ISNA(Sheet1!I783),NA(),Sheet1!$O$5-(Sheet1!I783/Sheet1!$O$6))</f>
        <v/>
      </c>
    </row>
    <row r="784">
      <c r="A784">
        <f>Sheet1!K784</f>
        <v/>
      </c>
      <c r="B784">
        <f>IF(ISNA(Sheet1!I784),NA(),Sheet1!$O$5-(Sheet1!I784/Sheet1!$O$6))</f>
        <v/>
      </c>
    </row>
    <row r="785">
      <c r="A785">
        <f>Sheet1!K785</f>
        <v/>
      </c>
      <c r="B785">
        <f>IF(ISNA(Sheet1!I785),NA(),Sheet1!$O$5-(Sheet1!I785/Sheet1!$O$6))</f>
        <v/>
      </c>
    </row>
    <row r="786">
      <c r="A786">
        <f>Sheet1!K786</f>
        <v/>
      </c>
      <c r="B786">
        <f>IF(ISNA(Sheet1!I786),NA(),Sheet1!$O$5-(Sheet1!I786/Sheet1!$O$6))</f>
        <v/>
      </c>
    </row>
    <row r="787">
      <c r="A787">
        <f>Sheet1!K787</f>
        <v/>
      </c>
      <c r="B787">
        <f>IF(ISNA(Sheet1!I787),NA(),Sheet1!$O$5-(Sheet1!I787/Sheet1!$O$6))</f>
        <v/>
      </c>
    </row>
    <row r="788">
      <c r="A788">
        <f>Sheet1!K788</f>
        <v/>
      </c>
      <c r="B788">
        <f>IF(ISNA(Sheet1!I788),NA(),Sheet1!$O$5-(Sheet1!I788/Sheet1!$O$6))</f>
        <v/>
      </c>
    </row>
    <row r="789">
      <c r="A789">
        <f>Sheet1!K789</f>
        <v/>
      </c>
      <c r="B789">
        <f>IF(ISNA(Sheet1!I789),NA(),Sheet1!$O$5-(Sheet1!I789/Sheet1!$O$6))</f>
        <v/>
      </c>
    </row>
    <row r="790">
      <c r="A790">
        <f>Sheet1!K790</f>
        <v/>
      </c>
      <c r="B790">
        <f>IF(ISNA(Sheet1!I790),NA(),Sheet1!$O$5-(Sheet1!I790/Sheet1!$O$6))</f>
        <v/>
      </c>
    </row>
    <row r="791">
      <c r="A791">
        <f>Sheet1!K791</f>
        <v/>
      </c>
      <c r="B791">
        <f>IF(ISNA(Sheet1!I791),NA(),Sheet1!$O$5-(Sheet1!I791/Sheet1!$O$6))</f>
        <v/>
      </c>
    </row>
    <row r="792">
      <c r="A792">
        <f>Sheet1!K792</f>
        <v/>
      </c>
      <c r="B792">
        <f>IF(ISNA(Sheet1!I792),NA(),Sheet1!$O$5-(Sheet1!I792/Sheet1!$O$6))</f>
        <v/>
      </c>
    </row>
    <row r="793">
      <c r="A793">
        <f>Sheet1!K793</f>
        <v/>
      </c>
      <c r="B793">
        <f>IF(ISNA(Sheet1!I793),NA(),Sheet1!$O$5-(Sheet1!I793/Sheet1!$O$6))</f>
        <v/>
      </c>
    </row>
    <row r="794">
      <c r="A794">
        <f>Sheet1!K794</f>
        <v/>
      </c>
      <c r="B794">
        <f>IF(ISNA(Sheet1!I794),NA(),Sheet1!$O$5-(Sheet1!I794/Sheet1!$O$6))</f>
        <v/>
      </c>
    </row>
    <row r="795">
      <c r="A795">
        <f>Sheet1!K795</f>
        <v/>
      </c>
      <c r="B795">
        <f>IF(ISNA(Sheet1!I795),NA(),Sheet1!$O$5-(Sheet1!I795/Sheet1!$O$6))</f>
        <v/>
      </c>
    </row>
    <row r="796">
      <c r="A796">
        <f>Sheet1!K796</f>
        <v/>
      </c>
      <c r="B796">
        <f>IF(ISNA(Sheet1!I796),NA(),Sheet1!$O$5-(Sheet1!I796/Sheet1!$O$6))</f>
        <v/>
      </c>
    </row>
    <row r="797">
      <c r="A797">
        <f>Sheet1!K797</f>
        <v/>
      </c>
      <c r="B797">
        <f>IF(ISNA(Sheet1!I797),NA(),Sheet1!$O$5-(Sheet1!I797/Sheet1!$O$6))</f>
        <v/>
      </c>
    </row>
    <row r="798">
      <c r="A798">
        <f>Sheet1!K798</f>
        <v/>
      </c>
      <c r="B798">
        <f>IF(ISNA(Sheet1!I798),NA(),Sheet1!$O$5-(Sheet1!I798/Sheet1!$O$6))</f>
        <v/>
      </c>
    </row>
    <row r="799">
      <c r="A799">
        <f>Sheet1!K799</f>
        <v/>
      </c>
      <c r="B799">
        <f>IF(ISNA(Sheet1!I799),NA(),Sheet1!$O$5-(Sheet1!I799/Sheet1!$O$6))</f>
        <v/>
      </c>
    </row>
    <row r="800">
      <c r="A800">
        <f>Sheet1!K800</f>
        <v/>
      </c>
      <c r="B800">
        <f>IF(ISNA(Sheet1!I800),NA(),Sheet1!$O$5-(Sheet1!I800/Sheet1!$O$6))</f>
        <v/>
      </c>
    </row>
    <row r="801">
      <c r="A801">
        <f>Sheet1!K801</f>
        <v/>
      </c>
      <c r="B801">
        <f>IF(ISNA(Sheet1!I801),NA(),Sheet1!$O$5-(Sheet1!I801/Sheet1!$O$6))</f>
        <v/>
      </c>
    </row>
    <row r="802">
      <c r="A802">
        <f>Sheet1!K802</f>
        <v/>
      </c>
      <c r="B802">
        <f>IF(ISNA(Sheet1!I802),NA(),Sheet1!$O$5-(Sheet1!I802/Sheet1!$O$6))</f>
        <v/>
      </c>
    </row>
    <row r="803">
      <c r="A803">
        <f>Sheet1!K803</f>
        <v/>
      </c>
      <c r="B803">
        <f>IF(ISNA(Sheet1!I803),NA(),Sheet1!$O$5-(Sheet1!I803/Sheet1!$O$6))</f>
        <v/>
      </c>
    </row>
    <row r="804">
      <c r="A804">
        <f>Sheet1!K804</f>
        <v/>
      </c>
      <c r="B804">
        <f>IF(ISNA(Sheet1!I804),NA(),Sheet1!$O$5-(Sheet1!I804/Sheet1!$O$6))</f>
        <v/>
      </c>
    </row>
    <row r="805">
      <c r="A805">
        <f>Sheet1!K805</f>
        <v/>
      </c>
      <c r="B805">
        <f>IF(ISNA(Sheet1!I805),NA(),Sheet1!$O$5-(Sheet1!I805/Sheet1!$O$6))</f>
        <v/>
      </c>
    </row>
    <row r="806">
      <c r="A806">
        <f>Sheet1!K806</f>
        <v/>
      </c>
      <c r="B806">
        <f>IF(ISNA(Sheet1!I806),NA(),Sheet1!$O$5-(Sheet1!I806/Sheet1!$O$6))</f>
        <v/>
      </c>
    </row>
    <row r="807">
      <c r="A807">
        <f>Sheet1!K807</f>
        <v/>
      </c>
      <c r="B807">
        <f>IF(ISNA(Sheet1!I807),NA(),Sheet1!$O$5-(Sheet1!I807/Sheet1!$O$6))</f>
        <v/>
      </c>
    </row>
    <row r="808">
      <c r="A808">
        <f>Sheet1!K808</f>
        <v/>
      </c>
      <c r="B808">
        <f>IF(ISNA(Sheet1!I808),NA(),Sheet1!$O$5-(Sheet1!I808/Sheet1!$O$6))</f>
        <v/>
      </c>
    </row>
    <row r="809">
      <c r="A809">
        <f>Sheet1!K809</f>
        <v/>
      </c>
      <c r="B809">
        <f>IF(ISNA(Sheet1!I809),NA(),Sheet1!$O$5-(Sheet1!I809/Sheet1!$O$6))</f>
        <v/>
      </c>
    </row>
    <row r="810">
      <c r="A810">
        <f>Sheet1!K810</f>
        <v/>
      </c>
      <c r="B810">
        <f>IF(ISNA(Sheet1!I810),NA(),Sheet1!$O$5-(Sheet1!I810/Sheet1!$O$6))</f>
        <v/>
      </c>
    </row>
    <row r="811">
      <c r="A811">
        <f>Sheet1!K811</f>
        <v/>
      </c>
      <c r="B811">
        <f>IF(ISNA(Sheet1!I811),NA(),Sheet1!$O$5-(Sheet1!I811/Sheet1!$O$6))</f>
        <v/>
      </c>
    </row>
    <row r="812">
      <c r="A812">
        <f>Sheet1!K812</f>
        <v/>
      </c>
      <c r="B812">
        <f>IF(ISNA(Sheet1!I812),NA(),Sheet1!$O$5-(Sheet1!I812/Sheet1!$O$6))</f>
        <v/>
      </c>
    </row>
    <row r="813">
      <c r="A813">
        <f>Sheet1!K813</f>
        <v/>
      </c>
      <c r="B813">
        <f>IF(ISNA(Sheet1!I813),NA(),Sheet1!$O$5-(Sheet1!I813/Sheet1!$O$6))</f>
        <v/>
      </c>
    </row>
    <row r="814">
      <c r="A814">
        <f>Sheet1!K814</f>
        <v/>
      </c>
      <c r="B814">
        <f>IF(ISNA(Sheet1!I814),NA(),Sheet1!$O$5-(Sheet1!I814/Sheet1!$O$6))</f>
        <v/>
      </c>
    </row>
    <row r="815">
      <c r="A815">
        <f>Sheet1!K815</f>
        <v/>
      </c>
      <c r="B815">
        <f>IF(ISNA(Sheet1!I815),NA(),Sheet1!$O$5-(Sheet1!I815/Sheet1!$O$6))</f>
        <v/>
      </c>
    </row>
    <row r="816">
      <c r="A816">
        <f>Sheet1!K816</f>
        <v/>
      </c>
      <c r="B816">
        <f>IF(ISNA(Sheet1!I816),NA(),Sheet1!$O$5-(Sheet1!I816/Sheet1!$O$6))</f>
        <v/>
      </c>
    </row>
    <row r="817">
      <c r="A817">
        <f>Sheet1!K817</f>
        <v/>
      </c>
      <c r="B817">
        <f>IF(ISNA(Sheet1!I817),NA(),Sheet1!$O$5-(Sheet1!I817/Sheet1!$O$6))</f>
        <v/>
      </c>
    </row>
    <row r="818">
      <c r="A818">
        <f>Sheet1!K818</f>
        <v/>
      </c>
      <c r="B818">
        <f>IF(ISNA(Sheet1!I818),NA(),Sheet1!$O$5-(Sheet1!I818/Sheet1!$O$6))</f>
        <v/>
      </c>
    </row>
    <row r="819">
      <c r="A819">
        <f>Sheet1!K819</f>
        <v/>
      </c>
      <c r="B819">
        <f>IF(ISNA(Sheet1!I819),NA(),Sheet1!$O$5-(Sheet1!I819/Sheet1!$O$6))</f>
        <v/>
      </c>
    </row>
    <row r="820">
      <c r="A820">
        <f>Sheet1!K820</f>
        <v/>
      </c>
      <c r="B820">
        <f>IF(ISNA(Sheet1!I820),NA(),Sheet1!$O$5-(Sheet1!I820/Sheet1!$O$6))</f>
        <v/>
      </c>
    </row>
    <row r="821">
      <c r="A821">
        <f>Sheet1!K821</f>
        <v/>
      </c>
      <c r="B821">
        <f>IF(ISNA(Sheet1!I821),NA(),Sheet1!$O$5-(Sheet1!I821/Sheet1!$O$6))</f>
        <v/>
      </c>
    </row>
    <row r="822">
      <c r="A822">
        <f>Sheet1!K822</f>
        <v/>
      </c>
      <c r="B822">
        <f>IF(ISNA(Sheet1!I822),NA(),Sheet1!$O$5-(Sheet1!I822/Sheet1!$O$6))</f>
        <v/>
      </c>
    </row>
    <row r="823">
      <c r="A823">
        <f>Sheet1!K823</f>
        <v/>
      </c>
      <c r="B823">
        <f>IF(ISNA(Sheet1!I823),NA(),Sheet1!$O$5-(Sheet1!I823/Sheet1!$O$6))</f>
        <v/>
      </c>
    </row>
    <row r="824">
      <c r="A824">
        <f>Sheet1!K824</f>
        <v/>
      </c>
      <c r="B824">
        <f>IF(ISNA(Sheet1!I824),NA(),Sheet1!$O$5-(Sheet1!I824/Sheet1!$O$6))</f>
        <v/>
      </c>
    </row>
    <row r="825">
      <c r="A825">
        <f>Sheet1!K825</f>
        <v/>
      </c>
      <c r="B825">
        <f>IF(ISNA(Sheet1!I825),NA(),Sheet1!$O$5-(Sheet1!I825/Sheet1!$O$6))</f>
        <v/>
      </c>
    </row>
    <row r="826">
      <c r="A826">
        <f>Sheet1!K826</f>
        <v/>
      </c>
      <c r="B826">
        <f>IF(ISNA(Sheet1!I826),NA(),Sheet1!$O$5-(Sheet1!I826/Sheet1!$O$6))</f>
        <v/>
      </c>
    </row>
    <row r="827">
      <c r="A827">
        <f>Sheet1!K827</f>
        <v/>
      </c>
      <c r="B827">
        <f>IF(ISNA(Sheet1!I827),NA(),Sheet1!$O$5-(Sheet1!I827/Sheet1!$O$6))</f>
        <v/>
      </c>
    </row>
    <row r="828">
      <c r="A828">
        <f>Sheet1!K828</f>
        <v/>
      </c>
      <c r="B828">
        <f>IF(ISNA(Sheet1!I828),NA(),Sheet1!$O$5-(Sheet1!I828/Sheet1!$O$6))</f>
        <v/>
      </c>
    </row>
    <row r="829">
      <c r="A829">
        <f>Sheet1!K829</f>
        <v/>
      </c>
      <c r="B829">
        <f>IF(ISNA(Sheet1!I829),NA(),Sheet1!$O$5-(Sheet1!I829/Sheet1!$O$6))</f>
        <v/>
      </c>
    </row>
    <row r="830">
      <c r="A830">
        <f>Sheet1!K830</f>
        <v/>
      </c>
      <c r="B830">
        <f>IF(ISNA(Sheet1!I830),NA(),Sheet1!$O$5-(Sheet1!I830/Sheet1!$O$6))</f>
        <v/>
      </c>
    </row>
    <row r="831">
      <c r="A831">
        <f>Sheet1!K831</f>
        <v/>
      </c>
      <c r="B831">
        <f>IF(ISNA(Sheet1!I831),NA(),Sheet1!$O$5-(Sheet1!I831/Sheet1!$O$6))</f>
        <v/>
      </c>
    </row>
    <row r="832">
      <c r="A832">
        <f>Sheet1!K832</f>
        <v/>
      </c>
      <c r="B832">
        <f>IF(ISNA(Sheet1!I832),NA(),Sheet1!$O$5-(Sheet1!I832/Sheet1!$O$6))</f>
        <v/>
      </c>
    </row>
    <row r="833">
      <c r="A833">
        <f>Sheet1!K833</f>
        <v/>
      </c>
      <c r="B833">
        <f>IF(ISNA(Sheet1!I833),NA(),Sheet1!$O$5-(Sheet1!I833/Sheet1!$O$6))</f>
        <v/>
      </c>
    </row>
    <row r="834">
      <c r="A834">
        <f>Sheet1!K834</f>
        <v/>
      </c>
      <c r="B834">
        <f>IF(ISNA(Sheet1!I834),NA(),Sheet1!$O$5-(Sheet1!I834/Sheet1!$O$6))</f>
        <v/>
      </c>
    </row>
    <row r="835">
      <c r="A835">
        <f>Sheet1!K835</f>
        <v/>
      </c>
      <c r="B835">
        <f>IF(ISNA(Sheet1!I835),NA(),Sheet1!$O$5-(Sheet1!I835/Sheet1!$O$6))</f>
        <v/>
      </c>
    </row>
    <row r="836">
      <c r="A836">
        <f>Sheet1!K836</f>
        <v/>
      </c>
      <c r="B836">
        <f>IF(ISNA(Sheet1!I836),NA(),Sheet1!$O$5-(Sheet1!I836/Sheet1!$O$6))</f>
        <v/>
      </c>
    </row>
    <row r="837">
      <c r="A837">
        <f>Sheet1!K837</f>
        <v/>
      </c>
      <c r="B837">
        <f>IF(ISNA(Sheet1!I837),NA(),Sheet1!$O$5-(Sheet1!I837/Sheet1!$O$6))</f>
        <v/>
      </c>
    </row>
    <row r="838">
      <c r="A838">
        <f>Sheet1!K838</f>
        <v/>
      </c>
      <c r="B838">
        <f>IF(ISNA(Sheet1!I838),NA(),Sheet1!$O$5-(Sheet1!I838/Sheet1!$O$6))</f>
        <v/>
      </c>
    </row>
    <row r="839">
      <c r="A839">
        <f>Sheet1!K839</f>
        <v/>
      </c>
      <c r="B839">
        <f>IF(ISNA(Sheet1!I839),NA(),Sheet1!$O$5-(Sheet1!I839/Sheet1!$O$6))</f>
        <v/>
      </c>
    </row>
    <row r="840">
      <c r="A840">
        <f>Sheet1!K840</f>
        <v/>
      </c>
      <c r="B840">
        <f>IF(ISNA(Sheet1!I840),NA(),Sheet1!$O$5-(Sheet1!I840/Sheet1!$O$6))</f>
        <v/>
      </c>
    </row>
    <row r="841">
      <c r="A841">
        <f>Sheet1!K841</f>
        <v/>
      </c>
      <c r="B841">
        <f>IF(ISNA(Sheet1!I841),NA(),Sheet1!$O$5-(Sheet1!I841/Sheet1!$O$6))</f>
        <v/>
      </c>
    </row>
    <row r="842">
      <c r="A842">
        <f>Sheet1!K842</f>
        <v/>
      </c>
      <c r="B842">
        <f>IF(ISNA(Sheet1!I842),NA(),Sheet1!$O$5-(Sheet1!I842/Sheet1!$O$6))</f>
        <v/>
      </c>
    </row>
    <row r="843">
      <c r="A843">
        <f>Sheet1!K843</f>
        <v/>
      </c>
      <c r="B843">
        <f>IF(ISNA(Sheet1!I843),NA(),Sheet1!$O$5-(Sheet1!I843/Sheet1!$O$6))</f>
        <v/>
      </c>
    </row>
    <row r="844">
      <c r="A844">
        <f>Sheet1!K844</f>
        <v/>
      </c>
      <c r="B844">
        <f>IF(ISNA(Sheet1!I844),NA(),Sheet1!$O$5-(Sheet1!I844/Sheet1!$O$6))</f>
        <v/>
      </c>
    </row>
    <row r="845">
      <c r="A845">
        <f>Sheet1!K845</f>
        <v/>
      </c>
      <c r="B845">
        <f>IF(ISNA(Sheet1!I845),NA(),Sheet1!$O$5-(Sheet1!I845/Sheet1!$O$6))</f>
        <v/>
      </c>
    </row>
    <row r="846">
      <c r="A846">
        <f>Sheet1!K846</f>
        <v/>
      </c>
      <c r="B846">
        <f>IF(ISNA(Sheet1!I846),NA(),Sheet1!$O$5-(Sheet1!I846/Sheet1!$O$6))</f>
        <v/>
      </c>
    </row>
    <row r="847">
      <c r="A847">
        <f>Sheet1!K847</f>
        <v/>
      </c>
      <c r="B847">
        <f>IF(ISNA(Sheet1!I847),NA(),Sheet1!$O$5-(Sheet1!I847/Sheet1!$O$6))</f>
        <v/>
      </c>
    </row>
    <row r="848">
      <c r="A848">
        <f>Sheet1!K848</f>
        <v/>
      </c>
      <c r="B848">
        <f>IF(ISNA(Sheet1!I848),NA(),Sheet1!$O$5-(Sheet1!I848/Sheet1!$O$6))</f>
        <v/>
      </c>
    </row>
    <row r="849">
      <c r="A849">
        <f>Sheet1!K849</f>
        <v/>
      </c>
      <c r="B849">
        <f>IF(ISNA(Sheet1!I849),NA(),Sheet1!$O$5-(Sheet1!I849/Sheet1!$O$6))</f>
        <v/>
      </c>
    </row>
    <row r="850">
      <c r="A850">
        <f>Sheet1!K850</f>
        <v/>
      </c>
      <c r="B850">
        <f>IF(ISNA(Sheet1!I850),NA(),Sheet1!$O$5-(Sheet1!I850/Sheet1!$O$6))</f>
        <v/>
      </c>
    </row>
    <row r="851">
      <c r="A851">
        <f>Sheet1!K851</f>
        <v/>
      </c>
      <c r="B851">
        <f>IF(ISNA(Sheet1!I851),NA(),Sheet1!$O$5-(Sheet1!I851/Sheet1!$O$6))</f>
        <v/>
      </c>
    </row>
    <row r="852">
      <c r="A852">
        <f>Sheet1!K852</f>
        <v/>
      </c>
      <c r="B852">
        <f>IF(ISNA(Sheet1!I852),NA(),Sheet1!$O$5-(Sheet1!I852/Sheet1!$O$6))</f>
        <v/>
      </c>
    </row>
    <row r="853">
      <c r="A853">
        <f>Sheet1!K853</f>
        <v/>
      </c>
      <c r="B853">
        <f>IF(ISNA(Sheet1!I853),NA(),Sheet1!$O$5-(Sheet1!I853/Sheet1!$O$6))</f>
        <v/>
      </c>
    </row>
    <row r="854">
      <c r="A854">
        <f>Sheet1!K854</f>
        <v/>
      </c>
      <c r="B854">
        <f>IF(ISNA(Sheet1!I854),NA(),Sheet1!$O$5-(Sheet1!I854/Sheet1!$O$6))</f>
        <v/>
      </c>
    </row>
    <row r="855">
      <c r="A855">
        <f>Sheet1!K855</f>
        <v/>
      </c>
      <c r="B855">
        <f>IF(ISNA(Sheet1!I855),NA(),Sheet1!$O$5-(Sheet1!I855/Sheet1!$O$6))</f>
        <v/>
      </c>
    </row>
    <row r="856">
      <c r="A856">
        <f>Sheet1!K856</f>
        <v/>
      </c>
      <c r="B856">
        <f>IF(ISNA(Sheet1!I856),NA(),Sheet1!$O$5-(Sheet1!I856/Sheet1!$O$6))</f>
        <v/>
      </c>
    </row>
    <row r="857">
      <c r="A857">
        <f>Sheet1!K857</f>
        <v/>
      </c>
      <c r="B857">
        <f>IF(ISNA(Sheet1!I857),NA(),Sheet1!$O$5-(Sheet1!I857/Sheet1!$O$6))</f>
        <v/>
      </c>
    </row>
    <row r="858">
      <c r="A858">
        <f>Sheet1!K858</f>
        <v/>
      </c>
      <c r="B858">
        <f>IF(ISNA(Sheet1!I858),NA(),Sheet1!$O$5-(Sheet1!I858/Sheet1!$O$6))</f>
        <v/>
      </c>
    </row>
    <row r="859">
      <c r="A859">
        <f>Sheet1!K859</f>
        <v/>
      </c>
      <c r="B859">
        <f>IF(ISNA(Sheet1!I859),NA(),Sheet1!$O$5-(Sheet1!I859/Sheet1!$O$6))</f>
        <v/>
      </c>
    </row>
    <row r="860">
      <c r="A860">
        <f>Sheet1!K860</f>
        <v/>
      </c>
      <c r="B860">
        <f>IF(ISNA(Sheet1!I860),NA(),Sheet1!$O$5-(Sheet1!I860/Sheet1!$O$6))</f>
        <v/>
      </c>
    </row>
    <row r="861">
      <c r="A861">
        <f>Sheet1!K861</f>
        <v/>
      </c>
      <c r="B861">
        <f>IF(ISNA(Sheet1!I861),NA(),Sheet1!$O$5-(Sheet1!I861/Sheet1!$O$6))</f>
        <v/>
      </c>
    </row>
    <row r="862">
      <c r="A862">
        <f>Sheet1!K862</f>
        <v/>
      </c>
      <c r="B862">
        <f>IF(ISNA(Sheet1!I862),NA(),Sheet1!$O$5-(Sheet1!I862/Sheet1!$O$6))</f>
        <v/>
      </c>
    </row>
    <row r="863">
      <c r="A863">
        <f>Sheet1!K863</f>
        <v/>
      </c>
      <c r="B863">
        <f>IF(ISNA(Sheet1!I863),NA(),Sheet1!$O$5-(Sheet1!I863/Sheet1!$O$6))</f>
        <v/>
      </c>
    </row>
    <row r="864">
      <c r="A864">
        <f>Sheet1!K864</f>
        <v/>
      </c>
      <c r="B864">
        <f>IF(ISNA(Sheet1!I864),NA(),Sheet1!$O$5-(Sheet1!I864/Sheet1!$O$6))</f>
        <v/>
      </c>
    </row>
    <row r="865">
      <c r="A865">
        <f>Sheet1!K865</f>
        <v/>
      </c>
      <c r="B865">
        <f>IF(ISNA(Sheet1!I865),NA(),Sheet1!$O$5-(Sheet1!I865/Sheet1!$O$6))</f>
        <v/>
      </c>
    </row>
    <row r="866">
      <c r="A866">
        <f>Sheet1!K866</f>
        <v/>
      </c>
      <c r="B866">
        <f>IF(ISNA(Sheet1!I866),NA(),Sheet1!$O$5-(Sheet1!I866/Sheet1!$O$6))</f>
        <v/>
      </c>
    </row>
    <row r="867">
      <c r="A867">
        <f>Sheet1!K867</f>
        <v/>
      </c>
      <c r="B867">
        <f>IF(ISNA(Sheet1!I867),NA(),Sheet1!$O$5-(Sheet1!I867/Sheet1!$O$6))</f>
        <v/>
      </c>
    </row>
    <row r="868">
      <c r="A868">
        <f>Sheet1!K868</f>
        <v/>
      </c>
      <c r="B868">
        <f>IF(ISNA(Sheet1!I868),NA(),Sheet1!$O$5-(Sheet1!I868/Sheet1!$O$6))</f>
        <v/>
      </c>
    </row>
    <row r="869">
      <c r="A869">
        <f>Sheet1!K869</f>
        <v/>
      </c>
      <c r="B869">
        <f>IF(ISNA(Sheet1!I869),NA(),Sheet1!$O$5-(Sheet1!I869/Sheet1!$O$6))</f>
        <v/>
      </c>
    </row>
    <row r="870">
      <c r="A870">
        <f>Sheet1!K870</f>
        <v/>
      </c>
      <c r="B870">
        <f>IF(ISNA(Sheet1!I870),NA(),Sheet1!$O$5-(Sheet1!I870/Sheet1!$O$6))</f>
        <v/>
      </c>
    </row>
    <row r="871">
      <c r="A871">
        <f>Sheet1!K871</f>
        <v/>
      </c>
      <c r="B871">
        <f>IF(ISNA(Sheet1!I871),NA(),Sheet1!$O$5-(Sheet1!I871/Sheet1!$O$6))</f>
        <v/>
      </c>
    </row>
    <row r="872">
      <c r="A872">
        <f>Sheet1!K872</f>
        <v/>
      </c>
      <c r="B872">
        <f>IF(ISNA(Sheet1!I872),NA(),Sheet1!$O$5-(Sheet1!I872/Sheet1!$O$6))</f>
        <v/>
      </c>
    </row>
    <row r="873">
      <c r="A873">
        <f>Sheet1!K873</f>
        <v/>
      </c>
      <c r="B873">
        <f>IF(ISNA(Sheet1!I873),NA(),Sheet1!$O$5-(Sheet1!I873/Sheet1!$O$6))</f>
        <v/>
      </c>
    </row>
    <row r="874">
      <c r="A874">
        <f>Sheet1!K874</f>
        <v/>
      </c>
      <c r="B874">
        <f>IF(ISNA(Sheet1!I874),NA(),Sheet1!$O$5-(Sheet1!I874/Sheet1!$O$6))</f>
        <v/>
      </c>
    </row>
    <row r="875">
      <c r="A875">
        <f>Sheet1!K875</f>
        <v/>
      </c>
      <c r="B875">
        <f>IF(ISNA(Sheet1!I875),NA(),Sheet1!$O$5-(Sheet1!I875/Sheet1!$O$6))</f>
        <v/>
      </c>
    </row>
    <row r="876">
      <c r="A876">
        <f>Sheet1!K876</f>
        <v/>
      </c>
      <c r="B876">
        <f>IF(ISNA(Sheet1!I876),NA(),Sheet1!$O$5-(Sheet1!I876/Sheet1!$O$6))</f>
        <v/>
      </c>
    </row>
    <row r="877">
      <c r="A877">
        <f>Sheet1!K877</f>
        <v/>
      </c>
      <c r="B877">
        <f>IF(ISNA(Sheet1!I877),NA(),Sheet1!$O$5-(Sheet1!I877/Sheet1!$O$6))</f>
        <v/>
      </c>
    </row>
    <row r="878">
      <c r="A878">
        <f>Sheet1!K878</f>
        <v/>
      </c>
      <c r="B878">
        <f>IF(ISNA(Sheet1!I878),NA(),Sheet1!$O$5-(Sheet1!I878/Sheet1!$O$6))</f>
        <v/>
      </c>
    </row>
    <row r="879">
      <c r="A879">
        <f>Sheet1!K879</f>
        <v/>
      </c>
      <c r="B879">
        <f>IF(ISNA(Sheet1!I879),NA(),Sheet1!$O$5-(Sheet1!I879/Sheet1!$O$6))</f>
        <v/>
      </c>
    </row>
    <row r="880">
      <c r="A880">
        <f>Sheet1!K880</f>
        <v/>
      </c>
      <c r="B880">
        <f>IF(ISNA(Sheet1!I880),NA(),Sheet1!$O$5-(Sheet1!I880/Sheet1!$O$6))</f>
        <v/>
      </c>
    </row>
    <row r="881">
      <c r="A881">
        <f>Sheet1!K881</f>
        <v/>
      </c>
      <c r="B881">
        <f>IF(ISNA(Sheet1!I881),NA(),Sheet1!$O$5-(Sheet1!I881/Sheet1!$O$6))</f>
        <v/>
      </c>
    </row>
    <row r="882">
      <c r="A882">
        <f>Sheet1!K882</f>
        <v/>
      </c>
      <c r="B882">
        <f>IF(ISNA(Sheet1!I882),NA(),Sheet1!$O$5-(Sheet1!I882/Sheet1!$O$6))</f>
        <v/>
      </c>
    </row>
    <row r="883">
      <c r="A883">
        <f>Sheet1!K883</f>
        <v/>
      </c>
      <c r="B883">
        <f>IF(ISNA(Sheet1!I883),NA(),Sheet1!$O$5-(Sheet1!I883/Sheet1!$O$6))</f>
        <v/>
      </c>
    </row>
    <row r="884">
      <c r="A884">
        <f>Sheet1!K884</f>
        <v/>
      </c>
      <c r="B884">
        <f>IF(ISNA(Sheet1!I884),NA(),Sheet1!$O$5-(Sheet1!I884/Sheet1!$O$6))</f>
        <v/>
      </c>
    </row>
    <row r="885">
      <c r="A885">
        <f>Sheet1!K885</f>
        <v/>
      </c>
      <c r="B885">
        <f>IF(ISNA(Sheet1!I885),NA(),Sheet1!$O$5-(Sheet1!I885/Sheet1!$O$6))</f>
        <v/>
      </c>
    </row>
    <row r="886">
      <c r="A886">
        <f>Sheet1!K886</f>
        <v/>
      </c>
      <c r="B886">
        <f>IF(ISNA(Sheet1!I886),NA(),Sheet1!$O$5-(Sheet1!I886/Sheet1!$O$6))</f>
        <v/>
      </c>
    </row>
    <row r="887">
      <c r="A887">
        <f>Sheet1!K887</f>
        <v/>
      </c>
      <c r="B887">
        <f>IF(ISNA(Sheet1!I887),NA(),Sheet1!$O$5-(Sheet1!I887/Sheet1!$O$6))</f>
        <v/>
      </c>
    </row>
    <row r="888">
      <c r="A888">
        <f>Sheet1!K888</f>
        <v/>
      </c>
      <c r="B888">
        <f>IF(ISNA(Sheet1!I888),NA(),Sheet1!$O$5-(Sheet1!I888/Sheet1!$O$6))</f>
        <v/>
      </c>
    </row>
    <row r="889">
      <c r="A889">
        <f>Sheet1!K889</f>
        <v/>
      </c>
      <c r="B889">
        <f>IF(ISNA(Sheet1!I889),NA(),Sheet1!$O$5-(Sheet1!I889/Sheet1!$O$6))</f>
        <v/>
      </c>
    </row>
    <row r="890">
      <c r="A890">
        <f>Sheet1!K890</f>
        <v/>
      </c>
      <c r="B890">
        <f>IF(ISNA(Sheet1!I890),NA(),Sheet1!$O$5-(Sheet1!I890/Sheet1!$O$6))</f>
        <v/>
      </c>
    </row>
    <row r="891">
      <c r="A891">
        <f>Sheet1!K891</f>
        <v/>
      </c>
      <c r="B891">
        <f>IF(ISNA(Sheet1!I891),NA(),Sheet1!$O$5-(Sheet1!I891/Sheet1!$O$6))</f>
        <v/>
      </c>
    </row>
    <row r="892">
      <c r="A892">
        <f>Sheet1!K892</f>
        <v/>
      </c>
      <c r="B892">
        <f>IF(ISNA(Sheet1!I892),NA(),Sheet1!$O$5-(Sheet1!I892/Sheet1!$O$6))</f>
        <v/>
      </c>
    </row>
    <row r="893">
      <c r="A893">
        <f>Sheet1!K893</f>
        <v/>
      </c>
      <c r="B893">
        <f>IF(ISNA(Sheet1!I893),NA(),Sheet1!$O$5-(Sheet1!I893/Sheet1!$O$6))</f>
        <v/>
      </c>
    </row>
    <row r="894">
      <c r="A894">
        <f>Sheet1!K894</f>
        <v/>
      </c>
      <c r="B894">
        <f>IF(ISNA(Sheet1!I894),NA(),Sheet1!$O$5-(Sheet1!I894/Sheet1!$O$6))</f>
        <v/>
      </c>
    </row>
    <row r="895">
      <c r="A895">
        <f>Sheet1!K895</f>
        <v/>
      </c>
      <c r="B895">
        <f>IF(ISNA(Sheet1!I895),NA(),Sheet1!$O$5-(Sheet1!I895/Sheet1!$O$6))</f>
        <v/>
      </c>
    </row>
    <row r="896">
      <c r="A896">
        <f>Sheet1!K896</f>
        <v/>
      </c>
      <c r="B896">
        <f>IF(ISNA(Sheet1!I896),NA(),Sheet1!$O$5-(Sheet1!I896/Sheet1!$O$6))</f>
        <v/>
      </c>
    </row>
    <row r="897">
      <c r="A897">
        <f>Sheet1!K897</f>
        <v/>
      </c>
      <c r="B897">
        <f>IF(ISNA(Sheet1!I897),NA(),Sheet1!$O$5-(Sheet1!I897/Sheet1!$O$6))</f>
        <v/>
      </c>
    </row>
    <row r="898">
      <c r="A898">
        <f>Sheet1!K898</f>
        <v/>
      </c>
      <c r="B898">
        <f>IF(ISNA(Sheet1!I898),NA(),Sheet1!$O$5-(Sheet1!I898/Sheet1!$O$6))</f>
        <v/>
      </c>
    </row>
    <row r="899">
      <c r="A899">
        <f>Sheet1!K899</f>
        <v/>
      </c>
      <c r="B899">
        <f>IF(ISNA(Sheet1!I899),NA(),Sheet1!$O$5-(Sheet1!I899/Sheet1!$O$6))</f>
        <v/>
      </c>
    </row>
    <row r="900">
      <c r="A900">
        <f>Sheet1!K900</f>
        <v/>
      </c>
      <c r="B900">
        <f>IF(ISNA(Sheet1!I900),NA(),Sheet1!$O$5-(Sheet1!I900/Sheet1!$O$6))</f>
        <v/>
      </c>
    </row>
    <row r="901">
      <c r="A901">
        <f>Sheet1!K901</f>
        <v/>
      </c>
      <c r="B901">
        <f>IF(ISNA(Sheet1!I901),NA(),Sheet1!$O$5-(Sheet1!I901/Sheet1!$O$6))</f>
        <v/>
      </c>
    </row>
    <row r="902">
      <c r="A902">
        <f>Sheet1!K902</f>
        <v/>
      </c>
      <c r="B902">
        <f>IF(ISNA(Sheet1!I902),NA(),Sheet1!$O$5-(Sheet1!I902/Sheet1!$O$6))</f>
        <v/>
      </c>
    </row>
    <row r="903">
      <c r="A903">
        <f>Sheet1!K903</f>
        <v/>
      </c>
      <c r="B903">
        <f>IF(ISNA(Sheet1!I903),NA(),Sheet1!$O$5-(Sheet1!I903/Sheet1!$O$6))</f>
        <v/>
      </c>
    </row>
    <row r="904">
      <c r="A904">
        <f>Sheet1!K904</f>
        <v/>
      </c>
      <c r="B904">
        <f>IF(ISNA(Sheet1!I904),NA(),Sheet1!$O$5-(Sheet1!I904/Sheet1!$O$6))</f>
        <v/>
      </c>
    </row>
    <row r="905">
      <c r="A905">
        <f>Sheet1!K905</f>
        <v/>
      </c>
      <c r="B905">
        <f>IF(ISNA(Sheet1!I905),NA(),Sheet1!$O$5-(Sheet1!I905/Sheet1!$O$6))</f>
        <v/>
      </c>
    </row>
    <row r="906">
      <c r="A906">
        <f>Sheet1!K906</f>
        <v/>
      </c>
      <c r="B906">
        <f>IF(ISNA(Sheet1!I906),NA(),Sheet1!$O$5-(Sheet1!I906/Sheet1!$O$6))</f>
        <v/>
      </c>
    </row>
    <row r="907">
      <c r="A907">
        <f>Sheet1!K907</f>
        <v/>
      </c>
      <c r="B907">
        <f>IF(ISNA(Sheet1!I907),NA(),Sheet1!$O$5-(Sheet1!I907/Sheet1!$O$6))</f>
        <v/>
      </c>
    </row>
    <row r="908">
      <c r="A908">
        <f>Sheet1!K908</f>
        <v/>
      </c>
      <c r="B908">
        <f>IF(ISNA(Sheet1!I908),NA(),Sheet1!$O$5-(Sheet1!I908/Sheet1!$O$6))</f>
        <v/>
      </c>
    </row>
    <row r="909">
      <c r="A909">
        <f>Sheet1!K909</f>
        <v/>
      </c>
      <c r="B909">
        <f>IF(ISNA(Sheet1!I909),NA(),Sheet1!$O$5-(Sheet1!I909/Sheet1!$O$6))</f>
        <v/>
      </c>
    </row>
    <row r="910">
      <c r="A910">
        <f>Sheet1!K910</f>
        <v/>
      </c>
      <c r="B910">
        <f>IF(ISNA(Sheet1!I910),NA(),Sheet1!$O$5-(Sheet1!I910/Sheet1!$O$6))</f>
        <v/>
      </c>
    </row>
    <row r="911">
      <c r="A911">
        <f>Sheet1!K911</f>
        <v/>
      </c>
      <c r="B911">
        <f>IF(ISNA(Sheet1!I911),NA(),Sheet1!$O$5-(Sheet1!I911/Sheet1!$O$6))</f>
        <v/>
      </c>
    </row>
    <row r="912">
      <c r="A912">
        <f>Sheet1!K912</f>
        <v/>
      </c>
      <c r="B912">
        <f>IF(ISNA(Sheet1!I912),NA(),Sheet1!$O$5-(Sheet1!I912/Sheet1!$O$6))</f>
        <v/>
      </c>
    </row>
    <row r="913">
      <c r="A913">
        <f>Sheet1!K913</f>
        <v/>
      </c>
      <c r="B913">
        <f>IF(ISNA(Sheet1!I913),NA(),Sheet1!$O$5-(Sheet1!I913/Sheet1!$O$6))</f>
        <v/>
      </c>
    </row>
    <row r="914">
      <c r="A914">
        <f>Sheet1!K914</f>
        <v/>
      </c>
      <c r="B914">
        <f>IF(ISNA(Sheet1!I914),NA(),Sheet1!$O$5-(Sheet1!I914/Sheet1!$O$6))</f>
        <v/>
      </c>
    </row>
    <row r="915">
      <c r="A915">
        <f>Sheet1!K915</f>
        <v/>
      </c>
      <c r="B915">
        <f>IF(ISNA(Sheet1!I915),NA(),Sheet1!$O$5-(Sheet1!I915/Sheet1!$O$6))</f>
        <v/>
      </c>
    </row>
    <row r="916">
      <c r="A916">
        <f>Sheet1!K916</f>
        <v/>
      </c>
      <c r="B916">
        <f>IF(ISNA(Sheet1!I916),NA(),Sheet1!$O$5-(Sheet1!I916/Sheet1!$O$6))</f>
        <v/>
      </c>
    </row>
    <row r="917">
      <c r="A917">
        <f>Sheet1!K917</f>
        <v/>
      </c>
      <c r="B917">
        <f>IF(ISNA(Sheet1!I917),NA(),Sheet1!$O$5-(Sheet1!I917/Sheet1!$O$6))</f>
        <v/>
      </c>
    </row>
    <row r="918">
      <c r="A918">
        <f>Sheet1!K918</f>
        <v/>
      </c>
      <c r="B918">
        <f>IF(ISNA(Sheet1!I918),NA(),Sheet1!$O$5-(Sheet1!I918/Sheet1!$O$6))</f>
        <v/>
      </c>
    </row>
    <row r="919">
      <c r="A919">
        <f>Sheet1!K919</f>
        <v/>
      </c>
      <c r="B919">
        <f>IF(ISNA(Sheet1!I919),NA(),Sheet1!$O$5-(Sheet1!I919/Sheet1!$O$6))</f>
        <v/>
      </c>
    </row>
    <row r="920">
      <c r="A920">
        <f>Sheet1!K920</f>
        <v/>
      </c>
      <c r="B920">
        <f>IF(ISNA(Sheet1!I920),NA(),Sheet1!$O$5-(Sheet1!I920/Sheet1!$O$6))</f>
        <v/>
      </c>
    </row>
    <row r="921">
      <c r="A921">
        <f>Sheet1!K921</f>
        <v/>
      </c>
      <c r="B921">
        <f>IF(ISNA(Sheet1!I921),NA(),Sheet1!$O$5-(Sheet1!I921/Sheet1!$O$6))</f>
        <v/>
      </c>
    </row>
    <row r="922">
      <c r="A922">
        <f>Sheet1!K922</f>
        <v/>
      </c>
      <c r="B922">
        <f>IF(ISNA(Sheet1!I922),NA(),Sheet1!$O$5-(Sheet1!I922/Sheet1!$O$6))</f>
        <v/>
      </c>
    </row>
    <row r="923">
      <c r="A923">
        <f>Sheet1!K923</f>
        <v/>
      </c>
      <c r="B923">
        <f>IF(ISNA(Sheet1!I923),NA(),Sheet1!$O$5-(Sheet1!I923/Sheet1!$O$6))</f>
        <v/>
      </c>
    </row>
    <row r="924">
      <c r="A924">
        <f>Sheet1!K924</f>
        <v/>
      </c>
      <c r="B924">
        <f>IF(ISNA(Sheet1!I924),NA(),Sheet1!$O$5-(Sheet1!I924/Sheet1!$O$6))</f>
        <v/>
      </c>
    </row>
    <row r="925">
      <c r="A925">
        <f>Sheet1!K925</f>
        <v/>
      </c>
      <c r="B925">
        <f>IF(ISNA(Sheet1!I925),NA(),Sheet1!$O$5-(Sheet1!I925/Sheet1!$O$6))</f>
        <v/>
      </c>
    </row>
    <row r="926">
      <c r="A926">
        <f>Sheet1!K926</f>
        <v/>
      </c>
      <c r="B926">
        <f>IF(ISNA(Sheet1!I926),NA(),Sheet1!$O$5-(Sheet1!I926/Sheet1!$O$6))</f>
        <v/>
      </c>
    </row>
    <row r="927">
      <c r="A927">
        <f>Sheet1!K927</f>
        <v/>
      </c>
      <c r="B927">
        <f>IF(ISNA(Sheet1!I927),NA(),Sheet1!$O$5-(Sheet1!I927/Sheet1!$O$6))</f>
        <v/>
      </c>
    </row>
    <row r="928">
      <c r="A928">
        <f>Sheet1!K928</f>
        <v/>
      </c>
      <c r="B928">
        <f>IF(ISNA(Sheet1!I928),NA(),Sheet1!$O$5-(Sheet1!I928/Sheet1!$O$6))</f>
        <v/>
      </c>
    </row>
    <row r="929">
      <c r="A929">
        <f>Sheet1!K929</f>
        <v/>
      </c>
      <c r="B929">
        <f>IF(ISNA(Sheet1!I929),NA(),Sheet1!$O$5-(Sheet1!I929/Sheet1!$O$6))</f>
        <v/>
      </c>
    </row>
    <row r="930">
      <c r="A930">
        <f>Sheet1!K930</f>
        <v/>
      </c>
      <c r="B930">
        <f>IF(ISNA(Sheet1!I930),NA(),Sheet1!$O$5-(Sheet1!I930/Sheet1!$O$6))</f>
        <v/>
      </c>
    </row>
    <row r="931">
      <c r="A931">
        <f>Sheet1!K931</f>
        <v/>
      </c>
      <c r="B931">
        <f>IF(ISNA(Sheet1!I931),NA(),Sheet1!$O$5-(Sheet1!I931/Sheet1!$O$6))</f>
        <v/>
      </c>
    </row>
    <row r="932">
      <c r="A932">
        <f>Sheet1!K932</f>
        <v/>
      </c>
      <c r="B932">
        <f>IF(ISNA(Sheet1!I932),NA(),Sheet1!$O$5-(Sheet1!I932/Sheet1!$O$6))</f>
        <v/>
      </c>
    </row>
    <row r="933">
      <c r="A933">
        <f>Sheet1!K933</f>
        <v/>
      </c>
      <c r="B933">
        <f>IF(ISNA(Sheet1!I933),NA(),Sheet1!$O$5-(Sheet1!I933/Sheet1!$O$6))</f>
        <v/>
      </c>
    </row>
    <row r="934">
      <c r="A934">
        <f>Sheet1!K934</f>
        <v/>
      </c>
      <c r="B934">
        <f>IF(ISNA(Sheet1!I934),NA(),Sheet1!$O$5-(Sheet1!I934/Sheet1!$O$6))</f>
        <v/>
      </c>
    </row>
    <row r="935">
      <c r="A935">
        <f>Sheet1!K935</f>
        <v/>
      </c>
      <c r="B935">
        <f>IF(ISNA(Sheet1!I935),NA(),Sheet1!$O$5-(Sheet1!I935/Sheet1!$O$6))</f>
        <v/>
      </c>
    </row>
    <row r="936">
      <c r="A936">
        <f>Sheet1!K936</f>
        <v/>
      </c>
      <c r="B936">
        <f>IF(ISNA(Sheet1!I936),NA(),Sheet1!$O$5-(Sheet1!I936/Sheet1!$O$6))</f>
        <v/>
      </c>
    </row>
    <row r="937">
      <c r="A937">
        <f>Sheet1!K937</f>
        <v/>
      </c>
      <c r="B937">
        <f>IF(ISNA(Sheet1!I937),NA(),Sheet1!$O$5-(Sheet1!I937/Sheet1!$O$6))</f>
        <v/>
      </c>
    </row>
    <row r="938">
      <c r="A938">
        <f>Sheet1!K938</f>
        <v/>
      </c>
      <c r="B938">
        <f>IF(ISNA(Sheet1!I938),NA(),Sheet1!$O$5-(Sheet1!I938/Sheet1!$O$6))</f>
        <v/>
      </c>
    </row>
    <row r="939">
      <c r="A939">
        <f>Sheet1!K939</f>
        <v/>
      </c>
      <c r="B939">
        <f>IF(ISNA(Sheet1!I939),NA(),Sheet1!$O$5-(Sheet1!I939/Sheet1!$O$6))</f>
        <v/>
      </c>
    </row>
    <row r="940">
      <c r="A940">
        <f>Sheet1!K940</f>
        <v/>
      </c>
      <c r="B940">
        <f>IF(ISNA(Sheet1!I940),NA(),Sheet1!$O$5-(Sheet1!I940/Sheet1!$O$6))</f>
        <v/>
      </c>
    </row>
    <row r="941">
      <c r="A941">
        <f>Sheet1!K941</f>
        <v/>
      </c>
      <c r="B941">
        <f>IF(ISNA(Sheet1!I941),NA(),Sheet1!$O$5-(Sheet1!I941/Sheet1!$O$6))</f>
        <v/>
      </c>
    </row>
    <row r="942">
      <c r="A942">
        <f>Sheet1!K942</f>
        <v/>
      </c>
      <c r="B942">
        <f>IF(ISNA(Sheet1!I942),NA(),Sheet1!$O$5-(Sheet1!I942/Sheet1!$O$6))</f>
        <v/>
      </c>
    </row>
    <row r="943">
      <c r="A943">
        <f>Sheet1!K943</f>
        <v/>
      </c>
      <c r="B943">
        <f>IF(ISNA(Sheet1!I943),NA(),Sheet1!$O$5-(Sheet1!I943/Sheet1!$O$6))</f>
        <v/>
      </c>
    </row>
    <row r="944">
      <c r="A944">
        <f>Sheet1!K944</f>
        <v/>
      </c>
      <c r="B944">
        <f>IF(ISNA(Sheet1!I944),NA(),Sheet1!$O$5-(Sheet1!I944/Sheet1!$O$6))</f>
        <v/>
      </c>
    </row>
    <row r="945">
      <c r="A945">
        <f>Sheet1!K945</f>
        <v/>
      </c>
      <c r="B945">
        <f>IF(ISNA(Sheet1!I945),NA(),Sheet1!$O$5-(Sheet1!I945/Sheet1!$O$6))</f>
        <v/>
      </c>
    </row>
    <row r="946">
      <c r="A946">
        <f>Sheet1!K946</f>
        <v/>
      </c>
      <c r="B946">
        <f>IF(ISNA(Sheet1!I946),NA(),Sheet1!$O$5-(Sheet1!I946/Sheet1!$O$6))</f>
        <v/>
      </c>
    </row>
    <row r="947">
      <c r="A947">
        <f>Sheet1!K947</f>
        <v/>
      </c>
      <c r="B947">
        <f>IF(ISNA(Sheet1!I947),NA(),Sheet1!$O$5-(Sheet1!I947/Sheet1!$O$6))</f>
        <v/>
      </c>
    </row>
    <row r="948">
      <c r="A948">
        <f>Sheet1!K948</f>
        <v/>
      </c>
      <c r="B948">
        <f>IF(ISNA(Sheet1!I948),NA(),Sheet1!$O$5-(Sheet1!I948/Sheet1!$O$6))</f>
        <v/>
      </c>
    </row>
    <row r="949">
      <c r="A949">
        <f>Sheet1!K949</f>
        <v/>
      </c>
      <c r="B949">
        <f>IF(ISNA(Sheet1!I949),NA(),Sheet1!$O$5-(Sheet1!I949/Sheet1!$O$6))</f>
        <v/>
      </c>
    </row>
    <row r="950">
      <c r="A950">
        <f>Sheet1!K950</f>
        <v/>
      </c>
      <c r="B950">
        <f>IF(ISNA(Sheet1!I950),NA(),Sheet1!$O$5-(Sheet1!I950/Sheet1!$O$6))</f>
        <v/>
      </c>
    </row>
    <row r="951">
      <c r="A951">
        <f>Sheet1!K951</f>
        <v/>
      </c>
      <c r="B951">
        <f>IF(ISNA(Sheet1!I951),NA(),Sheet1!$O$5-(Sheet1!I951/Sheet1!$O$6))</f>
        <v/>
      </c>
    </row>
    <row r="952">
      <c r="A952">
        <f>Sheet1!K952</f>
        <v/>
      </c>
      <c r="B952">
        <f>IF(ISNA(Sheet1!I952),NA(),Sheet1!$O$5-(Sheet1!I952/Sheet1!$O$6))</f>
        <v/>
      </c>
    </row>
    <row r="953">
      <c r="A953">
        <f>Sheet1!K953</f>
        <v/>
      </c>
      <c r="B953">
        <f>IF(ISNA(Sheet1!I953),NA(),Sheet1!$O$5-(Sheet1!I953/Sheet1!$O$6))</f>
        <v/>
      </c>
    </row>
    <row r="954">
      <c r="A954">
        <f>Sheet1!K954</f>
        <v/>
      </c>
      <c r="B954">
        <f>IF(ISNA(Sheet1!I954),NA(),Sheet1!$O$5-(Sheet1!I954/Sheet1!$O$6))</f>
        <v/>
      </c>
    </row>
    <row r="955">
      <c r="A955">
        <f>Sheet1!K955</f>
        <v/>
      </c>
      <c r="B955">
        <f>IF(ISNA(Sheet1!I955),NA(),Sheet1!$O$5-(Sheet1!I955/Sheet1!$O$6))</f>
        <v/>
      </c>
    </row>
    <row r="956">
      <c r="A956">
        <f>Sheet1!K956</f>
        <v/>
      </c>
      <c r="B956">
        <f>IF(ISNA(Sheet1!I956),NA(),Sheet1!$O$5-(Sheet1!I956/Sheet1!$O$6))</f>
        <v/>
      </c>
    </row>
    <row r="957">
      <c r="A957">
        <f>Sheet1!K957</f>
        <v/>
      </c>
      <c r="B957">
        <f>IF(ISNA(Sheet1!I957),NA(),Sheet1!$O$5-(Sheet1!I957/Sheet1!$O$6))</f>
        <v/>
      </c>
    </row>
    <row r="958">
      <c r="A958">
        <f>Sheet1!K958</f>
        <v/>
      </c>
      <c r="B958">
        <f>IF(ISNA(Sheet1!I958),NA(),Sheet1!$O$5-(Sheet1!I958/Sheet1!$O$6))</f>
        <v/>
      </c>
    </row>
    <row r="959">
      <c r="A959">
        <f>Sheet1!K959</f>
        <v/>
      </c>
      <c r="B959">
        <f>IF(ISNA(Sheet1!I959),NA(),Sheet1!$O$5-(Sheet1!I959/Sheet1!$O$6))</f>
        <v/>
      </c>
    </row>
    <row r="960">
      <c r="A960">
        <f>Sheet1!K960</f>
        <v/>
      </c>
      <c r="B960">
        <f>IF(ISNA(Sheet1!I960),NA(),Sheet1!$O$5-(Sheet1!I960/Sheet1!$O$6))</f>
        <v/>
      </c>
    </row>
    <row r="961">
      <c r="A961">
        <f>Sheet1!K961</f>
        <v/>
      </c>
      <c r="B961">
        <f>IF(ISNA(Sheet1!I961),NA(),Sheet1!$O$5-(Sheet1!I961/Sheet1!$O$6))</f>
        <v/>
      </c>
    </row>
    <row r="962">
      <c r="A962">
        <f>Sheet1!K962</f>
        <v/>
      </c>
      <c r="B962">
        <f>IF(ISNA(Sheet1!I962),NA(),Sheet1!$O$5-(Sheet1!I962/Sheet1!$O$6))</f>
        <v/>
      </c>
    </row>
    <row r="963">
      <c r="A963">
        <f>Sheet1!K963</f>
        <v/>
      </c>
      <c r="B963">
        <f>IF(ISNA(Sheet1!I963),NA(),Sheet1!$O$5-(Sheet1!I963/Sheet1!$O$6))</f>
        <v/>
      </c>
    </row>
    <row r="964">
      <c r="A964">
        <f>Sheet1!K964</f>
        <v/>
      </c>
      <c r="B964">
        <f>IF(ISNA(Sheet1!I964),NA(),Sheet1!$O$5-(Sheet1!I964/Sheet1!$O$6))</f>
        <v/>
      </c>
    </row>
    <row r="965">
      <c r="A965">
        <f>Sheet1!K965</f>
        <v/>
      </c>
      <c r="B965">
        <f>IF(ISNA(Sheet1!I965),NA(),Sheet1!$O$5-(Sheet1!I965/Sheet1!$O$6))</f>
        <v/>
      </c>
    </row>
    <row r="966">
      <c r="A966">
        <f>Sheet1!K966</f>
        <v/>
      </c>
      <c r="B966">
        <f>IF(ISNA(Sheet1!I966),NA(),Sheet1!$O$5-(Sheet1!I966/Sheet1!$O$6))</f>
        <v/>
      </c>
    </row>
    <row r="967">
      <c r="A967">
        <f>Sheet1!K967</f>
        <v/>
      </c>
      <c r="B967">
        <f>IF(ISNA(Sheet1!I967),NA(),Sheet1!$O$5-(Sheet1!I967/Sheet1!$O$6))</f>
        <v/>
      </c>
    </row>
    <row r="968">
      <c r="A968">
        <f>Sheet1!K968</f>
        <v/>
      </c>
      <c r="B968">
        <f>IF(ISNA(Sheet1!I968),NA(),Sheet1!$O$5-(Sheet1!I968/Sheet1!$O$6))</f>
        <v/>
      </c>
    </row>
    <row r="969">
      <c r="A969">
        <f>Sheet1!K969</f>
        <v/>
      </c>
      <c r="B969">
        <f>IF(ISNA(Sheet1!I969),NA(),Sheet1!$O$5-(Sheet1!I969/Sheet1!$O$6))</f>
        <v/>
      </c>
    </row>
    <row r="970">
      <c r="A970">
        <f>Sheet1!K970</f>
        <v/>
      </c>
      <c r="B970">
        <f>IF(ISNA(Sheet1!I970),NA(),Sheet1!$O$5-(Sheet1!I970/Sheet1!$O$6))</f>
        <v/>
      </c>
    </row>
    <row r="971">
      <c r="A971">
        <f>Sheet1!K971</f>
        <v/>
      </c>
      <c r="B971">
        <f>IF(ISNA(Sheet1!I971),NA(),Sheet1!$O$5-(Sheet1!I971/Sheet1!$O$6))</f>
        <v/>
      </c>
    </row>
    <row r="972">
      <c r="A972">
        <f>Sheet1!K972</f>
        <v/>
      </c>
      <c r="B972">
        <f>IF(ISNA(Sheet1!I972),NA(),Sheet1!$O$5-(Sheet1!I972/Sheet1!$O$6))</f>
        <v/>
      </c>
    </row>
    <row r="973">
      <c r="A973">
        <f>Sheet1!K973</f>
        <v/>
      </c>
      <c r="B973">
        <f>IF(ISNA(Sheet1!I973),NA(),Sheet1!$O$5-(Sheet1!I973/Sheet1!$O$6))</f>
        <v/>
      </c>
    </row>
    <row r="974">
      <c r="A974">
        <f>Sheet1!K974</f>
        <v/>
      </c>
      <c r="B974">
        <f>IF(ISNA(Sheet1!I974),NA(),Sheet1!$O$5-(Sheet1!I974/Sheet1!$O$6))</f>
        <v/>
      </c>
    </row>
    <row r="975">
      <c r="A975">
        <f>Sheet1!K975</f>
        <v/>
      </c>
      <c r="B975">
        <f>IF(ISNA(Sheet1!I975),NA(),Sheet1!$O$5-(Sheet1!I975/Sheet1!$O$6))</f>
        <v/>
      </c>
    </row>
    <row r="976">
      <c r="A976">
        <f>Sheet1!K976</f>
        <v/>
      </c>
      <c r="B976">
        <f>IF(ISNA(Sheet1!I976),NA(),Sheet1!$O$5-(Sheet1!I976/Sheet1!$O$6))</f>
        <v/>
      </c>
    </row>
    <row r="977">
      <c r="A977">
        <f>Sheet1!K977</f>
        <v/>
      </c>
      <c r="B977">
        <f>IF(ISNA(Sheet1!I977),NA(),Sheet1!$O$5-(Sheet1!I977/Sheet1!$O$6))</f>
        <v/>
      </c>
    </row>
    <row r="978">
      <c r="A978">
        <f>Sheet1!K978</f>
        <v/>
      </c>
      <c r="B978">
        <f>IF(ISNA(Sheet1!I978),NA(),Sheet1!$O$5-(Sheet1!I978/Sheet1!$O$6))</f>
        <v/>
      </c>
    </row>
    <row r="979">
      <c r="A979">
        <f>Sheet1!K979</f>
        <v/>
      </c>
      <c r="B979">
        <f>IF(ISNA(Sheet1!I979),NA(),Sheet1!$O$5-(Sheet1!I979/Sheet1!$O$6))</f>
        <v/>
      </c>
    </row>
    <row r="980">
      <c r="A980">
        <f>Sheet1!K980</f>
        <v/>
      </c>
      <c r="B980">
        <f>IF(ISNA(Sheet1!I980),NA(),Sheet1!$O$5-(Sheet1!I980/Sheet1!$O$6))</f>
        <v/>
      </c>
    </row>
    <row r="981">
      <c r="A981">
        <f>Sheet1!K981</f>
        <v/>
      </c>
      <c r="B981">
        <f>IF(ISNA(Sheet1!I981),NA(),Sheet1!$O$5-(Sheet1!I981/Sheet1!$O$6))</f>
        <v/>
      </c>
    </row>
    <row r="982">
      <c r="A982">
        <f>Sheet1!K982</f>
        <v/>
      </c>
      <c r="B982">
        <f>IF(ISNA(Sheet1!I982),NA(),Sheet1!$O$5-(Sheet1!I982/Sheet1!$O$6))</f>
        <v/>
      </c>
    </row>
    <row r="983">
      <c r="A983">
        <f>Sheet1!K983</f>
        <v/>
      </c>
      <c r="B983">
        <f>IF(ISNA(Sheet1!I983),NA(),Sheet1!$O$5-(Sheet1!I983/Sheet1!$O$6))</f>
        <v/>
      </c>
    </row>
    <row r="984">
      <c r="A984">
        <f>Sheet1!K984</f>
        <v/>
      </c>
      <c r="B984">
        <f>IF(ISNA(Sheet1!I984),NA(),Sheet1!$O$5-(Sheet1!I984/Sheet1!$O$6))</f>
        <v/>
      </c>
    </row>
    <row r="985">
      <c r="A985">
        <f>Sheet1!K985</f>
        <v/>
      </c>
      <c r="B985">
        <f>IF(ISNA(Sheet1!I985),NA(),Sheet1!$O$5-(Sheet1!I985/Sheet1!$O$6))</f>
        <v/>
      </c>
    </row>
    <row r="986">
      <c r="A986">
        <f>Sheet1!K986</f>
        <v/>
      </c>
      <c r="B986">
        <f>IF(ISNA(Sheet1!I986),NA(),Sheet1!$O$5-(Sheet1!I986/Sheet1!$O$6))</f>
        <v/>
      </c>
    </row>
    <row r="987">
      <c r="A987">
        <f>Sheet1!K987</f>
        <v/>
      </c>
      <c r="B987">
        <f>IF(ISNA(Sheet1!I987),NA(),Sheet1!$O$5-(Sheet1!I987/Sheet1!$O$6))</f>
        <v/>
      </c>
    </row>
    <row r="988">
      <c r="A988">
        <f>Sheet1!K988</f>
        <v/>
      </c>
      <c r="B988">
        <f>IF(ISNA(Sheet1!I988),NA(),Sheet1!$O$5-(Sheet1!I988/Sheet1!$O$6))</f>
        <v/>
      </c>
    </row>
    <row r="989">
      <c r="A989">
        <f>Sheet1!K989</f>
        <v/>
      </c>
      <c r="B989">
        <f>IF(ISNA(Sheet1!I989),NA(),Sheet1!$O$5-(Sheet1!I989/Sheet1!$O$6))</f>
        <v/>
      </c>
    </row>
    <row r="990">
      <c r="A990">
        <f>Sheet1!K990</f>
        <v/>
      </c>
      <c r="B990">
        <f>IF(ISNA(Sheet1!I990),NA(),Sheet1!$O$5-(Sheet1!I990/Sheet1!$O$6))</f>
        <v/>
      </c>
    </row>
    <row r="991">
      <c r="A991">
        <f>Sheet1!K991</f>
        <v/>
      </c>
      <c r="B991">
        <f>IF(ISNA(Sheet1!I991),NA(),Sheet1!$O$5-(Sheet1!I991/Sheet1!$O$6))</f>
        <v/>
      </c>
    </row>
    <row r="992">
      <c r="A992">
        <f>Sheet1!K992</f>
        <v/>
      </c>
      <c r="B992">
        <f>IF(ISNA(Sheet1!I992),NA(),Sheet1!$O$5-(Sheet1!I992/Sheet1!$O$6))</f>
        <v/>
      </c>
    </row>
    <row r="993">
      <c r="A993">
        <f>Sheet1!K993</f>
        <v/>
      </c>
      <c r="B993">
        <f>IF(ISNA(Sheet1!I993),NA(),Sheet1!$O$5-(Sheet1!I993/Sheet1!$O$6))</f>
        <v/>
      </c>
    </row>
    <row r="994">
      <c r="A994">
        <f>Sheet1!K994</f>
        <v/>
      </c>
      <c r="B994">
        <f>IF(ISNA(Sheet1!I994),NA(),Sheet1!$O$5-(Sheet1!I994/Sheet1!$O$6))</f>
        <v/>
      </c>
    </row>
    <row r="995">
      <c r="A995">
        <f>Sheet1!K995</f>
        <v/>
      </c>
      <c r="B995">
        <f>IF(ISNA(Sheet1!I995),NA(),Sheet1!$O$5-(Sheet1!I995/Sheet1!$O$6))</f>
        <v/>
      </c>
    </row>
    <row r="996">
      <c r="A996">
        <f>Sheet1!K996</f>
        <v/>
      </c>
      <c r="B996">
        <f>IF(ISNA(Sheet1!I996),NA(),Sheet1!$O$5-(Sheet1!I996/Sheet1!$O$6))</f>
        <v/>
      </c>
    </row>
    <row r="997">
      <c r="A997">
        <f>Sheet1!K997</f>
        <v/>
      </c>
      <c r="B997">
        <f>IF(ISNA(Sheet1!I997),NA(),Sheet1!$O$5-(Sheet1!I997/Sheet1!$O$6))</f>
        <v/>
      </c>
    </row>
    <row r="998">
      <c r="A998">
        <f>Sheet1!K998</f>
        <v/>
      </c>
      <c r="B998">
        <f>IF(ISNA(Sheet1!I998),NA(),Sheet1!$O$5-(Sheet1!I998/Sheet1!$O$6))</f>
        <v/>
      </c>
    </row>
    <row r="999">
      <c r="A999">
        <f>Sheet1!K999</f>
        <v/>
      </c>
      <c r="B999">
        <f>IF(ISNA(Sheet1!I999),NA(),Sheet1!$O$5-(Sheet1!I999/Sheet1!$O$6))</f>
        <v/>
      </c>
    </row>
    <row r="1000">
      <c r="A1000">
        <f>Sheet1!K1000</f>
        <v/>
      </c>
      <c r="B1000">
        <f>IF(ISNA(Sheet1!I1000),NA(),Sheet1!$O$5-(Sheet1!I1000/Sheet1!$O$6))</f>
        <v/>
      </c>
    </row>
    <row r="1001">
      <c r="A1001">
        <f>Sheet1!K1001</f>
        <v/>
      </c>
      <c r="B1001">
        <f>IF(ISNA(Sheet1!I1001),NA(),Sheet1!$O$5-(Sheet1!I1001/Sheet1!$O$6))</f>
        <v/>
      </c>
    </row>
    <row r="1002">
      <c r="A1002">
        <f>Sheet1!K1002</f>
        <v/>
      </c>
      <c r="B1002">
        <f>IF(ISNA(Sheet1!I1002),NA(),Sheet1!$O$5-(Sheet1!I1002/Sheet1!$O$6))</f>
        <v/>
      </c>
    </row>
    <row r="1003">
      <c r="A1003">
        <f>Sheet1!K1003</f>
        <v/>
      </c>
      <c r="B1003">
        <f>IF(ISNA(Sheet1!I1003),NA(),Sheet1!$O$5-(Sheet1!I1003/Sheet1!$O$6))</f>
        <v/>
      </c>
    </row>
    <row r="1004">
      <c r="A1004">
        <f>Sheet1!K1004</f>
        <v/>
      </c>
      <c r="B1004">
        <f>IF(ISNA(Sheet1!I1004),NA(),Sheet1!$O$5-(Sheet1!I1004/Sheet1!$O$6))</f>
        <v/>
      </c>
    </row>
    <row r="1005">
      <c r="A1005">
        <f>Sheet1!K1005</f>
        <v/>
      </c>
      <c r="B1005">
        <f>IF(ISNA(Sheet1!I1005),NA(),Sheet1!$O$5-(Sheet1!I1005/Sheet1!$O$6))</f>
        <v/>
      </c>
    </row>
    <row r="1006">
      <c r="A1006">
        <f>Sheet1!K1006</f>
        <v/>
      </c>
      <c r="B1006">
        <f>IF(ISNA(Sheet1!I1006),NA(),Sheet1!$O$5-(Sheet1!I1006/Sheet1!$O$6))</f>
        <v/>
      </c>
    </row>
    <row r="1007">
      <c r="A1007">
        <f>Sheet1!K1007</f>
        <v/>
      </c>
      <c r="B1007">
        <f>IF(ISNA(Sheet1!I1007),NA(),Sheet1!$O$5-(Sheet1!I1007/Sheet1!$O$6))</f>
        <v/>
      </c>
    </row>
    <row r="1008">
      <c r="A1008">
        <f>Sheet1!K1008</f>
        <v/>
      </c>
      <c r="B1008">
        <f>IF(ISNA(Sheet1!I1008),NA(),Sheet1!$O$5-(Sheet1!I1008/Sheet1!$O$6))</f>
        <v/>
      </c>
    </row>
    <row r="1009">
      <c r="A1009">
        <f>Sheet1!K1009</f>
        <v/>
      </c>
      <c r="B1009">
        <f>IF(ISNA(Sheet1!I1009),NA(),Sheet1!$O$5-(Sheet1!I1009/Sheet1!$O$6))</f>
        <v/>
      </c>
    </row>
    <row r="1010">
      <c r="A1010">
        <f>Sheet1!K1010</f>
        <v/>
      </c>
      <c r="B1010">
        <f>IF(ISNA(Sheet1!I1010),NA(),Sheet1!$O$5-(Sheet1!I1010/Sheet1!$O$6))</f>
        <v/>
      </c>
    </row>
    <row r="1011">
      <c r="A1011">
        <f>Sheet1!K1011</f>
        <v/>
      </c>
      <c r="B1011">
        <f>IF(ISNA(Sheet1!I1011),NA(),Sheet1!$O$5-(Sheet1!I1011/Sheet1!$O$6))</f>
        <v/>
      </c>
    </row>
    <row r="1012">
      <c r="A1012">
        <f>Sheet1!K1012</f>
        <v/>
      </c>
      <c r="B1012">
        <f>IF(ISNA(Sheet1!I1012),NA(),Sheet1!$O$5-(Sheet1!I1012/Sheet1!$O$6))</f>
        <v/>
      </c>
    </row>
    <row r="1013">
      <c r="A1013">
        <f>Sheet1!K1013</f>
        <v/>
      </c>
      <c r="B1013">
        <f>IF(ISNA(Sheet1!I1013),NA(),Sheet1!$O$5-(Sheet1!I1013/Sheet1!$O$6))</f>
        <v/>
      </c>
    </row>
    <row r="1014">
      <c r="A1014">
        <f>Sheet1!K1014</f>
        <v/>
      </c>
      <c r="B1014">
        <f>IF(ISNA(Sheet1!I1014),NA(),Sheet1!$O$5-(Sheet1!I1014/Sheet1!$O$6))</f>
        <v/>
      </c>
    </row>
    <row r="1015">
      <c r="A1015">
        <f>Sheet1!K1015</f>
        <v/>
      </c>
      <c r="B1015">
        <f>IF(ISNA(Sheet1!I1015),NA(),Sheet1!$O$5-(Sheet1!I1015/Sheet1!$O$6))</f>
        <v/>
      </c>
    </row>
    <row r="1016">
      <c r="A1016">
        <f>Sheet1!K1016</f>
        <v/>
      </c>
      <c r="B1016">
        <f>IF(ISNA(Sheet1!I1016),NA(),Sheet1!$O$5-(Sheet1!I1016/Sheet1!$O$6))</f>
        <v/>
      </c>
    </row>
    <row r="1017">
      <c r="A1017">
        <f>Sheet1!K1017</f>
        <v/>
      </c>
      <c r="B1017">
        <f>IF(ISNA(Sheet1!I1017),NA(),Sheet1!$O$5-(Sheet1!I1017/Sheet1!$O$6))</f>
        <v/>
      </c>
    </row>
    <row r="1018">
      <c r="A1018">
        <f>Sheet1!K1018</f>
        <v/>
      </c>
      <c r="B1018">
        <f>IF(ISNA(Sheet1!I1018),NA(),Sheet1!$O$5-(Sheet1!I1018/Sheet1!$O$6))</f>
        <v/>
      </c>
    </row>
    <row r="1019">
      <c r="A1019">
        <f>Sheet1!K1019</f>
        <v/>
      </c>
      <c r="B1019">
        <f>IF(ISNA(Sheet1!I1019),NA(),Sheet1!$O$5-(Sheet1!I1019/Sheet1!$O$6))</f>
        <v/>
      </c>
    </row>
    <row r="1020">
      <c r="A1020">
        <f>Sheet1!K1020</f>
        <v/>
      </c>
      <c r="B1020">
        <f>IF(ISNA(Sheet1!I1020),NA(),Sheet1!$O$5-(Sheet1!I1020/Sheet1!$O$6))</f>
        <v/>
      </c>
    </row>
    <row r="1021">
      <c r="A1021">
        <f>Sheet1!K1021</f>
        <v/>
      </c>
      <c r="B1021">
        <f>IF(ISNA(Sheet1!I1021),NA(),Sheet1!$O$5-(Sheet1!I1021/Sheet1!$O$6))</f>
        <v/>
      </c>
    </row>
    <row r="1022">
      <c r="A1022">
        <f>Sheet1!K1022</f>
        <v/>
      </c>
      <c r="B1022">
        <f>IF(ISNA(Sheet1!I1022),NA(),Sheet1!$O$5-(Sheet1!I1022/Sheet1!$O$6))</f>
        <v/>
      </c>
    </row>
    <row r="1023">
      <c r="A1023">
        <f>Sheet1!K1023</f>
        <v/>
      </c>
      <c r="B1023">
        <f>IF(ISNA(Sheet1!I1023),NA(),Sheet1!$O$5-(Sheet1!I1023/Sheet1!$O$6))</f>
        <v/>
      </c>
    </row>
    <row r="1024">
      <c r="A1024">
        <f>Sheet1!K1024</f>
        <v/>
      </c>
      <c r="B1024">
        <f>IF(ISNA(Sheet1!I1024),NA(),Sheet1!$O$5-(Sheet1!I1024/Sheet1!$O$6))</f>
        <v/>
      </c>
    </row>
    <row r="1025">
      <c r="A1025">
        <f>Sheet1!K1025</f>
        <v/>
      </c>
      <c r="B1025">
        <f>IF(ISNA(Sheet1!I1025),NA(),Sheet1!$O$5-(Sheet1!I1025/Sheet1!$O$6))</f>
        <v/>
      </c>
    </row>
    <row r="1026">
      <c r="A1026">
        <f>Sheet1!K1026</f>
        <v/>
      </c>
      <c r="B1026">
        <f>IF(ISNA(Sheet1!I1026),NA(),Sheet1!$O$5-(Sheet1!I1026/Sheet1!$O$6))</f>
        <v/>
      </c>
    </row>
    <row r="1027">
      <c r="A1027">
        <f>Sheet1!K1027</f>
        <v/>
      </c>
      <c r="B1027">
        <f>IF(ISNA(Sheet1!I1027),NA(),Sheet1!$O$5-(Sheet1!I1027/Sheet1!$O$6))</f>
        <v/>
      </c>
    </row>
    <row r="1028">
      <c r="A1028">
        <f>Sheet1!K1028</f>
        <v/>
      </c>
      <c r="B1028">
        <f>IF(ISNA(Sheet1!I1028),NA(),Sheet1!$O$5-(Sheet1!I1028/Sheet1!$O$6))</f>
        <v/>
      </c>
    </row>
    <row r="1029">
      <c r="A1029">
        <f>Sheet1!K1029</f>
        <v/>
      </c>
      <c r="B1029">
        <f>IF(ISNA(Sheet1!I1029),NA(),Sheet1!$O$5-(Sheet1!I1029/Sheet1!$O$6))</f>
        <v/>
      </c>
    </row>
    <row r="1030">
      <c r="A1030">
        <f>Sheet1!K1030</f>
        <v/>
      </c>
      <c r="B1030">
        <f>IF(ISNA(Sheet1!I1030),NA(),Sheet1!$O$5-(Sheet1!I1030/Sheet1!$O$6))</f>
        <v/>
      </c>
    </row>
    <row r="1031">
      <c r="A1031">
        <f>Sheet1!K1031</f>
        <v/>
      </c>
      <c r="B1031">
        <f>IF(ISNA(Sheet1!I1031),NA(),Sheet1!$O$5-(Sheet1!I1031/Sheet1!$O$6))</f>
        <v/>
      </c>
    </row>
    <row r="1032">
      <c r="A1032">
        <f>Sheet1!K1032</f>
        <v/>
      </c>
      <c r="B1032">
        <f>IF(ISNA(Sheet1!I1032),NA(),Sheet1!$O$5-(Sheet1!I1032/Sheet1!$O$6))</f>
        <v/>
      </c>
    </row>
    <row r="1033">
      <c r="A1033">
        <f>Sheet1!K1033</f>
        <v/>
      </c>
      <c r="B1033">
        <f>IF(ISNA(Sheet1!I1033),NA(),Sheet1!$O$5-(Sheet1!I1033/Sheet1!$O$6))</f>
        <v/>
      </c>
    </row>
    <row r="1034">
      <c r="A1034">
        <f>Sheet1!K1034</f>
        <v/>
      </c>
      <c r="B1034">
        <f>IF(ISNA(Sheet1!I1034),NA(),Sheet1!$O$5-(Sheet1!I1034/Sheet1!$O$6))</f>
        <v/>
      </c>
    </row>
    <row r="1035">
      <c r="A1035">
        <f>Sheet1!K1035</f>
        <v/>
      </c>
      <c r="B1035">
        <f>IF(ISNA(Sheet1!I1035),NA(),Sheet1!$O$5-(Sheet1!I1035/Sheet1!$O$6))</f>
        <v/>
      </c>
    </row>
    <row r="1036">
      <c r="A1036">
        <f>Sheet1!K1036</f>
        <v/>
      </c>
      <c r="B1036">
        <f>IF(ISNA(Sheet1!I1036),NA(),Sheet1!$O$5-(Sheet1!I1036/Sheet1!$O$6))</f>
        <v/>
      </c>
    </row>
    <row r="1037">
      <c r="A1037">
        <f>Sheet1!K1037</f>
        <v/>
      </c>
      <c r="B1037">
        <f>IF(ISNA(Sheet1!I1037),NA(),Sheet1!$O$5-(Sheet1!I1037/Sheet1!$O$6))</f>
        <v/>
      </c>
    </row>
    <row r="1038">
      <c r="A1038">
        <f>Sheet1!K1038</f>
        <v/>
      </c>
      <c r="B1038">
        <f>IF(ISNA(Sheet1!I1038),NA(),Sheet1!$O$5-(Sheet1!I1038/Sheet1!$O$6))</f>
        <v/>
      </c>
    </row>
    <row r="1039">
      <c r="A1039">
        <f>Sheet1!K1039</f>
        <v/>
      </c>
      <c r="B1039">
        <f>IF(ISNA(Sheet1!I1039),NA(),Sheet1!$O$5-(Sheet1!I1039/Sheet1!$O$6))</f>
        <v/>
      </c>
    </row>
    <row r="1040">
      <c r="A1040">
        <f>Sheet1!K1040</f>
        <v/>
      </c>
      <c r="B1040">
        <f>IF(ISNA(Sheet1!I1040),NA(),Sheet1!$O$5-(Sheet1!I1040/Sheet1!$O$6))</f>
        <v/>
      </c>
    </row>
    <row r="1041">
      <c r="A1041">
        <f>Sheet1!K1041</f>
        <v/>
      </c>
      <c r="B1041">
        <f>IF(ISNA(Sheet1!I1041),NA(),Sheet1!$O$5-(Sheet1!I1041/Sheet1!$O$6))</f>
        <v/>
      </c>
    </row>
    <row r="1042">
      <c r="A1042">
        <f>Sheet1!K1042</f>
        <v/>
      </c>
      <c r="B1042">
        <f>IF(ISNA(Sheet1!I1042),NA(),Sheet1!$O$5-(Sheet1!I1042/Sheet1!$O$6))</f>
        <v/>
      </c>
    </row>
    <row r="1043">
      <c r="A1043">
        <f>Sheet1!K1043</f>
        <v/>
      </c>
      <c r="B1043">
        <f>IF(ISNA(Sheet1!I1043),NA(),Sheet1!$O$5-(Sheet1!I1043/Sheet1!$O$6))</f>
        <v/>
      </c>
    </row>
    <row r="1044">
      <c r="A1044">
        <f>Sheet1!K1044</f>
        <v/>
      </c>
      <c r="B1044">
        <f>IF(ISNA(Sheet1!I1044),NA(),Sheet1!$O$5-(Sheet1!I1044/Sheet1!$O$6))</f>
        <v/>
      </c>
    </row>
    <row r="1045">
      <c r="A1045">
        <f>Sheet1!K1045</f>
        <v/>
      </c>
      <c r="B1045">
        <f>IF(ISNA(Sheet1!I1045),NA(),Sheet1!$O$5-(Sheet1!I1045/Sheet1!$O$6))</f>
        <v/>
      </c>
    </row>
    <row r="1046">
      <c r="A1046">
        <f>Sheet1!K1046</f>
        <v/>
      </c>
      <c r="B1046">
        <f>IF(ISNA(Sheet1!I1046),NA(),Sheet1!$O$5-(Sheet1!I1046/Sheet1!$O$6))</f>
        <v/>
      </c>
    </row>
    <row r="1047">
      <c r="A1047">
        <f>Sheet1!K1047</f>
        <v/>
      </c>
      <c r="B1047">
        <f>IF(ISNA(Sheet1!I1047),NA(),Sheet1!$O$5-(Sheet1!I1047/Sheet1!$O$6))</f>
        <v/>
      </c>
    </row>
    <row r="1048">
      <c r="A1048">
        <f>Sheet1!K1048</f>
        <v/>
      </c>
      <c r="B1048">
        <f>IF(ISNA(Sheet1!I1048),NA(),Sheet1!$O$5-(Sheet1!I1048/Sheet1!$O$6))</f>
        <v/>
      </c>
    </row>
    <row r="1049">
      <c r="A1049">
        <f>Sheet1!K1049</f>
        <v/>
      </c>
      <c r="B1049">
        <f>IF(ISNA(Sheet1!I1049),NA(),Sheet1!$O$5-(Sheet1!I1049/Sheet1!$O$6))</f>
        <v/>
      </c>
    </row>
    <row r="1050">
      <c r="A1050">
        <f>Sheet1!K1050</f>
        <v/>
      </c>
      <c r="B1050">
        <f>IF(ISNA(Sheet1!I1050),NA(),Sheet1!$O$5-(Sheet1!I1050/Sheet1!$O$6))</f>
        <v/>
      </c>
    </row>
    <row r="1051">
      <c r="A1051">
        <f>Sheet1!K1051</f>
        <v/>
      </c>
      <c r="B1051">
        <f>IF(ISNA(Sheet1!I1051),NA(),Sheet1!$O$5-(Sheet1!I1051/Sheet1!$O$6))</f>
        <v/>
      </c>
    </row>
    <row r="1052">
      <c r="A1052">
        <f>Sheet1!K1052</f>
        <v/>
      </c>
      <c r="B1052">
        <f>IF(ISNA(Sheet1!I1052),NA(),Sheet1!$O$5-(Sheet1!I1052/Sheet1!$O$6))</f>
        <v/>
      </c>
    </row>
    <row r="1053">
      <c r="A1053">
        <f>Sheet1!K1053</f>
        <v/>
      </c>
      <c r="B1053">
        <f>IF(ISNA(Sheet1!I1053),NA(),Sheet1!$O$5-(Sheet1!I1053/Sheet1!$O$6))</f>
        <v/>
      </c>
    </row>
    <row r="1054">
      <c r="A1054">
        <f>Sheet1!K1054</f>
        <v/>
      </c>
      <c r="B1054">
        <f>IF(ISNA(Sheet1!I1054),NA(),Sheet1!$O$5-(Sheet1!I1054/Sheet1!$O$6))</f>
        <v/>
      </c>
    </row>
    <row r="1055">
      <c r="A1055">
        <f>Sheet1!K1055</f>
        <v/>
      </c>
      <c r="B1055">
        <f>IF(ISNA(Sheet1!I1055),NA(),Sheet1!$O$5-(Sheet1!I1055/Sheet1!$O$6))</f>
        <v/>
      </c>
    </row>
    <row r="1056">
      <c r="A1056">
        <f>Sheet1!K1056</f>
        <v/>
      </c>
      <c r="B1056">
        <f>IF(ISNA(Sheet1!I1056),NA(),Sheet1!$O$5-(Sheet1!I1056/Sheet1!$O$6))</f>
        <v/>
      </c>
    </row>
    <row r="1057">
      <c r="A1057">
        <f>Sheet1!K1057</f>
        <v/>
      </c>
      <c r="B1057">
        <f>IF(ISNA(Sheet1!I1057),NA(),Sheet1!$O$5-(Sheet1!I1057/Sheet1!$O$6))</f>
        <v/>
      </c>
    </row>
    <row r="1058">
      <c r="A1058">
        <f>Sheet1!K1058</f>
        <v/>
      </c>
      <c r="B1058">
        <f>IF(ISNA(Sheet1!I1058),NA(),Sheet1!$O$5-(Sheet1!I1058/Sheet1!$O$6))</f>
        <v/>
      </c>
    </row>
    <row r="1059">
      <c r="A1059">
        <f>Sheet1!K1059</f>
        <v/>
      </c>
      <c r="B1059">
        <f>IF(ISNA(Sheet1!I1059),NA(),Sheet1!$O$5-(Sheet1!I1059/Sheet1!$O$6))</f>
        <v/>
      </c>
    </row>
    <row r="1060">
      <c r="A1060">
        <f>Sheet1!K1060</f>
        <v/>
      </c>
      <c r="B1060">
        <f>IF(ISNA(Sheet1!I1060),NA(),Sheet1!$O$5-(Sheet1!I1060/Sheet1!$O$6))</f>
        <v/>
      </c>
    </row>
    <row r="1061">
      <c r="A1061">
        <f>Sheet1!K1061</f>
        <v/>
      </c>
      <c r="B1061">
        <f>IF(ISNA(Sheet1!I1061),NA(),Sheet1!$O$5-(Sheet1!I1061/Sheet1!$O$6))</f>
        <v/>
      </c>
    </row>
    <row r="1062">
      <c r="A1062">
        <f>Sheet1!K1062</f>
        <v/>
      </c>
      <c r="B1062">
        <f>IF(ISNA(Sheet1!I1062),NA(),Sheet1!$O$5-(Sheet1!I1062/Sheet1!$O$6))</f>
        <v/>
      </c>
    </row>
    <row r="1063">
      <c r="A1063">
        <f>Sheet1!K1063</f>
        <v/>
      </c>
      <c r="B1063">
        <f>IF(ISNA(Sheet1!I1063),NA(),Sheet1!$O$5-(Sheet1!I1063/Sheet1!$O$6))</f>
        <v/>
      </c>
    </row>
    <row r="1064">
      <c r="A1064">
        <f>Sheet1!K1064</f>
        <v/>
      </c>
      <c r="B1064">
        <f>IF(ISNA(Sheet1!I1064),NA(),Sheet1!$O$5-(Sheet1!I1064/Sheet1!$O$6))</f>
        <v/>
      </c>
    </row>
    <row r="1065">
      <c r="A1065">
        <f>Sheet1!K1065</f>
        <v/>
      </c>
      <c r="B1065">
        <f>IF(ISNA(Sheet1!I1065),NA(),Sheet1!$O$5-(Sheet1!I1065/Sheet1!$O$6))</f>
        <v/>
      </c>
    </row>
    <row r="1066">
      <c r="A1066">
        <f>Sheet1!K1066</f>
        <v/>
      </c>
      <c r="B1066">
        <f>IF(ISNA(Sheet1!I1066),NA(),Sheet1!$O$5-(Sheet1!I1066/Sheet1!$O$6))</f>
        <v/>
      </c>
    </row>
    <row r="1067">
      <c r="A1067">
        <f>Sheet1!K1067</f>
        <v/>
      </c>
      <c r="B1067">
        <f>IF(ISNA(Sheet1!I1067),NA(),Sheet1!$O$5-(Sheet1!I1067/Sheet1!$O$6))</f>
        <v/>
      </c>
    </row>
    <row r="1068">
      <c r="A1068">
        <f>Sheet1!K1068</f>
        <v/>
      </c>
      <c r="B1068">
        <f>IF(ISNA(Sheet1!I1068),NA(),Sheet1!$O$5-(Sheet1!I1068/Sheet1!$O$6))</f>
        <v/>
      </c>
    </row>
    <row r="1069">
      <c r="A1069">
        <f>Sheet1!K1069</f>
        <v/>
      </c>
      <c r="B1069">
        <f>IF(ISNA(Sheet1!I1069),NA(),Sheet1!$O$5-(Sheet1!I1069/Sheet1!$O$6))</f>
        <v/>
      </c>
    </row>
    <row r="1070">
      <c r="A1070">
        <f>Sheet1!K1070</f>
        <v/>
      </c>
      <c r="B1070">
        <f>IF(ISNA(Sheet1!I1070),NA(),Sheet1!$O$5-(Sheet1!I1070/Sheet1!$O$6))</f>
        <v/>
      </c>
    </row>
    <row r="1071">
      <c r="A1071">
        <f>Sheet1!K1071</f>
        <v/>
      </c>
      <c r="B1071">
        <f>IF(ISNA(Sheet1!I1071),NA(),Sheet1!$O$5-(Sheet1!I1071/Sheet1!$O$6))</f>
        <v/>
      </c>
    </row>
    <row r="1072">
      <c r="A1072">
        <f>Sheet1!K1072</f>
        <v/>
      </c>
      <c r="B1072">
        <f>IF(ISNA(Sheet1!I1072),NA(),Sheet1!$O$5-(Sheet1!I1072/Sheet1!$O$6))</f>
        <v/>
      </c>
    </row>
    <row r="1073">
      <c r="A1073">
        <f>Sheet1!K1073</f>
        <v/>
      </c>
      <c r="B1073">
        <f>IF(ISNA(Sheet1!I1073),NA(),Sheet1!$O$5-(Sheet1!I1073/Sheet1!$O$6))</f>
        <v/>
      </c>
    </row>
    <row r="1074">
      <c r="A1074">
        <f>Sheet1!K1074</f>
        <v/>
      </c>
      <c r="B1074">
        <f>IF(ISNA(Sheet1!I1074),NA(),Sheet1!$O$5-(Sheet1!I1074/Sheet1!$O$6))</f>
        <v/>
      </c>
    </row>
    <row r="1075">
      <c r="A1075">
        <f>Sheet1!K1075</f>
        <v/>
      </c>
      <c r="B1075">
        <f>IF(ISNA(Sheet1!I1075),NA(),Sheet1!$O$5-(Sheet1!I1075/Sheet1!$O$6))</f>
        <v/>
      </c>
    </row>
    <row r="1076">
      <c r="A1076">
        <f>Sheet1!K1076</f>
        <v/>
      </c>
      <c r="B1076">
        <f>IF(ISNA(Sheet1!I1076),NA(),Sheet1!$O$5-(Sheet1!I1076/Sheet1!$O$6))</f>
        <v/>
      </c>
    </row>
    <row r="1077">
      <c r="A1077">
        <f>Sheet1!K1077</f>
        <v/>
      </c>
      <c r="B1077">
        <f>IF(ISNA(Sheet1!I1077),NA(),Sheet1!$O$5-(Sheet1!I1077/Sheet1!$O$6))</f>
        <v/>
      </c>
    </row>
    <row r="1078">
      <c r="A1078">
        <f>Sheet1!K1078</f>
        <v/>
      </c>
      <c r="B1078">
        <f>IF(ISNA(Sheet1!I1078),NA(),Sheet1!$O$5-(Sheet1!I1078/Sheet1!$O$6))</f>
        <v/>
      </c>
    </row>
    <row r="1079">
      <c r="A1079">
        <f>Sheet1!K1079</f>
        <v/>
      </c>
      <c r="B1079">
        <f>IF(ISNA(Sheet1!I1079),NA(),Sheet1!$O$5-(Sheet1!I1079/Sheet1!$O$6))</f>
        <v/>
      </c>
    </row>
    <row r="1080">
      <c r="A1080">
        <f>Sheet1!K1080</f>
        <v/>
      </c>
      <c r="B1080">
        <f>IF(ISNA(Sheet1!I1080),NA(),Sheet1!$O$5-(Sheet1!I1080/Sheet1!$O$6))</f>
        <v/>
      </c>
    </row>
    <row r="1081">
      <c r="A1081">
        <f>Sheet1!K1081</f>
        <v/>
      </c>
      <c r="B1081">
        <f>IF(ISNA(Sheet1!I1081),NA(),Sheet1!$O$5-(Sheet1!I1081/Sheet1!$O$6))</f>
        <v/>
      </c>
    </row>
    <row r="1082">
      <c r="A1082">
        <f>Sheet1!K1082</f>
        <v/>
      </c>
      <c r="B1082">
        <f>IF(ISNA(Sheet1!I1082),NA(),Sheet1!$O$5-(Sheet1!I1082/Sheet1!$O$6))</f>
        <v/>
      </c>
    </row>
    <row r="1083">
      <c r="A1083">
        <f>Sheet1!K1083</f>
        <v/>
      </c>
      <c r="B1083">
        <f>IF(ISNA(Sheet1!I1083),NA(),Sheet1!$O$5-(Sheet1!I1083/Sheet1!$O$6))</f>
        <v/>
      </c>
    </row>
    <row r="1084">
      <c r="A1084">
        <f>Sheet1!K1084</f>
        <v/>
      </c>
      <c r="B1084">
        <f>IF(ISNA(Sheet1!I1084),NA(),Sheet1!$O$5-(Sheet1!I1084/Sheet1!$O$6))</f>
        <v/>
      </c>
    </row>
    <row r="1085">
      <c r="A1085">
        <f>Sheet1!K1085</f>
        <v/>
      </c>
      <c r="B1085">
        <f>IF(ISNA(Sheet1!I1085),NA(),Sheet1!$O$5-(Sheet1!I1085/Sheet1!$O$6))</f>
        <v/>
      </c>
    </row>
    <row r="1086">
      <c r="A1086">
        <f>Sheet1!K1086</f>
        <v/>
      </c>
      <c r="B1086">
        <f>IF(ISNA(Sheet1!I1086),NA(),Sheet1!$O$5-(Sheet1!I1086/Sheet1!$O$6))</f>
        <v/>
      </c>
    </row>
    <row r="1087">
      <c r="A1087">
        <f>Sheet1!K1087</f>
        <v/>
      </c>
      <c r="B1087">
        <f>IF(ISNA(Sheet1!I1087),NA(),Sheet1!$O$5-(Sheet1!I1087/Sheet1!$O$6))</f>
        <v/>
      </c>
    </row>
    <row r="1088">
      <c r="A1088">
        <f>Sheet1!K1088</f>
        <v/>
      </c>
      <c r="B1088">
        <f>IF(ISNA(Sheet1!I1088),NA(),Sheet1!$O$5-(Sheet1!I1088/Sheet1!$O$6))</f>
        <v/>
      </c>
    </row>
    <row r="1089">
      <c r="A1089">
        <f>Sheet1!K1089</f>
        <v/>
      </c>
      <c r="B1089">
        <f>IF(ISNA(Sheet1!I1089),NA(),Sheet1!$O$5-(Sheet1!I1089/Sheet1!$O$6))</f>
        <v/>
      </c>
    </row>
    <row r="1090">
      <c r="A1090">
        <f>Sheet1!K1090</f>
        <v/>
      </c>
      <c r="B1090">
        <f>IF(ISNA(Sheet1!I1090),NA(),Sheet1!$O$5-(Sheet1!I1090/Sheet1!$O$6))</f>
        <v/>
      </c>
    </row>
    <row r="1091">
      <c r="A1091">
        <f>Sheet1!K1091</f>
        <v/>
      </c>
      <c r="B1091">
        <f>IF(ISNA(Sheet1!I1091),NA(),Sheet1!$O$5-(Sheet1!I1091/Sheet1!$O$6))</f>
        <v/>
      </c>
    </row>
    <row r="1092">
      <c r="A1092">
        <f>Sheet1!K1092</f>
        <v/>
      </c>
      <c r="B1092">
        <f>IF(ISNA(Sheet1!I1092),NA(),Sheet1!$O$5-(Sheet1!I1092/Sheet1!$O$6))</f>
        <v/>
      </c>
    </row>
    <row r="1093">
      <c r="A1093">
        <f>Sheet1!K1093</f>
        <v/>
      </c>
      <c r="B1093">
        <f>IF(ISNA(Sheet1!I1093),NA(),Sheet1!$O$5-(Sheet1!I1093/Sheet1!$O$6))</f>
        <v/>
      </c>
    </row>
    <row r="1094">
      <c r="A1094">
        <f>Sheet1!K1094</f>
        <v/>
      </c>
      <c r="B1094">
        <f>IF(ISNA(Sheet1!I1094),NA(),Sheet1!$O$5-(Sheet1!I1094/Sheet1!$O$6))</f>
        <v/>
      </c>
    </row>
    <row r="1095">
      <c r="A1095">
        <f>Sheet1!K1095</f>
        <v/>
      </c>
      <c r="B1095">
        <f>IF(ISNA(Sheet1!I1095),NA(),Sheet1!$O$5-(Sheet1!I1095/Sheet1!$O$6))</f>
        <v/>
      </c>
    </row>
    <row r="1096">
      <c r="A1096">
        <f>Sheet1!K1096</f>
        <v/>
      </c>
      <c r="B1096">
        <f>IF(ISNA(Sheet1!I1096),NA(),Sheet1!$O$5-(Sheet1!I1096/Sheet1!$O$6))</f>
        <v/>
      </c>
    </row>
    <row r="1097">
      <c r="A1097">
        <f>Sheet1!K1097</f>
        <v/>
      </c>
      <c r="B1097">
        <f>IF(ISNA(Sheet1!I1097),NA(),Sheet1!$O$5-(Sheet1!I1097/Sheet1!$O$6))</f>
        <v/>
      </c>
    </row>
    <row r="1098">
      <c r="A1098">
        <f>Sheet1!K1098</f>
        <v/>
      </c>
      <c r="B1098">
        <f>IF(ISNA(Sheet1!I1098),NA(),Sheet1!$O$5-(Sheet1!I1098/Sheet1!$O$6))</f>
        <v/>
      </c>
    </row>
    <row r="1099">
      <c r="A1099">
        <f>Sheet1!K1099</f>
        <v/>
      </c>
      <c r="B1099">
        <f>IF(ISNA(Sheet1!I1099),NA(),Sheet1!$O$5-(Sheet1!I1099/Sheet1!$O$6))</f>
        <v/>
      </c>
    </row>
    <row r="1100">
      <c r="A1100">
        <f>Sheet1!K1100</f>
        <v/>
      </c>
      <c r="B1100">
        <f>IF(ISNA(Sheet1!I1100),NA(),Sheet1!$O$5-(Sheet1!I1100/Sheet1!$O$6))</f>
        <v/>
      </c>
    </row>
    <row r="1101">
      <c r="A1101">
        <f>Sheet1!K1101</f>
        <v/>
      </c>
      <c r="B1101">
        <f>IF(ISNA(Sheet1!I1101),NA(),Sheet1!$O$5-(Sheet1!I1101/Sheet1!$O$6))</f>
        <v/>
      </c>
    </row>
    <row r="1102">
      <c r="A1102">
        <f>Sheet1!K1102</f>
        <v/>
      </c>
      <c r="B1102">
        <f>IF(ISNA(Sheet1!I1102),NA(),Sheet1!$O$5-(Sheet1!I1102/Sheet1!$O$6))</f>
        <v/>
      </c>
    </row>
    <row r="1103">
      <c r="A1103">
        <f>Sheet1!K1103</f>
        <v/>
      </c>
      <c r="B1103">
        <f>IF(ISNA(Sheet1!I1103),NA(),Sheet1!$O$5-(Sheet1!I1103/Sheet1!$O$6))</f>
        <v/>
      </c>
    </row>
    <row r="1104">
      <c r="A1104">
        <f>Sheet1!K1104</f>
        <v/>
      </c>
      <c r="B1104">
        <f>IF(ISNA(Sheet1!I1104),NA(),Sheet1!$O$5-(Sheet1!I1104/Sheet1!$O$6))</f>
        <v/>
      </c>
    </row>
    <row r="1105">
      <c r="A1105">
        <f>Sheet1!K1105</f>
        <v/>
      </c>
      <c r="B1105">
        <f>IF(ISNA(Sheet1!I1105),NA(),Sheet1!$O$5-(Sheet1!I1105/Sheet1!$O$6))</f>
        <v/>
      </c>
    </row>
    <row r="1106">
      <c r="A1106">
        <f>Sheet1!K1106</f>
        <v/>
      </c>
      <c r="B1106">
        <f>IF(ISNA(Sheet1!I1106),NA(),Sheet1!$O$5-(Sheet1!I1106/Sheet1!$O$6))</f>
        <v/>
      </c>
    </row>
    <row r="1107">
      <c r="A1107">
        <f>Sheet1!K1107</f>
        <v/>
      </c>
      <c r="B1107">
        <f>IF(ISNA(Sheet1!I1107),NA(),Sheet1!$O$5-(Sheet1!I1107/Sheet1!$O$6))</f>
        <v/>
      </c>
    </row>
    <row r="1108">
      <c r="A1108">
        <f>Sheet1!K1108</f>
        <v/>
      </c>
      <c r="B1108">
        <f>IF(ISNA(Sheet1!I1108),NA(),Sheet1!$O$5-(Sheet1!I1108/Sheet1!$O$6))</f>
        <v/>
      </c>
    </row>
    <row r="1109">
      <c r="A1109">
        <f>Sheet1!K1109</f>
        <v/>
      </c>
      <c r="B1109">
        <f>IF(ISNA(Sheet1!I1109),NA(),Sheet1!$O$5-(Sheet1!I1109/Sheet1!$O$6))</f>
        <v/>
      </c>
    </row>
    <row r="1110">
      <c r="A1110">
        <f>Sheet1!K1110</f>
        <v/>
      </c>
      <c r="B1110">
        <f>IF(ISNA(Sheet1!I1110),NA(),Sheet1!$O$5-(Sheet1!I1110/Sheet1!$O$6))</f>
        <v/>
      </c>
    </row>
    <row r="1111">
      <c r="A1111">
        <f>Sheet1!K1111</f>
        <v/>
      </c>
      <c r="B1111">
        <f>IF(ISNA(Sheet1!I1111),NA(),Sheet1!$O$5-(Sheet1!I1111/Sheet1!$O$6))</f>
        <v/>
      </c>
    </row>
    <row r="1112">
      <c r="A1112">
        <f>Sheet1!K1112</f>
        <v/>
      </c>
      <c r="B1112">
        <f>IF(ISNA(Sheet1!I1112),NA(),Sheet1!$O$5-(Sheet1!I1112/Sheet1!$O$6))</f>
        <v/>
      </c>
    </row>
    <row r="1113">
      <c r="A1113">
        <f>Sheet1!K1113</f>
        <v/>
      </c>
      <c r="B1113">
        <f>IF(ISNA(Sheet1!I1113),NA(),Sheet1!$O$5-(Sheet1!I1113/Sheet1!$O$6))</f>
        <v/>
      </c>
    </row>
    <row r="1114">
      <c r="A1114">
        <f>Sheet1!K1114</f>
        <v/>
      </c>
      <c r="B1114">
        <f>IF(ISNA(Sheet1!I1114),NA(),Sheet1!$O$5-(Sheet1!I1114/Sheet1!$O$6))</f>
        <v/>
      </c>
    </row>
    <row r="1115">
      <c r="A1115">
        <f>Sheet1!K1115</f>
        <v/>
      </c>
      <c r="B1115">
        <f>IF(ISNA(Sheet1!I1115),NA(),Sheet1!$O$5-(Sheet1!I1115/Sheet1!$O$6))</f>
        <v/>
      </c>
    </row>
    <row r="1116">
      <c r="A1116">
        <f>Sheet1!K1116</f>
        <v/>
      </c>
      <c r="B1116">
        <f>IF(ISNA(Sheet1!I1116),NA(),Sheet1!$O$5-(Sheet1!I1116/Sheet1!$O$6))</f>
        <v/>
      </c>
    </row>
    <row r="1117">
      <c r="A1117">
        <f>Sheet1!K1117</f>
        <v/>
      </c>
      <c r="B1117">
        <f>IF(ISNA(Sheet1!I1117),NA(),Sheet1!$O$5-(Sheet1!I1117/Sheet1!$O$6))</f>
        <v/>
      </c>
    </row>
    <row r="1118">
      <c r="A1118">
        <f>Sheet1!K1118</f>
        <v/>
      </c>
      <c r="B1118">
        <f>IF(ISNA(Sheet1!I1118),NA(),Sheet1!$O$5-(Sheet1!I1118/Sheet1!$O$6))</f>
        <v/>
      </c>
    </row>
    <row r="1119">
      <c r="A1119">
        <f>Sheet1!K1119</f>
        <v/>
      </c>
      <c r="B1119">
        <f>IF(ISNA(Sheet1!I1119),NA(),Sheet1!$O$5-(Sheet1!I1119/Sheet1!$O$6))</f>
        <v/>
      </c>
    </row>
    <row r="1120">
      <c r="A1120">
        <f>Sheet1!K1120</f>
        <v/>
      </c>
      <c r="B1120">
        <f>IF(ISNA(Sheet1!I1120),NA(),Sheet1!$O$5-(Sheet1!I1120/Sheet1!$O$6))</f>
        <v/>
      </c>
    </row>
    <row r="1121">
      <c r="A1121">
        <f>Sheet1!K1121</f>
        <v/>
      </c>
      <c r="B1121">
        <f>IF(ISNA(Sheet1!I1121),NA(),Sheet1!$O$5-(Sheet1!I1121/Sheet1!$O$6))</f>
        <v/>
      </c>
    </row>
    <row r="1122">
      <c r="A1122">
        <f>Sheet1!K1122</f>
        <v/>
      </c>
      <c r="B1122">
        <f>IF(ISNA(Sheet1!I1122),NA(),Sheet1!$O$5-(Sheet1!I1122/Sheet1!$O$6))</f>
        <v/>
      </c>
    </row>
    <row r="1123">
      <c r="A1123">
        <f>Sheet1!K1123</f>
        <v/>
      </c>
      <c r="B1123">
        <f>IF(ISNA(Sheet1!I1123),NA(),Sheet1!$O$5-(Sheet1!I1123/Sheet1!$O$6))</f>
        <v/>
      </c>
    </row>
    <row r="1124">
      <c r="A1124">
        <f>Sheet1!K1124</f>
        <v/>
      </c>
      <c r="B1124">
        <f>IF(ISNA(Sheet1!I1124),NA(),Sheet1!$O$5-(Sheet1!I1124/Sheet1!$O$6))</f>
        <v/>
      </c>
    </row>
    <row r="1125">
      <c r="A1125">
        <f>Sheet1!K1125</f>
        <v/>
      </c>
      <c r="B1125">
        <f>IF(ISNA(Sheet1!I1125),NA(),Sheet1!$O$5-(Sheet1!I1125/Sheet1!$O$6))</f>
        <v/>
      </c>
    </row>
    <row r="1126">
      <c r="A1126">
        <f>Sheet1!K1126</f>
        <v/>
      </c>
      <c r="B1126">
        <f>IF(ISNA(Sheet1!I1126),NA(),Sheet1!$O$5-(Sheet1!I1126/Sheet1!$O$6))</f>
        <v/>
      </c>
    </row>
    <row r="1127">
      <c r="A1127">
        <f>Sheet1!K1127</f>
        <v/>
      </c>
      <c r="B1127">
        <f>IF(ISNA(Sheet1!I1127),NA(),Sheet1!$O$5-(Sheet1!I1127/Sheet1!$O$6))</f>
        <v/>
      </c>
    </row>
    <row r="1128">
      <c r="A1128">
        <f>Sheet1!K1128</f>
        <v/>
      </c>
      <c r="B1128">
        <f>IF(ISNA(Sheet1!I1128),NA(),Sheet1!$O$5-(Sheet1!I1128/Sheet1!$O$6))</f>
        <v/>
      </c>
    </row>
    <row r="1129">
      <c r="A1129">
        <f>Sheet1!K1129</f>
        <v/>
      </c>
      <c r="B1129">
        <f>IF(ISNA(Sheet1!I1129),NA(),Sheet1!$O$5-(Sheet1!I1129/Sheet1!$O$6))</f>
        <v/>
      </c>
    </row>
    <row r="1130">
      <c r="A1130">
        <f>Sheet1!K1130</f>
        <v/>
      </c>
      <c r="B1130">
        <f>IF(ISNA(Sheet1!I1130),NA(),Sheet1!$O$5-(Sheet1!I1130/Sheet1!$O$6))</f>
        <v/>
      </c>
    </row>
    <row r="1131">
      <c r="A1131">
        <f>Sheet1!K1131</f>
        <v/>
      </c>
      <c r="B1131">
        <f>IF(ISNA(Sheet1!I1131),NA(),Sheet1!$O$5-(Sheet1!I1131/Sheet1!$O$6))</f>
        <v/>
      </c>
    </row>
    <row r="1132">
      <c r="A1132">
        <f>Sheet1!K1132</f>
        <v/>
      </c>
      <c r="B1132">
        <f>IF(ISNA(Sheet1!I1132),NA(),Sheet1!$O$5-(Sheet1!I1132/Sheet1!$O$6))</f>
        <v/>
      </c>
    </row>
    <row r="1133">
      <c r="A1133">
        <f>Sheet1!K1133</f>
        <v/>
      </c>
      <c r="B1133">
        <f>IF(ISNA(Sheet1!I1133),NA(),Sheet1!$O$5-(Sheet1!I1133/Sheet1!$O$6))</f>
        <v/>
      </c>
    </row>
    <row r="1134">
      <c r="A1134">
        <f>Sheet1!K1134</f>
        <v/>
      </c>
      <c r="B1134">
        <f>IF(ISNA(Sheet1!I1134),NA(),Sheet1!$O$5-(Sheet1!I1134/Sheet1!$O$6))</f>
        <v/>
      </c>
    </row>
    <row r="1135">
      <c r="A1135">
        <f>Sheet1!K1135</f>
        <v/>
      </c>
      <c r="B1135">
        <f>IF(ISNA(Sheet1!I1135),NA(),Sheet1!$O$5-(Sheet1!I1135/Sheet1!$O$6))</f>
        <v/>
      </c>
    </row>
    <row r="1136">
      <c r="A1136">
        <f>Sheet1!K1136</f>
        <v/>
      </c>
      <c r="B1136">
        <f>IF(ISNA(Sheet1!I1136),NA(),Sheet1!$O$5-(Sheet1!I1136/Sheet1!$O$6))</f>
        <v/>
      </c>
    </row>
    <row r="1137">
      <c r="A1137">
        <f>Sheet1!K1137</f>
        <v/>
      </c>
      <c r="B1137">
        <f>IF(ISNA(Sheet1!I1137),NA(),Sheet1!$O$5-(Sheet1!I1137/Sheet1!$O$6))</f>
        <v/>
      </c>
    </row>
    <row r="1138">
      <c r="A1138">
        <f>Sheet1!K1138</f>
        <v/>
      </c>
      <c r="B1138">
        <f>IF(ISNA(Sheet1!I1138),NA(),Sheet1!$O$5-(Sheet1!I1138/Sheet1!$O$6))</f>
        <v/>
      </c>
    </row>
    <row r="1139">
      <c r="A1139">
        <f>Sheet1!K1139</f>
        <v/>
      </c>
      <c r="B1139">
        <f>IF(ISNA(Sheet1!I1139),NA(),Sheet1!$O$5-(Sheet1!I1139/Sheet1!$O$6))</f>
        <v/>
      </c>
    </row>
    <row r="1140">
      <c r="A1140">
        <f>Sheet1!K1140</f>
        <v/>
      </c>
      <c r="B1140">
        <f>IF(ISNA(Sheet1!I1140),NA(),Sheet1!$O$5-(Sheet1!I1140/Sheet1!$O$6))</f>
        <v/>
      </c>
    </row>
    <row r="1141">
      <c r="A1141">
        <f>Sheet1!K1141</f>
        <v/>
      </c>
      <c r="B1141">
        <f>IF(ISNA(Sheet1!I1141),NA(),Sheet1!$O$5-(Sheet1!I1141/Sheet1!$O$6))</f>
        <v/>
      </c>
    </row>
    <row r="1142">
      <c r="A1142">
        <f>Sheet1!K1142</f>
        <v/>
      </c>
      <c r="B1142">
        <f>IF(ISNA(Sheet1!I1142),NA(),Sheet1!$O$5-(Sheet1!I1142/Sheet1!$O$6))</f>
        <v/>
      </c>
    </row>
    <row r="1143">
      <c r="A1143">
        <f>Sheet1!K1143</f>
        <v/>
      </c>
      <c r="B1143">
        <f>IF(ISNA(Sheet1!I1143),NA(),Sheet1!$O$5-(Sheet1!I1143/Sheet1!$O$6))</f>
        <v/>
      </c>
    </row>
    <row r="1144">
      <c r="A1144">
        <f>Sheet1!K1144</f>
        <v/>
      </c>
      <c r="B1144">
        <f>IF(ISNA(Sheet1!I1144),NA(),Sheet1!$O$5-(Sheet1!I1144/Sheet1!$O$6))</f>
        <v/>
      </c>
    </row>
    <row r="1145">
      <c r="A1145">
        <f>Sheet1!K1145</f>
        <v/>
      </c>
      <c r="B1145">
        <f>IF(ISNA(Sheet1!I1145),NA(),Sheet1!$O$5-(Sheet1!I1145/Sheet1!$O$6))</f>
        <v/>
      </c>
    </row>
    <row r="1146">
      <c r="A1146">
        <f>Sheet1!K1146</f>
        <v/>
      </c>
      <c r="B1146">
        <f>IF(ISNA(Sheet1!I1146),NA(),Sheet1!$O$5-(Sheet1!I1146/Sheet1!$O$6))</f>
        <v/>
      </c>
    </row>
    <row r="1147">
      <c r="A1147">
        <f>Sheet1!K1147</f>
        <v/>
      </c>
      <c r="B1147">
        <f>IF(ISNA(Sheet1!I1147),NA(),Sheet1!$O$5-(Sheet1!I1147/Sheet1!$O$6))</f>
        <v/>
      </c>
    </row>
    <row r="1148">
      <c r="A1148">
        <f>Sheet1!K1148</f>
        <v/>
      </c>
      <c r="B1148">
        <f>IF(ISNA(Sheet1!I1148),NA(),Sheet1!$O$5-(Sheet1!I1148/Sheet1!$O$6))</f>
        <v/>
      </c>
    </row>
    <row r="1149">
      <c r="A1149">
        <f>Sheet1!K1149</f>
        <v/>
      </c>
      <c r="B1149">
        <f>IF(ISNA(Sheet1!I1149),NA(),Sheet1!$O$5-(Sheet1!I1149/Sheet1!$O$6))</f>
        <v/>
      </c>
    </row>
    <row r="1150">
      <c r="A1150">
        <f>Sheet1!K1150</f>
        <v/>
      </c>
      <c r="B1150">
        <f>IF(ISNA(Sheet1!I1150),NA(),Sheet1!$O$5-(Sheet1!I1150/Sheet1!$O$6))</f>
        <v/>
      </c>
    </row>
    <row r="1151">
      <c r="A1151">
        <f>Sheet1!K1151</f>
        <v/>
      </c>
      <c r="B1151">
        <f>IF(ISNA(Sheet1!I1151),NA(),Sheet1!$O$5-(Sheet1!I1151/Sheet1!$O$6))</f>
        <v/>
      </c>
    </row>
    <row r="1152">
      <c r="A1152">
        <f>Sheet1!K1152</f>
        <v/>
      </c>
      <c r="B1152">
        <f>IF(ISNA(Sheet1!I1152),NA(),Sheet1!$O$5-(Sheet1!I1152/Sheet1!$O$6))</f>
        <v/>
      </c>
    </row>
    <row r="1153">
      <c r="A1153">
        <f>Sheet1!K1153</f>
        <v/>
      </c>
      <c r="B1153">
        <f>IF(ISNA(Sheet1!I1153),NA(),Sheet1!$O$5-(Sheet1!I1153/Sheet1!$O$6))</f>
        <v/>
      </c>
    </row>
    <row r="1154">
      <c r="A1154">
        <f>Sheet1!K1154</f>
        <v/>
      </c>
      <c r="B1154">
        <f>IF(ISNA(Sheet1!I1154),NA(),Sheet1!$O$5-(Sheet1!I1154/Sheet1!$O$6))</f>
        <v/>
      </c>
    </row>
    <row r="1155">
      <c r="A1155">
        <f>Sheet1!K1155</f>
        <v/>
      </c>
      <c r="B1155">
        <f>IF(ISNA(Sheet1!I1155),NA(),Sheet1!$O$5-(Sheet1!I1155/Sheet1!$O$6))</f>
        <v/>
      </c>
    </row>
    <row r="1156">
      <c r="A1156">
        <f>Sheet1!K1156</f>
        <v/>
      </c>
      <c r="B1156">
        <f>IF(ISNA(Sheet1!I1156),NA(),Sheet1!$O$5-(Sheet1!I1156/Sheet1!$O$6))</f>
        <v/>
      </c>
    </row>
    <row r="1157">
      <c r="A1157">
        <f>Sheet1!K1157</f>
        <v/>
      </c>
      <c r="B1157">
        <f>IF(ISNA(Sheet1!I1157),NA(),Sheet1!$O$5-(Sheet1!I1157/Sheet1!$O$6))</f>
        <v/>
      </c>
    </row>
    <row r="1158">
      <c r="A1158">
        <f>Sheet1!K1158</f>
        <v/>
      </c>
      <c r="B1158">
        <f>IF(ISNA(Sheet1!I1158),NA(),Sheet1!$O$5-(Sheet1!I1158/Sheet1!$O$6))</f>
        <v/>
      </c>
    </row>
    <row r="1159">
      <c r="A1159">
        <f>Sheet1!K1159</f>
        <v/>
      </c>
      <c r="B1159">
        <f>IF(ISNA(Sheet1!I1159),NA(),Sheet1!$O$5-(Sheet1!I1159/Sheet1!$O$6))</f>
        <v/>
      </c>
    </row>
    <row r="1160">
      <c r="A1160">
        <f>Sheet1!K1160</f>
        <v/>
      </c>
      <c r="B1160">
        <f>IF(ISNA(Sheet1!I1160),NA(),Sheet1!$O$5-(Sheet1!I1160/Sheet1!$O$6))</f>
        <v/>
      </c>
    </row>
    <row r="1161">
      <c r="A1161">
        <f>Sheet1!K1161</f>
        <v/>
      </c>
      <c r="B1161">
        <f>IF(ISNA(Sheet1!I1161),NA(),Sheet1!$O$5-(Sheet1!I1161/Sheet1!$O$6))</f>
        <v/>
      </c>
    </row>
    <row r="1162">
      <c r="A1162">
        <f>Sheet1!K1162</f>
        <v/>
      </c>
      <c r="B1162">
        <f>IF(ISNA(Sheet1!I1162),NA(),Sheet1!$O$5-(Sheet1!I1162/Sheet1!$O$6))</f>
        <v/>
      </c>
    </row>
    <row r="1163">
      <c r="A1163">
        <f>Sheet1!K1163</f>
        <v/>
      </c>
      <c r="B1163">
        <f>IF(ISNA(Sheet1!I1163),NA(),Sheet1!$O$5-(Sheet1!I1163/Sheet1!$O$6))</f>
        <v/>
      </c>
    </row>
    <row r="1164">
      <c r="A1164">
        <f>Sheet1!K1164</f>
        <v/>
      </c>
      <c r="B1164">
        <f>IF(ISNA(Sheet1!I1164),NA(),Sheet1!$O$5-(Sheet1!I1164/Sheet1!$O$6))</f>
        <v/>
      </c>
    </row>
    <row r="1165">
      <c r="A1165">
        <f>Sheet1!K1165</f>
        <v/>
      </c>
      <c r="B1165">
        <f>IF(ISNA(Sheet1!I1165),NA(),Sheet1!$O$5-(Sheet1!I1165/Sheet1!$O$6))</f>
        <v/>
      </c>
    </row>
    <row r="1166">
      <c r="A1166">
        <f>Sheet1!K1166</f>
        <v/>
      </c>
      <c r="B1166">
        <f>IF(ISNA(Sheet1!I1166),NA(),Sheet1!$O$5-(Sheet1!I1166/Sheet1!$O$6))</f>
        <v/>
      </c>
    </row>
    <row r="1167">
      <c r="A1167">
        <f>Sheet1!K1167</f>
        <v/>
      </c>
      <c r="B1167">
        <f>IF(ISNA(Sheet1!I1167),NA(),Sheet1!$O$5-(Sheet1!I1167/Sheet1!$O$6))</f>
        <v/>
      </c>
    </row>
    <row r="1168">
      <c r="A1168">
        <f>Sheet1!K1168</f>
        <v/>
      </c>
      <c r="B1168">
        <f>IF(ISNA(Sheet1!I1168),NA(),Sheet1!$O$5-(Sheet1!I1168/Sheet1!$O$6))</f>
        <v/>
      </c>
    </row>
    <row r="1169">
      <c r="A1169">
        <f>Sheet1!K1169</f>
        <v/>
      </c>
      <c r="B1169">
        <f>IF(ISNA(Sheet1!I1169),NA(),Sheet1!$O$5-(Sheet1!I1169/Sheet1!$O$6))</f>
        <v/>
      </c>
    </row>
    <row r="1170">
      <c r="A1170">
        <f>Sheet1!K1170</f>
        <v/>
      </c>
      <c r="B1170">
        <f>IF(ISNA(Sheet1!I1170),NA(),Sheet1!$O$5-(Sheet1!I1170/Sheet1!$O$6))</f>
        <v/>
      </c>
    </row>
    <row r="1171">
      <c r="A1171">
        <f>Sheet1!K1171</f>
        <v/>
      </c>
      <c r="B1171">
        <f>IF(ISNA(Sheet1!I1171),NA(),Sheet1!$O$5-(Sheet1!I1171/Sheet1!$O$6))</f>
        <v/>
      </c>
    </row>
    <row r="1172">
      <c r="A1172">
        <f>Sheet1!K1172</f>
        <v/>
      </c>
      <c r="B1172">
        <f>IF(ISNA(Sheet1!I1172),NA(),Sheet1!$O$5-(Sheet1!I1172/Sheet1!$O$6))</f>
        <v/>
      </c>
    </row>
    <row r="1173">
      <c r="A1173">
        <f>Sheet1!K1173</f>
        <v/>
      </c>
      <c r="B1173">
        <f>IF(ISNA(Sheet1!I1173),NA(),Sheet1!$O$5-(Sheet1!I1173/Sheet1!$O$6))</f>
        <v/>
      </c>
    </row>
    <row r="1174">
      <c r="A1174">
        <f>Sheet1!K1174</f>
        <v/>
      </c>
      <c r="B1174">
        <f>IF(ISNA(Sheet1!I1174),NA(),Sheet1!$O$5-(Sheet1!I1174/Sheet1!$O$6))</f>
        <v/>
      </c>
    </row>
    <row r="1175">
      <c r="A1175">
        <f>Sheet1!K1175</f>
        <v/>
      </c>
      <c r="B1175">
        <f>IF(ISNA(Sheet1!I1175),NA(),Sheet1!$O$5-(Sheet1!I1175/Sheet1!$O$6))</f>
        <v/>
      </c>
    </row>
    <row r="1176">
      <c r="A1176">
        <f>Sheet1!K1176</f>
        <v/>
      </c>
      <c r="B1176">
        <f>IF(ISNA(Sheet1!I1176),NA(),Sheet1!$O$5-(Sheet1!I1176/Sheet1!$O$6))</f>
        <v/>
      </c>
    </row>
    <row r="1177">
      <c r="A1177">
        <f>Sheet1!K1177</f>
        <v/>
      </c>
      <c r="B1177">
        <f>IF(ISNA(Sheet1!I1177),NA(),Sheet1!$O$5-(Sheet1!I1177/Sheet1!$O$6))</f>
        <v/>
      </c>
    </row>
    <row r="1178">
      <c r="A1178">
        <f>Sheet1!K1178</f>
        <v/>
      </c>
      <c r="B1178">
        <f>IF(ISNA(Sheet1!I1178),NA(),Sheet1!$O$5-(Sheet1!I1178/Sheet1!$O$6))</f>
        <v/>
      </c>
    </row>
    <row r="1179">
      <c r="A1179">
        <f>Sheet1!K1179</f>
        <v/>
      </c>
      <c r="B1179">
        <f>IF(ISNA(Sheet1!I1179),NA(),Sheet1!$O$5-(Sheet1!I1179/Sheet1!$O$6))</f>
        <v/>
      </c>
    </row>
    <row r="1180">
      <c r="A1180">
        <f>Sheet1!K1180</f>
        <v/>
      </c>
      <c r="B1180">
        <f>IF(ISNA(Sheet1!I1180),NA(),Sheet1!$O$5-(Sheet1!I1180/Sheet1!$O$6))</f>
        <v/>
      </c>
    </row>
    <row r="1181">
      <c r="A1181">
        <f>Sheet1!K1181</f>
        <v/>
      </c>
      <c r="B1181">
        <f>IF(ISNA(Sheet1!I1181),NA(),Sheet1!$O$5-(Sheet1!I1181/Sheet1!$O$6))</f>
        <v/>
      </c>
    </row>
    <row r="1182">
      <c r="A1182">
        <f>Sheet1!K1182</f>
        <v/>
      </c>
      <c r="B1182">
        <f>IF(ISNA(Sheet1!I1182),NA(),Sheet1!$O$5-(Sheet1!I1182/Sheet1!$O$6))</f>
        <v/>
      </c>
    </row>
    <row r="1183">
      <c r="A1183">
        <f>Sheet1!K1183</f>
        <v/>
      </c>
      <c r="B1183">
        <f>IF(ISNA(Sheet1!I1183),NA(),Sheet1!$O$5-(Sheet1!I1183/Sheet1!$O$6))</f>
        <v/>
      </c>
    </row>
    <row r="1184">
      <c r="A1184">
        <f>Sheet1!K1184</f>
        <v/>
      </c>
      <c r="B1184">
        <f>IF(ISNA(Sheet1!I1184),NA(),Sheet1!$O$5-(Sheet1!I1184/Sheet1!$O$6))</f>
        <v/>
      </c>
    </row>
    <row r="1185">
      <c r="A1185">
        <f>Sheet1!K1185</f>
        <v/>
      </c>
      <c r="B1185">
        <f>IF(ISNA(Sheet1!I1185),NA(),Sheet1!$O$5-(Sheet1!I1185/Sheet1!$O$6))</f>
        <v/>
      </c>
    </row>
    <row r="1186">
      <c r="A1186">
        <f>Sheet1!K1186</f>
        <v/>
      </c>
      <c r="B1186">
        <f>IF(ISNA(Sheet1!I1186),NA(),Sheet1!$O$5-(Sheet1!I1186/Sheet1!$O$6))</f>
        <v/>
      </c>
    </row>
    <row r="1187">
      <c r="A1187">
        <f>Sheet1!K1187</f>
        <v/>
      </c>
      <c r="B1187">
        <f>IF(ISNA(Sheet1!I1187),NA(),Sheet1!$O$5-(Sheet1!I1187/Sheet1!$O$6))</f>
        <v/>
      </c>
    </row>
    <row r="1188">
      <c r="A1188">
        <f>Sheet1!K1188</f>
        <v/>
      </c>
      <c r="B1188">
        <f>IF(ISNA(Sheet1!I1188),NA(),Sheet1!$O$5-(Sheet1!I1188/Sheet1!$O$6))</f>
        <v/>
      </c>
    </row>
    <row r="1189">
      <c r="A1189">
        <f>Sheet1!K1189</f>
        <v/>
      </c>
      <c r="B1189">
        <f>IF(ISNA(Sheet1!I1189),NA(),Sheet1!$O$5-(Sheet1!I1189/Sheet1!$O$6))</f>
        <v/>
      </c>
    </row>
    <row r="1190">
      <c r="A1190">
        <f>Sheet1!K1190</f>
        <v/>
      </c>
      <c r="B1190">
        <f>IF(ISNA(Sheet1!I1190),NA(),Sheet1!$O$5-(Sheet1!I1190/Sheet1!$O$6))</f>
        <v/>
      </c>
    </row>
    <row r="1191">
      <c r="A1191">
        <f>Sheet1!K1191</f>
        <v/>
      </c>
      <c r="B1191">
        <f>IF(ISNA(Sheet1!I1191),NA(),Sheet1!$O$5-(Sheet1!I1191/Sheet1!$O$6))</f>
        <v/>
      </c>
    </row>
    <row r="1192">
      <c r="A1192">
        <f>Sheet1!K1192</f>
        <v/>
      </c>
      <c r="B1192">
        <f>IF(ISNA(Sheet1!I1192),NA(),Sheet1!$O$5-(Sheet1!I1192/Sheet1!$O$6))</f>
        <v/>
      </c>
    </row>
    <row r="1193">
      <c r="A1193">
        <f>Sheet1!K1193</f>
        <v/>
      </c>
      <c r="B1193">
        <f>IF(ISNA(Sheet1!I1193),NA(),Sheet1!$O$5-(Sheet1!I1193/Sheet1!$O$6))</f>
        <v/>
      </c>
    </row>
    <row r="1194">
      <c r="A1194">
        <f>Sheet1!K1194</f>
        <v/>
      </c>
      <c r="B1194">
        <f>IF(ISNA(Sheet1!I1194),NA(),Sheet1!$O$5-(Sheet1!I1194/Sheet1!$O$6))</f>
        <v/>
      </c>
    </row>
    <row r="1195">
      <c r="A1195">
        <f>Sheet1!K1195</f>
        <v/>
      </c>
      <c r="B1195">
        <f>IF(ISNA(Sheet1!I1195),NA(),Sheet1!$O$5-(Sheet1!I1195/Sheet1!$O$6))</f>
        <v/>
      </c>
    </row>
    <row r="1196">
      <c r="A1196">
        <f>Sheet1!K1196</f>
        <v/>
      </c>
      <c r="B1196">
        <f>IF(ISNA(Sheet1!I1196),NA(),Sheet1!$O$5-(Sheet1!I1196/Sheet1!$O$6))</f>
        <v/>
      </c>
    </row>
    <row r="1197">
      <c r="A1197">
        <f>Sheet1!K1197</f>
        <v/>
      </c>
      <c r="B1197">
        <f>IF(ISNA(Sheet1!I1197),NA(),Sheet1!$O$5-(Sheet1!I1197/Sheet1!$O$6))</f>
        <v/>
      </c>
    </row>
    <row r="1198">
      <c r="A1198">
        <f>Sheet1!K1198</f>
        <v/>
      </c>
      <c r="B1198">
        <f>IF(ISNA(Sheet1!I1198),NA(),Sheet1!$O$5-(Sheet1!I1198/Sheet1!$O$6))</f>
        <v/>
      </c>
    </row>
    <row r="1199">
      <c r="A1199">
        <f>Sheet1!K1199</f>
        <v/>
      </c>
      <c r="B1199">
        <f>IF(ISNA(Sheet1!I1199),NA(),Sheet1!$O$5-(Sheet1!I1199/Sheet1!$O$6))</f>
        <v/>
      </c>
    </row>
    <row r="1200">
      <c r="A1200">
        <f>Sheet1!K1200</f>
        <v/>
      </c>
      <c r="B1200">
        <f>IF(ISNA(Sheet1!I1200),NA(),Sheet1!$O$5-(Sheet1!I1200/Sheet1!$O$6))</f>
        <v/>
      </c>
    </row>
    <row r="1201">
      <c r="A1201">
        <f>Sheet1!K1201</f>
        <v/>
      </c>
      <c r="B1201">
        <f>IF(ISNA(Sheet1!I1201),NA(),Sheet1!$O$5-(Sheet1!I1201/Sheet1!$O$6))</f>
        <v/>
      </c>
    </row>
    <row r="1202">
      <c r="A1202">
        <f>Sheet1!K1202</f>
        <v/>
      </c>
      <c r="B1202">
        <f>IF(ISNA(Sheet1!I1202),NA(),Sheet1!$O$5-(Sheet1!I1202/Sheet1!$O$6))</f>
        <v/>
      </c>
    </row>
    <row r="1203">
      <c r="A1203">
        <f>Sheet1!K1203</f>
        <v/>
      </c>
      <c r="B1203">
        <f>IF(ISNA(Sheet1!I1203),NA(),Sheet1!$O$5-(Sheet1!I1203/Sheet1!$O$6))</f>
        <v/>
      </c>
    </row>
    <row r="1204">
      <c r="A1204">
        <f>Sheet1!K1204</f>
        <v/>
      </c>
      <c r="B1204">
        <f>IF(ISNA(Sheet1!I1204),NA(),Sheet1!$O$5-(Sheet1!I1204/Sheet1!$O$6))</f>
        <v/>
      </c>
    </row>
    <row r="1205">
      <c r="A1205">
        <f>Sheet1!K1205</f>
        <v/>
      </c>
      <c r="B1205">
        <f>IF(ISNA(Sheet1!I1205),NA(),Sheet1!$O$5-(Sheet1!I1205/Sheet1!$O$6))</f>
        <v/>
      </c>
    </row>
    <row r="1206">
      <c r="A1206">
        <f>Sheet1!K1206</f>
        <v/>
      </c>
      <c r="B1206">
        <f>IF(ISNA(Sheet1!I1206),NA(),Sheet1!$O$5-(Sheet1!I1206/Sheet1!$O$6))</f>
        <v/>
      </c>
    </row>
    <row r="1207">
      <c r="A1207">
        <f>Sheet1!K1207</f>
        <v/>
      </c>
      <c r="B1207">
        <f>IF(ISNA(Sheet1!I1207),NA(),Sheet1!$O$5-(Sheet1!I1207/Sheet1!$O$6))</f>
        <v/>
      </c>
    </row>
    <row r="1208">
      <c r="A1208">
        <f>Sheet1!K1208</f>
        <v/>
      </c>
      <c r="B1208">
        <f>IF(ISNA(Sheet1!I1208),NA(),Sheet1!$O$5-(Sheet1!I1208/Sheet1!$O$6))</f>
        <v/>
      </c>
    </row>
    <row r="1209">
      <c r="A1209">
        <f>Sheet1!K1209</f>
        <v/>
      </c>
      <c r="B1209">
        <f>IF(ISNA(Sheet1!I1209),NA(),Sheet1!$O$5-(Sheet1!I1209/Sheet1!$O$6))</f>
        <v/>
      </c>
    </row>
    <row r="1210">
      <c r="A1210">
        <f>Sheet1!K1210</f>
        <v/>
      </c>
      <c r="B1210">
        <f>IF(ISNA(Sheet1!I1210),NA(),Sheet1!$O$5-(Sheet1!I1210/Sheet1!$O$6))</f>
        <v/>
      </c>
    </row>
    <row r="1211">
      <c r="A1211">
        <f>Sheet1!K1211</f>
        <v/>
      </c>
      <c r="B1211">
        <f>IF(ISNA(Sheet1!I1211),NA(),Sheet1!$O$5-(Sheet1!I1211/Sheet1!$O$6))</f>
        <v/>
      </c>
    </row>
    <row r="1212">
      <c r="A1212">
        <f>Sheet1!K1212</f>
        <v/>
      </c>
      <c r="B1212">
        <f>IF(ISNA(Sheet1!I1212),NA(),Sheet1!$O$5-(Sheet1!I1212/Sheet1!$O$6))</f>
        <v/>
      </c>
    </row>
    <row r="1213">
      <c r="A1213">
        <f>Sheet1!K1213</f>
        <v/>
      </c>
      <c r="B1213">
        <f>IF(ISNA(Sheet1!I1213),NA(),Sheet1!$O$5-(Sheet1!I1213/Sheet1!$O$6))</f>
        <v/>
      </c>
    </row>
    <row r="1214">
      <c r="A1214">
        <f>Sheet1!K1214</f>
        <v/>
      </c>
      <c r="B1214">
        <f>IF(ISNA(Sheet1!I1214),NA(),Sheet1!$O$5-(Sheet1!I1214/Sheet1!$O$6))</f>
        <v/>
      </c>
    </row>
    <row r="1215">
      <c r="A1215">
        <f>Sheet1!K1215</f>
        <v/>
      </c>
      <c r="B1215">
        <f>IF(ISNA(Sheet1!I1215),NA(),Sheet1!$O$5-(Sheet1!I1215/Sheet1!$O$6))</f>
        <v/>
      </c>
    </row>
    <row r="1216">
      <c r="A1216">
        <f>Sheet1!K1216</f>
        <v/>
      </c>
      <c r="B1216">
        <f>IF(ISNA(Sheet1!I1216),NA(),Sheet1!$O$5-(Sheet1!I1216/Sheet1!$O$6))</f>
        <v/>
      </c>
    </row>
    <row r="1217">
      <c r="A1217">
        <f>Sheet1!K1217</f>
        <v/>
      </c>
      <c r="B1217">
        <f>IF(ISNA(Sheet1!I1217),NA(),Sheet1!$O$5-(Sheet1!I1217/Sheet1!$O$6))</f>
        <v/>
      </c>
    </row>
    <row r="1218">
      <c r="A1218">
        <f>Sheet1!K1218</f>
        <v/>
      </c>
      <c r="B1218">
        <f>IF(ISNA(Sheet1!I1218),NA(),Sheet1!$O$5-(Sheet1!I1218/Sheet1!$O$6))</f>
        <v/>
      </c>
    </row>
    <row r="1219">
      <c r="A1219">
        <f>Sheet1!K1219</f>
        <v/>
      </c>
      <c r="B1219">
        <f>IF(ISNA(Sheet1!I1219),NA(),Sheet1!$O$5-(Sheet1!I1219/Sheet1!$O$6))</f>
        <v/>
      </c>
    </row>
    <row r="1220">
      <c r="A1220">
        <f>Sheet1!K1220</f>
        <v/>
      </c>
      <c r="B1220">
        <f>IF(ISNA(Sheet1!I1220),NA(),Sheet1!$O$5-(Sheet1!I1220/Sheet1!$O$6))</f>
        <v/>
      </c>
    </row>
    <row r="1221">
      <c r="A1221">
        <f>Sheet1!K1221</f>
        <v/>
      </c>
      <c r="B1221">
        <f>IF(ISNA(Sheet1!I1221),NA(),Sheet1!$O$5-(Sheet1!I1221/Sheet1!$O$6))</f>
        <v/>
      </c>
    </row>
    <row r="1222">
      <c r="A1222">
        <f>Sheet1!K1222</f>
        <v/>
      </c>
      <c r="B1222">
        <f>IF(ISNA(Sheet1!I1222),NA(),Sheet1!$O$5-(Sheet1!I1222/Sheet1!$O$6))</f>
        <v/>
      </c>
    </row>
    <row r="1223">
      <c r="A1223">
        <f>Sheet1!K1223</f>
        <v/>
      </c>
      <c r="B1223">
        <f>IF(ISNA(Sheet1!I1223),NA(),Sheet1!$O$5-(Sheet1!I1223/Sheet1!$O$6))</f>
        <v/>
      </c>
    </row>
    <row r="1224">
      <c r="A1224">
        <f>Sheet1!K1224</f>
        <v/>
      </c>
      <c r="B1224">
        <f>IF(ISNA(Sheet1!I1224),NA(),Sheet1!$O$5-(Sheet1!I1224/Sheet1!$O$6))</f>
        <v/>
      </c>
    </row>
    <row r="1225">
      <c r="A1225">
        <f>Sheet1!K1225</f>
        <v/>
      </c>
      <c r="B1225">
        <f>IF(ISNA(Sheet1!I1225),NA(),Sheet1!$O$5-(Sheet1!I1225/Sheet1!$O$6))</f>
        <v/>
      </c>
    </row>
    <row r="1226">
      <c r="A1226">
        <f>Sheet1!K1226</f>
        <v/>
      </c>
      <c r="B1226">
        <f>IF(ISNA(Sheet1!I1226),NA(),Sheet1!$O$5-(Sheet1!I1226/Sheet1!$O$6))</f>
        <v/>
      </c>
    </row>
    <row r="1227">
      <c r="A1227">
        <f>Sheet1!K1227</f>
        <v/>
      </c>
      <c r="B1227">
        <f>IF(ISNA(Sheet1!I1227),NA(),Sheet1!$O$5-(Sheet1!I1227/Sheet1!$O$6))</f>
        <v/>
      </c>
    </row>
    <row r="1228">
      <c r="A1228">
        <f>Sheet1!K1228</f>
        <v/>
      </c>
      <c r="B1228">
        <f>IF(ISNA(Sheet1!I1228),NA(),Sheet1!$O$5-(Sheet1!I1228/Sheet1!$O$6))</f>
        <v/>
      </c>
    </row>
    <row r="1229">
      <c r="A1229">
        <f>Sheet1!K1229</f>
        <v/>
      </c>
      <c r="B1229">
        <f>IF(ISNA(Sheet1!I1229),NA(),Sheet1!$O$5-(Sheet1!I1229/Sheet1!$O$6))</f>
        <v/>
      </c>
    </row>
    <row r="1230">
      <c r="A1230">
        <f>Sheet1!K1230</f>
        <v/>
      </c>
      <c r="B1230">
        <f>IF(ISNA(Sheet1!I1230),NA(),Sheet1!$O$5-(Sheet1!I1230/Sheet1!$O$6))</f>
        <v/>
      </c>
    </row>
    <row r="1231">
      <c r="A1231">
        <f>Sheet1!K1231</f>
        <v/>
      </c>
      <c r="B1231">
        <f>IF(ISNA(Sheet1!I1231),NA(),Sheet1!$O$5-(Sheet1!I1231/Sheet1!$O$6))</f>
        <v/>
      </c>
    </row>
    <row r="1232">
      <c r="A1232">
        <f>Sheet1!K1232</f>
        <v/>
      </c>
      <c r="B1232">
        <f>IF(ISNA(Sheet1!I1232),NA(),Sheet1!$O$5-(Sheet1!I1232/Sheet1!$O$6))</f>
        <v/>
      </c>
    </row>
    <row r="1233">
      <c r="A1233">
        <f>Sheet1!K1233</f>
        <v/>
      </c>
      <c r="B1233">
        <f>IF(ISNA(Sheet1!I1233),NA(),Sheet1!$O$5-(Sheet1!I1233/Sheet1!$O$6))</f>
        <v/>
      </c>
    </row>
    <row r="1234">
      <c r="A1234">
        <f>Sheet1!K1234</f>
        <v/>
      </c>
      <c r="B1234">
        <f>IF(ISNA(Sheet1!I1234),NA(),Sheet1!$O$5-(Sheet1!I1234/Sheet1!$O$6))</f>
        <v/>
      </c>
    </row>
    <row r="1235">
      <c r="A1235">
        <f>Sheet1!K1235</f>
        <v/>
      </c>
      <c r="B1235">
        <f>IF(ISNA(Sheet1!I1235),NA(),Sheet1!$O$5-(Sheet1!I1235/Sheet1!$O$6))</f>
        <v/>
      </c>
    </row>
    <row r="1236">
      <c r="A1236">
        <f>Sheet1!K1236</f>
        <v/>
      </c>
      <c r="B1236">
        <f>IF(ISNA(Sheet1!I1236),NA(),Sheet1!$O$5-(Sheet1!I1236/Sheet1!$O$6))</f>
        <v/>
      </c>
    </row>
    <row r="1237">
      <c r="A1237">
        <f>Sheet1!K1237</f>
        <v/>
      </c>
      <c r="B1237">
        <f>IF(ISNA(Sheet1!I1237),NA(),Sheet1!$O$5-(Sheet1!I1237/Sheet1!$O$6))</f>
        <v/>
      </c>
    </row>
    <row r="1238">
      <c r="A1238">
        <f>Sheet1!K1238</f>
        <v/>
      </c>
      <c r="B1238">
        <f>IF(ISNA(Sheet1!I1238),NA(),Sheet1!$O$5-(Sheet1!I1238/Sheet1!$O$6))</f>
        <v/>
      </c>
    </row>
    <row r="1239">
      <c r="A1239">
        <f>Sheet1!K1239</f>
        <v/>
      </c>
      <c r="B1239">
        <f>IF(ISNA(Sheet1!I1239),NA(),Sheet1!$O$5-(Sheet1!I1239/Sheet1!$O$6))</f>
        <v/>
      </c>
    </row>
    <row r="1240">
      <c r="A1240">
        <f>Sheet1!K1240</f>
        <v/>
      </c>
      <c r="B1240">
        <f>IF(ISNA(Sheet1!I1240),NA(),Sheet1!$O$5-(Sheet1!I1240/Sheet1!$O$6))</f>
        <v/>
      </c>
    </row>
    <row r="1241">
      <c r="A1241">
        <f>Sheet1!K1241</f>
        <v/>
      </c>
      <c r="B1241">
        <f>IF(ISNA(Sheet1!I1241),NA(),Sheet1!$O$5-(Sheet1!I1241/Sheet1!$O$6))</f>
        <v/>
      </c>
    </row>
    <row r="1242">
      <c r="A1242">
        <f>Sheet1!K1242</f>
        <v/>
      </c>
      <c r="B1242">
        <f>IF(ISNA(Sheet1!I1242),NA(),Sheet1!$O$5-(Sheet1!I1242/Sheet1!$O$6))</f>
        <v/>
      </c>
    </row>
    <row r="1243">
      <c r="A1243">
        <f>Sheet1!K1243</f>
        <v/>
      </c>
      <c r="B1243">
        <f>IF(ISNA(Sheet1!I1243),NA(),Sheet1!$O$5-(Sheet1!I1243/Sheet1!$O$6))</f>
        <v/>
      </c>
    </row>
    <row r="1244">
      <c r="A1244">
        <f>Sheet1!K1244</f>
        <v/>
      </c>
      <c r="B1244">
        <f>IF(ISNA(Sheet1!I1244),NA(),Sheet1!$O$5-(Sheet1!I1244/Sheet1!$O$6))</f>
        <v/>
      </c>
    </row>
    <row r="1245">
      <c r="A1245">
        <f>Sheet1!K1245</f>
        <v/>
      </c>
      <c r="B1245">
        <f>IF(ISNA(Sheet1!I1245),NA(),Sheet1!$O$5-(Sheet1!I1245/Sheet1!$O$6))</f>
        <v/>
      </c>
    </row>
    <row r="1246">
      <c r="A1246">
        <f>Sheet1!K1246</f>
        <v/>
      </c>
      <c r="B1246">
        <f>IF(ISNA(Sheet1!I1246),NA(),Sheet1!$O$5-(Sheet1!I1246/Sheet1!$O$6))</f>
        <v/>
      </c>
    </row>
    <row r="1247">
      <c r="A1247">
        <f>Sheet1!K1247</f>
        <v/>
      </c>
      <c r="B1247">
        <f>IF(ISNA(Sheet1!I1247),NA(),Sheet1!$O$5-(Sheet1!I1247/Sheet1!$O$6))</f>
        <v/>
      </c>
    </row>
    <row r="1248">
      <c r="A1248">
        <f>Sheet1!K1248</f>
        <v/>
      </c>
      <c r="B1248">
        <f>IF(ISNA(Sheet1!I1248),NA(),Sheet1!$O$5-(Sheet1!I1248/Sheet1!$O$6))</f>
        <v/>
      </c>
    </row>
    <row r="1249">
      <c r="A1249">
        <f>Sheet1!K1249</f>
        <v/>
      </c>
      <c r="B1249">
        <f>IF(ISNA(Sheet1!I1249),NA(),Sheet1!$O$5-(Sheet1!I1249/Sheet1!$O$6))</f>
        <v/>
      </c>
    </row>
    <row r="1250">
      <c r="A1250">
        <f>Sheet1!K1250</f>
        <v/>
      </c>
      <c r="B1250">
        <f>IF(ISNA(Sheet1!I1250),NA(),Sheet1!$O$5-(Sheet1!I1250/Sheet1!$O$6))</f>
        <v/>
      </c>
    </row>
    <row r="1251">
      <c r="A1251">
        <f>Sheet1!K1251</f>
        <v/>
      </c>
      <c r="B1251">
        <f>IF(ISNA(Sheet1!I1251),NA(),Sheet1!$O$5-(Sheet1!I1251/Sheet1!$O$6))</f>
        <v/>
      </c>
    </row>
    <row r="1252">
      <c r="A1252">
        <f>Sheet1!K1252</f>
        <v/>
      </c>
      <c r="B1252">
        <f>IF(ISNA(Sheet1!I1252),NA(),Sheet1!$O$5-(Sheet1!I1252/Sheet1!$O$6))</f>
        <v/>
      </c>
    </row>
    <row r="1253">
      <c r="A1253">
        <f>Sheet1!K1253</f>
        <v/>
      </c>
      <c r="B1253">
        <f>IF(ISNA(Sheet1!I1253),NA(),Sheet1!$O$5-(Sheet1!I1253/Sheet1!$O$6))</f>
        <v/>
      </c>
    </row>
    <row r="1254">
      <c r="A1254">
        <f>Sheet1!K1254</f>
        <v/>
      </c>
      <c r="B1254">
        <f>IF(ISNA(Sheet1!I1254),NA(),Sheet1!$O$5-(Sheet1!I1254/Sheet1!$O$6))</f>
        <v/>
      </c>
    </row>
    <row r="1255">
      <c r="A1255">
        <f>Sheet1!K1255</f>
        <v/>
      </c>
      <c r="B1255">
        <f>IF(ISNA(Sheet1!I1255),NA(),Sheet1!$O$5-(Sheet1!I1255/Sheet1!$O$6))</f>
        <v/>
      </c>
    </row>
    <row r="1256">
      <c r="A1256">
        <f>Sheet1!K1256</f>
        <v/>
      </c>
      <c r="B1256">
        <f>IF(ISNA(Sheet1!I1256),NA(),Sheet1!$O$5-(Sheet1!I1256/Sheet1!$O$6))</f>
        <v/>
      </c>
    </row>
    <row r="1257">
      <c r="A1257">
        <f>Sheet1!K1257</f>
        <v/>
      </c>
      <c r="B1257">
        <f>IF(ISNA(Sheet1!I1257),NA(),Sheet1!$O$5-(Sheet1!I1257/Sheet1!$O$6))</f>
        <v/>
      </c>
    </row>
    <row r="1258">
      <c r="A1258">
        <f>Sheet1!K1258</f>
        <v/>
      </c>
      <c r="B1258">
        <f>IF(ISNA(Sheet1!I1258),NA(),Sheet1!$O$5-(Sheet1!I1258/Sheet1!$O$6))</f>
        <v/>
      </c>
    </row>
    <row r="1259">
      <c r="A1259">
        <f>Sheet1!K1259</f>
        <v/>
      </c>
      <c r="B1259">
        <f>IF(ISNA(Sheet1!I1259),NA(),Sheet1!$O$5-(Sheet1!I1259/Sheet1!$O$6))</f>
        <v/>
      </c>
    </row>
    <row r="1260">
      <c r="A1260">
        <f>Sheet1!K1260</f>
        <v/>
      </c>
      <c r="B1260">
        <f>IF(ISNA(Sheet1!I1260),NA(),Sheet1!$O$5-(Sheet1!I1260/Sheet1!$O$6))</f>
        <v/>
      </c>
    </row>
    <row r="1261">
      <c r="A1261">
        <f>Sheet1!K1261</f>
        <v/>
      </c>
      <c r="B1261">
        <f>IF(ISNA(Sheet1!I1261),NA(),Sheet1!$O$5-(Sheet1!I1261/Sheet1!$O$6))</f>
        <v/>
      </c>
    </row>
    <row r="1262">
      <c r="A1262">
        <f>Sheet1!K1262</f>
        <v/>
      </c>
      <c r="B1262">
        <f>IF(ISNA(Sheet1!I1262),NA(),Sheet1!$O$5-(Sheet1!I1262/Sheet1!$O$6))</f>
        <v/>
      </c>
    </row>
    <row r="1263">
      <c r="A1263">
        <f>Sheet1!K1263</f>
        <v/>
      </c>
      <c r="B1263">
        <f>IF(ISNA(Sheet1!I1263),NA(),Sheet1!$O$5-(Sheet1!I1263/Sheet1!$O$6))</f>
        <v/>
      </c>
    </row>
    <row r="1264">
      <c r="A1264">
        <f>Sheet1!K1264</f>
        <v/>
      </c>
      <c r="B1264">
        <f>IF(ISNA(Sheet1!I1264),NA(),Sheet1!$O$5-(Sheet1!I1264/Sheet1!$O$6))</f>
        <v/>
      </c>
    </row>
    <row r="1265">
      <c r="A1265">
        <f>Sheet1!K1265</f>
        <v/>
      </c>
      <c r="B1265">
        <f>IF(ISNA(Sheet1!I1265),NA(),Sheet1!$O$5-(Sheet1!I1265/Sheet1!$O$6))</f>
        <v/>
      </c>
    </row>
    <row r="1266">
      <c r="A1266">
        <f>Sheet1!K1266</f>
        <v/>
      </c>
      <c r="B1266">
        <f>IF(ISNA(Sheet1!I1266),NA(),Sheet1!$O$5-(Sheet1!I1266/Sheet1!$O$6))</f>
        <v/>
      </c>
    </row>
    <row r="1267">
      <c r="A1267">
        <f>Sheet1!K1267</f>
        <v/>
      </c>
      <c r="B1267">
        <f>IF(ISNA(Sheet1!I1267),NA(),Sheet1!$O$5-(Sheet1!I1267/Sheet1!$O$6))</f>
        <v/>
      </c>
    </row>
    <row r="1268">
      <c r="A1268">
        <f>Sheet1!K1268</f>
        <v/>
      </c>
      <c r="B1268">
        <f>IF(ISNA(Sheet1!I1268),NA(),Sheet1!$O$5-(Sheet1!I1268/Sheet1!$O$6))</f>
        <v/>
      </c>
    </row>
    <row r="1269">
      <c r="A1269">
        <f>Sheet1!K1269</f>
        <v/>
      </c>
      <c r="B1269">
        <f>IF(ISNA(Sheet1!I1269),NA(),Sheet1!$O$5-(Sheet1!I1269/Sheet1!$O$6))</f>
        <v/>
      </c>
    </row>
    <row r="1270">
      <c r="A1270">
        <f>Sheet1!K1270</f>
        <v/>
      </c>
      <c r="B1270">
        <f>IF(ISNA(Sheet1!I1270),NA(),Sheet1!$O$5-(Sheet1!I1270/Sheet1!$O$6))</f>
        <v/>
      </c>
    </row>
    <row r="1271">
      <c r="A1271">
        <f>Sheet1!K1271</f>
        <v/>
      </c>
      <c r="B1271">
        <f>IF(ISNA(Sheet1!I1271),NA(),Sheet1!$O$5-(Sheet1!I1271/Sheet1!$O$6))</f>
        <v/>
      </c>
    </row>
    <row r="1272">
      <c r="A1272">
        <f>Sheet1!K1272</f>
        <v/>
      </c>
      <c r="B1272">
        <f>IF(ISNA(Sheet1!I1272),NA(),Sheet1!$O$5-(Sheet1!I1272/Sheet1!$O$6))</f>
        <v/>
      </c>
    </row>
    <row r="1273">
      <c r="A1273">
        <f>Sheet1!K1273</f>
        <v/>
      </c>
      <c r="B1273">
        <f>IF(ISNA(Sheet1!I1273),NA(),Sheet1!$O$5-(Sheet1!I1273/Sheet1!$O$6))</f>
        <v/>
      </c>
    </row>
    <row r="1274">
      <c r="A1274">
        <f>Sheet1!K1274</f>
        <v/>
      </c>
      <c r="B1274">
        <f>IF(ISNA(Sheet1!I1274),NA(),Sheet1!$O$5-(Sheet1!I1274/Sheet1!$O$6))</f>
        <v/>
      </c>
    </row>
    <row r="1275">
      <c r="A1275">
        <f>Sheet1!K1275</f>
        <v/>
      </c>
      <c r="B1275">
        <f>IF(ISNA(Sheet1!I1275),NA(),Sheet1!$O$5-(Sheet1!I1275/Sheet1!$O$6))</f>
        <v/>
      </c>
    </row>
    <row r="1276">
      <c r="A1276">
        <f>Sheet1!K1276</f>
        <v/>
      </c>
      <c r="B1276">
        <f>IF(ISNA(Sheet1!I1276),NA(),Sheet1!$O$5-(Sheet1!I1276/Sheet1!$O$6))</f>
        <v/>
      </c>
    </row>
    <row r="1277">
      <c r="A1277">
        <f>Sheet1!K1277</f>
        <v/>
      </c>
      <c r="B1277">
        <f>IF(ISNA(Sheet1!I1277),NA(),Sheet1!$O$5-(Sheet1!I1277/Sheet1!$O$6))</f>
        <v/>
      </c>
    </row>
    <row r="1278">
      <c r="A1278">
        <f>Sheet1!K1278</f>
        <v/>
      </c>
      <c r="B1278">
        <f>IF(ISNA(Sheet1!I1278),NA(),Sheet1!$O$5-(Sheet1!I1278/Sheet1!$O$6))</f>
        <v/>
      </c>
    </row>
    <row r="1279">
      <c r="A1279">
        <f>Sheet1!K1279</f>
        <v/>
      </c>
      <c r="B1279">
        <f>IF(ISNA(Sheet1!I1279),NA(),Sheet1!$O$5-(Sheet1!I1279/Sheet1!$O$6))</f>
        <v/>
      </c>
    </row>
    <row r="1280">
      <c r="A1280">
        <f>Sheet1!K1280</f>
        <v/>
      </c>
      <c r="B1280">
        <f>IF(ISNA(Sheet1!I1280),NA(),Sheet1!$O$5-(Sheet1!I1280/Sheet1!$O$6))</f>
        <v/>
      </c>
    </row>
    <row r="1281">
      <c r="A1281">
        <f>Sheet1!K1281</f>
        <v/>
      </c>
      <c r="B1281">
        <f>IF(ISNA(Sheet1!I1281),NA(),Sheet1!$O$5-(Sheet1!I1281/Sheet1!$O$6))</f>
        <v/>
      </c>
    </row>
    <row r="1282">
      <c r="A1282">
        <f>Sheet1!K1282</f>
        <v/>
      </c>
      <c r="B1282">
        <f>IF(ISNA(Sheet1!I1282),NA(),Sheet1!$O$5-(Sheet1!I1282/Sheet1!$O$6))</f>
        <v/>
      </c>
    </row>
    <row r="1283">
      <c r="A1283">
        <f>Sheet1!K1283</f>
        <v/>
      </c>
      <c r="B1283">
        <f>IF(ISNA(Sheet1!I1283),NA(),Sheet1!$O$5-(Sheet1!I1283/Sheet1!$O$6))</f>
        <v/>
      </c>
    </row>
    <row r="1284">
      <c r="A1284">
        <f>Sheet1!K1284</f>
        <v/>
      </c>
      <c r="B1284">
        <f>IF(ISNA(Sheet1!I1284),NA(),Sheet1!$O$5-(Sheet1!I1284/Sheet1!$O$6))</f>
        <v/>
      </c>
    </row>
    <row r="1285">
      <c r="A1285">
        <f>Sheet1!K1285</f>
        <v/>
      </c>
      <c r="B1285">
        <f>IF(ISNA(Sheet1!I1285),NA(),Sheet1!$O$5-(Sheet1!I1285/Sheet1!$O$6))</f>
        <v/>
      </c>
    </row>
    <row r="1286">
      <c r="A1286">
        <f>Sheet1!K1286</f>
        <v/>
      </c>
      <c r="B1286">
        <f>IF(ISNA(Sheet1!I1286),NA(),Sheet1!$O$5-(Sheet1!I1286/Sheet1!$O$6))</f>
        <v/>
      </c>
    </row>
    <row r="1287">
      <c r="A1287">
        <f>Sheet1!K1287</f>
        <v/>
      </c>
      <c r="B1287">
        <f>IF(ISNA(Sheet1!I1287),NA(),Sheet1!$O$5-(Sheet1!I1287/Sheet1!$O$6))</f>
        <v/>
      </c>
    </row>
    <row r="1288">
      <c r="A1288">
        <f>Sheet1!K1288</f>
        <v/>
      </c>
      <c r="B1288">
        <f>IF(ISNA(Sheet1!I1288),NA(),Sheet1!$O$5-(Sheet1!I1288/Sheet1!$O$6))</f>
        <v/>
      </c>
    </row>
    <row r="1289">
      <c r="A1289">
        <f>Sheet1!K1289</f>
        <v/>
      </c>
      <c r="B1289">
        <f>IF(ISNA(Sheet1!I1289),NA(),Sheet1!$O$5-(Sheet1!I1289/Sheet1!$O$6))</f>
        <v/>
      </c>
    </row>
    <row r="1290">
      <c r="A1290">
        <f>Sheet1!K1290</f>
        <v/>
      </c>
      <c r="B1290">
        <f>IF(ISNA(Sheet1!I1290),NA(),Sheet1!$O$5-(Sheet1!I1290/Sheet1!$O$6))</f>
        <v/>
      </c>
    </row>
    <row r="1291">
      <c r="A1291">
        <f>Sheet1!K1291</f>
        <v/>
      </c>
      <c r="B1291">
        <f>IF(ISNA(Sheet1!I1291),NA(),Sheet1!$O$5-(Sheet1!I1291/Sheet1!$O$6))</f>
        <v/>
      </c>
    </row>
    <row r="1292">
      <c r="A1292">
        <f>Sheet1!K1292</f>
        <v/>
      </c>
      <c r="B1292">
        <f>IF(ISNA(Sheet1!I1292),NA(),Sheet1!$O$5-(Sheet1!I1292/Sheet1!$O$6))</f>
        <v/>
      </c>
    </row>
    <row r="1293">
      <c r="A1293">
        <f>Sheet1!K1293</f>
        <v/>
      </c>
      <c r="B1293">
        <f>IF(ISNA(Sheet1!I1293),NA(),Sheet1!$O$5-(Sheet1!I1293/Sheet1!$O$6))</f>
        <v/>
      </c>
    </row>
    <row r="1294">
      <c r="A1294">
        <f>Sheet1!K1294</f>
        <v/>
      </c>
      <c r="B1294">
        <f>IF(ISNA(Sheet1!I1294),NA(),Sheet1!$O$5-(Sheet1!I1294/Sheet1!$O$6))</f>
        <v/>
      </c>
    </row>
    <row r="1295">
      <c r="A1295">
        <f>Sheet1!K1295</f>
        <v/>
      </c>
      <c r="B1295">
        <f>IF(ISNA(Sheet1!I1295),NA(),Sheet1!$O$5-(Sheet1!I1295/Sheet1!$O$6))</f>
        <v/>
      </c>
    </row>
    <row r="1296">
      <c r="A1296">
        <f>Sheet1!K1296</f>
        <v/>
      </c>
      <c r="B1296">
        <f>IF(ISNA(Sheet1!I1296),NA(),Sheet1!$O$5-(Sheet1!I1296/Sheet1!$O$6))</f>
        <v/>
      </c>
    </row>
    <row r="1297">
      <c r="A1297">
        <f>Sheet1!K1297</f>
        <v/>
      </c>
      <c r="B1297">
        <f>IF(ISNA(Sheet1!I1297),NA(),Sheet1!$O$5-(Sheet1!I1297/Sheet1!$O$6))</f>
        <v/>
      </c>
    </row>
    <row r="1298">
      <c r="A1298">
        <f>Sheet1!K1298</f>
        <v/>
      </c>
      <c r="B1298">
        <f>IF(ISNA(Sheet1!I1298),NA(),Sheet1!$O$5-(Sheet1!I1298/Sheet1!$O$6))</f>
        <v/>
      </c>
    </row>
    <row r="1299">
      <c r="A1299">
        <f>Sheet1!K1299</f>
        <v/>
      </c>
      <c r="B1299">
        <f>IF(ISNA(Sheet1!I1299),NA(),Sheet1!$O$5-(Sheet1!I1299/Sheet1!$O$6))</f>
        <v/>
      </c>
    </row>
    <row r="1300">
      <c r="A1300">
        <f>Sheet1!K1300</f>
        <v/>
      </c>
      <c r="B1300">
        <f>IF(ISNA(Sheet1!I1300),NA(),Sheet1!$O$5-(Sheet1!I1300/Sheet1!$O$6))</f>
        <v/>
      </c>
    </row>
    <row r="1301">
      <c r="A1301">
        <f>Sheet1!K1301</f>
        <v/>
      </c>
      <c r="B1301">
        <f>IF(ISNA(Sheet1!I1301),NA(),Sheet1!$O$5-(Sheet1!I1301/Sheet1!$O$6))</f>
        <v/>
      </c>
    </row>
    <row r="1302">
      <c r="A1302">
        <f>Sheet1!K1302</f>
        <v/>
      </c>
      <c r="B1302">
        <f>IF(ISNA(Sheet1!I1302),NA(),Sheet1!$O$5-(Sheet1!I1302/Sheet1!$O$6))</f>
        <v/>
      </c>
    </row>
    <row r="1303">
      <c r="A1303">
        <f>Sheet1!K1303</f>
        <v/>
      </c>
      <c r="B1303">
        <f>IF(ISNA(Sheet1!I1303),NA(),Sheet1!$O$5-(Sheet1!I1303/Sheet1!$O$6))</f>
        <v/>
      </c>
    </row>
    <row r="1304">
      <c r="A1304">
        <f>Sheet1!K1304</f>
        <v/>
      </c>
      <c r="B1304">
        <f>IF(ISNA(Sheet1!I1304),NA(),Sheet1!$O$5-(Sheet1!I1304/Sheet1!$O$6))</f>
        <v/>
      </c>
    </row>
    <row r="1305">
      <c r="A1305">
        <f>Sheet1!K1305</f>
        <v/>
      </c>
      <c r="B1305">
        <f>IF(ISNA(Sheet1!I1305),NA(),Sheet1!$O$5-(Sheet1!I1305/Sheet1!$O$6))</f>
        <v/>
      </c>
    </row>
    <row r="1306">
      <c r="A1306">
        <f>Sheet1!K1306</f>
        <v/>
      </c>
      <c r="B1306">
        <f>IF(ISNA(Sheet1!I1306),NA(),Sheet1!$O$5-(Sheet1!I1306/Sheet1!$O$6))</f>
        <v/>
      </c>
    </row>
    <row r="1307">
      <c r="A1307">
        <f>Sheet1!K1307</f>
        <v/>
      </c>
      <c r="B1307">
        <f>IF(ISNA(Sheet1!I1307),NA(),Sheet1!$O$5-(Sheet1!I1307/Sheet1!$O$6))</f>
        <v/>
      </c>
    </row>
    <row r="1308">
      <c r="A1308">
        <f>Sheet1!K1308</f>
        <v/>
      </c>
      <c r="B1308">
        <f>IF(ISNA(Sheet1!I1308),NA(),Sheet1!$O$5-(Sheet1!I1308/Sheet1!$O$6))</f>
        <v/>
      </c>
    </row>
    <row r="1309">
      <c r="A1309">
        <f>Sheet1!K1309</f>
        <v/>
      </c>
      <c r="B1309">
        <f>IF(ISNA(Sheet1!I1309),NA(),Sheet1!$O$5-(Sheet1!I1309/Sheet1!$O$6))</f>
        <v/>
      </c>
    </row>
    <row r="1310">
      <c r="A1310">
        <f>Sheet1!K1310</f>
        <v/>
      </c>
      <c r="B1310">
        <f>IF(ISNA(Sheet1!I1310),NA(),Sheet1!$O$5-(Sheet1!I1310/Sheet1!$O$6))</f>
        <v/>
      </c>
    </row>
    <row r="1311">
      <c r="A1311">
        <f>Sheet1!K1311</f>
        <v/>
      </c>
      <c r="B1311">
        <f>IF(ISNA(Sheet1!I1311),NA(),Sheet1!$O$5-(Sheet1!I1311/Sheet1!$O$6))</f>
        <v/>
      </c>
    </row>
    <row r="1312">
      <c r="A1312">
        <f>Sheet1!K1312</f>
        <v/>
      </c>
      <c r="B1312">
        <f>IF(ISNA(Sheet1!I1312),NA(),Sheet1!$O$5-(Sheet1!I1312/Sheet1!$O$6))</f>
        <v/>
      </c>
    </row>
    <row r="1313">
      <c r="A1313">
        <f>Sheet1!K1313</f>
        <v/>
      </c>
      <c r="B1313">
        <f>IF(ISNA(Sheet1!I1313),NA(),Sheet1!$O$5-(Sheet1!I1313/Sheet1!$O$6))</f>
        <v/>
      </c>
    </row>
    <row r="1314">
      <c r="A1314">
        <f>Sheet1!K1314</f>
        <v/>
      </c>
      <c r="B1314">
        <f>IF(ISNA(Sheet1!I1314),NA(),Sheet1!$O$5-(Sheet1!I1314/Sheet1!$O$6))</f>
        <v/>
      </c>
    </row>
    <row r="1315">
      <c r="A1315">
        <f>Sheet1!K1315</f>
        <v/>
      </c>
      <c r="B1315">
        <f>IF(ISNA(Sheet1!I1315),NA(),Sheet1!$O$5-(Sheet1!I1315/Sheet1!$O$6))</f>
        <v/>
      </c>
    </row>
    <row r="1316">
      <c r="A1316">
        <f>Sheet1!K1316</f>
        <v/>
      </c>
      <c r="B1316">
        <f>IF(ISNA(Sheet1!I1316),NA(),Sheet1!$O$5-(Sheet1!I1316/Sheet1!$O$6))</f>
        <v/>
      </c>
    </row>
    <row r="1317">
      <c r="A1317">
        <f>Sheet1!K1317</f>
        <v/>
      </c>
      <c r="B1317">
        <f>IF(ISNA(Sheet1!I1317),NA(),Sheet1!$O$5-(Sheet1!I1317/Sheet1!$O$6))</f>
        <v/>
      </c>
    </row>
    <row r="1318">
      <c r="A1318">
        <f>Sheet1!K1318</f>
        <v/>
      </c>
      <c r="B1318">
        <f>IF(ISNA(Sheet1!I1318),NA(),Sheet1!$O$5-(Sheet1!I1318/Sheet1!$O$6))</f>
        <v/>
      </c>
    </row>
    <row r="1319">
      <c r="A1319">
        <f>Sheet1!K1319</f>
        <v/>
      </c>
      <c r="B1319">
        <f>IF(ISNA(Sheet1!I1319),NA(),Sheet1!$O$5-(Sheet1!I1319/Sheet1!$O$6))</f>
        <v/>
      </c>
    </row>
    <row r="1320">
      <c r="A1320">
        <f>Sheet1!K1320</f>
        <v/>
      </c>
      <c r="B1320">
        <f>IF(ISNA(Sheet1!I1320),NA(),Sheet1!$O$5-(Sheet1!I1320/Sheet1!$O$6))</f>
        <v/>
      </c>
    </row>
    <row r="1321">
      <c r="A1321">
        <f>Sheet1!K1321</f>
        <v/>
      </c>
      <c r="B1321">
        <f>IF(ISNA(Sheet1!I1321),NA(),Sheet1!$O$5-(Sheet1!I1321/Sheet1!$O$6))</f>
        <v/>
      </c>
    </row>
    <row r="1322">
      <c r="A1322">
        <f>Sheet1!K1322</f>
        <v/>
      </c>
      <c r="B1322">
        <f>IF(ISNA(Sheet1!I1322),NA(),Sheet1!$O$5-(Sheet1!I1322/Sheet1!$O$6))</f>
        <v/>
      </c>
    </row>
    <row r="1323">
      <c r="A1323">
        <f>Sheet1!K1323</f>
        <v/>
      </c>
      <c r="B1323">
        <f>IF(ISNA(Sheet1!I1323),NA(),Sheet1!$O$5-(Sheet1!I1323/Sheet1!$O$6))</f>
        <v/>
      </c>
    </row>
    <row r="1324">
      <c r="A1324">
        <f>Sheet1!K1324</f>
        <v/>
      </c>
      <c r="B1324">
        <f>IF(ISNA(Sheet1!I1324),NA(),Sheet1!$O$5-(Sheet1!I1324/Sheet1!$O$6))</f>
        <v/>
      </c>
    </row>
    <row r="1325">
      <c r="A1325">
        <f>Sheet1!K1325</f>
        <v/>
      </c>
      <c r="B1325">
        <f>IF(ISNA(Sheet1!I1325),NA(),Sheet1!$O$5-(Sheet1!I1325/Sheet1!$O$6))</f>
        <v/>
      </c>
    </row>
    <row r="1326">
      <c r="A1326">
        <f>Sheet1!K1326</f>
        <v/>
      </c>
      <c r="B1326">
        <f>IF(ISNA(Sheet1!I1326),NA(),Sheet1!$O$5-(Sheet1!I1326/Sheet1!$O$6))</f>
        <v/>
      </c>
    </row>
    <row r="1327">
      <c r="A1327">
        <f>Sheet1!K1327</f>
        <v/>
      </c>
      <c r="B1327">
        <f>IF(ISNA(Sheet1!I1327),NA(),Sheet1!$O$5-(Sheet1!I1327/Sheet1!$O$6))</f>
        <v/>
      </c>
    </row>
    <row r="1328">
      <c r="A1328">
        <f>Sheet1!K1328</f>
        <v/>
      </c>
      <c r="B1328">
        <f>IF(ISNA(Sheet1!I1328),NA(),Sheet1!$O$5-(Sheet1!I1328/Sheet1!$O$6))</f>
        <v/>
      </c>
    </row>
    <row r="1329">
      <c r="A1329">
        <f>Sheet1!K1329</f>
        <v/>
      </c>
      <c r="B1329">
        <f>IF(ISNA(Sheet1!I1329),NA(),Sheet1!$O$5-(Sheet1!I1329/Sheet1!$O$6))</f>
        <v/>
      </c>
    </row>
    <row r="1330">
      <c r="A1330">
        <f>Sheet1!K1330</f>
        <v/>
      </c>
      <c r="B1330">
        <f>IF(ISNA(Sheet1!I1330),NA(),Sheet1!$O$5-(Sheet1!I1330/Sheet1!$O$6))</f>
        <v/>
      </c>
    </row>
    <row r="1331">
      <c r="A1331">
        <f>Sheet1!K1331</f>
        <v/>
      </c>
      <c r="B1331">
        <f>IF(ISNA(Sheet1!I1331),NA(),Sheet1!$O$5-(Sheet1!I1331/Sheet1!$O$6))</f>
        <v/>
      </c>
    </row>
    <row r="1332">
      <c r="A1332">
        <f>Sheet1!K1332</f>
        <v/>
      </c>
      <c r="B1332">
        <f>IF(ISNA(Sheet1!I1332),NA(),Sheet1!$O$5-(Sheet1!I1332/Sheet1!$O$6))</f>
        <v/>
      </c>
    </row>
    <row r="1333">
      <c r="A1333">
        <f>Sheet1!K1333</f>
        <v/>
      </c>
      <c r="B1333">
        <f>IF(ISNA(Sheet1!I1333),NA(),Sheet1!$O$5-(Sheet1!I1333/Sheet1!$O$6))</f>
        <v/>
      </c>
    </row>
    <row r="1334">
      <c r="A1334">
        <f>Sheet1!K1334</f>
        <v/>
      </c>
      <c r="B1334">
        <f>IF(ISNA(Sheet1!I1334),NA(),Sheet1!$O$5-(Sheet1!I1334/Sheet1!$O$6))</f>
        <v/>
      </c>
    </row>
    <row r="1335">
      <c r="A1335">
        <f>Sheet1!K1335</f>
        <v/>
      </c>
      <c r="B1335">
        <f>IF(ISNA(Sheet1!I1335),NA(),Sheet1!$O$5-(Sheet1!I1335/Sheet1!$O$6))</f>
        <v/>
      </c>
    </row>
    <row r="1336">
      <c r="A1336">
        <f>Sheet1!K1336</f>
        <v/>
      </c>
      <c r="B1336">
        <f>IF(ISNA(Sheet1!I1336),NA(),Sheet1!$O$5-(Sheet1!I1336/Sheet1!$O$6))</f>
        <v/>
      </c>
    </row>
    <row r="1337">
      <c r="A1337">
        <f>Sheet1!K1337</f>
        <v/>
      </c>
      <c r="B1337">
        <f>IF(ISNA(Sheet1!I1337),NA(),Sheet1!$O$5-(Sheet1!I1337/Sheet1!$O$6))</f>
        <v/>
      </c>
    </row>
    <row r="1338">
      <c r="A1338">
        <f>Sheet1!K1338</f>
        <v/>
      </c>
      <c r="B1338">
        <f>IF(ISNA(Sheet1!I1338),NA(),Sheet1!$O$5-(Sheet1!I1338/Sheet1!$O$6))</f>
        <v/>
      </c>
    </row>
    <row r="1339">
      <c r="A1339">
        <f>Sheet1!K1339</f>
        <v/>
      </c>
      <c r="B1339">
        <f>IF(ISNA(Sheet1!I1339),NA(),Sheet1!$O$5-(Sheet1!I1339/Sheet1!$O$6))</f>
        <v/>
      </c>
    </row>
    <row r="1340">
      <c r="A1340">
        <f>Sheet1!K1340</f>
        <v/>
      </c>
      <c r="B1340">
        <f>IF(ISNA(Sheet1!I1340),NA(),Sheet1!$O$5-(Sheet1!I1340/Sheet1!$O$6))</f>
        <v/>
      </c>
    </row>
    <row r="1341">
      <c r="A1341">
        <f>Sheet1!K1341</f>
        <v/>
      </c>
      <c r="B1341">
        <f>IF(ISNA(Sheet1!I1341),NA(),Sheet1!$O$5-(Sheet1!I1341/Sheet1!$O$6))</f>
        <v/>
      </c>
    </row>
    <row r="1342">
      <c r="A1342">
        <f>Sheet1!K1342</f>
        <v/>
      </c>
      <c r="B1342">
        <f>IF(ISNA(Sheet1!I1342),NA(),Sheet1!$O$5-(Sheet1!I1342/Sheet1!$O$6))</f>
        <v/>
      </c>
    </row>
    <row r="1343">
      <c r="A1343">
        <f>Sheet1!K1343</f>
        <v/>
      </c>
      <c r="B1343">
        <f>IF(ISNA(Sheet1!I1343),NA(),Sheet1!$O$5-(Sheet1!I1343/Sheet1!$O$6))</f>
        <v/>
      </c>
    </row>
    <row r="1344">
      <c r="A1344">
        <f>Sheet1!K1344</f>
        <v/>
      </c>
      <c r="B1344">
        <f>IF(ISNA(Sheet1!I1344),NA(),Sheet1!$O$5-(Sheet1!I1344/Sheet1!$O$6))</f>
        <v/>
      </c>
    </row>
    <row r="1345">
      <c r="A1345">
        <f>Sheet1!K1345</f>
        <v/>
      </c>
      <c r="B1345">
        <f>IF(ISNA(Sheet1!I1345),NA(),Sheet1!$O$5-(Sheet1!I1345/Sheet1!$O$6))</f>
        <v/>
      </c>
    </row>
    <row r="1346">
      <c r="A1346">
        <f>Sheet1!K1346</f>
        <v/>
      </c>
      <c r="B1346">
        <f>IF(ISNA(Sheet1!I1346),NA(),Sheet1!$O$5-(Sheet1!I1346/Sheet1!$O$6))</f>
        <v/>
      </c>
    </row>
    <row r="1347">
      <c r="A1347">
        <f>Sheet1!K1347</f>
        <v/>
      </c>
      <c r="B1347">
        <f>IF(ISNA(Sheet1!I1347),NA(),Sheet1!$O$5-(Sheet1!I1347/Sheet1!$O$6))</f>
        <v/>
      </c>
    </row>
    <row r="1348">
      <c r="A1348">
        <f>Sheet1!K1348</f>
        <v/>
      </c>
      <c r="B1348">
        <f>IF(ISNA(Sheet1!I1348),NA(),Sheet1!$O$5-(Sheet1!I1348/Sheet1!$O$6))</f>
        <v/>
      </c>
    </row>
    <row r="1349">
      <c r="A1349">
        <f>Sheet1!K1349</f>
        <v/>
      </c>
      <c r="B1349">
        <f>IF(ISNA(Sheet1!I1349),NA(),Sheet1!$O$5-(Sheet1!I1349/Sheet1!$O$6))</f>
        <v/>
      </c>
    </row>
    <row r="1350">
      <c r="A1350">
        <f>Sheet1!K1350</f>
        <v/>
      </c>
      <c r="B1350">
        <f>IF(ISNA(Sheet1!I1350),NA(),Sheet1!$O$5-(Sheet1!I1350/Sheet1!$O$6))</f>
        <v/>
      </c>
    </row>
    <row r="1351">
      <c r="A1351">
        <f>Sheet1!K1351</f>
        <v/>
      </c>
      <c r="B1351">
        <f>IF(ISNA(Sheet1!I1351),NA(),Sheet1!$O$5-(Sheet1!I1351/Sheet1!$O$6))</f>
        <v/>
      </c>
    </row>
    <row r="1352">
      <c r="A1352">
        <f>Sheet1!K1352</f>
        <v/>
      </c>
      <c r="B1352">
        <f>IF(ISNA(Sheet1!I1352),NA(),Sheet1!$O$5-(Sheet1!I1352/Sheet1!$O$6))</f>
        <v/>
      </c>
    </row>
    <row r="1353">
      <c r="A1353">
        <f>Sheet1!K1353</f>
        <v/>
      </c>
      <c r="B1353">
        <f>IF(ISNA(Sheet1!I1353),NA(),Sheet1!$O$5-(Sheet1!I1353/Sheet1!$O$6))</f>
        <v/>
      </c>
    </row>
    <row r="1354">
      <c r="A1354">
        <f>Sheet1!K1354</f>
        <v/>
      </c>
      <c r="B1354">
        <f>IF(ISNA(Sheet1!I1354),NA(),Sheet1!$O$5-(Sheet1!I1354/Sheet1!$O$6))</f>
        <v/>
      </c>
    </row>
    <row r="1355">
      <c r="A1355">
        <f>Sheet1!K1355</f>
        <v/>
      </c>
      <c r="B1355">
        <f>IF(ISNA(Sheet1!I1355),NA(),Sheet1!$O$5-(Sheet1!I1355/Sheet1!$O$6))</f>
        <v/>
      </c>
    </row>
    <row r="1356">
      <c r="A1356">
        <f>Sheet1!K1356</f>
        <v/>
      </c>
      <c r="B1356">
        <f>IF(ISNA(Sheet1!I1356),NA(),Sheet1!$O$5-(Sheet1!I1356/Sheet1!$O$6))</f>
        <v/>
      </c>
    </row>
    <row r="1357">
      <c r="A1357">
        <f>Sheet1!K1357</f>
        <v/>
      </c>
      <c r="B1357">
        <f>IF(ISNA(Sheet1!I1357),NA(),Sheet1!$O$5-(Sheet1!I1357/Sheet1!$O$6))</f>
        <v/>
      </c>
    </row>
    <row r="1358">
      <c r="A1358">
        <f>Sheet1!K1358</f>
        <v/>
      </c>
      <c r="B1358">
        <f>IF(ISNA(Sheet1!I1358),NA(),Sheet1!$O$5-(Sheet1!I1358/Sheet1!$O$6))</f>
        <v/>
      </c>
    </row>
    <row r="1359">
      <c r="A1359">
        <f>Sheet1!K1359</f>
        <v/>
      </c>
      <c r="B1359">
        <f>IF(ISNA(Sheet1!I1359),NA(),Sheet1!$O$5-(Sheet1!I1359/Sheet1!$O$6))</f>
        <v/>
      </c>
    </row>
    <row r="1360">
      <c r="A1360">
        <f>Sheet1!K1360</f>
        <v/>
      </c>
      <c r="B1360">
        <f>IF(ISNA(Sheet1!I1360),NA(),Sheet1!$O$5-(Sheet1!I1360/Sheet1!$O$6))</f>
        <v/>
      </c>
    </row>
    <row r="1361">
      <c r="A1361">
        <f>Sheet1!K1361</f>
        <v/>
      </c>
      <c r="B1361">
        <f>IF(ISNA(Sheet1!I1361),NA(),Sheet1!$O$5-(Sheet1!I1361/Sheet1!$O$6))</f>
        <v/>
      </c>
    </row>
    <row r="1362">
      <c r="A1362">
        <f>Sheet1!K1362</f>
        <v/>
      </c>
      <c r="B1362">
        <f>IF(ISNA(Sheet1!I1362),NA(),Sheet1!$O$5-(Sheet1!I1362/Sheet1!$O$6))</f>
        <v/>
      </c>
    </row>
    <row r="1363">
      <c r="A1363">
        <f>Sheet1!K1363</f>
        <v/>
      </c>
      <c r="B1363">
        <f>IF(ISNA(Sheet1!I1363),NA(),Sheet1!$O$5-(Sheet1!I1363/Sheet1!$O$6))</f>
        <v/>
      </c>
    </row>
    <row r="1364">
      <c r="A1364">
        <f>Sheet1!K1364</f>
        <v/>
      </c>
      <c r="B1364">
        <f>IF(ISNA(Sheet1!I1364),NA(),Sheet1!$O$5-(Sheet1!I1364/Sheet1!$O$6))</f>
        <v/>
      </c>
    </row>
    <row r="1365">
      <c r="A1365">
        <f>Sheet1!K1365</f>
        <v/>
      </c>
      <c r="B1365">
        <f>IF(ISNA(Sheet1!I1365),NA(),Sheet1!$O$5-(Sheet1!I1365/Sheet1!$O$6))</f>
        <v/>
      </c>
    </row>
    <row r="1366">
      <c r="A1366">
        <f>Sheet1!K1366</f>
        <v/>
      </c>
      <c r="B1366">
        <f>IF(ISNA(Sheet1!I1366),NA(),Sheet1!$O$5-(Sheet1!I1366/Sheet1!$O$6))</f>
        <v/>
      </c>
    </row>
    <row r="1367">
      <c r="A1367">
        <f>Sheet1!K1367</f>
        <v/>
      </c>
      <c r="B1367">
        <f>IF(ISNA(Sheet1!I1367),NA(),Sheet1!$O$5-(Sheet1!I1367/Sheet1!$O$6))</f>
        <v/>
      </c>
    </row>
    <row r="1368">
      <c r="A1368">
        <f>Sheet1!K1368</f>
        <v/>
      </c>
      <c r="B1368">
        <f>IF(ISNA(Sheet1!I1368),NA(),Sheet1!$O$5-(Sheet1!I1368/Sheet1!$O$6))</f>
        <v/>
      </c>
    </row>
    <row r="1369">
      <c r="A1369">
        <f>Sheet1!K1369</f>
        <v/>
      </c>
      <c r="B1369">
        <f>IF(ISNA(Sheet1!I1369),NA(),Sheet1!$O$5-(Sheet1!I1369/Sheet1!$O$6))</f>
        <v/>
      </c>
    </row>
    <row r="1370">
      <c r="A1370">
        <f>Sheet1!K1370</f>
        <v/>
      </c>
      <c r="B1370">
        <f>IF(ISNA(Sheet1!I1370),NA(),Sheet1!$O$5-(Sheet1!I1370/Sheet1!$O$6))</f>
        <v/>
      </c>
    </row>
    <row r="1371">
      <c r="A1371">
        <f>Sheet1!K1371</f>
        <v/>
      </c>
      <c r="B1371">
        <f>IF(ISNA(Sheet1!I1371),NA(),Sheet1!$O$5-(Sheet1!I1371/Sheet1!$O$6))</f>
        <v/>
      </c>
    </row>
    <row r="1372">
      <c r="A1372">
        <f>Sheet1!K1372</f>
        <v/>
      </c>
      <c r="B1372">
        <f>IF(ISNA(Sheet1!I1372),NA(),Sheet1!$O$5-(Sheet1!I1372/Sheet1!$O$6))</f>
        <v/>
      </c>
    </row>
    <row r="1373">
      <c r="A1373">
        <f>Sheet1!K1373</f>
        <v/>
      </c>
      <c r="B1373">
        <f>IF(ISNA(Sheet1!I1373),NA(),Sheet1!$O$5-(Sheet1!I1373/Sheet1!$O$6))</f>
        <v/>
      </c>
    </row>
    <row r="1374">
      <c r="A1374">
        <f>Sheet1!K1374</f>
        <v/>
      </c>
      <c r="B1374">
        <f>IF(ISNA(Sheet1!I1374),NA(),Sheet1!$O$5-(Sheet1!I1374/Sheet1!$O$6))</f>
        <v/>
      </c>
    </row>
    <row r="1375">
      <c r="A1375">
        <f>Sheet1!K1375</f>
        <v/>
      </c>
      <c r="B1375">
        <f>IF(ISNA(Sheet1!I1375),NA(),Sheet1!$O$5-(Sheet1!I1375/Sheet1!$O$6))</f>
        <v/>
      </c>
    </row>
    <row r="1376">
      <c r="A1376">
        <f>Sheet1!K1376</f>
        <v/>
      </c>
      <c r="B1376">
        <f>IF(ISNA(Sheet1!I1376),NA(),Sheet1!$O$5-(Sheet1!I1376/Sheet1!$O$6))</f>
        <v/>
      </c>
    </row>
    <row r="1377">
      <c r="A1377">
        <f>Sheet1!K1377</f>
        <v/>
      </c>
      <c r="B1377">
        <f>IF(ISNA(Sheet1!I1377),NA(),Sheet1!$O$5-(Sheet1!I1377/Sheet1!$O$6))</f>
        <v/>
      </c>
    </row>
    <row r="1378">
      <c r="A1378">
        <f>Sheet1!K1378</f>
        <v/>
      </c>
      <c r="B1378">
        <f>IF(ISNA(Sheet1!I1378),NA(),Sheet1!$O$5-(Sheet1!I1378/Sheet1!$O$6))</f>
        <v/>
      </c>
    </row>
    <row r="1379">
      <c r="A1379">
        <f>Sheet1!K1379</f>
        <v/>
      </c>
      <c r="B1379">
        <f>IF(ISNA(Sheet1!I1379),NA(),Sheet1!$O$5-(Sheet1!I1379/Sheet1!$O$6))</f>
        <v/>
      </c>
    </row>
    <row r="1380">
      <c r="A1380">
        <f>Sheet1!K1380</f>
        <v/>
      </c>
      <c r="B1380">
        <f>IF(ISNA(Sheet1!I1380),NA(),Sheet1!$O$5-(Sheet1!I1380/Sheet1!$O$6))</f>
        <v/>
      </c>
    </row>
    <row r="1381">
      <c r="A1381">
        <f>Sheet1!K1381</f>
        <v/>
      </c>
      <c r="B1381">
        <f>IF(ISNA(Sheet1!I1381),NA(),Sheet1!$O$5-(Sheet1!I1381/Sheet1!$O$6))</f>
        <v/>
      </c>
    </row>
    <row r="1382">
      <c r="A1382">
        <f>Sheet1!K1382</f>
        <v/>
      </c>
      <c r="B1382">
        <f>IF(ISNA(Sheet1!I1382),NA(),Sheet1!$O$5-(Sheet1!I1382/Sheet1!$O$6))</f>
        <v/>
      </c>
    </row>
    <row r="1383">
      <c r="A1383">
        <f>Sheet1!K1383</f>
        <v/>
      </c>
      <c r="B1383">
        <f>IF(ISNA(Sheet1!I1383),NA(),Sheet1!$O$5-(Sheet1!I1383/Sheet1!$O$6))</f>
        <v/>
      </c>
    </row>
    <row r="1384">
      <c r="A1384">
        <f>Sheet1!K1384</f>
        <v/>
      </c>
      <c r="B1384">
        <f>IF(ISNA(Sheet1!I1384),NA(),Sheet1!$O$5-(Sheet1!I1384/Sheet1!$O$6))</f>
        <v/>
      </c>
    </row>
    <row r="1385">
      <c r="A1385">
        <f>Sheet1!K1385</f>
        <v/>
      </c>
      <c r="B1385">
        <f>IF(ISNA(Sheet1!I1385),NA(),Sheet1!$O$5-(Sheet1!I1385/Sheet1!$O$6))</f>
        <v/>
      </c>
    </row>
    <row r="1386">
      <c r="A1386">
        <f>Sheet1!K1386</f>
        <v/>
      </c>
      <c r="B1386">
        <f>IF(ISNA(Sheet1!I1386),NA(),Sheet1!$O$5-(Sheet1!I1386/Sheet1!$O$6))</f>
        <v/>
      </c>
    </row>
    <row r="1387">
      <c r="A1387">
        <f>Sheet1!K1387</f>
        <v/>
      </c>
      <c r="B1387">
        <f>IF(ISNA(Sheet1!I1387),NA(),Sheet1!$O$5-(Sheet1!I1387/Sheet1!$O$6))</f>
        <v/>
      </c>
    </row>
    <row r="1388">
      <c r="A1388">
        <f>Sheet1!K1388</f>
        <v/>
      </c>
      <c r="B1388">
        <f>IF(ISNA(Sheet1!I1388),NA(),Sheet1!$O$5-(Sheet1!I1388/Sheet1!$O$6))</f>
        <v/>
      </c>
    </row>
    <row r="1389">
      <c r="A1389">
        <f>Sheet1!K1389</f>
        <v/>
      </c>
      <c r="B1389">
        <f>IF(ISNA(Sheet1!I1389),NA(),Sheet1!$O$5-(Sheet1!I1389/Sheet1!$O$6))</f>
        <v/>
      </c>
    </row>
    <row r="1390">
      <c r="A1390">
        <f>Sheet1!K1390</f>
        <v/>
      </c>
      <c r="B1390">
        <f>IF(ISNA(Sheet1!I1390),NA(),Sheet1!$O$5-(Sheet1!I1390/Sheet1!$O$6))</f>
        <v/>
      </c>
    </row>
    <row r="1391">
      <c r="A1391">
        <f>Sheet1!K1391</f>
        <v/>
      </c>
      <c r="B1391">
        <f>IF(ISNA(Sheet1!I1391),NA(),Sheet1!$O$5-(Sheet1!I1391/Sheet1!$O$6))</f>
        <v/>
      </c>
    </row>
    <row r="1392">
      <c r="A1392">
        <f>Sheet1!K1392</f>
        <v/>
      </c>
      <c r="B1392">
        <f>IF(ISNA(Sheet1!I1392),NA(),Sheet1!$O$5-(Sheet1!I1392/Sheet1!$O$6))</f>
        <v/>
      </c>
    </row>
    <row r="1393">
      <c r="A1393">
        <f>Sheet1!K1393</f>
        <v/>
      </c>
      <c r="B1393">
        <f>IF(ISNA(Sheet1!I1393),NA(),Sheet1!$O$5-(Sheet1!I1393/Sheet1!$O$6))</f>
        <v/>
      </c>
    </row>
    <row r="1394">
      <c r="A1394">
        <f>Sheet1!K1394</f>
        <v/>
      </c>
      <c r="B1394">
        <f>IF(ISNA(Sheet1!I1394),NA(),Sheet1!$O$5-(Sheet1!I1394/Sheet1!$O$6))</f>
        <v/>
      </c>
    </row>
    <row r="1395">
      <c r="A1395">
        <f>Sheet1!K1395</f>
        <v/>
      </c>
      <c r="B1395">
        <f>IF(ISNA(Sheet1!I1395),NA(),Sheet1!$O$5-(Sheet1!I1395/Sheet1!$O$6))</f>
        <v/>
      </c>
    </row>
    <row r="1396">
      <c r="A1396">
        <f>Sheet1!K1396</f>
        <v/>
      </c>
      <c r="B1396">
        <f>IF(ISNA(Sheet1!I1396),NA(),Sheet1!$O$5-(Sheet1!I1396/Sheet1!$O$6))</f>
        <v/>
      </c>
    </row>
    <row r="1397">
      <c r="A1397">
        <f>Sheet1!K1397</f>
        <v/>
      </c>
      <c r="B1397">
        <f>IF(ISNA(Sheet1!I1397),NA(),Sheet1!$O$5-(Sheet1!I1397/Sheet1!$O$6))</f>
        <v/>
      </c>
    </row>
    <row r="1398">
      <c r="A1398">
        <f>Sheet1!K1398</f>
        <v/>
      </c>
      <c r="B1398">
        <f>IF(ISNA(Sheet1!I1398),NA(),Sheet1!$O$5-(Sheet1!I1398/Sheet1!$O$6))</f>
        <v/>
      </c>
    </row>
    <row r="1399">
      <c r="A1399">
        <f>Sheet1!K1399</f>
        <v/>
      </c>
      <c r="B1399">
        <f>IF(ISNA(Sheet1!I1399),NA(),Sheet1!$O$5-(Sheet1!I1399/Sheet1!$O$6))</f>
        <v/>
      </c>
    </row>
    <row r="1400">
      <c r="A1400">
        <f>Sheet1!K1400</f>
        <v/>
      </c>
      <c r="B1400">
        <f>IF(ISNA(Sheet1!I1400),NA(),Sheet1!$O$5-(Sheet1!I1400/Sheet1!$O$6))</f>
        <v/>
      </c>
    </row>
    <row r="1401">
      <c r="A1401">
        <f>Sheet1!K1401</f>
        <v/>
      </c>
      <c r="B1401">
        <f>IF(ISNA(Sheet1!I1401),NA(),Sheet1!$O$5-(Sheet1!I1401/Sheet1!$O$6))</f>
        <v/>
      </c>
    </row>
    <row r="1402">
      <c r="A1402">
        <f>Sheet1!K1402</f>
        <v/>
      </c>
      <c r="B1402">
        <f>IF(ISNA(Sheet1!I1402),NA(),Sheet1!$O$5-(Sheet1!I1402/Sheet1!$O$6))</f>
        <v/>
      </c>
    </row>
    <row r="1403">
      <c r="A1403">
        <f>Sheet1!K1403</f>
        <v/>
      </c>
      <c r="B1403">
        <f>IF(ISNA(Sheet1!I1403),NA(),Sheet1!$O$5-(Sheet1!I1403/Sheet1!$O$6))</f>
        <v/>
      </c>
    </row>
    <row r="1404">
      <c r="A1404">
        <f>Sheet1!K1404</f>
        <v/>
      </c>
      <c r="B1404">
        <f>IF(ISNA(Sheet1!I1404),NA(),Sheet1!$O$5-(Sheet1!I1404/Sheet1!$O$6))</f>
        <v/>
      </c>
    </row>
    <row r="1405">
      <c r="A1405">
        <f>Sheet1!K1405</f>
        <v/>
      </c>
      <c r="B1405">
        <f>IF(ISNA(Sheet1!I1405),NA(),Sheet1!$O$5-(Sheet1!I1405/Sheet1!$O$6))</f>
        <v/>
      </c>
    </row>
    <row r="1406">
      <c r="A1406">
        <f>Sheet1!K1406</f>
        <v/>
      </c>
      <c r="B1406">
        <f>IF(ISNA(Sheet1!I1406),NA(),Sheet1!$O$5-(Sheet1!I1406/Sheet1!$O$6))</f>
        <v/>
      </c>
    </row>
    <row r="1407">
      <c r="A1407">
        <f>Sheet1!K1407</f>
        <v/>
      </c>
      <c r="B1407">
        <f>IF(ISNA(Sheet1!I1407),NA(),Sheet1!$O$5-(Sheet1!I1407/Sheet1!$O$6))</f>
        <v/>
      </c>
    </row>
    <row r="1408">
      <c r="A1408">
        <f>Sheet1!K1408</f>
        <v/>
      </c>
      <c r="B1408">
        <f>IF(ISNA(Sheet1!I1408),NA(),Sheet1!$O$5-(Sheet1!I1408/Sheet1!$O$6))</f>
        <v/>
      </c>
    </row>
    <row r="1409">
      <c r="A1409">
        <f>Sheet1!K1409</f>
        <v/>
      </c>
      <c r="B1409">
        <f>IF(ISNA(Sheet1!I1409),NA(),Sheet1!$O$5-(Sheet1!I1409/Sheet1!$O$6))</f>
        <v/>
      </c>
    </row>
    <row r="1410">
      <c r="A1410">
        <f>Sheet1!K1410</f>
        <v/>
      </c>
      <c r="B1410">
        <f>IF(ISNA(Sheet1!I1410),NA(),Sheet1!$O$5-(Sheet1!I1410/Sheet1!$O$6))</f>
        <v/>
      </c>
    </row>
    <row r="1411">
      <c r="A1411">
        <f>Sheet1!K1411</f>
        <v/>
      </c>
      <c r="B1411">
        <f>IF(ISNA(Sheet1!I1411),NA(),Sheet1!$O$5-(Sheet1!I1411/Sheet1!$O$6))</f>
        <v/>
      </c>
    </row>
    <row r="1412">
      <c r="A1412">
        <f>Sheet1!K1412</f>
        <v/>
      </c>
      <c r="B1412">
        <f>IF(ISNA(Sheet1!I1412),NA(),Sheet1!$O$5-(Sheet1!I1412/Sheet1!$O$6))</f>
        <v/>
      </c>
    </row>
    <row r="1413">
      <c r="A1413">
        <f>Sheet1!K1413</f>
        <v/>
      </c>
      <c r="B1413">
        <f>IF(ISNA(Sheet1!I1413),NA(),Sheet1!$O$5-(Sheet1!I1413/Sheet1!$O$6))</f>
        <v/>
      </c>
    </row>
    <row r="1414">
      <c r="A1414">
        <f>Sheet1!K1414</f>
        <v/>
      </c>
      <c r="B1414">
        <f>IF(ISNA(Sheet1!I1414),NA(),Sheet1!$O$5-(Sheet1!I1414/Sheet1!$O$6))</f>
        <v/>
      </c>
    </row>
    <row r="1415">
      <c r="A1415">
        <f>Sheet1!K1415</f>
        <v/>
      </c>
      <c r="B1415">
        <f>IF(ISNA(Sheet1!I1415),NA(),Sheet1!$O$5-(Sheet1!I1415/Sheet1!$O$6))</f>
        <v/>
      </c>
    </row>
    <row r="1416">
      <c r="A1416">
        <f>Sheet1!K1416</f>
        <v/>
      </c>
      <c r="B1416">
        <f>IF(ISNA(Sheet1!I1416),NA(),Sheet1!$O$5-(Sheet1!I1416/Sheet1!$O$6))</f>
        <v/>
      </c>
    </row>
    <row r="1417">
      <c r="A1417">
        <f>Sheet1!K1417</f>
        <v/>
      </c>
      <c r="B1417">
        <f>IF(ISNA(Sheet1!I1417),NA(),Sheet1!$O$5-(Sheet1!I1417/Sheet1!$O$6))</f>
        <v/>
      </c>
    </row>
    <row r="1418">
      <c r="A1418">
        <f>Sheet1!K1418</f>
        <v/>
      </c>
      <c r="B1418">
        <f>IF(ISNA(Sheet1!I1418),NA(),Sheet1!$O$5-(Sheet1!I1418/Sheet1!$O$6))</f>
        <v/>
      </c>
    </row>
    <row r="1419">
      <c r="A1419">
        <f>Sheet1!K1419</f>
        <v/>
      </c>
      <c r="B1419">
        <f>IF(ISNA(Sheet1!I1419),NA(),Sheet1!$O$5-(Sheet1!I1419/Sheet1!$O$6))</f>
        <v/>
      </c>
    </row>
    <row r="1420">
      <c r="A1420">
        <f>Sheet1!K1420</f>
        <v/>
      </c>
      <c r="B1420">
        <f>IF(ISNA(Sheet1!I1420),NA(),Sheet1!$O$5-(Sheet1!I1420/Sheet1!$O$6))</f>
        <v/>
      </c>
    </row>
    <row r="1421">
      <c r="A1421">
        <f>Sheet1!K1421</f>
        <v/>
      </c>
      <c r="B1421">
        <f>IF(ISNA(Sheet1!I1421),NA(),Sheet1!$O$5-(Sheet1!I1421/Sheet1!$O$6))</f>
        <v/>
      </c>
    </row>
    <row r="1422">
      <c r="A1422">
        <f>Sheet1!K1422</f>
        <v/>
      </c>
      <c r="B1422">
        <f>IF(ISNA(Sheet1!I1422),NA(),Sheet1!$O$5-(Sheet1!I1422/Sheet1!$O$6))</f>
        <v/>
      </c>
    </row>
    <row r="1423">
      <c r="A1423">
        <f>Sheet1!K1423</f>
        <v/>
      </c>
      <c r="B1423">
        <f>IF(ISNA(Sheet1!I1423),NA(),Sheet1!$O$5-(Sheet1!I1423/Sheet1!$O$6))</f>
        <v/>
      </c>
    </row>
    <row r="1424">
      <c r="A1424">
        <f>Sheet1!K1424</f>
        <v/>
      </c>
      <c r="B1424">
        <f>IF(ISNA(Sheet1!I1424),NA(),Sheet1!$O$5-(Sheet1!I1424/Sheet1!$O$6))</f>
        <v/>
      </c>
    </row>
    <row r="1425">
      <c r="A1425">
        <f>Sheet1!K1425</f>
        <v/>
      </c>
      <c r="B1425">
        <f>IF(ISNA(Sheet1!I1425),NA(),Sheet1!$O$5-(Sheet1!I1425/Sheet1!$O$6))</f>
        <v/>
      </c>
    </row>
    <row r="1426">
      <c r="A1426">
        <f>Sheet1!K1426</f>
        <v/>
      </c>
      <c r="B1426">
        <f>IF(ISNA(Sheet1!I1426),NA(),Sheet1!$O$5-(Sheet1!I1426/Sheet1!$O$6))</f>
        <v/>
      </c>
    </row>
    <row r="1427">
      <c r="A1427">
        <f>Sheet1!K1427</f>
        <v/>
      </c>
      <c r="B1427">
        <f>IF(ISNA(Sheet1!I1427),NA(),Sheet1!$O$5-(Sheet1!I1427/Sheet1!$O$6))</f>
        <v/>
      </c>
    </row>
    <row r="1428">
      <c r="A1428">
        <f>Sheet1!K1428</f>
        <v/>
      </c>
      <c r="B1428">
        <f>IF(ISNA(Sheet1!I1428),NA(),Sheet1!$O$5-(Sheet1!I1428/Sheet1!$O$6))</f>
        <v/>
      </c>
    </row>
    <row r="1429">
      <c r="A1429">
        <f>Sheet1!K1429</f>
        <v/>
      </c>
      <c r="B1429">
        <f>IF(ISNA(Sheet1!I1429),NA(),Sheet1!$O$5-(Sheet1!I1429/Sheet1!$O$6))</f>
        <v/>
      </c>
    </row>
    <row r="1430">
      <c r="A1430">
        <f>Sheet1!K1430</f>
        <v/>
      </c>
      <c r="B1430">
        <f>IF(ISNA(Sheet1!I1430),NA(),Sheet1!$O$5-(Sheet1!I1430/Sheet1!$O$6))</f>
        <v/>
      </c>
    </row>
    <row r="1431">
      <c r="A1431">
        <f>Sheet1!K1431</f>
        <v/>
      </c>
      <c r="B1431">
        <f>IF(ISNA(Sheet1!I1431),NA(),Sheet1!$O$5-(Sheet1!I1431/Sheet1!$O$6))</f>
        <v/>
      </c>
    </row>
    <row r="1432">
      <c r="A1432">
        <f>Sheet1!K1432</f>
        <v/>
      </c>
      <c r="B1432">
        <f>IF(ISNA(Sheet1!I1432),NA(),Sheet1!$O$5-(Sheet1!I1432/Sheet1!$O$6))</f>
        <v/>
      </c>
    </row>
    <row r="1433">
      <c r="A1433">
        <f>Sheet1!K1433</f>
        <v/>
      </c>
      <c r="B1433">
        <f>IF(ISNA(Sheet1!I1433),NA(),Sheet1!$O$5-(Sheet1!I1433/Sheet1!$O$6))</f>
        <v/>
      </c>
    </row>
    <row r="1434">
      <c r="A1434">
        <f>Sheet1!K1434</f>
        <v/>
      </c>
      <c r="B1434">
        <f>IF(ISNA(Sheet1!I1434),NA(),Sheet1!$O$5-(Sheet1!I1434/Sheet1!$O$6))</f>
        <v/>
      </c>
    </row>
    <row r="1435">
      <c r="A1435">
        <f>Sheet1!K1435</f>
        <v/>
      </c>
      <c r="B1435">
        <f>IF(ISNA(Sheet1!I1435),NA(),Sheet1!$O$5-(Sheet1!I1435/Sheet1!$O$6))</f>
        <v/>
      </c>
    </row>
    <row r="1436">
      <c r="A1436">
        <f>Sheet1!K1436</f>
        <v/>
      </c>
      <c r="B1436">
        <f>IF(ISNA(Sheet1!I1436),NA(),Sheet1!$O$5-(Sheet1!I1436/Sheet1!$O$6))</f>
        <v/>
      </c>
    </row>
    <row r="1437">
      <c r="A1437">
        <f>Sheet1!K1437</f>
        <v/>
      </c>
      <c r="B1437">
        <f>IF(ISNA(Sheet1!I1437),NA(),Sheet1!$O$5-(Sheet1!I1437/Sheet1!$O$6))</f>
        <v/>
      </c>
    </row>
    <row r="1438">
      <c r="A1438">
        <f>Sheet1!K1438</f>
        <v/>
      </c>
      <c r="B1438">
        <f>IF(ISNA(Sheet1!I1438),NA(),Sheet1!$O$5-(Sheet1!I1438/Sheet1!$O$6))</f>
        <v/>
      </c>
    </row>
    <row r="1439">
      <c r="A1439">
        <f>Sheet1!K1439</f>
        <v/>
      </c>
      <c r="B1439">
        <f>IF(ISNA(Sheet1!I1439),NA(),Sheet1!$O$5-(Sheet1!I1439/Sheet1!$O$6))</f>
        <v/>
      </c>
    </row>
    <row r="1440">
      <c r="A1440">
        <f>Sheet1!K1440</f>
        <v/>
      </c>
      <c r="B1440">
        <f>IF(ISNA(Sheet1!I1440),NA(),Sheet1!$O$5-(Sheet1!I1440/Sheet1!$O$6))</f>
        <v/>
      </c>
    </row>
    <row r="1441">
      <c r="A1441">
        <f>Sheet1!K1441</f>
        <v/>
      </c>
      <c r="B1441">
        <f>IF(ISNA(Sheet1!I1441),NA(),Sheet1!$O$5-(Sheet1!I1441/Sheet1!$O$6))</f>
        <v/>
      </c>
    </row>
    <row r="1442">
      <c r="A1442">
        <f>Sheet1!K1442</f>
        <v/>
      </c>
      <c r="B1442">
        <f>IF(ISNA(Sheet1!I1442),NA(),Sheet1!$O$5-(Sheet1!I1442/Sheet1!$O$6))</f>
        <v/>
      </c>
    </row>
    <row r="1443">
      <c r="A1443">
        <f>Sheet1!K1443</f>
        <v/>
      </c>
      <c r="B1443">
        <f>IF(ISNA(Sheet1!I1443),NA(),Sheet1!$O$5-(Sheet1!I1443/Sheet1!$O$6))</f>
        <v/>
      </c>
    </row>
    <row r="1444">
      <c r="A1444">
        <f>Sheet1!K1444</f>
        <v/>
      </c>
      <c r="B1444">
        <f>IF(ISNA(Sheet1!I1444),NA(),Sheet1!$O$5-(Sheet1!I1444/Sheet1!$O$6))</f>
        <v/>
      </c>
    </row>
    <row r="1445">
      <c r="A1445">
        <f>Sheet1!K1445</f>
        <v/>
      </c>
      <c r="B1445">
        <f>IF(ISNA(Sheet1!I1445),NA(),Sheet1!$O$5-(Sheet1!I1445/Sheet1!$O$6))</f>
        <v/>
      </c>
    </row>
    <row r="1446">
      <c r="A1446">
        <f>Sheet1!K1446</f>
        <v/>
      </c>
      <c r="B1446">
        <f>IF(ISNA(Sheet1!I1446),NA(),Sheet1!$O$5-(Sheet1!I1446/Sheet1!$O$6))</f>
        <v/>
      </c>
    </row>
    <row r="1447">
      <c r="A1447">
        <f>Sheet1!K1447</f>
        <v/>
      </c>
      <c r="B1447">
        <f>IF(ISNA(Sheet1!I1447),NA(),Sheet1!$O$5-(Sheet1!I1447/Sheet1!$O$6))</f>
        <v/>
      </c>
    </row>
    <row r="1448">
      <c r="A1448">
        <f>Sheet1!K1448</f>
        <v/>
      </c>
      <c r="B1448">
        <f>IF(ISNA(Sheet1!I1448),NA(),Sheet1!$O$5-(Sheet1!I1448/Sheet1!$O$6))</f>
        <v/>
      </c>
    </row>
    <row r="1449">
      <c r="A1449">
        <f>Sheet1!K1449</f>
        <v/>
      </c>
      <c r="B1449">
        <f>IF(ISNA(Sheet1!I1449),NA(),Sheet1!$O$5-(Sheet1!I1449/Sheet1!$O$6))</f>
        <v/>
      </c>
    </row>
    <row r="1450">
      <c r="A1450">
        <f>Sheet1!K1450</f>
        <v/>
      </c>
      <c r="B1450">
        <f>IF(ISNA(Sheet1!I1450),NA(),Sheet1!$O$5-(Sheet1!I1450/Sheet1!$O$6))</f>
        <v/>
      </c>
    </row>
    <row r="1451">
      <c r="A1451">
        <f>Sheet1!K1451</f>
        <v/>
      </c>
      <c r="B1451">
        <f>IF(ISNA(Sheet1!I1451),NA(),Sheet1!$O$5-(Sheet1!I1451/Sheet1!$O$6))</f>
        <v/>
      </c>
    </row>
    <row r="1452">
      <c r="A1452">
        <f>Sheet1!K1452</f>
        <v/>
      </c>
      <c r="B1452">
        <f>IF(ISNA(Sheet1!I1452),NA(),Sheet1!$O$5-(Sheet1!I1452/Sheet1!$O$6))</f>
        <v/>
      </c>
    </row>
    <row r="1453">
      <c r="A1453">
        <f>Sheet1!K1453</f>
        <v/>
      </c>
      <c r="B1453">
        <f>IF(ISNA(Sheet1!I1453),NA(),Sheet1!$O$5-(Sheet1!I1453/Sheet1!$O$6))</f>
        <v/>
      </c>
    </row>
    <row r="1454">
      <c r="A1454">
        <f>Sheet1!K1454</f>
        <v/>
      </c>
      <c r="B1454">
        <f>IF(ISNA(Sheet1!I1454),NA(),Sheet1!$O$5-(Sheet1!I1454/Sheet1!$O$6))</f>
        <v/>
      </c>
    </row>
    <row r="1455">
      <c r="A1455">
        <f>Sheet1!K1455</f>
        <v/>
      </c>
      <c r="B1455">
        <f>IF(ISNA(Sheet1!I1455),NA(),Sheet1!$O$5-(Sheet1!I1455/Sheet1!$O$6))</f>
        <v/>
      </c>
    </row>
    <row r="1456">
      <c r="A1456">
        <f>Sheet1!K1456</f>
        <v/>
      </c>
      <c r="B1456">
        <f>IF(ISNA(Sheet1!I1456),NA(),Sheet1!$O$5-(Sheet1!I1456/Sheet1!$O$6))</f>
        <v/>
      </c>
    </row>
    <row r="1457">
      <c r="A1457">
        <f>Sheet1!K1457</f>
        <v/>
      </c>
      <c r="B1457">
        <f>IF(ISNA(Sheet1!I1457),NA(),Sheet1!$O$5-(Sheet1!I1457/Sheet1!$O$6))</f>
        <v/>
      </c>
    </row>
    <row r="1458">
      <c r="A1458">
        <f>Sheet1!K1458</f>
        <v/>
      </c>
      <c r="B1458">
        <f>IF(ISNA(Sheet1!I1458),NA(),Sheet1!$O$5-(Sheet1!I1458/Sheet1!$O$6))</f>
        <v/>
      </c>
    </row>
    <row r="1459">
      <c r="A1459">
        <f>Sheet1!K1459</f>
        <v/>
      </c>
      <c r="B1459">
        <f>IF(ISNA(Sheet1!I1459),NA(),Sheet1!$O$5-(Sheet1!I1459/Sheet1!$O$6))</f>
        <v/>
      </c>
    </row>
    <row r="1460">
      <c r="A1460">
        <f>Sheet1!K1460</f>
        <v/>
      </c>
      <c r="B1460">
        <f>IF(ISNA(Sheet1!I1460),NA(),Sheet1!$O$5-(Sheet1!I1460/Sheet1!$O$6))</f>
        <v/>
      </c>
    </row>
    <row r="1461">
      <c r="A1461">
        <f>Sheet1!K1461</f>
        <v/>
      </c>
      <c r="B1461">
        <f>IF(ISNA(Sheet1!I1461),NA(),Sheet1!$O$5-(Sheet1!I1461/Sheet1!$O$6))</f>
        <v/>
      </c>
    </row>
    <row r="1462">
      <c r="A1462">
        <f>Sheet1!K1462</f>
        <v/>
      </c>
      <c r="B1462">
        <f>IF(ISNA(Sheet1!I1462),NA(),Sheet1!$O$5-(Sheet1!I1462/Sheet1!$O$6))</f>
        <v/>
      </c>
    </row>
    <row r="1463">
      <c r="A1463">
        <f>Sheet1!K1463</f>
        <v/>
      </c>
      <c r="B1463">
        <f>IF(ISNA(Sheet1!I1463),NA(),Sheet1!$O$5-(Sheet1!I1463/Sheet1!$O$6))</f>
        <v/>
      </c>
    </row>
    <row r="1464">
      <c r="A1464">
        <f>Sheet1!K1464</f>
        <v/>
      </c>
      <c r="B1464">
        <f>IF(ISNA(Sheet1!I1464),NA(),Sheet1!$O$5-(Sheet1!I1464/Sheet1!$O$6))</f>
        <v/>
      </c>
    </row>
    <row r="1465">
      <c r="A1465">
        <f>Sheet1!K1465</f>
        <v/>
      </c>
      <c r="B1465">
        <f>IF(ISNA(Sheet1!I1465),NA(),Sheet1!$O$5-(Sheet1!I1465/Sheet1!$O$6))</f>
        <v/>
      </c>
    </row>
    <row r="1466">
      <c r="A1466">
        <f>Sheet1!K1466</f>
        <v/>
      </c>
      <c r="B1466">
        <f>IF(ISNA(Sheet1!I1466),NA(),Sheet1!$O$5-(Sheet1!I1466/Sheet1!$O$6))</f>
        <v/>
      </c>
    </row>
    <row r="1467">
      <c r="A1467">
        <f>Sheet1!K1467</f>
        <v/>
      </c>
      <c r="B1467">
        <f>IF(ISNA(Sheet1!I1467),NA(),Sheet1!$O$5-(Sheet1!I1467/Sheet1!$O$6))</f>
        <v/>
      </c>
    </row>
    <row r="1468">
      <c r="A1468">
        <f>Sheet1!K1468</f>
        <v/>
      </c>
      <c r="B1468">
        <f>IF(ISNA(Sheet1!I1468),NA(),Sheet1!$O$5-(Sheet1!I1468/Sheet1!$O$6))</f>
        <v/>
      </c>
    </row>
    <row r="1469">
      <c r="A1469">
        <f>Sheet1!K1469</f>
        <v/>
      </c>
      <c r="B1469">
        <f>IF(ISNA(Sheet1!I1469),NA(),Sheet1!$O$5-(Sheet1!I1469/Sheet1!$O$6))</f>
        <v/>
      </c>
    </row>
    <row r="1470">
      <c r="A1470">
        <f>Sheet1!K1470</f>
        <v/>
      </c>
      <c r="B1470">
        <f>IF(ISNA(Sheet1!I1470),NA(),Sheet1!$O$5-(Sheet1!I1470/Sheet1!$O$6))</f>
        <v/>
      </c>
    </row>
    <row r="1471">
      <c r="A1471">
        <f>Sheet1!K1471</f>
        <v/>
      </c>
      <c r="B1471">
        <f>IF(ISNA(Sheet1!I1471),NA(),Sheet1!$O$5-(Sheet1!I1471/Sheet1!$O$6))</f>
        <v/>
      </c>
    </row>
    <row r="1472">
      <c r="A1472">
        <f>Sheet1!K1472</f>
        <v/>
      </c>
      <c r="B1472">
        <f>IF(ISNA(Sheet1!I1472),NA(),Sheet1!$O$5-(Sheet1!I1472/Sheet1!$O$6))</f>
        <v/>
      </c>
    </row>
    <row r="1473">
      <c r="A1473">
        <f>Sheet1!K1473</f>
        <v/>
      </c>
      <c r="B1473">
        <f>IF(ISNA(Sheet1!I1473),NA(),Sheet1!$O$5-(Sheet1!I1473/Sheet1!$O$6))</f>
        <v/>
      </c>
    </row>
    <row r="1474">
      <c r="A1474">
        <f>Sheet1!K1474</f>
        <v/>
      </c>
      <c r="B1474">
        <f>IF(ISNA(Sheet1!I1474),NA(),Sheet1!$O$5-(Sheet1!I1474/Sheet1!$O$6))</f>
        <v/>
      </c>
    </row>
    <row r="1475">
      <c r="A1475">
        <f>Sheet1!K1475</f>
        <v/>
      </c>
      <c r="B1475">
        <f>IF(ISNA(Sheet1!I1475),NA(),Sheet1!$O$5-(Sheet1!I1475/Sheet1!$O$6))</f>
        <v/>
      </c>
    </row>
    <row r="1476">
      <c r="A1476">
        <f>Sheet1!K1476</f>
        <v/>
      </c>
      <c r="B1476">
        <f>IF(ISNA(Sheet1!I1476),NA(),Sheet1!$O$5-(Sheet1!I1476/Sheet1!$O$6))</f>
        <v/>
      </c>
    </row>
    <row r="1477">
      <c r="A1477">
        <f>Sheet1!K1477</f>
        <v/>
      </c>
      <c r="B1477">
        <f>IF(ISNA(Sheet1!I1477),NA(),Sheet1!$O$5-(Sheet1!I1477/Sheet1!$O$6))</f>
        <v/>
      </c>
    </row>
    <row r="1478">
      <c r="A1478">
        <f>Sheet1!K1478</f>
        <v/>
      </c>
      <c r="B1478">
        <f>IF(ISNA(Sheet1!I1478),NA(),Sheet1!$O$5-(Sheet1!I1478/Sheet1!$O$6))</f>
        <v/>
      </c>
    </row>
    <row r="1479">
      <c r="A1479">
        <f>Sheet1!K1479</f>
        <v/>
      </c>
      <c r="B1479">
        <f>IF(ISNA(Sheet1!I1479),NA(),Sheet1!$O$5-(Sheet1!I1479/Sheet1!$O$6))</f>
        <v/>
      </c>
    </row>
    <row r="1480">
      <c r="A1480">
        <f>Sheet1!K1480</f>
        <v/>
      </c>
      <c r="B1480">
        <f>IF(ISNA(Sheet1!I1480),NA(),Sheet1!$O$5-(Sheet1!I1480/Sheet1!$O$6))</f>
        <v/>
      </c>
    </row>
    <row r="1481">
      <c r="A1481">
        <f>Sheet1!K1481</f>
        <v/>
      </c>
      <c r="B1481">
        <f>IF(ISNA(Sheet1!I1481),NA(),Sheet1!$O$5-(Sheet1!I1481/Sheet1!$O$6))</f>
        <v/>
      </c>
    </row>
    <row r="1482">
      <c r="A1482">
        <f>Sheet1!K1482</f>
        <v/>
      </c>
      <c r="B1482">
        <f>IF(ISNA(Sheet1!I1482),NA(),Sheet1!$O$5-(Sheet1!I1482/Sheet1!$O$6))</f>
        <v/>
      </c>
    </row>
    <row r="1483">
      <c r="A1483">
        <f>Sheet1!K1483</f>
        <v/>
      </c>
      <c r="B1483">
        <f>IF(ISNA(Sheet1!I1483),NA(),Sheet1!$O$5-(Sheet1!I1483/Sheet1!$O$6))</f>
        <v/>
      </c>
    </row>
    <row r="1484">
      <c r="A1484">
        <f>Sheet1!K1484</f>
        <v/>
      </c>
      <c r="B1484">
        <f>IF(ISNA(Sheet1!I1484),NA(),Sheet1!$O$5-(Sheet1!I1484/Sheet1!$O$6))</f>
        <v/>
      </c>
    </row>
    <row r="1485">
      <c r="A1485">
        <f>Sheet1!K1485</f>
        <v/>
      </c>
      <c r="B1485">
        <f>IF(ISNA(Sheet1!I1485),NA(),Sheet1!$O$5-(Sheet1!I1485/Sheet1!$O$6))</f>
        <v/>
      </c>
    </row>
    <row r="1486">
      <c r="A1486">
        <f>Sheet1!K1486</f>
        <v/>
      </c>
      <c r="B1486">
        <f>IF(ISNA(Sheet1!I1486),NA(),Sheet1!$O$5-(Sheet1!I1486/Sheet1!$O$6))</f>
        <v/>
      </c>
    </row>
    <row r="1487">
      <c r="A1487">
        <f>Sheet1!K1487</f>
        <v/>
      </c>
      <c r="B1487">
        <f>IF(ISNA(Sheet1!I1487),NA(),Sheet1!$O$5-(Sheet1!I1487/Sheet1!$O$6))</f>
        <v/>
      </c>
    </row>
    <row r="1488">
      <c r="A1488">
        <f>Sheet1!K1488</f>
        <v/>
      </c>
      <c r="B1488">
        <f>IF(ISNA(Sheet1!I1488),NA(),Sheet1!$O$5-(Sheet1!I1488/Sheet1!$O$6))</f>
        <v/>
      </c>
    </row>
    <row r="1489">
      <c r="A1489">
        <f>Sheet1!K1489</f>
        <v/>
      </c>
      <c r="B1489">
        <f>IF(ISNA(Sheet1!I1489),NA(),Sheet1!$O$5-(Sheet1!I1489/Sheet1!$O$6))</f>
        <v/>
      </c>
    </row>
    <row r="1490">
      <c r="A1490">
        <f>Sheet1!K1490</f>
        <v/>
      </c>
      <c r="B1490">
        <f>IF(ISNA(Sheet1!I1490),NA(),Sheet1!$O$5-(Sheet1!I1490/Sheet1!$O$6))</f>
        <v/>
      </c>
    </row>
    <row r="1491">
      <c r="A1491">
        <f>Sheet1!K1491</f>
        <v/>
      </c>
      <c r="B1491">
        <f>IF(ISNA(Sheet1!I1491),NA(),Sheet1!$O$5-(Sheet1!I1491/Sheet1!$O$6))</f>
        <v/>
      </c>
    </row>
    <row r="1492">
      <c r="A1492">
        <f>Sheet1!K1492</f>
        <v/>
      </c>
      <c r="B1492">
        <f>IF(ISNA(Sheet1!I1492),NA(),Sheet1!$O$5-(Sheet1!I1492/Sheet1!$O$6))</f>
        <v/>
      </c>
    </row>
    <row r="1493">
      <c r="A1493">
        <f>Sheet1!K1493</f>
        <v/>
      </c>
      <c r="B1493">
        <f>IF(ISNA(Sheet1!I1493),NA(),Sheet1!$O$5-(Sheet1!I1493/Sheet1!$O$6))</f>
        <v/>
      </c>
    </row>
    <row r="1494">
      <c r="A1494">
        <f>Sheet1!K1494</f>
        <v/>
      </c>
      <c r="B1494">
        <f>IF(ISNA(Sheet1!I1494),NA(),Sheet1!$O$5-(Sheet1!I1494/Sheet1!$O$6))</f>
        <v/>
      </c>
    </row>
    <row r="1495">
      <c r="A1495">
        <f>Sheet1!K1495</f>
        <v/>
      </c>
      <c r="B1495">
        <f>IF(ISNA(Sheet1!I1495),NA(),Sheet1!$O$5-(Sheet1!I1495/Sheet1!$O$6))</f>
        <v/>
      </c>
    </row>
    <row r="1496">
      <c r="A1496">
        <f>Sheet1!K1496</f>
        <v/>
      </c>
      <c r="B1496">
        <f>IF(ISNA(Sheet1!I1496),NA(),Sheet1!$O$5-(Sheet1!I1496/Sheet1!$O$6))</f>
        <v/>
      </c>
    </row>
    <row r="1497">
      <c r="A1497">
        <f>Sheet1!K1497</f>
        <v/>
      </c>
      <c r="B1497">
        <f>IF(ISNA(Sheet1!I1497),NA(),Sheet1!$O$5-(Sheet1!I1497/Sheet1!$O$6))</f>
        <v/>
      </c>
    </row>
    <row r="1498">
      <c r="A1498">
        <f>Sheet1!K1498</f>
        <v/>
      </c>
      <c r="B1498">
        <f>IF(ISNA(Sheet1!I1498),NA(),Sheet1!$O$5-(Sheet1!I1498/Sheet1!$O$6))</f>
        <v/>
      </c>
    </row>
    <row r="1499">
      <c r="A1499">
        <f>Sheet1!K1499</f>
        <v/>
      </c>
      <c r="B1499">
        <f>IF(ISNA(Sheet1!I1499),NA(),Sheet1!$O$5-(Sheet1!I1499/Sheet1!$O$6))</f>
        <v/>
      </c>
    </row>
    <row r="1500">
      <c r="A1500">
        <f>Sheet1!K1500</f>
        <v/>
      </c>
      <c r="B1500">
        <f>IF(ISNA(Sheet1!I1500),NA(),Sheet1!$O$5-(Sheet1!I1500/Sheet1!$O$6))</f>
        <v/>
      </c>
    </row>
    <row r="1501">
      <c r="A1501">
        <f>Sheet1!K1501</f>
        <v/>
      </c>
      <c r="B1501">
        <f>IF(ISNA(Sheet1!I1501),NA(),Sheet1!$O$5-(Sheet1!I1501/Sheet1!$O$6))</f>
        <v/>
      </c>
    </row>
    <row r="1502">
      <c r="A1502">
        <f>Sheet1!K1502</f>
        <v/>
      </c>
      <c r="B1502">
        <f>IF(ISNA(Sheet1!I1502),NA(),Sheet1!$O$5-(Sheet1!I1502/Sheet1!$O$6))</f>
        <v/>
      </c>
    </row>
    <row r="1503">
      <c r="A1503">
        <f>Sheet1!K1503</f>
        <v/>
      </c>
      <c r="B1503">
        <f>IF(ISNA(Sheet1!I1503),NA(),Sheet1!$O$5-(Sheet1!I1503/Sheet1!$O$6))</f>
        <v/>
      </c>
    </row>
    <row r="1504">
      <c r="A1504">
        <f>Sheet1!K1504</f>
        <v/>
      </c>
      <c r="B1504">
        <f>IF(ISNA(Sheet1!I1504),NA(),Sheet1!$O$5-(Sheet1!I1504/Sheet1!$O$6))</f>
        <v/>
      </c>
    </row>
    <row r="1505">
      <c r="A1505">
        <f>Sheet1!K1505</f>
        <v/>
      </c>
      <c r="B1505">
        <f>IF(ISNA(Sheet1!I1505),NA(),Sheet1!$O$5-(Sheet1!I1505/Sheet1!$O$6))</f>
        <v/>
      </c>
    </row>
    <row r="1506">
      <c r="A1506">
        <f>Sheet1!K1506</f>
        <v/>
      </c>
      <c r="B1506">
        <f>IF(ISNA(Sheet1!I1506),NA(),Sheet1!$O$5-(Sheet1!I1506/Sheet1!$O$6))</f>
        <v/>
      </c>
    </row>
    <row r="1507">
      <c r="A1507">
        <f>Sheet1!K1507</f>
        <v/>
      </c>
      <c r="B1507">
        <f>IF(ISNA(Sheet1!I1507),NA(),Sheet1!$O$5-(Sheet1!I1507/Sheet1!$O$6))</f>
        <v/>
      </c>
    </row>
    <row r="1508">
      <c r="A1508">
        <f>Sheet1!K1508</f>
        <v/>
      </c>
      <c r="B1508">
        <f>IF(ISNA(Sheet1!I1508),NA(),Sheet1!$O$5-(Sheet1!I1508/Sheet1!$O$6))</f>
        <v/>
      </c>
    </row>
    <row r="1509">
      <c r="A1509">
        <f>Sheet1!K1509</f>
        <v/>
      </c>
      <c r="B1509">
        <f>IF(ISNA(Sheet1!I1509),NA(),Sheet1!$O$5-(Sheet1!I1509/Sheet1!$O$6))</f>
        <v/>
      </c>
    </row>
    <row r="1510">
      <c r="A1510">
        <f>Sheet1!K1510</f>
        <v/>
      </c>
      <c r="B1510">
        <f>IF(ISNA(Sheet1!I1510),NA(),Sheet1!$O$5-(Sheet1!I1510/Sheet1!$O$6))</f>
        <v/>
      </c>
    </row>
    <row r="1511">
      <c r="A1511">
        <f>Sheet1!K1511</f>
        <v/>
      </c>
      <c r="B1511">
        <f>IF(ISNA(Sheet1!I1511),NA(),Sheet1!$O$5-(Sheet1!I1511/Sheet1!$O$6))</f>
        <v/>
      </c>
    </row>
    <row r="1512">
      <c r="A1512">
        <f>Sheet1!K1512</f>
        <v/>
      </c>
      <c r="B1512">
        <f>IF(ISNA(Sheet1!I1512),NA(),Sheet1!$O$5-(Sheet1!I1512/Sheet1!$O$6))</f>
        <v/>
      </c>
    </row>
    <row r="1513">
      <c r="A1513">
        <f>Sheet1!K1513</f>
        <v/>
      </c>
      <c r="B1513">
        <f>IF(ISNA(Sheet1!I1513),NA(),Sheet1!$O$5-(Sheet1!I1513/Sheet1!$O$6))</f>
        <v/>
      </c>
    </row>
    <row r="1514">
      <c r="A1514">
        <f>Sheet1!K1514</f>
        <v/>
      </c>
      <c r="B1514">
        <f>IF(ISNA(Sheet1!I1514),NA(),Sheet1!$O$5-(Sheet1!I1514/Sheet1!$O$6))</f>
        <v/>
      </c>
    </row>
    <row r="1515">
      <c r="A1515">
        <f>Sheet1!K1515</f>
        <v/>
      </c>
      <c r="B1515">
        <f>IF(ISNA(Sheet1!I1515),NA(),Sheet1!$O$5-(Sheet1!I1515/Sheet1!$O$6))</f>
        <v/>
      </c>
    </row>
    <row r="1516">
      <c r="A1516">
        <f>Sheet1!K1516</f>
        <v/>
      </c>
      <c r="B1516">
        <f>IF(ISNA(Sheet1!I1516),NA(),Sheet1!$O$5-(Sheet1!I1516/Sheet1!$O$6))</f>
        <v/>
      </c>
    </row>
    <row r="1517">
      <c r="A1517">
        <f>Sheet1!K1517</f>
        <v/>
      </c>
      <c r="B1517">
        <f>IF(ISNA(Sheet1!I1517),NA(),Sheet1!$O$5-(Sheet1!I1517/Sheet1!$O$6))</f>
        <v/>
      </c>
    </row>
    <row r="1518">
      <c r="A1518">
        <f>Sheet1!K1518</f>
        <v/>
      </c>
      <c r="B1518">
        <f>IF(ISNA(Sheet1!I1518),NA(),Sheet1!$O$5-(Sheet1!I1518/Sheet1!$O$6))</f>
        <v/>
      </c>
    </row>
    <row r="1519">
      <c r="A1519">
        <f>Sheet1!K1519</f>
        <v/>
      </c>
      <c r="B1519">
        <f>IF(ISNA(Sheet1!I1519),NA(),Sheet1!$O$5-(Sheet1!I1519/Sheet1!$O$6))</f>
        <v/>
      </c>
    </row>
    <row r="1520">
      <c r="A1520">
        <f>Sheet1!K1520</f>
        <v/>
      </c>
      <c r="B1520">
        <f>IF(ISNA(Sheet1!I1520),NA(),Sheet1!$O$5-(Sheet1!I1520/Sheet1!$O$6))</f>
        <v/>
      </c>
    </row>
    <row r="1521">
      <c r="A1521">
        <f>Sheet1!K1521</f>
        <v/>
      </c>
      <c r="B1521">
        <f>IF(ISNA(Sheet1!I1521),NA(),Sheet1!$O$5-(Sheet1!I1521/Sheet1!$O$6))</f>
        <v/>
      </c>
    </row>
    <row r="1522">
      <c r="A1522">
        <f>Sheet1!K1522</f>
        <v/>
      </c>
      <c r="B1522">
        <f>IF(ISNA(Sheet1!I1522),NA(),Sheet1!$O$5-(Sheet1!I1522/Sheet1!$O$6))</f>
        <v/>
      </c>
    </row>
    <row r="1523">
      <c r="A1523">
        <f>Sheet1!K1523</f>
        <v/>
      </c>
      <c r="B1523">
        <f>IF(ISNA(Sheet1!I1523),NA(),Sheet1!$O$5-(Sheet1!I1523/Sheet1!$O$6))</f>
        <v/>
      </c>
    </row>
    <row r="1524">
      <c r="A1524">
        <f>Sheet1!K1524</f>
        <v/>
      </c>
      <c r="B1524">
        <f>IF(ISNA(Sheet1!I1524),NA(),Sheet1!$O$5-(Sheet1!I1524/Sheet1!$O$6))</f>
        <v/>
      </c>
    </row>
    <row r="1525">
      <c r="A1525">
        <f>Sheet1!K1525</f>
        <v/>
      </c>
      <c r="B1525">
        <f>IF(ISNA(Sheet1!I1525),NA(),Sheet1!$O$5-(Sheet1!I1525/Sheet1!$O$6))</f>
        <v/>
      </c>
    </row>
    <row r="1526">
      <c r="A1526">
        <f>Sheet1!K1526</f>
        <v/>
      </c>
      <c r="B1526">
        <f>IF(ISNA(Sheet1!I1526),NA(),Sheet1!$O$5-(Sheet1!I1526/Sheet1!$O$6))</f>
        <v/>
      </c>
    </row>
    <row r="1527">
      <c r="A1527">
        <f>Sheet1!K1527</f>
        <v/>
      </c>
      <c r="B1527">
        <f>IF(ISNA(Sheet1!I1527),NA(),Sheet1!$O$5-(Sheet1!I1527/Sheet1!$O$6))</f>
        <v/>
      </c>
    </row>
    <row r="1528">
      <c r="A1528">
        <f>Sheet1!K1528</f>
        <v/>
      </c>
      <c r="B1528">
        <f>IF(ISNA(Sheet1!I1528),NA(),Sheet1!$O$5-(Sheet1!I1528/Sheet1!$O$6))</f>
        <v/>
      </c>
    </row>
    <row r="1529">
      <c r="A1529">
        <f>Sheet1!K1529</f>
        <v/>
      </c>
      <c r="B1529">
        <f>IF(ISNA(Sheet1!I1529),NA(),Sheet1!$O$5-(Sheet1!I1529/Sheet1!$O$6))</f>
        <v/>
      </c>
    </row>
    <row r="1530">
      <c r="A1530">
        <f>Sheet1!K1530</f>
        <v/>
      </c>
      <c r="B1530">
        <f>IF(ISNA(Sheet1!I1530),NA(),Sheet1!$O$5-(Sheet1!I1530/Sheet1!$O$6))</f>
        <v/>
      </c>
    </row>
    <row r="1531">
      <c r="A1531">
        <f>Sheet1!K1531</f>
        <v/>
      </c>
      <c r="B1531">
        <f>IF(ISNA(Sheet1!I1531),NA(),Sheet1!$O$5-(Sheet1!I1531/Sheet1!$O$6))</f>
        <v/>
      </c>
    </row>
    <row r="1532">
      <c r="A1532">
        <f>Sheet1!K1532</f>
        <v/>
      </c>
      <c r="B1532">
        <f>IF(ISNA(Sheet1!I1532),NA(),Sheet1!$O$5-(Sheet1!I1532/Sheet1!$O$6))</f>
        <v/>
      </c>
    </row>
    <row r="1533">
      <c r="A1533">
        <f>Sheet1!K1533</f>
        <v/>
      </c>
      <c r="B1533">
        <f>IF(ISNA(Sheet1!I1533),NA(),Sheet1!$O$5-(Sheet1!I1533/Sheet1!$O$6))</f>
        <v/>
      </c>
    </row>
    <row r="1534">
      <c r="A1534">
        <f>Sheet1!K1534</f>
        <v/>
      </c>
      <c r="B1534">
        <f>IF(ISNA(Sheet1!I1534),NA(),Sheet1!$O$5-(Sheet1!I1534/Sheet1!$O$6))</f>
        <v/>
      </c>
    </row>
    <row r="1535">
      <c r="A1535">
        <f>Sheet1!K1535</f>
        <v/>
      </c>
      <c r="B1535">
        <f>IF(ISNA(Sheet1!I1535),NA(),Sheet1!$O$5-(Sheet1!I1535/Sheet1!$O$6))</f>
        <v/>
      </c>
    </row>
    <row r="1536">
      <c r="A1536">
        <f>Sheet1!K1536</f>
        <v/>
      </c>
      <c r="B1536">
        <f>IF(ISNA(Sheet1!I1536),NA(),Sheet1!$O$5-(Sheet1!I1536/Sheet1!$O$6))</f>
        <v/>
      </c>
    </row>
    <row r="1537">
      <c r="A1537">
        <f>Sheet1!K1537</f>
        <v/>
      </c>
      <c r="B1537">
        <f>IF(ISNA(Sheet1!I1537),NA(),Sheet1!$O$5-(Sheet1!I1537/Sheet1!$O$6))</f>
        <v/>
      </c>
    </row>
    <row r="1538">
      <c r="A1538">
        <f>Sheet1!K1538</f>
        <v/>
      </c>
      <c r="B1538">
        <f>IF(ISNA(Sheet1!I1538),NA(),Sheet1!$O$5-(Sheet1!I1538/Sheet1!$O$6))</f>
        <v/>
      </c>
    </row>
    <row r="1539">
      <c r="A1539">
        <f>Sheet1!K1539</f>
        <v/>
      </c>
      <c r="B1539">
        <f>IF(ISNA(Sheet1!I1539),NA(),Sheet1!$O$5-(Sheet1!I1539/Sheet1!$O$6))</f>
        <v/>
      </c>
    </row>
    <row r="1540">
      <c r="A1540">
        <f>Sheet1!K1540</f>
        <v/>
      </c>
      <c r="B1540">
        <f>IF(ISNA(Sheet1!I1540),NA(),Sheet1!$O$5-(Sheet1!I1540/Sheet1!$O$6))</f>
        <v/>
      </c>
    </row>
    <row r="1541">
      <c r="A1541">
        <f>Sheet1!K1541</f>
        <v/>
      </c>
      <c r="B1541">
        <f>IF(ISNA(Sheet1!I1541),NA(),Sheet1!$O$5-(Sheet1!I1541/Sheet1!$O$6))</f>
        <v/>
      </c>
    </row>
    <row r="1542">
      <c r="A1542">
        <f>Sheet1!K1542</f>
        <v/>
      </c>
      <c r="B1542">
        <f>IF(ISNA(Sheet1!I1542),NA(),Sheet1!$O$5-(Sheet1!I1542/Sheet1!$O$6))</f>
        <v/>
      </c>
    </row>
    <row r="1543">
      <c r="A1543">
        <f>Sheet1!K1543</f>
        <v/>
      </c>
      <c r="B1543">
        <f>IF(ISNA(Sheet1!I1543),NA(),Sheet1!$O$5-(Sheet1!I1543/Sheet1!$O$6))</f>
        <v/>
      </c>
    </row>
    <row r="1544">
      <c r="A1544">
        <f>Sheet1!K1544</f>
        <v/>
      </c>
      <c r="B1544">
        <f>IF(ISNA(Sheet1!I1544),NA(),Sheet1!$O$5-(Sheet1!I1544/Sheet1!$O$6))</f>
        <v/>
      </c>
    </row>
    <row r="1545">
      <c r="A1545">
        <f>Sheet1!K1545</f>
        <v/>
      </c>
      <c r="B1545">
        <f>IF(ISNA(Sheet1!I1545),NA(),Sheet1!$O$5-(Sheet1!I1545/Sheet1!$O$6))</f>
        <v/>
      </c>
    </row>
    <row r="1546">
      <c r="A1546">
        <f>Sheet1!K1546</f>
        <v/>
      </c>
      <c r="B1546">
        <f>IF(ISNA(Sheet1!I1546),NA(),Sheet1!$O$5-(Sheet1!I1546/Sheet1!$O$6))</f>
        <v/>
      </c>
    </row>
    <row r="1547">
      <c r="A1547">
        <f>Sheet1!K1547</f>
        <v/>
      </c>
      <c r="B1547">
        <f>IF(ISNA(Sheet1!I1547),NA(),Sheet1!$O$5-(Sheet1!I1547/Sheet1!$O$6))</f>
        <v/>
      </c>
    </row>
    <row r="1548">
      <c r="A1548">
        <f>Sheet1!K1548</f>
        <v/>
      </c>
      <c r="B1548">
        <f>IF(ISNA(Sheet1!I1548),NA(),Sheet1!$O$5-(Sheet1!I1548/Sheet1!$O$6))</f>
        <v/>
      </c>
    </row>
    <row r="1549">
      <c r="A1549">
        <f>Sheet1!K1549</f>
        <v/>
      </c>
      <c r="B1549">
        <f>IF(ISNA(Sheet1!I1549),NA(),Sheet1!$O$5-(Sheet1!I1549/Sheet1!$O$6))</f>
        <v/>
      </c>
    </row>
    <row r="1550">
      <c r="A1550">
        <f>Sheet1!K1550</f>
        <v/>
      </c>
      <c r="B1550">
        <f>IF(ISNA(Sheet1!I1550),NA(),Sheet1!$O$5-(Sheet1!I1550/Sheet1!$O$6))</f>
        <v/>
      </c>
    </row>
    <row r="1551">
      <c r="A1551">
        <f>Sheet1!K1551</f>
        <v/>
      </c>
      <c r="B1551">
        <f>IF(ISNA(Sheet1!I1551),NA(),Sheet1!$O$5-(Sheet1!I1551/Sheet1!$O$6))</f>
        <v/>
      </c>
    </row>
    <row r="1552">
      <c r="A1552">
        <f>Sheet1!K1552</f>
        <v/>
      </c>
      <c r="B1552">
        <f>IF(ISNA(Sheet1!I1552),NA(),Sheet1!$O$5-(Sheet1!I1552/Sheet1!$O$6))</f>
        <v/>
      </c>
    </row>
    <row r="1553">
      <c r="A1553">
        <f>Sheet1!K1553</f>
        <v/>
      </c>
      <c r="B1553">
        <f>IF(ISNA(Sheet1!I1553),NA(),Sheet1!$O$5-(Sheet1!I1553/Sheet1!$O$6))</f>
        <v/>
      </c>
    </row>
    <row r="1554">
      <c r="A1554">
        <f>Sheet1!K1554</f>
        <v/>
      </c>
      <c r="B1554">
        <f>IF(ISNA(Sheet1!I1554),NA(),Sheet1!$O$5-(Sheet1!I1554/Sheet1!$O$6))</f>
        <v/>
      </c>
    </row>
    <row r="1555">
      <c r="A1555">
        <f>Sheet1!K1555</f>
        <v/>
      </c>
      <c r="B1555">
        <f>IF(ISNA(Sheet1!I1555),NA(),Sheet1!$O$5-(Sheet1!I1555/Sheet1!$O$6))</f>
        <v/>
      </c>
    </row>
    <row r="1556">
      <c r="A1556">
        <f>Sheet1!K1556</f>
        <v/>
      </c>
      <c r="B1556">
        <f>IF(ISNA(Sheet1!I1556),NA(),Sheet1!$O$5-(Sheet1!I1556/Sheet1!$O$6))</f>
        <v/>
      </c>
    </row>
    <row r="1557">
      <c r="A1557">
        <f>Sheet1!K1557</f>
        <v/>
      </c>
      <c r="B1557">
        <f>IF(ISNA(Sheet1!I1557),NA(),Sheet1!$O$5-(Sheet1!I1557/Sheet1!$O$6))</f>
        <v/>
      </c>
    </row>
    <row r="1558">
      <c r="A1558">
        <f>Sheet1!K1558</f>
        <v/>
      </c>
      <c r="B1558">
        <f>IF(ISNA(Sheet1!I1558),NA(),Sheet1!$O$5-(Sheet1!I1558/Sheet1!$O$6))</f>
        <v/>
      </c>
    </row>
    <row r="1559">
      <c r="A1559">
        <f>Sheet1!K1559</f>
        <v/>
      </c>
      <c r="B1559">
        <f>IF(ISNA(Sheet1!I1559),NA(),Sheet1!$O$5-(Sheet1!I1559/Sheet1!$O$6))</f>
        <v/>
      </c>
    </row>
    <row r="1560">
      <c r="A1560">
        <f>Sheet1!K1560</f>
        <v/>
      </c>
      <c r="B1560">
        <f>IF(ISNA(Sheet1!I1560),NA(),Sheet1!$O$5-(Sheet1!I1560/Sheet1!$O$6))</f>
        <v/>
      </c>
    </row>
    <row r="1561">
      <c r="A1561">
        <f>Sheet1!K1561</f>
        <v/>
      </c>
      <c r="B1561">
        <f>IF(ISNA(Sheet1!I1561),NA(),Sheet1!$O$5-(Sheet1!I1561/Sheet1!$O$6))</f>
        <v/>
      </c>
    </row>
    <row r="1562">
      <c r="A1562">
        <f>Sheet1!K1562</f>
        <v/>
      </c>
      <c r="B1562">
        <f>IF(ISNA(Sheet1!I1562),NA(),Sheet1!$O$5-(Sheet1!I1562/Sheet1!$O$6))</f>
        <v/>
      </c>
    </row>
    <row r="1563">
      <c r="A1563">
        <f>Sheet1!K1563</f>
        <v/>
      </c>
      <c r="B1563">
        <f>IF(ISNA(Sheet1!I1563),NA(),Sheet1!$O$5-(Sheet1!I1563/Sheet1!$O$6))</f>
        <v/>
      </c>
    </row>
    <row r="1564">
      <c r="A1564">
        <f>Sheet1!K1564</f>
        <v/>
      </c>
      <c r="B1564">
        <f>IF(ISNA(Sheet1!I1564),NA(),Sheet1!$O$5-(Sheet1!I1564/Sheet1!$O$6))</f>
        <v/>
      </c>
    </row>
    <row r="1565">
      <c r="A1565">
        <f>Sheet1!K1565</f>
        <v/>
      </c>
      <c r="B1565">
        <f>IF(ISNA(Sheet1!I1565),NA(),Sheet1!$O$5-(Sheet1!I1565/Sheet1!$O$6))</f>
        <v/>
      </c>
    </row>
    <row r="1566">
      <c r="A1566">
        <f>Sheet1!K1566</f>
        <v/>
      </c>
      <c r="B1566">
        <f>IF(ISNA(Sheet1!I1566),NA(),Sheet1!$O$5-(Sheet1!I1566/Sheet1!$O$6))</f>
        <v/>
      </c>
    </row>
    <row r="1567">
      <c r="A1567">
        <f>Sheet1!K1567</f>
        <v/>
      </c>
      <c r="B1567">
        <f>IF(ISNA(Sheet1!I1567),NA(),Sheet1!$O$5-(Sheet1!I1567/Sheet1!$O$6))</f>
        <v/>
      </c>
    </row>
    <row r="1568">
      <c r="A1568">
        <f>Sheet1!K1568</f>
        <v/>
      </c>
      <c r="B1568">
        <f>IF(ISNA(Sheet1!I1568),NA(),Sheet1!$O$5-(Sheet1!I1568/Sheet1!$O$6))</f>
        <v/>
      </c>
    </row>
    <row r="1569">
      <c r="A1569">
        <f>Sheet1!K1569</f>
        <v/>
      </c>
      <c r="B1569">
        <f>IF(ISNA(Sheet1!I1569),NA(),Sheet1!$O$5-(Sheet1!I1569/Sheet1!$O$6))</f>
        <v/>
      </c>
    </row>
    <row r="1570">
      <c r="A1570">
        <f>Sheet1!K1570</f>
        <v/>
      </c>
      <c r="B1570">
        <f>IF(ISNA(Sheet1!I1570),NA(),Sheet1!$O$5-(Sheet1!I1570/Sheet1!$O$6))</f>
        <v/>
      </c>
    </row>
    <row r="1571">
      <c r="A1571">
        <f>Sheet1!K1571</f>
        <v/>
      </c>
      <c r="B1571">
        <f>IF(ISNA(Sheet1!I1571),NA(),Sheet1!$O$5-(Sheet1!I1571/Sheet1!$O$6))</f>
        <v/>
      </c>
    </row>
    <row r="1572">
      <c r="A1572">
        <f>Sheet1!K1572</f>
        <v/>
      </c>
      <c r="B1572">
        <f>IF(ISNA(Sheet1!I1572),NA(),Sheet1!$O$5-(Sheet1!I1572/Sheet1!$O$6))</f>
        <v/>
      </c>
    </row>
    <row r="1573">
      <c r="A1573">
        <f>Sheet1!K1573</f>
        <v/>
      </c>
      <c r="B1573">
        <f>IF(ISNA(Sheet1!I1573),NA(),Sheet1!$O$5-(Sheet1!I1573/Sheet1!$O$6))</f>
        <v/>
      </c>
    </row>
    <row r="1574">
      <c r="A1574">
        <f>Sheet1!K1574</f>
        <v/>
      </c>
      <c r="B1574">
        <f>IF(ISNA(Sheet1!I1574),NA(),Sheet1!$O$5-(Sheet1!I1574/Sheet1!$O$6))</f>
        <v/>
      </c>
    </row>
    <row r="1575">
      <c r="A1575">
        <f>Sheet1!K1575</f>
        <v/>
      </c>
      <c r="B1575">
        <f>IF(ISNA(Sheet1!I1575),NA(),Sheet1!$O$5-(Sheet1!I1575/Sheet1!$O$6))</f>
        <v/>
      </c>
    </row>
    <row r="1576">
      <c r="A1576">
        <f>Sheet1!K1576</f>
        <v/>
      </c>
      <c r="B1576">
        <f>IF(ISNA(Sheet1!I1576),NA(),Sheet1!$O$5-(Sheet1!I1576/Sheet1!$O$6))</f>
        <v/>
      </c>
    </row>
    <row r="1577">
      <c r="A1577">
        <f>Sheet1!K1577</f>
        <v/>
      </c>
      <c r="B1577">
        <f>IF(ISNA(Sheet1!I1577),NA(),Sheet1!$O$5-(Sheet1!I1577/Sheet1!$O$6))</f>
        <v/>
      </c>
    </row>
    <row r="1578">
      <c r="A1578">
        <f>Sheet1!K1578</f>
        <v/>
      </c>
      <c r="B1578">
        <f>IF(ISNA(Sheet1!I1578),NA(),Sheet1!$O$5-(Sheet1!I1578/Sheet1!$O$6))</f>
        <v/>
      </c>
    </row>
    <row r="1579">
      <c r="A1579">
        <f>Sheet1!K1579</f>
        <v/>
      </c>
      <c r="B1579">
        <f>IF(ISNA(Sheet1!I1579),NA(),Sheet1!$O$5-(Sheet1!I1579/Sheet1!$O$6))</f>
        <v/>
      </c>
    </row>
    <row r="1580">
      <c r="A1580">
        <f>Sheet1!K1580</f>
        <v/>
      </c>
      <c r="B1580">
        <f>IF(ISNA(Sheet1!I1580),NA(),Sheet1!$O$5-(Sheet1!I1580/Sheet1!$O$6))</f>
        <v/>
      </c>
    </row>
    <row r="1581">
      <c r="A1581">
        <f>Sheet1!K1581</f>
        <v/>
      </c>
      <c r="B1581">
        <f>IF(ISNA(Sheet1!I1581),NA(),Sheet1!$O$5-(Sheet1!I1581/Sheet1!$O$6))</f>
        <v/>
      </c>
    </row>
    <row r="1582">
      <c r="A1582">
        <f>Sheet1!K1582</f>
        <v/>
      </c>
      <c r="B1582">
        <f>IF(ISNA(Sheet1!I1582),NA(),Sheet1!$O$5-(Sheet1!I1582/Sheet1!$O$6))</f>
        <v/>
      </c>
    </row>
    <row r="1583">
      <c r="A1583">
        <f>Sheet1!K1583</f>
        <v/>
      </c>
      <c r="B1583">
        <f>IF(ISNA(Sheet1!I1583),NA(),Sheet1!$O$5-(Sheet1!I1583/Sheet1!$O$6))</f>
        <v/>
      </c>
    </row>
    <row r="1584">
      <c r="A1584">
        <f>Sheet1!K1584</f>
        <v/>
      </c>
      <c r="B1584">
        <f>IF(ISNA(Sheet1!I1584),NA(),Sheet1!$O$5-(Sheet1!I1584/Sheet1!$O$6))</f>
        <v/>
      </c>
    </row>
    <row r="1585">
      <c r="A1585">
        <f>Sheet1!K1585</f>
        <v/>
      </c>
      <c r="B1585">
        <f>IF(ISNA(Sheet1!I1585),NA(),Sheet1!$O$5-(Sheet1!I1585/Sheet1!$O$6))</f>
        <v/>
      </c>
    </row>
    <row r="1586">
      <c r="A1586">
        <f>Sheet1!K1586</f>
        <v/>
      </c>
      <c r="B1586">
        <f>IF(ISNA(Sheet1!I1586),NA(),Sheet1!$O$5-(Sheet1!I1586/Sheet1!$O$6))</f>
        <v/>
      </c>
    </row>
    <row r="1587">
      <c r="A1587">
        <f>Sheet1!K1587</f>
        <v/>
      </c>
      <c r="B1587">
        <f>IF(ISNA(Sheet1!I1587),NA(),Sheet1!$O$5-(Sheet1!I1587/Sheet1!$O$6))</f>
        <v/>
      </c>
    </row>
    <row r="1588">
      <c r="A1588">
        <f>Sheet1!K1588</f>
        <v/>
      </c>
      <c r="B1588">
        <f>IF(ISNA(Sheet1!I1588),NA(),Sheet1!$O$5-(Sheet1!I1588/Sheet1!$O$6))</f>
        <v/>
      </c>
    </row>
    <row r="1589">
      <c r="A1589">
        <f>Sheet1!K1589</f>
        <v/>
      </c>
      <c r="B1589">
        <f>IF(ISNA(Sheet1!I1589),NA(),Sheet1!$O$5-(Sheet1!I1589/Sheet1!$O$6))</f>
        <v/>
      </c>
    </row>
    <row r="1590">
      <c r="A1590">
        <f>Sheet1!K1590</f>
        <v/>
      </c>
      <c r="B1590">
        <f>IF(ISNA(Sheet1!I1590),NA(),Sheet1!$O$5-(Sheet1!I1590/Sheet1!$O$6))</f>
        <v/>
      </c>
    </row>
    <row r="1591">
      <c r="A1591">
        <f>Sheet1!K1591</f>
        <v/>
      </c>
      <c r="B1591">
        <f>IF(ISNA(Sheet1!I1591),NA(),Sheet1!$O$5-(Sheet1!I1591/Sheet1!$O$6))</f>
        <v/>
      </c>
    </row>
    <row r="1592">
      <c r="A1592">
        <f>Sheet1!K1592</f>
        <v/>
      </c>
      <c r="B1592">
        <f>IF(ISNA(Sheet1!I1592),NA(),Sheet1!$O$5-(Sheet1!I1592/Sheet1!$O$6))</f>
        <v/>
      </c>
    </row>
    <row r="1593">
      <c r="A1593">
        <f>Sheet1!K1593</f>
        <v/>
      </c>
      <c r="B1593">
        <f>IF(ISNA(Sheet1!I1593),NA(),Sheet1!$O$5-(Sheet1!I1593/Sheet1!$O$6))</f>
        <v/>
      </c>
    </row>
    <row r="1594">
      <c r="A1594">
        <f>Sheet1!K1594</f>
        <v/>
      </c>
      <c r="B1594">
        <f>IF(ISNA(Sheet1!I1594),NA(),Sheet1!$O$5-(Sheet1!I1594/Sheet1!$O$6))</f>
        <v/>
      </c>
    </row>
    <row r="1595">
      <c r="A1595">
        <f>Sheet1!K1595</f>
        <v/>
      </c>
      <c r="B1595">
        <f>IF(ISNA(Sheet1!I1595),NA(),Sheet1!$O$5-(Sheet1!I1595/Sheet1!$O$6))</f>
        <v/>
      </c>
    </row>
    <row r="1596">
      <c r="A1596">
        <f>Sheet1!K1596</f>
        <v/>
      </c>
      <c r="B1596">
        <f>IF(ISNA(Sheet1!I1596),NA(),Sheet1!$O$5-(Sheet1!I1596/Sheet1!$O$6))</f>
        <v/>
      </c>
    </row>
    <row r="1597">
      <c r="A1597">
        <f>Sheet1!K1597</f>
        <v/>
      </c>
      <c r="B1597">
        <f>IF(ISNA(Sheet1!I1597),NA(),Sheet1!$O$5-(Sheet1!I1597/Sheet1!$O$6))</f>
        <v/>
      </c>
    </row>
    <row r="1598">
      <c r="A1598">
        <f>Sheet1!K1598</f>
        <v/>
      </c>
      <c r="B1598">
        <f>IF(ISNA(Sheet1!I1598),NA(),Sheet1!$O$5-(Sheet1!I1598/Sheet1!$O$6))</f>
        <v/>
      </c>
    </row>
    <row r="1599">
      <c r="A1599">
        <f>Sheet1!K1599</f>
        <v/>
      </c>
      <c r="B1599">
        <f>IF(ISNA(Sheet1!I1599),NA(),Sheet1!$O$5-(Sheet1!I1599/Sheet1!$O$6))</f>
        <v/>
      </c>
    </row>
    <row r="1600">
      <c r="A1600">
        <f>Sheet1!K1600</f>
        <v/>
      </c>
      <c r="B1600">
        <f>IF(ISNA(Sheet1!I1600),NA(),Sheet1!$O$5-(Sheet1!I1600/Sheet1!$O$6))</f>
        <v/>
      </c>
    </row>
    <row r="1601">
      <c r="A1601">
        <f>Sheet1!K1601</f>
        <v/>
      </c>
      <c r="B1601">
        <f>IF(ISNA(Sheet1!I1601),NA(),Sheet1!$O$5-(Sheet1!I1601/Sheet1!$O$6))</f>
        <v/>
      </c>
    </row>
    <row r="1602">
      <c r="A1602">
        <f>Sheet1!K1602</f>
        <v/>
      </c>
      <c r="B1602">
        <f>IF(ISNA(Sheet1!I1602),NA(),Sheet1!$O$5-(Sheet1!I1602/Sheet1!$O$6))</f>
        <v/>
      </c>
    </row>
    <row r="1603">
      <c r="A1603">
        <f>Sheet1!K1603</f>
        <v/>
      </c>
      <c r="B1603">
        <f>IF(ISNA(Sheet1!I1603),NA(),Sheet1!$O$5-(Sheet1!I1603/Sheet1!$O$6))</f>
        <v/>
      </c>
    </row>
    <row r="1604">
      <c r="A1604">
        <f>Sheet1!K1604</f>
        <v/>
      </c>
      <c r="B1604">
        <f>IF(ISNA(Sheet1!I1604),NA(),Sheet1!$O$5-(Sheet1!I1604/Sheet1!$O$6))</f>
        <v/>
      </c>
    </row>
    <row r="1605">
      <c r="A1605">
        <f>Sheet1!K1605</f>
        <v/>
      </c>
      <c r="B1605">
        <f>IF(ISNA(Sheet1!I1605),NA(),Sheet1!$O$5-(Sheet1!I1605/Sheet1!$O$6))</f>
        <v/>
      </c>
    </row>
    <row r="1606">
      <c r="A1606">
        <f>Sheet1!K1606</f>
        <v/>
      </c>
      <c r="B1606">
        <f>IF(ISNA(Sheet1!I1606),NA(),Sheet1!$O$5-(Sheet1!I1606/Sheet1!$O$6))</f>
        <v/>
      </c>
    </row>
    <row r="1607">
      <c r="A1607">
        <f>Sheet1!K1607</f>
        <v/>
      </c>
      <c r="B1607">
        <f>IF(ISNA(Sheet1!I1607),NA(),Sheet1!$O$5-(Sheet1!I1607/Sheet1!$O$6))</f>
        <v/>
      </c>
    </row>
    <row r="1608">
      <c r="A1608">
        <f>Sheet1!K1608</f>
        <v/>
      </c>
      <c r="B1608">
        <f>IF(ISNA(Sheet1!I1608),NA(),Sheet1!$O$5-(Sheet1!I1608/Sheet1!$O$6))</f>
        <v/>
      </c>
    </row>
    <row r="1609">
      <c r="A1609">
        <f>Sheet1!K1609</f>
        <v/>
      </c>
      <c r="B1609">
        <f>IF(ISNA(Sheet1!I1609),NA(),Sheet1!$O$5-(Sheet1!I1609/Sheet1!$O$6))</f>
        <v/>
      </c>
    </row>
    <row r="1610">
      <c r="A1610">
        <f>Sheet1!K1610</f>
        <v/>
      </c>
      <c r="B1610">
        <f>IF(ISNA(Sheet1!I1610),NA(),Sheet1!$O$5-(Sheet1!I1610/Sheet1!$O$6))</f>
        <v/>
      </c>
    </row>
    <row r="1611">
      <c r="A1611">
        <f>Sheet1!K1611</f>
        <v/>
      </c>
      <c r="B1611">
        <f>IF(ISNA(Sheet1!I1611),NA(),Sheet1!$O$5-(Sheet1!I1611/Sheet1!$O$6))</f>
        <v/>
      </c>
    </row>
    <row r="1612">
      <c r="A1612">
        <f>Sheet1!K1612</f>
        <v/>
      </c>
      <c r="B1612">
        <f>IF(ISNA(Sheet1!I1612),NA(),Sheet1!$O$5-(Sheet1!I1612/Sheet1!$O$6))</f>
        <v/>
      </c>
    </row>
    <row r="1613">
      <c r="A1613">
        <f>Sheet1!K1613</f>
        <v/>
      </c>
      <c r="B1613">
        <f>IF(ISNA(Sheet1!I1613),NA(),Sheet1!$O$5-(Sheet1!I1613/Sheet1!$O$6))</f>
        <v/>
      </c>
    </row>
    <row r="1614">
      <c r="A1614">
        <f>Sheet1!K1614</f>
        <v/>
      </c>
      <c r="B1614">
        <f>IF(ISNA(Sheet1!I1614),NA(),Sheet1!$O$5-(Sheet1!I1614/Sheet1!$O$6))</f>
        <v/>
      </c>
    </row>
    <row r="1615">
      <c r="A1615">
        <f>Sheet1!K1615</f>
        <v/>
      </c>
      <c r="B1615">
        <f>IF(ISNA(Sheet1!I1615),NA(),Sheet1!$O$5-(Sheet1!I1615/Sheet1!$O$6))</f>
        <v/>
      </c>
    </row>
    <row r="1616">
      <c r="A1616">
        <f>Sheet1!K1616</f>
        <v/>
      </c>
      <c r="B1616">
        <f>IF(ISNA(Sheet1!I1616),NA(),Sheet1!$O$5-(Sheet1!I1616/Sheet1!$O$6))</f>
        <v/>
      </c>
    </row>
    <row r="1617">
      <c r="A1617">
        <f>Sheet1!K1617</f>
        <v/>
      </c>
      <c r="B1617">
        <f>IF(ISNA(Sheet1!I1617),NA(),Sheet1!$O$5-(Sheet1!I1617/Sheet1!$O$6))</f>
        <v/>
      </c>
    </row>
    <row r="1618">
      <c r="A1618">
        <f>Sheet1!K1618</f>
        <v/>
      </c>
      <c r="B1618">
        <f>IF(ISNA(Sheet1!I1618),NA(),Sheet1!$O$5-(Sheet1!I1618/Sheet1!$O$6))</f>
        <v/>
      </c>
    </row>
    <row r="1619">
      <c r="A1619">
        <f>Sheet1!K1619</f>
        <v/>
      </c>
      <c r="B1619">
        <f>IF(ISNA(Sheet1!I1619),NA(),Sheet1!$O$5-(Sheet1!I1619/Sheet1!$O$6))</f>
        <v/>
      </c>
    </row>
    <row r="1620">
      <c r="A1620">
        <f>Sheet1!K1620</f>
        <v/>
      </c>
      <c r="B1620">
        <f>IF(ISNA(Sheet1!I1620),NA(),Sheet1!$O$5-(Sheet1!I1620/Sheet1!$O$6))</f>
        <v/>
      </c>
    </row>
    <row r="1621">
      <c r="A1621">
        <f>Sheet1!K1621</f>
        <v/>
      </c>
      <c r="B1621">
        <f>IF(ISNA(Sheet1!I1621),NA(),Sheet1!$O$5-(Sheet1!I1621/Sheet1!$O$6))</f>
        <v/>
      </c>
    </row>
    <row r="1622">
      <c r="A1622">
        <f>Sheet1!K1622</f>
        <v/>
      </c>
      <c r="B1622">
        <f>IF(ISNA(Sheet1!I1622),NA(),Sheet1!$O$5-(Sheet1!I1622/Sheet1!$O$6))</f>
        <v/>
      </c>
    </row>
    <row r="1623">
      <c r="A1623">
        <f>Sheet1!K1623</f>
        <v/>
      </c>
      <c r="B1623">
        <f>IF(ISNA(Sheet1!I1623),NA(),Sheet1!$O$5-(Sheet1!I1623/Sheet1!$O$6))</f>
        <v/>
      </c>
    </row>
    <row r="1624">
      <c r="A1624">
        <f>Sheet1!K1624</f>
        <v/>
      </c>
      <c r="B1624">
        <f>IF(ISNA(Sheet1!I1624),NA(),Sheet1!$O$5-(Sheet1!I1624/Sheet1!$O$6))</f>
        <v/>
      </c>
    </row>
    <row r="1625">
      <c r="A1625">
        <f>Sheet1!K1625</f>
        <v/>
      </c>
      <c r="B1625">
        <f>IF(ISNA(Sheet1!I1625),NA(),Sheet1!$O$5-(Sheet1!I1625/Sheet1!$O$6))</f>
        <v/>
      </c>
    </row>
    <row r="1626">
      <c r="A1626">
        <f>Sheet1!K1626</f>
        <v/>
      </c>
      <c r="B1626">
        <f>IF(ISNA(Sheet1!I1626),NA(),Sheet1!$O$5-(Sheet1!I1626/Sheet1!$O$6))</f>
        <v/>
      </c>
    </row>
    <row r="1627">
      <c r="A1627">
        <f>Sheet1!K1627</f>
        <v/>
      </c>
      <c r="B1627">
        <f>IF(ISNA(Sheet1!I1627),NA(),Sheet1!$O$5-(Sheet1!I1627/Sheet1!$O$6))</f>
        <v/>
      </c>
    </row>
    <row r="1628">
      <c r="A1628">
        <f>Sheet1!K1628</f>
        <v/>
      </c>
      <c r="B1628">
        <f>IF(ISNA(Sheet1!I1628),NA(),Sheet1!$O$5-(Sheet1!I1628/Sheet1!$O$6))</f>
        <v/>
      </c>
    </row>
    <row r="1629">
      <c r="A1629">
        <f>Sheet1!K1629</f>
        <v/>
      </c>
      <c r="B1629">
        <f>IF(ISNA(Sheet1!I1629),NA(),Sheet1!$O$5-(Sheet1!I1629/Sheet1!$O$6))</f>
        <v/>
      </c>
    </row>
    <row r="1630">
      <c r="A1630">
        <f>Sheet1!K1630</f>
        <v/>
      </c>
      <c r="B1630">
        <f>IF(ISNA(Sheet1!I1630),NA(),Sheet1!$O$5-(Sheet1!I1630/Sheet1!$O$6))</f>
        <v/>
      </c>
    </row>
    <row r="1631">
      <c r="A1631">
        <f>Sheet1!K1631</f>
        <v/>
      </c>
      <c r="B1631">
        <f>IF(ISNA(Sheet1!I1631),NA(),Sheet1!$O$5-(Sheet1!I1631/Sheet1!$O$6))</f>
        <v/>
      </c>
    </row>
    <row r="1632">
      <c r="A1632">
        <f>Sheet1!K1632</f>
        <v/>
      </c>
      <c r="B1632">
        <f>IF(ISNA(Sheet1!I1632),NA(),Sheet1!$O$5-(Sheet1!I1632/Sheet1!$O$6))</f>
        <v/>
      </c>
    </row>
    <row r="1633">
      <c r="A1633">
        <f>Sheet1!K1633</f>
        <v/>
      </c>
      <c r="B1633">
        <f>IF(ISNA(Sheet1!I1633),NA(),Sheet1!$O$5-(Sheet1!I1633/Sheet1!$O$6))</f>
        <v/>
      </c>
    </row>
    <row r="1634">
      <c r="A1634">
        <f>Sheet1!K1634</f>
        <v/>
      </c>
      <c r="B1634">
        <f>IF(ISNA(Sheet1!I1634),NA(),Sheet1!$O$5-(Sheet1!I1634/Sheet1!$O$6))</f>
        <v/>
      </c>
    </row>
    <row r="1635">
      <c r="A1635">
        <f>Sheet1!K1635</f>
        <v/>
      </c>
      <c r="B1635">
        <f>IF(ISNA(Sheet1!I1635),NA(),Sheet1!$O$5-(Sheet1!I1635/Sheet1!$O$6))</f>
        <v/>
      </c>
    </row>
    <row r="1636">
      <c r="A1636">
        <f>Sheet1!K1636</f>
        <v/>
      </c>
      <c r="B1636">
        <f>IF(ISNA(Sheet1!I1636),NA(),Sheet1!$O$5-(Sheet1!I1636/Sheet1!$O$6))</f>
        <v/>
      </c>
    </row>
    <row r="1637">
      <c r="A1637">
        <f>Sheet1!K1637</f>
        <v/>
      </c>
      <c r="B1637">
        <f>IF(ISNA(Sheet1!I1637),NA(),Sheet1!$O$5-(Sheet1!I1637/Sheet1!$O$6))</f>
        <v/>
      </c>
    </row>
    <row r="1638">
      <c r="A1638">
        <f>Sheet1!K1638</f>
        <v/>
      </c>
      <c r="B1638">
        <f>IF(ISNA(Sheet1!I1638),NA(),Sheet1!$O$5-(Sheet1!I1638/Sheet1!$O$6))</f>
        <v/>
      </c>
    </row>
    <row r="1639">
      <c r="A1639">
        <f>Sheet1!K1639</f>
        <v/>
      </c>
      <c r="B1639">
        <f>IF(ISNA(Sheet1!I1639),NA(),Sheet1!$O$5-(Sheet1!I1639/Sheet1!$O$6))</f>
        <v/>
      </c>
    </row>
    <row r="1640">
      <c r="A1640">
        <f>Sheet1!K1640</f>
        <v/>
      </c>
      <c r="B1640">
        <f>IF(ISNA(Sheet1!I1640),NA(),Sheet1!$O$5-(Sheet1!I1640/Sheet1!$O$6))</f>
        <v/>
      </c>
    </row>
    <row r="1641">
      <c r="A1641">
        <f>Sheet1!K1641</f>
        <v/>
      </c>
      <c r="B1641">
        <f>IF(ISNA(Sheet1!I1641),NA(),Sheet1!$O$5-(Sheet1!I1641/Sheet1!$O$6))</f>
        <v/>
      </c>
    </row>
    <row r="1642">
      <c r="A1642">
        <f>Sheet1!K1642</f>
        <v/>
      </c>
      <c r="B1642">
        <f>IF(ISNA(Sheet1!I1642),NA(),Sheet1!$O$5-(Sheet1!I1642/Sheet1!$O$6))</f>
        <v/>
      </c>
    </row>
    <row r="1643">
      <c r="A1643">
        <f>Sheet1!K1643</f>
        <v/>
      </c>
      <c r="B1643">
        <f>IF(ISNA(Sheet1!I1643),NA(),Sheet1!$O$5-(Sheet1!I1643/Sheet1!$O$6))</f>
        <v/>
      </c>
    </row>
    <row r="1644">
      <c r="A1644">
        <f>Sheet1!K1644</f>
        <v/>
      </c>
      <c r="B1644">
        <f>IF(ISNA(Sheet1!I1644),NA(),Sheet1!$O$5-(Sheet1!I1644/Sheet1!$O$6))</f>
        <v/>
      </c>
    </row>
    <row r="1645">
      <c r="A1645">
        <f>Sheet1!K1645</f>
        <v/>
      </c>
      <c r="B1645">
        <f>IF(ISNA(Sheet1!I1645),NA(),Sheet1!$O$5-(Sheet1!I1645/Sheet1!$O$6))</f>
        <v/>
      </c>
    </row>
    <row r="1646">
      <c r="A1646">
        <f>Sheet1!K1646</f>
        <v/>
      </c>
      <c r="B1646">
        <f>IF(ISNA(Sheet1!I1646),NA(),Sheet1!$O$5-(Sheet1!I1646/Sheet1!$O$6))</f>
        <v/>
      </c>
    </row>
    <row r="1647">
      <c r="A1647">
        <f>Sheet1!K1647</f>
        <v/>
      </c>
      <c r="B1647">
        <f>IF(ISNA(Sheet1!I1647),NA(),Sheet1!$O$5-(Sheet1!I1647/Sheet1!$O$6))</f>
        <v/>
      </c>
    </row>
    <row r="1648">
      <c r="A1648">
        <f>Sheet1!K1648</f>
        <v/>
      </c>
      <c r="B1648">
        <f>IF(ISNA(Sheet1!I1648),NA(),Sheet1!$O$5-(Sheet1!I1648/Sheet1!$O$6))</f>
        <v/>
      </c>
    </row>
    <row r="1649">
      <c r="A1649">
        <f>Sheet1!K1649</f>
        <v/>
      </c>
      <c r="B1649">
        <f>IF(ISNA(Sheet1!I1649),NA(),Sheet1!$O$5-(Sheet1!I1649/Sheet1!$O$6))</f>
        <v/>
      </c>
    </row>
    <row r="1650">
      <c r="A1650">
        <f>Sheet1!K1650</f>
        <v/>
      </c>
      <c r="B1650">
        <f>IF(ISNA(Sheet1!I1650),NA(),Sheet1!$O$5-(Sheet1!I1650/Sheet1!$O$6))</f>
        <v/>
      </c>
    </row>
    <row r="1651">
      <c r="A1651">
        <f>Sheet1!K1651</f>
        <v/>
      </c>
      <c r="B1651">
        <f>IF(ISNA(Sheet1!I1651),NA(),Sheet1!$O$5-(Sheet1!I1651/Sheet1!$O$6))</f>
        <v/>
      </c>
    </row>
    <row r="1652">
      <c r="A1652">
        <f>Sheet1!K1652</f>
        <v/>
      </c>
      <c r="B1652">
        <f>IF(ISNA(Sheet1!I1652),NA(),Sheet1!$O$5-(Sheet1!I1652/Sheet1!$O$6))</f>
        <v/>
      </c>
    </row>
    <row r="1653">
      <c r="A1653">
        <f>Sheet1!K1653</f>
        <v/>
      </c>
      <c r="B1653">
        <f>IF(ISNA(Sheet1!I1653),NA(),Sheet1!$O$5-(Sheet1!I1653/Sheet1!$O$6))</f>
        <v/>
      </c>
    </row>
    <row r="1654">
      <c r="A1654">
        <f>Sheet1!K1654</f>
        <v/>
      </c>
      <c r="B1654">
        <f>IF(ISNA(Sheet1!I1654),NA(),Sheet1!$O$5-(Sheet1!I1654/Sheet1!$O$6))</f>
        <v/>
      </c>
    </row>
    <row r="1655">
      <c r="A1655">
        <f>Sheet1!K1655</f>
        <v/>
      </c>
      <c r="B1655">
        <f>IF(ISNA(Sheet1!I1655),NA(),Sheet1!$O$5-(Sheet1!I1655/Sheet1!$O$6))</f>
        <v/>
      </c>
    </row>
    <row r="1656">
      <c r="A1656">
        <f>Sheet1!K1656</f>
        <v/>
      </c>
      <c r="B1656">
        <f>IF(ISNA(Sheet1!I1656),NA(),Sheet1!$O$5-(Sheet1!I1656/Sheet1!$O$6))</f>
        <v/>
      </c>
    </row>
    <row r="1657">
      <c r="A1657">
        <f>Sheet1!K1657</f>
        <v/>
      </c>
      <c r="B1657">
        <f>IF(ISNA(Sheet1!I1657),NA(),Sheet1!$O$5-(Sheet1!I1657/Sheet1!$O$6))</f>
        <v/>
      </c>
    </row>
    <row r="1658">
      <c r="A1658">
        <f>Sheet1!K1658</f>
        <v/>
      </c>
      <c r="B1658">
        <f>IF(ISNA(Sheet1!I1658),NA(),Sheet1!$O$5-(Sheet1!I1658/Sheet1!$O$6))</f>
        <v/>
      </c>
    </row>
    <row r="1659">
      <c r="A1659">
        <f>Sheet1!K1659</f>
        <v/>
      </c>
      <c r="B1659">
        <f>IF(ISNA(Sheet1!I1659),NA(),Sheet1!$O$5-(Sheet1!I1659/Sheet1!$O$6))</f>
        <v/>
      </c>
    </row>
    <row r="1660">
      <c r="A1660">
        <f>Sheet1!K1660</f>
        <v/>
      </c>
      <c r="B1660">
        <f>IF(ISNA(Sheet1!I1660),NA(),Sheet1!$O$5-(Sheet1!I1660/Sheet1!$O$6))</f>
        <v/>
      </c>
    </row>
    <row r="1661">
      <c r="A1661">
        <f>Sheet1!K1661</f>
        <v/>
      </c>
      <c r="B1661">
        <f>IF(ISNA(Sheet1!I1661),NA(),Sheet1!$O$5-(Sheet1!I1661/Sheet1!$O$6))</f>
        <v/>
      </c>
    </row>
    <row r="1662">
      <c r="A1662">
        <f>Sheet1!K1662</f>
        <v/>
      </c>
      <c r="B1662">
        <f>IF(ISNA(Sheet1!I1662),NA(),Sheet1!$O$5-(Sheet1!I1662/Sheet1!$O$6))</f>
        <v/>
      </c>
    </row>
    <row r="1663">
      <c r="A1663">
        <f>Sheet1!K1663</f>
        <v/>
      </c>
      <c r="B1663">
        <f>IF(ISNA(Sheet1!I1663),NA(),Sheet1!$O$5-(Sheet1!I1663/Sheet1!$O$6))</f>
        <v/>
      </c>
    </row>
    <row r="1664">
      <c r="A1664">
        <f>Sheet1!K1664</f>
        <v/>
      </c>
      <c r="B1664">
        <f>IF(ISNA(Sheet1!I1664),NA(),Sheet1!$O$5-(Sheet1!I1664/Sheet1!$O$6))</f>
        <v/>
      </c>
    </row>
    <row r="1665">
      <c r="A1665">
        <f>Sheet1!K1665</f>
        <v/>
      </c>
      <c r="B1665">
        <f>IF(ISNA(Sheet1!I1665),NA(),Sheet1!$O$5-(Sheet1!I1665/Sheet1!$O$6))</f>
        <v/>
      </c>
    </row>
    <row r="1666">
      <c r="A1666">
        <f>Sheet1!K1666</f>
        <v/>
      </c>
      <c r="B1666">
        <f>IF(ISNA(Sheet1!I1666),NA(),Sheet1!$O$5-(Sheet1!I1666/Sheet1!$O$6))</f>
        <v/>
      </c>
    </row>
    <row r="1667">
      <c r="A1667">
        <f>Sheet1!K1667</f>
        <v/>
      </c>
      <c r="B1667">
        <f>IF(ISNA(Sheet1!I1667),NA(),Sheet1!$O$5-(Sheet1!I1667/Sheet1!$O$6))</f>
        <v/>
      </c>
    </row>
    <row r="1668">
      <c r="A1668">
        <f>Sheet1!K1668</f>
        <v/>
      </c>
      <c r="B1668">
        <f>IF(ISNA(Sheet1!I1668),NA(),Sheet1!$O$5-(Sheet1!I1668/Sheet1!$O$6))</f>
        <v/>
      </c>
    </row>
    <row r="1669">
      <c r="A1669">
        <f>Sheet1!K1669</f>
        <v/>
      </c>
      <c r="B1669">
        <f>IF(ISNA(Sheet1!I1669),NA(),Sheet1!$O$5-(Sheet1!I1669/Sheet1!$O$6))</f>
        <v/>
      </c>
    </row>
    <row r="1670">
      <c r="A1670">
        <f>Sheet1!K1670</f>
        <v/>
      </c>
      <c r="B1670">
        <f>IF(ISNA(Sheet1!I1670),NA(),Sheet1!$O$5-(Sheet1!I1670/Sheet1!$O$6))</f>
        <v/>
      </c>
    </row>
    <row r="1671">
      <c r="A1671">
        <f>Sheet1!K1671</f>
        <v/>
      </c>
      <c r="B1671">
        <f>IF(ISNA(Sheet1!I1671),NA(),Sheet1!$O$5-(Sheet1!I1671/Sheet1!$O$6))</f>
        <v/>
      </c>
    </row>
    <row r="1672">
      <c r="A1672">
        <f>Sheet1!K1672</f>
        <v/>
      </c>
      <c r="B1672">
        <f>IF(ISNA(Sheet1!I1672),NA(),Sheet1!$O$5-(Sheet1!I1672/Sheet1!$O$6))</f>
        <v/>
      </c>
    </row>
    <row r="1673">
      <c r="A1673">
        <f>Sheet1!K1673</f>
        <v/>
      </c>
      <c r="B1673">
        <f>IF(ISNA(Sheet1!I1673),NA(),Sheet1!$O$5-(Sheet1!I1673/Sheet1!$O$6))</f>
        <v/>
      </c>
    </row>
    <row r="1674">
      <c r="A1674">
        <f>Sheet1!K1674</f>
        <v/>
      </c>
      <c r="B1674">
        <f>IF(ISNA(Sheet1!I1674),NA(),Sheet1!$O$5-(Sheet1!I1674/Sheet1!$O$6))</f>
        <v/>
      </c>
    </row>
    <row r="1675">
      <c r="A1675">
        <f>Sheet1!K1675</f>
        <v/>
      </c>
      <c r="B1675">
        <f>IF(ISNA(Sheet1!I1675),NA(),Sheet1!$O$5-(Sheet1!I1675/Sheet1!$O$6))</f>
        <v/>
      </c>
    </row>
    <row r="1676">
      <c r="A1676">
        <f>Sheet1!K1676</f>
        <v/>
      </c>
      <c r="B1676">
        <f>IF(ISNA(Sheet1!I1676),NA(),Sheet1!$O$5-(Sheet1!I1676/Sheet1!$O$6))</f>
        <v/>
      </c>
    </row>
    <row r="1677">
      <c r="A1677">
        <f>Sheet1!K1677</f>
        <v/>
      </c>
      <c r="B1677">
        <f>IF(ISNA(Sheet1!I1677),NA(),Sheet1!$O$5-(Sheet1!I1677/Sheet1!$O$6))</f>
        <v/>
      </c>
    </row>
    <row r="1678">
      <c r="A1678">
        <f>Sheet1!K1678</f>
        <v/>
      </c>
      <c r="B1678">
        <f>IF(ISNA(Sheet1!I1678),NA(),Sheet1!$O$5-(Sheet1!I1678/Sheet1!$O$6))</f>
        <v/>
      </c>
    </row>
    <row r="1679">
      <c r="A1679">
        <f>Sheet1!K1679</f>
        <v/>
      </c>
      <c r="B1679">
        <f>IF(ISNA(Sheet1!I1679),NA(),Sheet1!$O$5-(Sheet1!I1679/Sheet1!$O$6))</f>
        <v/>
      </c>
    </row>
    <row r="1680">
      <c r="A1680">
        <f>Sheet1!K1680</f>
        <v/>
      </c>
      <c r="B1680">
        <f>IF(ISNA(Sheet1!I1680),NA(),Sheet1!$O$5-(Sheet1!I1680/Sheet1!$O$6))</f>
        <v/>
      </c>
    </row>
    <row r="1681">
      <c r="A1681">
        <f>Sheet1!K1681</f>
        <v/>
      </c>
      <c r="B1681">
        <f>IF(ISNA(Sheet1!I1681),NA(),Sheet1!$O$5-(Sheet1!I1681/Sheet1!$O$6))</f>
        <v/>
      </c>
    </row>
    <row r="1682">
      <c r="A1682">
        <f>Sheet1!K1682</f>
        <v/>
      </c>
      <c r="B1682">
        <f>IF(ISNA(Sheet1!I1682),NA(),Sheet1!$O$5-(Sheet1!I1682/Sheet1!$O$6))</f>
        <v/>
      </c>
    </row>
    <row r="1683">
      <c r="A1683">
        <f>Sheet1!K1683</f>
        <v/>
      </c>
      <c r="B1683">
        <f>IF(ISNA(Sheet1!I1683),NA(),Sheet1!$O$5-(Sheet1!I1683/Sheet1!$O$6))</f>
        <v/>
      </c>
    </row>
    <row r="1684">
      <c r="A1684">
        <f>Sheet1!K1684</f>
        <v/>
      </c>
      <c r="B1684">
        <f>IF(ISNA(Sheet1!I1684),NA(),Sheet1!$O$5-(Sheet1!I1684/Sheet1!$O$6))</f>
        <v/>
      </c>
    </row>
    <row r="1685">
      <c r="A1685">
        <f>Sheet1!K1685</f>
        <v/>
      </c>
      <c r="B1685">
        <f>IF(ISNA(Sheet1!I1685),NA(),Sheet1!$O$5-(Sheet1!I1685/Sheet1!$O$6))</f>
        <v/>
      </c>
    </row>
    <row r="1686">
      <c r="A1686">
        <f>Sheet1!K1686</f>
        <v/>
      </c>
      <c r="B1686">
        <f>IF(ISNA(Sheet1!I1686),NA(),Sheet1!$O$5-(Sheet1!I1686/Sheet1!$O$6))</f>
        <v/>
      </c>
    </row>
    <row r="1687">
      <c r="A1687">
        <f>Sheet1!K1687</f>
        <v/>
      </c>
      <c r="B1687">
        <f>IF(ISNA(Sheet1!I1687),NA(),Sheet1!$O$5-(Sheet1!I1687/Sheet1!$O$6))</f>
        <v/>
      </c>
    </row>
    <row r="1688">
      <c r="A1688">
        <f>Sheet1!K1688</f>
        <v/>
      </c>
      <c r="B1688">
        <f>IF(ISNA(Sheet1!I1688),NA(),Sheet1!$O$5-(Sheet1!I1688/Sheet1!$O$6))</f>
        <v/>
      </c>
    </row>
    <row r="1689">
      <c r="A1689">
        <f>Sheet1!K1689</f>
        <v/>
      </c>
      <c r="B1689">
        <f>IF(ISNA(Sheet1!I1689),NA(),Sheet1!$O$5-(Sheet1!I1689/Sheet1!$O$6))</f>
        <v/>
      </c>
    </row>
    <row r="1690">
      <c r="A1690">
        <f>Sheet1!K1690</f>
        <v/>
      </c>
      <c r="B1690">
        <f>IF(ISNA(Sheet1!I1690),NA(),Sheet1!$O$5-(Sheet1!I1690/Sheet1!$O$6))</f>
        <v/>
      </c>
    </row>
    <row r="1691">
      <c r="A1691">
        <f>Sheet1!K1691</f>
        <v/>
      </c>
      <c r="B1691">
        <f>IF(ISNA(Sheet1!I1691),NA(),Sheet1!$O$5-(Sheet1!I1691/Sheet1!$O$6))</f>
        <v/>
      </c>
    </row>
    <row r="1692">
      <c r="A1692">
        <f>Sheet1!K1692</f>
        <v/>
      </c>
      <c r="B1692">
        <f>IF(ISNA(Sheet1!I1692),NA(),Sheet1!$O$5-(Sheet1!I1692/Sheet1!$O$6))</f>
        <v/>
      </c>
    </row>
    <row r="1693">
      <c r="A1693">
        <f>Sheet1!K1693</f>
        <v/>
      </c>
      <c r="B1693">
        <f>IF(ISNA(Sheet1!I1693),NA(),Sheet1!$O$5-(Sheet1!I1693/Sheet1!$O$6))</f>
        <v/>
      </c>
    </row>
    <row r="1694">
      <c r="A1694">
        <f>Sheet1!K1694</f>
        <v/>
      </c>
      <c r="B1694">
        <f>IF(ISNA(Sheet1!I1694),NA(),Sheet1!$O$5-(Sheet1!I1694/Sheet1!$O$6))</f>
        <v/>
      </c>
    </row>
    <row r="1695">
      <c r="A1695">
        <f>Sheet1!K1695</f>
        <v/>
      </c>
      <c r="B1695">
        <f>IF(ISNA(Sheet1!I1695),NA(),Sheet1!$O$5-(Sheet1!I1695/Sheet1!$O$6))</f>
        <v/>
      </c>
    </row>
    <row r="1696">
      <c r="A1696">
        <f>Sheet1!K1696</f>
        <v/>
      </c>
      <c r="B1696">
        <f>IF(ISNA(Sheet1!I1696),NA(),Sheet1!$O$5-(Sheet1!I1696/Sheet1!$O$6))</f>
        <v/>
      </c>
    </row>
    <row r="1697">
      <c r="A1697">
        <f>Sheet1!K1697</f>
        <v/>
      </c>
      <c r="B1697">
        <f>IF(ISNA(Sheet1!I1697),NA(),Sheet1!$O$5-(Sheet1!I1697/Sheet1!$O$6))</f>
        <v/>
      </c>
    </row>
    <row r="1698">
      <c r="A1698">
        <f>Sheet1!K1698</f>
        <v/>
      </c>
      <c r="B1698">
        <f>IF(ISNA(Sheet1!I1698),NA(),Sheet1!$O$5-(Sheet1!I1698/Sheet1!$O$6))</f>
        <v/>
      </c>
    </row>
    <row r="1699">
      <c r="A1699">
        <f>Sheet1!K1699</f>
        <v/>
      </c>
      <c r="B1699">
        <f>IF(ISNA(Sheet1!I1699),NA(),Sheet1!$O$5-(Sheet1!I1699/Sheet1!$O$6))</f>
        <v/>
      </c>
    </row>
    <row r="1700">
      <c r="A1700">
        <f>Sheet1!K1700</f>
        <v/>
      </c>
      <c r="B1700">
        <f>IF(ISNA(Sheet1!I1700),NA(),Sheet1!$O$5-(Sheet1!I1700/Sheet1!$O$6))</f>
        <v/>
      </c>
    </row>
    <row r="1701">
      <c r="A1701">
        <f>Sheet1!K1701</f>
        <v/>
      </c>
      <c r="B1701">
        <f>IF(ISNA(Sheet1!I1701),NA(),Sheet1!$O$5-(Sheet1!I1701/Sheet1!$O$6))</f>
        <v/>
      </c>
    </row>
    <row r="1702">
      <c r="A1702">
        <f>Sheet1!K1702</f>
        <v/>
      </c>
      <c r="B1702">
        <f>IF(ISNA(Sheet1!I1702),NA(),Sheet1!$O$5-(Sheet1!I1702/Sheet1!$O$6))</f>
        <v/>
      </c>
    </row>
    <row r="1703">
      <c r="A1703">
        <f>Sheet1!K1703</f>
        <v/>
      </c>
      <c r="B1703">
        <f>IF(ISNA(Sheet1!I1703),NA(),Sheet1!$O$5-(Sheet1!I1703/Sheet1!$O$6))</f>
        <v/>
      </c>
    </row>
    <row r="1704">
      <c r="A1704">
        <f>Sheet1!K1704</f>
        <v/>
      </c>
      <c r="B1704">
        <f>IF(ISNA(Sheet1!I1704),NA(),Sheet1!$O$5-(Sheet1!I1704/Sheet1!$O$6))</f>
        <v/>
      </c>
    </row>
    <row r="1705">
      <c r="A1705">
        <f>Sheet1!K1705</f>
        <v/>
      </c>
      <c r="B1705">
        <f>IF(ISNA(Sheet1!I1705),NA(),Sheet1!$O$5-(Sheet1!I1705/Sheet1!$O$6))</f>
        <v/>
      </c>
    </row>
    <row r="1706">
      <c r="A1706">
        <f>Sheet1!K1706</f>
        <v/>
      </c>
      <c r="B1706">
        <f>IF(ISNA(Sheet1!I1706),NA(),Sheet1!$O$5-(Sheet1!I1706/Sheet1!$O$6))</f>
        <v/>
      </c>
    </row>
    <row r="1707">
      <c r="A1707">
        <f>Sheet1!K1707</f>
        <v/>
      </c>
      <c r="B1707">
        <f>IF(ISNA(Sheet1!I1707),NA(),Sheet1!$O$5-(Sheet1!I1707/Sheet1!$O$6))</f>
        <v/>
      </c>
    </row>
    <row r="1708">
      <c r="A1708">
        <f>Sheet1!K1708</f>
        <v/>
      </c>
      <c r="B1708">
        <f>IF(ISNA(Sheet1!I1708),NA(),Sheet1!$O$5-(Sheet1!I1708/Sheet1!$O$6))</f>
        <v/>
      </c>
    </row>
    <row r="1709">
      <c r="A1709">
        <f>Sheet1!K1709</f>
        <v/>
      </c>
      <c r="B1709">
        <f>IF(ISNA(Sheet1!I1709),NA(),Sheet1!$O$5-(Sheet1!I1709/Sheet1!$O$6))</f>
        <v/>
      </c>
    </row>
    <row r="1710">
      <c r="A1710">
        <f>Sheet1!K1710</f>
        <v/>
      </c>
      <c r="B1710">
        <f>IF(ISNA(Sheet1!I1710),NA(),Sheet1!$O$5-(Sheet1!I1710/Sheet1!$O$6))</f>
        <v/>
      </c>
    </row>
    <row r="1711">
      <c r="A1711">
        <f>Sheet1!K1711</f>
        <v/>
      </c>
      <c r="B1711">
        <f>IF(ISNA(Sheet1!I1711),NA(),Sheet1!$O$5-(Sheet1!I1711/Sheet1!$O$6))</f>
        <v/>
      </c>
    </row>
    <row r="1712">
      <c r="A1712">
        <f>Sheet1!K1712</f>
        <v/>
      </c>
      <c r="B1712">
        <f>IF(ISNA(Sheet1!I1712),NA(),Sheet1!$O$5-(Sheet1!I1712/Sheet1!$O$6))</f>
        <v/>
      </c>
    </row>
    <row r="1713">
      <c r="A1713">
        <f>Sheet1!K1713</f>
        <v/>
      </c>
      <c r="B1713">
        <f>IF(ISNA(Sheet1!I1713),NA(),Sheet1!$O$5-(Sheet1!I1713/Sheet1!$O$6))</f>
        <v/>
      </c>
    </row>
    <row r="1714">
      <c r="A1714">
        <f>Sheet1!K1714</f>
        <v/>
      </c>
      <c r="B1714">
        <f>IF(ISNA(Sheet1!I1714),NA(),Sheet1!$O$5-(Sheet1!I1714/Sheet1!$O$6))</f>
        <v/>
      </c>
    </row>
    <row r="1715">
      <c r="A1715">
        <f>Sheet1!K1715</f>
        <v/>
      </c>
      <c r="B1715">
        <f>IF(ISNA(Sheet1!I1715),NA(),Sheet1!$O$5-(Sheet1!I1715/Sheet1!$O$6))</f>
        <v/>
      </c>
    </row>
    <row r="1716">
      <c r="A1716">
        <f>Sheet1!K1716</f>
        <v/>
      </c>
      <c r="B1716">
        <f>IF(ISNA(Sheet1!I1716),NA(),Sheet1!$O$5-(Sheet1!I1716/Sheet1!$O$6))</f>
        <v/>
      </c>
    </row>
    <row r="1717">
      <c r="A1717">
        <f>Sheet1!K1717</f>
        <v/>
      </c>
      <c r="B1717">
        <f>IF(ISNA(Sheet1!I1717),NA(),Sheet1!$O$5-(Sheet1!I1717/Sheet1!$O$6))</f>
        <v/>
      </c>
    </row>
    <row r="1718">
      <c r="A1718">
        <f>Sheet1!K1718</f>
        <v/>
      </c>
      <c r="B1718">
        <f>IF(ISNA(Sheet1!I1718),NA(),Sheet1!$O$5-(Sheet1!I1718/Sheet1!$O$6))</f>
        <v/>
      </c>
    </row>
    <row r="1719">
      <c r="A1719">
        <f>Sheet1!K1719</f>
        <v/>
      </c>
      <c r="B1719">
        <f>IF(ISNA(Sheet1!I1719),NA(),Sheet1!$O$5-(Sheet1!I1719/Sheet1!$O$6))</f>
        <v/>
      </c>
    </row>
    <row r="1720">
      <c r="A1720">
        <f>Sheet1!K1720</f>
        <v/>
      </c>
      <c r="B1720">
        <f>IF(ISNA(Sheet1!I1720),NA(),Sheet1!$O$5-(Sheet1!I1720/Sheet1!$O$6))</f>
        <v/>
      </c>
    </row>
    <row r="1721">
      <c r="A1721">
        <f>Sheet1!K1721</f>
        <v/>
      </c>
      <c r="B1721">
        <f>IF(ISNA(Sheet1!I1721),NA(),Sheet1!$O$5-(Sheet1!I1721/Sheet1!$O$6))</f>
        <v/>
      </c>
    </row>
    <row r="1722">
      <c r="A1722">
        <f>Sheet1!K1722</f>
        <v/>
      </c>
      <c r="B1722">
        <f>IF(ISNA(Sheet1!I1722),NA(),Sheet1!$O$5-(Sheet1!I1722/Sheet1!$O$6))</f>
        <v/>
      </c>
    </row>
    <row r="1723">
      <c r="A1723">
        <f>Sheet1!K1723</f>
        <v/>
      </c>
      <c r="B1723">
        <f>IF(ISNA(Sheet1!I1723),NA(),Sheet1!$O$5-(Sheet1!I1723/Sheet1!$O$6))</f>
        <v/>
      </c>
    </row>
    <row r="1724">
      <c r="A1724">
        <f>Sheet1!K1724</f>
        <v/>
      </c>
      <c r="B1724">
        <f>IF(ISNA(Sheet1!I1724),NA(),Sheet1!$O$5-(Sheet1!I1724/Sheet1!$O$6))</f>
        <v/>
      </c>
    </row>
    <row r="1725">
      <c r="A1725">
        <f>Sheet1!K1725</f>
        <v/>
      </c>
      <c r="B1725">
        <f>IF(ISNA(Sheet1!I1725),NA(),Sheet1!$O$5-(Sheet1!I1725/Sheet1!$O$6))</f>
        <v/>
      </c>
    </row>
    <row r="1726">
      <c r="A1726">
        <f>Sheet1!K1726</f>
        <v/>
      </c>
      <c r="B1726">
        <f>IF(ISNA(Sheet1!I1726),NA(),Sheet1!$O$5-(Sheet1!I1726/Sheet1!$O$6))</f>
        <v/>
      </c>
    </row>
    <row r="1727">
      <c r="A1727">
        <f>Sheet1!K1727</f>
        <v/>
      </c>
      <c r="B1727">
        <f>IF(ISNA(Sheet1!I1727),NA(),Sheet1!$O$5-(Sheet1!I1727/Sheet1!$O$6))</f>
        <v/>
      </c>
    </row>
    <row r="1728">
      <c r="A1728">
        <f>Sheet1!K1728</f>
        <v/>
      </c>
      <c r="B1728">
        <f>IF(ISNA(Sheet1!I1728),NA(),Sheet1!$O$5-(Sheet1!I1728/Sheet1!$O$6))</f>
        <v/>
      </c>
    </row>
    <row r="1729">
      <c r="A1729">
        <f>Sheet1!K1729</f>
        <v/>
      </c>
      <c r="B1729">
        <f>IF(ISNA(Sheet1!I1729),NA(),Sheet1!$O$5-(Sheet1!I1729/Sheet1!$O$6))</f>
        <v/>
      </c>
    </row>
    <row r="1730">
      <c r="A1730">
        <f>Sheet1!K1730</f>
        <v/>
      </c>
      <c r="B1730">
        <f>IF(ISNA(Sheet1!I1730),NA(),Sheet1!$O$5-(Sheet1!I1730/Sheet1!$O$6))</f>
        <v/>
      </c>
    </row>
    <row r="1731">
      <c r="A1731">
        <f>Sheet1!K1731</f>
        <v/>
      </c>
      <c r="B1731">
        <f>IF(ISNA(Sheet1!I1731),NA(),Sheet1!$O$5-(Sheet1!I1731/Sheet1!$O$6))</f>
        <v/>
      </c>
    </row>
    <row r="1732">
      <c r="A1732">
        <f>Sheet1!K1732</f>
        <v/>
      </c>
      <c r="B1732">
        <f>IF(ISNA(Sheet1!I1732),NA(),Sheet1!$O$5-(Sheet1!I1732/Sheet1!$O$6))</f>
        <v/>
      </c>
    </row>
    <row r="1733">
      <c r="A1733">
        <f>Sheet1!K1733</f>
        <v/>
      </c>
      <c r="B1733">
        <f>IF(ISNA(Sheet1!I1733),NA(),Sheet1!$O$5-(Sheet1!I1733/Sheet1!$O$6))</f>
        <v/>
      </c>
    </row>
    <row r="1734">
      <c r="A1734">
        <f>Sheet1!K1734</f>
        <v/>
      </c>
      <c r="B1734">
        <f>IF(ISNA(Sheet1!I1734),NA(),Sheet1!$O$5-(Sheet1!I1734/Sheet1!$O$6))</f>
        <v/>
      </c>
    </row>
    <row r="1735">
      <c r="A1735">
        <f>Sheet1!K1735</f>
        <v/>
      </c>
      <c r="B1735">
        <f>IF(ISNA(Sheet1!I1735),NA(),Sheet1!$O$5-(Sheet1!I1735/Sheet1!$O$6))</f>
        <v/>
      </c>
    </row>
    <row r="1736">
      <c r="A1736">
        <f>Sheet1!K1736</f>
        <v/>
      </c>
      <c r="B1736">
        <f>IF(ISNA(Sheet1!I1736),NA(),Sheet1!$O$5-(Sheet1!I1736/Sheet1!$O$6))</f>
        <v/>
      </c>
    </row>
    <row r="1737">
      <c r="A1737">
        <f>Sheet1!K1737</f>
        <v/>
      </c>
      <c r="B1737">
        <f>IF(ISNA(Sheet1!I1737),NA(),Sheet1!$O$5-(Sheet1!I1737/Sheet1!$O$6))</f>
        <v/>
      </c>
    </row>
    <row r="1738">
      <c r="A1738">
        <f>Sheet1!K1738</f>
        <v/>
      </c>
      <c r="B1738">
        <f>IF(ISNA(Sheet1!I1738),NA(),Sheet1!$O$5-(Sheet1!I1738/Sheet1!$O$6))</f>
        <v/>
      </c>
    </row>
    <row r="1739">
      <c r="A1739">
        <f>Sheet1!K1739</f>
        <v/>
      </c>
      <c r="B1739">
        <f>IF(ISNA(Sheet1!I1739),NA(),Sheet1!$O$5-(Sheet1!I1739/Sheet1!$O$6))</f>
        <v/>
      </c>
    </row>
    <row r="1740">
      <c r="A1740">
        <f>Sheet1!K1740</f>
        <v/>
      </c>
      <c r="B1740">
        <f>IF(ISNA(Sheet1!I1740),NA(),Sheet1!$O$5-(Sheet1!I1740/Sheet1!$O$6))</f>
        <v/>
      </c>
    </row>
    <row r="1741">
      <c r="A1741">
        <f>Sheet1!K1741</f>
        <v/>
      </c>
      <c r="B1741">
        <f>IF(ISNA(Sheet1!I1741),NA(),Sheet1!$O$5-(Sheet1!I1741/Sheet1!$O$6))</f>
        <v/>
      </c>
    </row>
    <row r="1742">
      <c r="A1742">
        <f>Sheet1!K1742</f>
        <v/>
      </c>
      <c r="B1742">
        <f>IF(ISNA(Sheet1!I1742),NA(),Sheet1!$O$5-(Sheet1!I1742/Sheet1!$O$6))</f>
        <v/>
      </c>
    </row>
    <row r="1743">
      <c r="A1743">
        <f>Sheet1!K1743</f>
        <v/>
      </c>
      <c r="B1743">
        <f>IF(ISNA(Sheet1!I1743),NA(),Sheet1!$O$5-(Sheet1!I1743/Sheet1!$O$6))</f>
        <v/>
      </c>
    </row>
    <row r="1744">
      <c r="A1744">
        <f>Sheet1!K1744</f>
        <v/>
      </c>
      <c r="B1744">
        <f>IF(ISNA(Sheet1!I1744),NA(),Sheet1!$O$5-(Sheet1!I1744/Sheet1!$O$6))</f>
        <v/>
      </c>
    </row>
    <row r="1745">
      <c r="A1745">
        <f>Sheet1!K1745</f>
        <v/>
      </c>
      <c r="B1745">
        <f>IF(ISNA(Sheet1!I1745),NA(),Sheet1!$O$5-(Sheet1!I1745/Sheet1!$O$6))</f>
        <v/>
      </c>
    </row>
    <row r="1746">
      <c r="A1746">
        <f>Sheet1!K1746</f>
        <v/>
      </c>
      <c r="B1746">
        <f>IF(ISNA(Sheet1!I1746),NA(),Sheet1!$O$5-(Sheet1!I1746/Sheet1!$O$6))</f>
        <v/>
      </c>
    </row>
    <row r="1747">
      <c r="A1747">
        <f>Sheet1!K1747</f>
        <v/>
      </c>
      <c r="B1747">
        <f>IF(ISNA(Sheet1!I1747),NA(),Sheet1!$O$5-(Sheet1!I1747/Sheet1!$O$6))</f>
        <v/>
      </c>
    </row>
    <row r="1748">
      <c r="A1748">
        <f>Sheet1!K1748</f>
        <v/>
      </c>
      <c r="B1748">
        <f>IF(ISNA(Sheet1!I1748),NA(),Sheet1!$O$5-(Sheet1!I1748/Sheet1!$O$6))</f>
        <v/>
      </c>
    </row>
    <row r="1749">
      <c r="A1749">
        <f>Sheet1!K1749</f>
        <v/>
      </c>
      <c r="B1749">
        <f>IF(ISNA(Sheet1!I1749),NA(),Sheet1!$O$5-(Sheet1!I1749/Sheet1!$O$6))</f>
        <v/>
      </c>
    </row>
    <row r="1750">
      <c r="A1750">
        <f>Sheet1!K1750</f>
        <v/>
      </c>
      <c r="B1750">
        <f>IF(ISNA(Sheet1!I1750),NA(),Sheet1!$O$5-(Sheet1!I1750/Sheet1!$O$6))</f>
        <v/>
      </c>
    </row>
    <row r="1751">
      <c r="A1751">
        <f>Sheet1!K1751</f>
        <v/>
      </c>
      <c r="B1751">
        <f>IF(ISNA(Sheet1!I1751),NA(),Sheet1!$O$5-(Sheet1!I1751/Sheet1!$O$6))</f>
        <v/>
      </c>
    </row>
    <row r="1752">
      <c r="A1752">
        <f>Sheet1!K1752</f>
        <v/>
      </c>
      <c r="B1752">
        <f>IF(ISNA(Sheet1!I1752),NA(),Sheet1!$O$5-(Sheet1!I1752/Sheet1!$O$6))</f>
        <v/>
      </c>
    </row>
    <row r="1753">
      <c r="A1753">
        <f>Sheet1!K1753</f>
        <v/>
      </c>
      <c r="B1753">
        <f>IF(ISNA(Sheet1!I1753),NA(),Sheet1!$O$5-(Sheet1!I1753/Sheet1!$O$6))</f>
        <v/>
      </c>
    </row>
    <row r="1754">
      <c r="A1754">
        <f>Sheet1!K1754</f>
        <v/>
      </c>
      <c r="B1754">
        <f>IF(ISNA(Sheet1!I1754),NA(),Sheet1!$O$5-(Sheet1!I1754/Sheet1!$O$6))</f>
        <v/>
      </c>
    </row>
    <row r="1755">
      <c r="A1755">
        <f>Sheet1!K1755</f>
        <v/>
      </c>
      <c r="B1755">
        <f>IF(ISNA(Sheet1!I1755),NA(),Sheet1!$O$5-(Sheet1!I1755/Sheet1!$O$6))</f>
        <v/>
      </c>
    </row>
    <row r="1756">
      <c r="A1756">
        <f>Sheet1!K1756</f>
        <v/>
      </c>
      <c r="B1756">
        <f>IF(ISNA(Sheet1!I1756),NA(),Sheet1!$O$5-(Sheet1!I1756/Sheet1!$O$6))</f>
        <v/>
      </c>
    </row>
    <row r="1757">
      <c r="A1757">
        <f>Sheet1!K1757</f>
        <v/>
      </c>
      <c r="B1757">
        <f>IF(ISNA(Sheet1!I1757),NA(),Sheet1!$O$5-(Sheet1!I1757/Sheet1!$O$6))</f>
        <v/>
      </c>
    </row>
    <row r="1758">
      <c r="A1758">
        <f>Sheet1!K1758</f>
        <v/>
      </c>
      <c r="B1758">
        <f>IF(ISNA(Sheet1!I1758),NA(),Sheet1!$O$5-(Sheet1!I1758/Sheet1!$O$6))</f>
        <v/>
      </c>
    </row>
    <row r="1759">
      <c r="A1759">
        <f>Sheet1!K1759</f>
        <v/>
      </c>
      <c r="B1759">
        <f>IF(ISNA(Sheet1!I1759),NA(),Sheet1!$O$5-(Sheet1!I1759/Sheet1!$O$6))</f>
        <v/>
      </c>
    </row>
    <row r="1760">
      <c r="A1760">
        <f>Sheet1!K1760</f>
        <v/>
      </c>
      <c r="B1760">
        <f>IF(ISNA(Sheet1!I1760),NA(),Sheet1!$O$5-(Sheet1!I1760/Sheet1!$O$6))</f>
        <v/>
      </c>
    </row>
    <row r="1761">
      <c r="A1761">
        <f>Sheet1!K1761</f>
        <v/>
      </c>
      <c r="B1761">
        <f>IF(ISNA(Sheet1!I1761),NA(),Sheet1!$O$5-(Sheet1!I1761/Sheet1!$O$6))</f>
        <v/>
      </c>
    </row>
    <row r="1762">
      <c r="A1762">
        <f>Sheet1!K1762</f>
        <v/>
      </c>
      <c r="B1762">
        <f>IF(ISNA(Sheet1!I1762),NA(),Sheet1!$O$5-(Sheet1!I1762/Sheet1!$O$6))</f>
        <v/>
      </c>
    </row>
    <row r="1763">
      <c r="A1763">
        <f>Sheet1!K1763</f>
        <v/>
      </c>
      <c r="B1763">
        <f>IF(ISNA(Sheet1!I1763),NA(),Sheet1!$O$5-(Sheet1!I1763/Sheet1!$O$6))</f>
        <v/>
      </c>
    </row>
    <row r="1764">
      <c r="A1764">
        <f>Sheet1!K1764</f>
        <v/>
      </c>
      <c r="B1764">
        <f>IF(ISNA(Sheet1!I1764),NA(),Sheet1!$O$5-(Sheet1!I1764/Sheet1!$O$6))</f>
        <v/>
      </c>
    </row>
    <row r="1765">
      <c r="A1765">
        <f>Sheet1!K1765</f>
        <v/>
      </c>
      <c r="B1765">
        <f>IF(ISNA(Sheet1!I1765),NA(),Sheet1!$O$5-(Sheet1!I1765/Sheet1!$O$6))</f>
        <v/>
      </c>
    </row>
    <row r="1766">
      <c r="A1766">
        <f>Sheet1!K1766</f>
        <v/>
      </c>
      <c r="B1766">
        <f>IF(ISNA(Sheet1!I1766),NA(),Sheet1!$O$5-(Sheet1!I1766/Sheet1!$O$6))</f>
        <v/>
      </c>
    </row>
    <row r="1767">
      <c r="A1767">
        <f>Sheet1!K1767</f>
        <v/>
      </c>
      <c r="B1767">
        <f>IF(ISNA(Sheet1!I1767),NA(),Sheet1!$O$5-(Sheet1!I1767/Sheet1!$O$6))</f>
        <v/>
      </c>
    </row>
    <row r="1768">
      <c r="A1768">
        <f>Sheet1!K1768</f>
        <v/>
      </c>
      <c r="B1768">
        <f>IF(ISNA(Sheet1!I1768),NA(),Sheet1!$O$5-(Sheet1!I1768/Sheet1!$O$6))</f>
        <v/>
      </c>
    </row>
    <row r="1769">
      <c r="A1769">
        <f>Sheet1!K1769</f>
        <v/>
      </c>
      <c r="B1769">
        <f>IF(ISNA(Sheet1!I1769),NA(),Sheet1!$O$5-(Sheet1!I1769/Sheet1!$O$6))</f>
        <v/>
      </c>
    </row>
    <row r="1770">
      <c r="A1770">
        <f>Sheet1!K1770</f>
        <v/>
      </c>
      <c r="B1770">
        <f>IF(ISNA(Sheet1!I1770),NA(),Sheet1!$O$5-(Sheet1!I1770/Sheet1!$O$6))</f>
        <v/>
      </c>
    </row>
    <row r="1771">
      <c r="A1771">
        <f>Sheet1!K1771</f>
        <v/>
      </c>
      <c r="B1771">
        <f>IF(ISNA(Sheet1!I1771),NA(),Sheet1!$O$5-(Sheet1!I1771/Sheet1!$O$6))</f>
        <v/>
      </c>
    </row>
    <row r="1772">
      <c r="A1772">
        <f>Sheet1!K1772</f>
        <v/>
      </c>
      <c r="B1772">
        <f>IF(ISNA(Sheet1!I1772),NA(),Sheet1!$O$5-(Sheet1!I1772/Sheet1!$O$6))</f>
        <v/>
      </c>
    </row>
    <row r="1773">
      <c r="A1773">
        <f>Sheet1!K1773</f>
        <v/>
      </c>
      <c r="B1773">
        <f>IF(ISNA(Sheet1!I1773),NA(),Sheet1!$O$5-(Sheet1!I1773/Sheet1!$O$6))</f>
        <v/>
      </c>
    </row>
    <row r="1774">
      <c r="A1774">
        <f>Sheet1!K1774</f>
        <v/>
      </c>
      <c r="B1774">
        <f>IF(ISNA(Sheet1!I1774),NA(),Sheet1!$O$5-(Sheet1!I1774/Sheet1!$O$6))</f>
        <v/>
      </c>
    </row>
    <row r="1775">
      <c r="A1775">
        <f>Sheet1!K1775</f>
        <v/>
      </c>
      <c r="B1775">
        <f>IF(ISNA(Sheet1!I1775),NA(),Sheet1!$O$5-(Sheet1!I1775/Sheet1!$O$6))</f>
        <v/>
      </c>
    </row>
    <row r="1776">
      <c r="A1776">
        <f>Sheet1!K1776</f>
        <v/>
      </c>
      <c r="B1776">
        <f>IF(ISNA(Sheet1!I1776),NA(),Sheet1!$O$5-(Sheet1!I1776/Sheet1!$O$6))</f>
        <v/>
      </c>
    </row>
    <row r="1777">
      <c r="A1777">
        <f>Sheet1!K1777</f>
        <v/>
      </c>
      <c r="B1777">
        <f>IF(ISNA(Sheet1!I1777),NA(),Sheet1!$O$5-(Sheet1!I1777/Sheet1!$O$6))</f>
        <v/>
      </c>
    </row>
    <row r="1778">
      <c r="A1778">
        <f>Sheet1!K1778</f>
        <v/>
      </c>
      <c r="B1778">
        <f>IF(ISNA(Sheet1!I1778),NA(),Sheet1!$O$5-(Sheet1!I1778/Sheet1!$O$6))</f>
        <v/>
      </c>
    </row>
    <row r="1779">
      <c r="A1779">
        <f>Sheet1!K1779</f>
        <v/>
      </c>
      <c r="B1779">
        <f>IF(ISNA(Sheet1!I1779),NA(),Sheet1!$O$5-(Sheet1!I1779/Sheet1!$O$6))</f>
        <v/>
      </c>
    </row>
    <row r="1780">
      <c r="A1780">
        <f>Sheet1!K1780</f>
        <v/>
      </c>
      <c r="B1780">
        <f>IF(ISNA(Sheet1!I1780),NA(),Sheet1!$O$5-(Sheet1!I1780/Sheet1!$O$6))</f>
        <v/>
      </c>
    </row>
    <row r="1781">
      <c r="A1781">
        <f>Sheet1!K1781</f>
        <v/>
      </c>
      <c r="B1781">
        <f>IF(ISNA(Sheet1!I1781),NA(),Sheet1!$O$5-(Sheet1!I1781/Sheet1!$O$6))</f>
        <v/>
      </c>
    </row>
    <row r="1782">
      <c r="A1782">
        <f>Sheet1!K1782</f>
        <v/>
      </c>
      <c r="B1782">
        <f>IF(ISNA(Sheet1!I1782),NA(),Sheet1!$O$5-(Sheet1!I1782/Sheet1!$O$6))</f>
        <v/>
      </c>
    </row>
    <row r="1783">
      <c r="A1783">
        <f>Sheet1!K1783</f>
        <v/>
      </c>
      <c r="B1783">
        <f>IF(ISNA(Sheet1!I1783),NA(),Sheet1!$O$5-(Sheet1!I1783/Sheet1!$O$6))</f>
        <v/>
      </c>
    </row>
    <row r="1784">
      <c r="A1784">
        <f>Sheet1!K1784</f>
        <v/>
      </c>
      <c r="B1784">
        <f>IF(ISNA(Sheet1!I1784),NA(),Sheet1!$O$5-(Sheet1!I1784/Sheet1!$O$6))</f>
        <v/>
      </c>
    </row>
    <row r="1785">
      <c r="A1785">
        <f>Sheet1!K1785</f>
        <v/>
      </c>
      <c r="B1785">
        <f>IF(ISNA(Sheet1!I1785),NA(),Sheet1!$O$5-(Sheet1!I1785/Sheet1!$O$6))</f>
        <v/>
      </c>
    </row>
    <row r="1786">
      <c r="A1786">
        <f>Sheet1!K1786</f>
        <v/>
      </c>
      <c r="B1786">
        <f>IF(ISNA(Sheet1!I1786),NA(),Sheet1!$O$5-(Sheet1!I1786/Sheet1!$O$6))</f>
        <v/>
      </c>
    </row>
    <row r="1787">
      <c r="A1787">
        <f>Sheet1!K1787</f>
        <v/>
      </c>
      <c r="B1787">
        <f>IF(ISNA(Sheet1!I1787),NA(),Sheet1!$O$5-(Sheet1!I1787/Sheet1!$O$6))</f>
        <v/>
      </c>
    </row>
    <row r="1788">
      <c r="A1788">
        <f>Sheet1!K1788</f>
        <v/>
      </c>
      <c r="B1788">
        <f>IF(ISNA(Sheet1!I1788),NA(),Sheet1!$O$5-(Sheet1!I1788/Sheet1!$O$6))</f>
        <v/>
      </c>
    </row>
    <row r="1789">
      <c r="A1789">
        <f>Sheet1!K1789</f>
        <v/>
      </c>
      <c r="B1789">
        <f>IF(ISNA(Sheet1!I1789),NA(),Sheet1!$O$5-(Sheet1!I1789/Sheet1!$O$6))</f>
        <v/>
      </c>
    </row>
    <row r="1790">
      <c r="A1790">
        <f>Sheet1!K1790</f>
        <v/>
      </c>
      <c r="B1790">
        <f>IF(ISNA(Sheet1!I1790),NA(),Sheet1!$O$5-(Sheet1!I1790/Sheet1!$O$6))</f>
        <v/>
      </c>
    </row>
    <row r="1791">
      <c r="A1791">
        <f>Sheet1!K1791</f>
        <v/>
      </c>
      <c r="B1791">
        <f>IF(ISNA(Sheet1!I1791),NA(),Sheet1!$O$5-(Sheet1!I1791/Sheet1!$O$6))</f>
        <v/>
      </c>
    </row>
    <row r="1792">
      <c r="A1792">
        <f>Sheet1!K1792</f>
        <v/>
      </c>
      <c r="B1792">
        <f>IF(ISNA(Sheet1!I1792),NA(),Sheet1!$O$5-(Sheet1!I1792/Sheet1!$O$6))</f>
        <v/>
      </c>
    </row>
    <row r="1793">
      <c r="A1793">
        <f>Sheet1!K1793</f>
        <v/>
      </c>
      <c r="B1793">
        <f>IF(ISNA(Sheet1!I1793),NA(),Sheet1!$O$5-(Sheet1!I1793/Sheet1!$O$6))</f>
        <v/>
      </c>
    </row>
    <row r="1794">
      <c r="A1794">
        <f>Sheet1!K1794</f>
        <v/>
      </c>
      <c r="B1794">
        <f>IF(ISNA(Sheet1!I1794),NA(),Sheet1!$O$5-(Sheet1!I1794/Sheet1!$O$6))</f>
        <v/>
      </c>
    </row>
    <row r="1795">
      <c r="A1795">
        <f>Sheet1!K1795</f>
        <v/>
      </c>
      <c r="B1795">
        <f>IF(ISNA(Sheet1!I1795),NA(),Sheet1!$O$5-(Sheet1!I1795/Sheet1!$O$6))</f>
        <v/>
      </c>
    </row>
    <row r="1796">
      <c r="A1796">
        <f>Sheet1!K1796</f>
        <v/>
      </c>
      <c r="B1796">
        <f>IF(ISNA(Sheet1!I1796),NA(),Sheet1!$O$5-(Sheet1!I1796/Sheet1!$O$6))</f>
        <v/>
      </c>
    </row>
    <row r="1797">
      <c r="A1797">
        <f>Sheet1!K1797</f>
        <v/>
      </c>
      <c r="B1797">
        <f>IF(ISNA(Sheet1!I1797),NA(),Sheet1!$O$5-(Sheet1!I1797/Sheet1!$O$6))</f>
        <v/>
      </c>
    </row>
    <row r="1798">
      <c r="A1798">
        <f>Sheet1!K1798</f>
        <v/>
      </c>
      <c r="B1798">
        <f>IF(ISNA(Sheet1!I1798),NA(),Sheet1!$O$5-(Sheet1!I1798/Sheet1!$O$6))</f>
        <v/>
      </c>
    </row>
    <row r="1799">
      <c r="A1799">
        <f>Sheet1!K1799</f>
        <v/>
      </c>
      <c r="B1799">
        <f>IF(ISNA(Sheet1!I1799),NA(),Sheet1!$O$5-(Sheet1!I1799/Sheet1!$O$6))</f>
        <v/>
      </c>
    </row>
    <row r="1800">
      <c r="A1800">
        <f>Sheet1!K1800</f>
        <v/>
      </c>
      <c r="B1800">
        <f>IF(ISNA(Sheet1!I1800),NA(),Sheet1!$O$5-(Sheet1!I1800/Sheet1!$O$6))</f>
        <v/>
      </c>
    </row>
    <row r="1801">
      <c r="A1801">
        <f>Sheet1!K1801</f>
        <v/>
      </c>
      <c r="B1801">
        <f>IF(ISNA(Sheet1!I1801),NA(),Sheet1!$O$5-(Sheet1!I1801/Sheet1!$O$6))</f>
        <v/>
      </c>
    </row>
    <row r="1802">
      <c r="A1802">
        <f>Sheet1!K1802</f>
        <v/>
      </c>
      <c r="B1802">
        <f>IF(ISNA(Sheet1!I1802),NA(),Sheet1!$O$5-(Sheet1!I1802/Sheet1!$O$6))</f>
        <v/>
      </c>
    </row>
    <row r="1803">
      <c r="A1803">
        <f>Sheet1!K1803</f>
        <v/>
      </c>
      <c r="B1803">
        <f>IF(ISNA(Sheet1!I1803),NA(),Sheet1!$O$5-(Sheet1!I1803/Sheet1!$O$6))</f>
        <v/>
      </c>
    </row>
    <row r="1804">
      <c r="A1804">
        <f>Sheet1!K1804</f>
        <v/>
      </c>
      <c r="B1804">
        <f>IF(ISNA(Sheet1!I1804),NA(),Sheet1!$O$5-(Sheet1!I1804/Sheet1!$O$6))</f>
        <v/>
      </c>
    </row>
    <row r="1805">
      <c r="A1805">
        <f>Sheet1!K1805</f>
        <v/>
      </c>
      <c r="B1805">
        <f>IF(ISNA(Sheet1!I1805),NA(),Sheet1!$O$5-(Sheet1!I1805/Sheet1!$O$6))</f>
        <v/>
      </c>
    </row>
    <row r="1806">
      <c r="A1806">
        <f>Sheet1!K1806</f>
        <v/>
      </c>
      <c r="B1806">
        <f>IF(ISNA(Sheet1!I1806),NA(),Sheet1!$O$5-(Sheet1!I1806/Sheet1!$O$6))</f>
        <v/>
      </c>
    </row>
    <row r="1807">
      <c r="A1807">
        <f>Sheet1!K1807</f>
        <v/>
      </c>
      <c r="B1807">
        <f>IF(ISNA(Sheet1!I1807),NA(),Sheet1!$O$5-(Sheet1!I1807/Sheet1!$O$6))</f>
        <v/>
      </c>
    </row>
    <row r="1808">
      <c r="A1808">
        <f>Sheet1!K1808</f>
        <v/>
      </c>
      <c r="B1808">
        <f>IF(ISNA(Sheet1!I1808),NA(),Sheet1!$O$5-(Sheet1!I1808/Sheet1!$O$6))</f>
        <v/>
      </c>
    </row>
    <row r="1809">
      <c r="A1809">
        <f>Sheet1!K1809</f>
        <v/>
      </c>
      <c r="B1809">
        <f>IF(ISNA(Sheet1!I1809),NA(),Sheet1!$O$5-(Sheet1!I1809/Sheet1!$O$6))</f>
        <v/>
      </c>
    </row>
    <row r="1810">
      <c r="A1810">
        <f>Sheet1!K1810</f>
        <v/>
      </c>
      <c r="B1810">
        <f>IF(ISNA(Sheet1!I1810),NA(),Sheet1!$O$5-(Sheet1!I1810/Sheet1!$O$6))</f>
        <v/>
      </c>
    </row>
    <row r="1811">
      <c r="A1811">
        <f>Sheet1!K1811</f>
        <v/>
      </c>
      <c r="B1811">
        <f>IF(ISNA(Sheet1!I1811),NA(),Sheet1!$O$5-(Sheet1!I1811/Sheet1!$O$6))</f>
        <v/>
      </c>
    </row>
    <row r="1812">
      <c r="A1812">
        <f>Sheet1!K1812</f>
        <v/>
      </c>
      <c r="B1812">
        <f>IF(ISNA(Sheet1!I1812),NA(),Sheet1!$O$5-(Sheet1!I1812/Sheet1!$O$6))</f>
        <v/>
      </c>
    </row>
    <row r="1813">
      <c r="A1813">
        <f>Sheet1!K1813</f>
        <v/>
      </c>
      <c r="B1813">
        <f>IF(ISNA(Sheet1!I1813),NA(),Sheet1!$O$5-(Sheet1!I1813/Sheet1!$O$6))</f>
        <v/>
      </c>
    </row>
    <row r="1814">
      <c r="A1814">
        <f>Sheet1!K1814</f>
        <v/>
      </c>
      <c r="B1814">
        <f>IF(ISNA(Sheet1!I1814),NA(),Sheet1!$O$5-(Sheet1!I1814/Sheet1!$O$6))</f>
        <v/>
      </c>
    </row>
    <row r="1815">
      <c r="A1815">
        <f>Sheet1!K1815</f>
        <v/>
      </c>
      <c r="B1815">
        <f>IF(ISNA(Sheet1!I1815),NA(),Sheet1!$O$5-(Sheet1!I1815/Sheet1!$O$6))</f>
        <v/>
      </c>
    </row>
    <row r="1816">
      <c r="A1816">
        <f>Sheet1!K1816</f>
        <v/>
      </c>
      <c r="B1816">
        <f>IF(ISNA(Sheet1!I1816),NA(),Sheet1!$O$5-(Sheet1!I1816/Sheet1!$O$6))</f>
        <v/>
      </c>
    </row>
    <row r="1817">
      <c r="A1817">
        <f>Sheet1!K1817</f>
        <v/>
      </c>
      <c r="B1817">
        <f>IF(ISNA(Sheet1!I1817),NA(),Sheet1!$O$5-(Sheet1!I1817/Sheet1!$O$6))</f>
        <v/>
      </c>
    </row>
    <row r="1818">
      <c r="A1818">
        <f>Sheet1!K1818</f>
        <v/>
      </c>
      <c r="B1818">
        <f>IF(ISNA(Sheet1!I1818),NA(),Sheet1!$O$5-(Sheet1!I1818/Sheet1!$O$6))</f>
        <v/>
      </c>
    </row>
    <row r="1819">
      <c r="A1819">
        <f>Sheet1!K1819</f>
        <v/>
      </c>
      <c r="B1819">
        <f>IF(ISNA(Sheet1!I1819),NA(),Sheet1!$O$5-(Sheet1!I1819/Sheet1!$O$6))</f>
        <v/>
      </c>
    </row>
    <row r="1820">
      <c r="A1820">
        <f>Sheet1!K1820</f>
        <v/>
      </c>
      <c r="B1820">
        <f>IF(ISNA(Sheet1!I1820),NA(),Sheet1!$O$5-(Sheet1!I1820/Sheet1!$O$6))</f>
        <v/>
      </c>
    </row>
    <row r="1821">
      <c r="A1821">
        <f>Sheet1!K1821</f>
        <v/>
      </c>
      <c r="B1821">
        <f>IF(ISNA(Sheet1!I1821),NA(),Sheet1!$O$5-(Sheet1!I1821/Sheet1!$O$6))</f>
        <v/>
      </c>
    </row>
    <row r="1822">
      <c r="A1822">
        <f>Sheet1!K1822</f>
        <v/>
      </c>
      <c r="B1822">
        <f>IF(ISNA(Sheet1!I1822),NA(),Sheet1!$O$5-(Sheet1!I1822/Sheet1!$O$6))</f>
        <v/>
      </c>
    </row>
    <row r="1823">
      <c r="A1823">
        <f>Sheet1!K1823</f>
        <v/>
      </c>
      <c r="B1823">
        <f>IF(ISNA(Sheet1!I1823),NA(),Sheet1!$O$5-(Sheet1!I1823/Sheet1!$O$6))</f>
        <v/>
      </c>
    </row>
    <row r="1824">
      <c r="A1824">
        <f>Sheet1!K1824</f>
        <v/>
      </c>
      <c r="B1824">
        <f>IF(ISNA(Sheet1!I1824),NA(),Sheet1!$O$5-(Sheet1!I1824/Sheet1!$O$6))</f>
        <v/>
      </c>
    </row>
    <row r="1825">
      <c r="A1825">
        <f>Sheet1!K1825</f>
        <v/>
      </c>
      <c r="B1825">
        <f>IF(ISNA(Sheet1!I1825),NA(),Sheet1!$O$5-(Sheet1!I1825/Sheet1!$O$6))</f>
        <v/>
      </c>
    </row>
    <row r="1826">
      <c r="A1826">
        <f>Sheet1!K1826</f>
        <v/>
      </c>
      <c r="B1826">
        <f>IF(ISNA(Sheet1!I1826),NA(),Sheet1!$O$5-(Sheet1!I1826/Sheet1!$O$6))</f>
        <v/>
      </c>
    </row>
    <row r="1827">
      <c r="A1827">
        <f>Sheet1!K1827</f>
        <v/>
      </c>
      <c r="B1827">
        <f>IF(ISNA(Sheet1!I1827),NA(),Sheet1!$O$5-(Sheet1!I1827/Sheet1!$O$6))</f>
        <v/>
      </c>
    </row>
    <row r="1828">
      <c r="A1828">
        <f>Sheet1!K1828</f>
        <v/>
      </c>
      <c r="B1828">
        <f>IF(ISNA(Sheet1!I1828),NA(),Sheet1!$O$5-(Sheet1!I1828/Sheet1!$O$6))</f>
        <v/>
      </c>
    </row>
    <row r="1829">
      <c r="A1829">
        <f>Sheet1!K1829</f>
        <v/>
      </c>
      <c r="B1829">
        <f>IF(ISNA(Sheet1!I1829),NA(),Sheet1!$O$5-(Sheet1!I1829/Sheet1!$O$6))</f>
        <v/>
      </c>
    </row>
    <row r="1830">
      <c r="A1830">
        <f>Sheet1!K1830</f>
        <v/>
      </c>
      <c r="B1830">
        <f>IF(ISNA(Sheet1!I1830),NA(),Sheet1!$O$5-(Sheet1!I1830/Sheet1!$O$6))</f>
        <v/>
      </c>
    </row>
    <row r="1831">
      <c r="A1831">
        <f>Sheet1!K1831</f>
        <v/>
      </c>
      <c r="B1831">
        <f>IF(ISNA(Sheet1!I1831),NA(),Sheet1!$O$5-(Sheet1!I1831/Sheet1!$O$6))</f>
        <v/>
      </c>
    </row>
    <row r="1832">
      <c r="A1832">
        <f>Sheet1!K1832</f>
        <v/>
      </c>
      <c r="B1832">
        <f>IF(ISNA(Sheet1!I1832),NA(),Sheet1!$O$5-(Sheet1!I1832/Sheet1!$O$6))</f>
        <v/>
      </c>
    </row>
    <row r="1833">
      <c r="A1833">
        <f>Sheet1!K1833</f>
        <v/>
      </c>
      <c r="B1833">
        <f>IF(ISNA(Sheet1!I1833),NA(),Sheet1!$O$5-(Sheet1!I1833/Sheet1!$O$6))</f>
        <v/>
      </c>
    </row>
    <row r="1834">
      <c r="A1834">
        <f>Sheet1!K1834</f>
        <v/>
      </c>
      <c r="B1834">
        <f>IF(ISNA(Sheet1!I1834),NA(),Sheet1!$O$5-(Sheet1!I1834/Sheet1!$O$6))</f>
        <v/>
      </c>
    </row>
    <row r="1835">
      <c r="A1835">
        <f>Sheet1!K1835</f>
        <v/>
      </c>
      <c r="B1835">
        <f>IF(ISNA(Sheet1!I1835),NA(),Sheet1!$O$5-(Sheet1!I1835/Sheet1!$O$6))</f>
        <v/>
      </c>
    </row>
    <row r="1836">
      <c r="A1836">
        <f>Sheet1!K1836</f>
        <v/>
      </c>
      <c r="B1836">
        <f>IF(ISNA(Sheet1!I1836),NA(),Sheet1!$O$5-(Sheet1!I1836/Sheet1!$O$6))</f>
        <v/>
      </c>
    </row>
    <row r="1837">
      <c r="A1837">
        <f>Sheet1!K1837</f>
        <v/>
      </c>
      <c r="B1837">
        <f>IF(ISNA(Sheet1!I1837),NA(),Sheet1!$O$5-(Sheet1!I1837/Sheet1!$O$6))</f>
        <v/>
      </c>
    </row>
    <row r="1838">
      <c r="A1838">
        <f>Sheet1!K1838</f>
        <v/>
      </c>
      <c r="B1838">
        <f>IF(ISNA(Sheet1!I1838),NA(),Sheet1!$O$5-(Sheet1!I1838/Sheet1!$O$6))</f>
        <v/>
      </c>
    </row>
    <row r="1839">
      <c r="A1839">
        <f>Sheet1!K1839</f>
        <v/>
      </c>
      <c r="B1839">
        <f>IF(ISNA(Sheet1!I1839),NA(),Sheet1!$O$5-(Sheet1!I1839/Sheet1!$O$6))</f>
        <v/>
      </c>
    </row>
    <row r="1840">
      <c r="A1840">
        <f>Sheet1!K1840</f>
        <v/>
      </c>
      <c r="B1840">
        <f>IF(ISNA(Sheet1!I1840),NA(),Sheet1!$O$5-(Sheet1!I1840/Sheet1!$O$6))</f>
        <v/>
      </c>
    </row>
    <row r="1841">
      <c r="A1841">
        <f>Sheet1!K1841</f>
        <v/>
      </c>
      <c r="B1841">
        <f>IF(ISNA(Sheet1!I1841),NA(),Sheet1!$O$5-(Sheet1!I1841/Sheet1!$O$6))</f>
        <v/>
      </c>
    </row>
    <row r="1842">
      <c r="A1842">
        <f>Sheet1!K1842</f>
        <v/>
      </c>
      <c r="B1842">
        <f>IF(ISNA(Sheet1!I1842),NA(),Sheet1!$O$5-(Sheet1!I1842/Sheet1!$O$6))</f>
        <v/>
      </c>
    </row>
    <row r="1843">
      <c r="A1843">
        <f>Sheet1!K1843</f>
        <v/>
      </c>
      <c r="B1843">
        <f>IF(ISNA(Sheet1!I1843),NA(),Sheet1!$O$5-(Sheet1!I1843/Sheet1!$O$6))</f>
        <v/>
      </c>
    </row>
    <row r="1844">
      <c r="A1844">
        <f>Sheet1!K1844</f>
        <v/>
      </c>
      <c r="B1844">
        <f>IF(ISNA(Sheet1!I1844),NA(),Sheet1!$O$5-(Sheet1!I1844/Sheet1!$O$6))</f>
        <v/>
      </c>
    </row>
    <row r="1845">
      <c r="A1845">
        <f>Sheet1!K1845</f>
        <v/>
      </c>
      <c r="B1845">
        <f>IF(ISNA(Sheet1!I1845),NA(),Sheet1!$O$5-(Sheet1!I1845/Sheet1!$O$6))</f>
        <v/>
      </c>
    </row>
    <row r="1846">
      <c r="A1846">
        <f>Sheet1!K1846</f>
        <v/>
      </c>
      <c r="B1846">
        <f>IF(ISNA(Sheet1!I1846),NA(),Sheet1!$O$5-(Sheet1!I1846/Sheet1!$O$6))</f>
        <v/>
      </c>
    </row>
    <row r="1847">
      <c r="A1847">
        <f>Sheet1!K1847</f>
        <v/>
      </c>
      <c r="B1847">
        <f>IF(ISNA(Sheet1!I1847),NA(),Sheet1!$O$5-(Sheet1!I1847/Sheet1!$O$6))</f>
        <v/>
      </c>
    </row>
    <row r="1848">
      <c r="A1848">
        <f>Sheet1!K1848</f>
        <v/>
      </c>
      <c r="B1848">
        <f>IF(ISNA(Sheet1!I1848),NA(),Sheet1!$O$5-(Sheet1!I1848/Sheet1!$O$6))</f>
        <v/>
      </c>
    </row>
    <row r="1849">
      <c r="A1849">
        <f>Sheet1!K1849</f>
        <v/>
      </c>
      <c r="B1849">
        <f>IF(ISNA(Sheet1!I1849),NA(),Sheet1!$O$5-(Sheet1!I1849/Sheet1!$O$6))</f>
        <v/>
      </c>
    </row>
    <row r="1850">
      <c r="A1850">
        <f>Sheet1!K1850</f>
        <v/>
      </c>
      <c r="B1850">
        <f>IF(ISNA(Sheet1!I1850),NA(),Sheet1!$O$5-(Sheet1!I1850/Sheet1!$O$6))</f>
        <v/>
      </c>
    </row>
    <row r="1851">
      <c r="A1851">
        <f>Sheet1!K1851</f>
        <v/>
      </c>
      <c r="B1851">
        <f>IF(ISNA(Sheet1!I1851),NA(),Sheet1!$O$5-(Sheet1!I1851/Sheet1!$O$6))</f>
        <v/>
      </c>
    </row>
    <row r="1852">
      <c r="A1852">
        <f>Sheet1!K1852</f>
        <v/>
      </c>
      <c r="B1852">
        <f>IF(ISNA(Sheet1!I1852),NA(),Sheet1!$O$5-(Sheet1!I1852/Sheet1!$O$6))</f>
        <v/>
      </c>
    </row>
    <row r="1853">
      <c r="A1853">
        <f>Sheet1!K1853</f>
        <v/>
      </c>
      <c r="B1853">
        <f>IF(ISNA(Sheet1!I1853),NA(),Sheet1!$O$5-(Sheet1!I1853/Sheet1!$O$6))</f>
        <v/>
      </c>
    </row>
    <row r="1854">
      <c r="A1854">
        <f>Sheet1!K1854</f>
        <v/>
      </c>
      <c r="B1854">
        <f>IF(ISNA(Sheet1!I1854),NA(),Sheet1!$O$5-(Sheet1!I1854/Sheet1!$O$6))</f>
        <v/>
      </c>
    </row>
    <row r="1855">
      <c r="A1855">
        <f>Sheet1!K1855</f>
        <v/>
      </c>
      <c r="B1855">
        <f>IF(ISNA(Sheet1!I1855),NA(),Sheet1!$O$5-(Sheet1!I1855/Sheet1!$O$6))</f>
        <v/>
      </c>
    </row>
    <row r="1856">
      <c r="A1856">
        <f>Sheet1!K1856</f>
        <v/>
      </c>
      <c r="B1856">
        <f>IF(ISNA(Sheet1!I1856),NA(),Sheet1!$O$5-(Sheet1!I1856/Sheet1!$O$6))</f>
        <v/>
      </c>
    </row>
    <row r="1857">
      <c r="A1857">
        <f>Sheet1!K1857</f>
        <v/>
      </c>
      <c r="B1857">
        <f>IF(ISNA(Sheet1!I1857),NA(),Sheet1!$O$5-(Sheet1!I1857/Sheet1!$O$6))</f>
        <v/>
      </c>
    </row>
    <row r="1858">
      <c r="A1858">
        <f>Sheet1!K1858</f>
        <v/>
      </c>
      <c r="B1858">
        <f>IF(ISNA(Sheet1!I1858),NA(),Sheet1!$O$5-(Sheet1!I1858/Sheet1!$O$6))</f>
        <v/>
      </c>
    </row>
    <row r="1859">
      <c r="A1859">
        <f>Sheet1!K1859</f>
        <v/>
      </c>
      <c r="B1859">
        <f>IF(ISNA(Sheet1!I1859),NA(),Sheet1!$O$5-(Sheet1!I1859/Sheet1!$O$6))</f>
        <v/>
      </c>
    </row>
    <row r="1860">
      <c r="A1860">
        <f>Sheet1!K1860</f>
        <v/>
      </c>
      <c r="B1860">
        <f>IF(ISNA(Sheet1!I1860),NA(),Sheet1!$O$5-(Sheet1!I1860/Sheet1!$O$6))</f>
        <v/>
      </c>
    </row>
    <row r="1861">
      <c r="A1861">
        <f>Sheet1!K1861</f>
        <v/>
      </c>
      <c r="B1861">
        <f>IF(ISNA(Sheet1!I1861),NA(),Sheet1!$O$5-(Sheet1!I1861/Sheet1!$O$6))</f>
        <v/>
      </c>
    </row>
    <row r="1862">
      <c r="A1862">
        <f>Sheet1!K1862</f>
        <v/>
      </c>
      <c r="B1862">
        <f>IF(ISNA(Sheet1!I1862),NA(),Sheet1!$O$5-(Sheet1!I1862/Sheet1!$O$6))</f>
        <v/>
      </c>
    </row>
    <row r="1863">
      <c r="A1863">
        <f>Sheet1!K1863</f>
        <v/>
      </c>
      <c r="B1863">
        <f>IF(ISNA(Sheet1!I1863),NA(),Sheet1!$O$5-(Sheet1!I1863/Sheet1!$O$6))</f>
        <v/>
      </c>
    </row>
    <row r="1864">
      <c r="A1864">
        <f>Sheet1!K1864</f>
        <v/>
      </c>
      <c r="B1864">
        <f>IF(ISNA(Sheet1!I1864),NA(),Sheet1!$O$5-(Sheet1!I1864/Sheet1!$O$6))</f>
        <v/>
      </c>
    </row>
    <row r="1865">
      <c r="A1865">
        <f>Sheet1!K1865</f>
        <v/>
      </c>
      <c r="B1865">
        <f>IF(ISNA(Sheet1!I1865),NA(),Sheet1!$O$5-(Sheet1!I1865/Sheet1!$O$6))</f>
        <v/>
      </c>
    </row>
    <row r="1866">
      <c r="A1866">
        <f>Sheet1!K1866</f>
        <v/>
      </c>
      <c r="B1866">
        <f>IF(ISNA(Sheet1!I1866),NA(),Sheet1!$O$5-(Sheet1!I1866/Sheet1!$O$6))</f>
        <v/>
      </c>
    </row>
    <row r="1867">
      <c r="A1867">
        <f>Sheet1!K1867</f>
        <v/>
      </c>
      <c r="B1867">
        <f>IF(ISNA(Sheet1!I1867),NA(),Sheet1!$O$5-(Sheet1!I1867/Sheet1!$O$6))</f>
        <v/>
      </c>
    </row>
    <row r="1868">
      <c r="A1868">
        <f>Sheet1!K1868</f>
        <v/>
      </c>
      <c r="B1868">
        <f>IF(ISNA(Sheet1!I1868),NA(),Sheet1!$O$5-(Sheet1!I1868/Sheet1!$O$6))</f>
        <v/>
      </c>
    </row>
    <row r="1869">
      <c r="A1869">
        <f>Sheet1!K1869</f>
        <v/>
      </c>
      <c r="B1869">
        <f>IF(ISNA(Sheet1!I1869),NA(),Sheet1!$O$5-(Sheet1!I1869/Sheet1!$O$6))</f>
        <v/>
      </c>
    </row>
    <row r="1870">
      <c r="A1870">
        <f>Sheet1!K1870</f>
        <v/>
      </c>
      <c r="B1870">
        <f>IF(ISNA(Sheet1!I1870),NA(),Sheet1!$O$5-(Sheet1!I1870/Sheet1!$O$6))</f>
        <v/>
      </c>
    </row>
    <row r="1871">
      <c r="A1871">
        <f>Sheet1!K1871</f>
        <v/>
      </c>
      <c r="B1871">
        <f>IF(ISNA(Sheet1!I1871),NA(),Sheet1!$O$5-(Sheet1!I1871/Sheet1!$O$6))</f>
        <v/>
      </c>
    </row>
    <row r="1872">
      <c r="A1872">
        <f>Sheet1!K1872</f>
        <v/>
      </c>
      <c r="B1872">
        <f>IF(ISNA(Sheet1!I1872),NA(),Sheet1!$O$5-(Sheet1!I1872/Sheet1!$O$6))</f>
        <v/>
      </c>
    </row>
    <row r="1873">
      <c r="A1873">
        <f>Sheet1!K1873</f>
        <v/>
      </c>
      <c r="B1873">
        <f>IF(ISNA(Sheet1!I1873),NA(),Sheet1!$O$5-(Sheet1!I1873/Sheet1!$O$6))</f>
        <v/>
      </c>
    </row>
    <row r="1874">
      <c r="A1874">
        <f>Sheet1!K1874</f>
        <v/>
      </c>
      <c r="B1874">
        <f>IF(ISNA(Sheet1!I1874),NA(),Sheet1!$O$5-(Sheet1!I1874/Sheet1!$O$6))</f>
        <v/>
      </c>
    </row>
    <row r="1875">
      <c r="A1875">
        <f>Sheet1!K1875</f>
        <v/>
      </c>
      <c r="B1875">
        <f>IF(ISNA(Sheet1!I1875),NA(),Sheet1!$O$5-(Sheet1!I1875/Sheet1!$O$6))</f>
        <v/>
      </c>
    </row>
    <row r="1876">
      <c r="A1876">
        <f>Sheet1!K1876</f>
        <v/>
      </c>
      <c r="B1876">
        <f>IF(ISNA(Sheet1!I1876),NA(),Sheet1!$O$5-(Sheet1!I1876/Sheet1!$O$6))</f>
        <v/>
      </c>
    </row>
    <row r="1877">
      <c r="A1877">
        <f>Sheet1!K1877</f>
        <v/>
      </c>
      <c r="B1877">
        <f>IF(ISNA(Sheet1!I1877),NA(),Sheet1!$O$5-(Sheet1!I1877/Sheet1!$O$6))</f>
        <v/>
      </c>
    </row>
    <row r="1878">
      <c r="A1878">
        <f>Sheet1!K1878</f>
        <v/>
      </c>
      <c r="B1878">
        <f>IF(ISNA(Sheet1!I1878),NA(),Sheet1!$O$5-(Sheet1!I1878/Sheet1!$O$6))</f>
        <v/>
      </c>
    </row>
    <row r="1879">
      <c r="A1879">
        <f>Sheet1!K1879</f>
        <v/>
      </c>
      <c r="B1879">
        <f>IF(ISNA(Sheet1!I1879),NA(),Sheet1!$O$5-(Sheet1!I1879/Sheet1!$O$6))</f>
        <v/>
      </c>
    </row>
    <row r="1880">
      <c r="A1880">
        <f>Sheet1!K1880</f>
        <v/>
      </c>
      <c r="B1880">
        <f>IF(ISNA(Sheet1!I1880),NA(),Sheet1!$O$5-(Sheet1!I1880/Sheet1!$O$6))</f>
        <v/>
      </c>
    </row>
    <row r="1881">
      <c r="A1881">
        <f>Sheet1!K1881</f>
        <v/>
      </c>
      <c r="B1881">
        <f>IF(ISNA(Sheet1!I1881),NA(),Sheet1!$O$5-(Sheet1!I1881/Sheet1!$O$6))</f>
        <v/>
      </c>
    </row>
    <row r="1882">
      <c r="A1882">
        <f>Sheet1!K1882</f>
        <v/>
      </c>
      <c r="B1882">
        <f>IF(ISNA(Sheet1!I1882),NA(),Sheet1!$O$5-(Sheet1!I1882/Sheet1!$O$6))</f>
        <v/>
      </c>
    </row>
    <row r="1883">
      <c r="A1883">
        <f>Sheet1!K1883</f>
        <v/>
      </c>
      <c r="B1883">
        <f>IF(ISNA(Sheet1!I1883),NA(),Sheet1!$O$5-(Sheet1!I1883/Sheet1!$O$6))</f>
        <v/>
      </c>
    </row>
    <row r="1884">
      <c r="A1884">
        <f>Sheet1!K1884</f>
        <v/>
      </c>
      <c r="B1884">
        <f>IF(ISNA(Sheet1!I1884),NA(),Sheet1!$O$5-(Sheet1!I1884/Sheet1!$O$6))</f>
        <v/>
      </c>
    </row>
    <row r="1885">
      <c r="A1885">
        <f>Sheet1!K1885</f>
        <v/>
      </c>
      <c r="B1885">
        <f>IF(ISNA(Sheet1!I1885),NA(),Sheet1!$O$5-(Sheet1!I1885/Sheet1!$O$6))</f>
        <v/>
      </c>
    </row>
    <row r="1886">
      <c r="A1886">
        <f>Sheet1!K1886</f>
        <v/>
      </c>
      <c r="B1886">
        <f>IF(ISNA(Sheet1!I1886),NA(),Sheet1!$O$5-(Sheet1!I1886/Sheet1!$O$6))</f>
        <v/>
      </c>
    </row>
    <row r="1887">
      <c r="A1887">
        <f>Sheet1!K1887</f>
        <v/>
      </c>
      <c r="B1887">
        <f>IF(ISNA(Sheet1!I1887),NA(),Sheet1!$O$5-(Sheet1!I1887/Sheet1!$O$6))</f>
        <v/>
      </c>
    </row>
    <row r="1888">
      <c r="A1888">
        <f>Sheet1!K1888</f>
        <v/>
      </c>
      <c r="B1888">
        <f>IF(ISNA(Sheet1!I1888),NA(),Sheet1!$O$5-(Sheet1!I1888/Sheet1!$O$6))</f>
        <v/>
      </c>
    </row>
    <row r="1889">
      <c r="A1889">
        <f>Sheet1!K1889</f>
        <v/>
      </c>
      <c r="B1889">
        <f>IF(ISNA(Sheet1!I1889),NA(),Sheet1!$O$5-(Sheet1!I1889/Sheet1!$O$6))</f>
        <v/>
      </c>
    </row>
    <row r="1890">
      <c r="A1890">
        <f>Sheet1!K1890</f>
        <v/>
      </c>
      <c r="B1890">
        <f>IF(ISNA(Sheet1!I1890),NA(),Sheet1!$O$5-(Sheet1!I1890/Sheet1!$O$6))</f>
        <v/>
      </c>
    </row>
    <row r="1891">
      <c r="A1891">
        <f>Sheet1!K1891</f>
        <v/>
      </c>
      <c r="B1891">
        <f>IF(ISNA(Sheet1!I1891),NA(),Sheet1!$O$5-(Sheet1!I1891/Sheet1!$O$6))</f>
        <v/>
      </c>
    </row>
    <row r="1892">
      <c r="A1892">
        <f>Sheet1!K1892</f>
        <v/>
      </c>
      <c r="B1892">
        <f>IF(ISNA(Sheet1!I1892),NA(),Sheet1!$O$5-(Sheet1!I1892/Sheet1!$O$6))</f>
        <v/>
      </c>
    </row>
    <row r="1893">
      <c r="A1893">
        <f>Sheet1!K1893</f>
        <v/>
      </c>
      <c r="B1893">
        <f>IF(ISNA(Sheet1!I1893),NA(),Sheet1!$O$5-(Sheet1!I1893/Sheet1!$O$6))</f>
        <v/>
      </c>
    </row>
    <row r="1894">
      <c r="A1894">
        <f>Sheet1!K1894</f>
        <v/>
      </c>
      <c r="B1894">
        <f>IF(ISNA(Sheet1!I1894),NA(),Sheet1!$O$5-(Sheet1!I1894/Sheet1!$O$6))</f>
        <v/>
      </c>
    </row>
    <row r="1895">
      <c r="A1895">
        <f>Sheet1!K1895</f>
        <v/>
      </c>
      <c r="B1895">
        <f>IF(ISNA(Sheet1!I1895),NA(),Sheet1!$O$5-(Sheet1!I1895/Sheet1!$O$6))</f>
        <v/>
      </c>
    </row>
    <row r="1896">
      <c r="A1896">
        <f>Sheet1!K1896</f>
        <v/>
      </c>
      <c r="B1896">
        <f>IF(ISNA(Sheet1!I1896),NA(),Sheet1!$O$5-(Sheet1!I1896/Sheet1!$O$6))</f>
        <v/>
      </c>
    </row>
    <row r="1897">
      <c r="A1897">
        <f>Sheet1!K1897</f>
        <v/>
      </c>
      <c r="B1897">
        <f>IF(ISNA(Sheet1!I1897),NA(),Sheet1!$O$5-(Sheet1!I1897/Sheet1!$O$6))</f>
        <v/>
      </c>
    </row>
    <row r="1898">
      <c r="A1898">
        <f>Sheet1!K1898</f>
        <v/>
      </c>
      <c r="B1898">
        <f>IF(ISNA(Sheet1!I1898),NA(),Sheet1!$O$5-(Sheet1!I1898/Sheet1!$O$6))</f>
        <v/>
      </c>
    </row>
    <row r="1899">
      <c r="A1899">
        <f>Sheet1!K1899</f>
        <v/>
      </c>
      <c r="B1899">
        <f>IF(ISNA(Sheet1!I1899),NA(),Sheet1!$O$5-(Sheet1!I1899/Sheet1!$O$6))</f>
        <v/>
      </c>
    </row>
    <row r="1900">
      <c r="A1900">
        <f>Sheet1!K1900</f>
        <v/>
      </c>
      <c r="B1900">
        <f>IF(ISNA(Sheet1!I1900),NA(),Sheet1!$O$5-(Sheet1!I1900/Sheet1!$O$6))</f>
        <v/>
      </c>
    </row>
    <row r="1901">
      <c r="A1901">
        <f>Sheet1!K1901</f>
        <v/>
      </c>
      <c r="B1901">
        <f>IF(ISNA(Sheet1!I1901),NA(),Sheet1!$O$5-(Sheet1!I1901/Sheet1!$O$6))</f>
        <v/>
      </c>
    </row>
    <row r="1902">
      <c r="A1902">
        <f>Sheet1!K1902</f>
        <v/>
      </c>
      <c r="B1902">
        <f>IF(ISNA(Sheet1!I1902),NA(),Sheet1!$O$5-(Sheet1!I1902/Sheet1!$O$6))</f>
        <v/>
      </c>
    </row>
    <row r="1903">
      <c r="A1903">
        <f>Sheet1!K1903</f>
        <v/>
      </c>
      <c r="B1903">
        <f>IF(ISNA(Sheet1!I1903),NA(),Sheet1!$O$5-(Sheet1!I1903/Sheet1!$O$6))</f>
        <v/>
      </c>
    </row>
    <row r="1904">
      <c r="A1904">
        <f>Sheet1!K1904</f>
        <v/>
      </c>
      <c r="B1904">
        <f>IF(ISNA(Sheet1!I1904),NA(),Sheet1!$O$5-(Sheet1!I1904/Sheet1!$O$6))</f>
        <v/>
      </c>
    </row>
    <row r="1905">
      <c r="A1905">
        <f>Sheet1!K1905</f>
        <v/>
      </c>
      <c r="B1905">
        <f>IF(ISNA(Sheet1!I1905),NA(),Sheet1!$O$5-(Sheet1!I1905/Sheet1!$O$6))</f>
        <v/>
      </c>
    </row>
    <row r="1906">
      <c r="A1906">
        <f>Sheet1!K1906</f>
        <v/>
      </c>
      <c r="B1906">
        <f>IF(ISNA(Sheet1!I1906),NA(),Sheet1!$O$5-(Sheet1!I1906/Sheet1!$O$6))</f>
        <v/>
      </c>
    </row>
    <row r="1907">
      <c r="A1907">
        <f>Sheet1!K1907</f>
        <v/>
      </c>
      <c r="B1907">
        <f>IF(ISNA(Sheet1!I1907),NA(),Sheet1!$O$5-(Sheet1!I1907/Sheet1!$O$6))</f>
        <v/>
      </c>
    </row>
    <row r="1908">
      <c r="A1908">
        <f>Sheet1!K1908</f>
        <v/>
      </c>
      <c r="B1908">
        <f>IF(ISNA(Sheet1!I1908),NA(),Sheet1!$O$5-(Sheet1!I1908/Sheet1!$O$6))</f>
        <v/>
      </c>
    </row>
    <row r="1909">
      <c r="A1909">
        <f>Sheet1!K1909</f>
        <v/>
      </c>
      <c r="B1909">
        <f>IF(ISNA(Sheet1!I1909),NA(),Sheet1!$O$5-(Sheet1!I1909/Sheet1!$O$6))</f>
        <v/>
      </c>
    </row>
    <row r="1910">
      <c r="A1910">
        <f>Sheet1!K1910</f>
        <v/>
      </c>
      <c r="B1910">
        <f>IF(ISNA(Sheet1!I1910),NA(),Sheet1!$O$5-(Sheet1!I1910/Sheet1!$O$6))</f>
        <v/>
      </c>
    </row>
    <row r="1911">
      <c r="A1911">
        <f>Sheet1!K1911</f>
        <v/>
      </c>
      <c r="B1911">
        <f>IF(ISNA(Sheet1!I1911),NA(),Sheet1!$O$5-(Sheet1!I1911/Sheet1!$O$6))</f>
        <v/>
      </c>
    </row>
    <row r="1912">
      <c r="A1912">
        <f>Sheet1!K1912</f>
        <v/>
      </c>
      <c r="B1912">
        <f>IF(ISNA(Sheet1!I1912),NA(),Sheet1!$O$5-(Sheet1!I1912/Sheet1!$O$6))</f>
        <v/>
      </c>
    </row>
    <row r="1913">
      <c r="A1913">
        <f>Sheet1!K1913</f>
        <v/>
      </c>
      <c r="B1913">
        <f>IF(ISNA(Sheet1!I1913),NA(),Sheet1!$O$5-(Sheet1!I1913/Sheet1!$O$6))</f>
        <v/>
      </c>
    </row>
    <row r="1914">
      <c r="A1914">
        <f>Sheet1!K1914</f>
        <v/>
      </c>
      <c r="B1914">
        <f>IF(ISNA(Sheet1!I1914),NA(),Sheet1!$O$5-(Sheet1!I1914/Sheet1!$O$6))</f>
        <v/>
      </c>
    </row>
    <row r="1915">
      <c r="A1915">
        <f>Sheet1!K1915</f>
        <v/>
      </c>
      <c r="B1915">
        <f>IF(ISNA(Sheet1!I1915),NA(),Sheet1!$O$5-(Sheet1!I1915/Sheet1!$O$6))</f>
        <v/>
      </c>
    </row>
    <row r="1916">
      <c r="A1916">
        <f>Sheet1!K1916</f>
        <v/>
      </c>
      <c r="B1916">
        <f>IF(ISNA(Sheet1!I1916),NA(),Sheet1!$O$5-(Sheet1!I1916/Sheet1!$O$6))</f>
        <v/>
      </c>
    </row>
    <row r="1917">
      <c r="A1917">
        <f>Sheet1!K1917</f>
        <v/>
      </c>
      <c r="B1917">
        <f>IF(ISNA(Sheet1!I1917),NA(),Sheet1!$O$5-(Sheet1!I1917/Sheet1!$O$6))</f>
        <v/>
      </c>
    </row>
    <row r="1918">
      <c r="A1918">
        <f>Sheet1!K1918</f>
        <v/>
      </c>
      <c r="B1918">
        <f>IF(ISNA(Sheet1!I1918),NA(),Sheet1!$O$5-(Sheet1!I1918/Sheet1!$O$6))</f>
        <v/>
      </c>
    </row>
    <row r="1919">
      <c r="A1919">
        <f>Sheet1!K1919</f>
        <v/>
      </c>
      <c r="B1919">
        <f>IF(ISNA(Sheet1!I1919),NA(),Sheet1!$O$5-(Sheet1!I1919/Sheet1!$O$6))</f>
        <v/>
      </c>
    </row>
    <row r="1920">
      <c r="A1920">
        <f>Sheet1!K1920</f>
        <v/>
      </c>
      <c r="B1920">
        <f>IF(ISNA(Sheet1!I1920),NA(),Sheet1!$O$5-(Sheet1!I1920/Sheet1!$O$6))</f>
        <v/>
      </c>
    </row>
    <row r="1921">
      <c r="A1921">
        <f>Sheet1!K1921</f>
        <v/>
      </c>
      <c r="B1921">
        <f>IF(ISNA(Sheet1!I1921),NA(),Sheet1!$O$5-(Sheet1!I1921/Sheet1!$O$6))</f>
        <v/>
      </c>
    </row>
    <row r="1922">
      <c r="A1922">
        <f>Sheet1!K1922</f>
        <v/>
      </c>
      <c r="B1922">
        <f>IF(ISNA(Sheet1!I1922),NA(),Sheet1!$O$5-(Sheet1!I1922/Sheet1!$O$6))</f>
        <v/>
      </c>
    </row>
    <row r="1923">
      <c r="A1923">
        <f>Sheet1!K1923</f>
        <v/>
      </c>
      <c r="B1923">
        <f>IF(ISNA(Sheet1!I1923),NA(),Sheet1!$O$5-(Sheet1!I1923/Sheet1!$O$6))</f>
        <v/>
      </c>
    </row>
    <row r="1924">
      <c r="A1924">
        <f>Sheet1!K1924</f>
        <v/>
      </c>
      <c r="B1924">
        <f>IF(ISNA(Sheet1!I1924),NA(),Sheet1!$O$5-(Sheet1!I1924/Sheet1!$O$6))</f>
        <v/>
      </c>
    </row>
    <row r="1925">
      <c r="A1925">
        <f>Sheet1!K1925</f>
        <v/>
      </c>
      <c r="B1925">
        <f>IF(ISNA(Sheet1!I1925),NA(),Sheet1!$O$5-(Sheet1!I1925/Sheet1!$O$6))</f>
        <v/>
      </c>
    </row>
    <row r="1926">
      <c r="A1926">
        <f>Sheet1!K1926</f>
        <v/>
      </c>
      <c r="B1926">
        <f>IF(ISNA(Sheet1!I1926),NA(),Sheet1!$O$5-(Sheet1!I1926/Sheet1!$O$6))</f>
        <v/>
      </c>
    </row>
    <row r="1927">
      <c r="A1927">
        <f>Sheet1!K1927</f>
        <v/>
      </c>
      <c r="B1927">
        <f>IF(ISNA(Sheet1!I1927),NA(),Sheet1!$O$5-(Sheet1!I1927/Sheet1!$O$6))</f>
        <v/>
      </c>
    </row>
    <row r="1928">
      <c r="A1928">
        <f>Sheet1!K1928</f>
        <v/>
      </c>
      <c r="B1928">
        <f>IF(ISNA(Sheet1!I1928),NA(),Sheet1!$O$5-(Sheet1!I1928/Sheet1!$O$6))</f>
        <v/>
      </c>
    </row>
    <row r="1929">
      <c r="A1929">
        <f>Sheet1!K1929</f>
        <v/>
      </c>
      <c r="B1929">
        <f>IF(ISNA(Sheet1!I1929),NA(),Sheet1!$O$5-(Sheet1!I1929/Sheet1!$O$6))</f>
        <v/>
      </c>
    </row>
    <row r="1930">
      <c r="A1930">
        <f>Sheet1!K1930</f>
        <v/>
      </c>
      <c r="B1930">
        <f>IF(ISNA(Sheet1!I1930),NA(),Sheet1!$O$5-(Sheet1!I1930/Sheet1!$O$6))</f>
        <v/>
      </c>
    </row>
    <row r="1931">
      <c r="A1931">
        <f>Sheet1!K1931</f>
        <v/>
      </c>
      <c r="B1931">
        <f>IF(ISNA(Sheet1!I1931),NA(),Sheet1!$O$5-(Sheet1!I1931/Sheet1!$O$6))</f>
        <v/>
      </c>
    </row>
    <row r="1932">
      <c r="A1932">
        <f>Sheet1!K1932</f>
        <v/>
      </c>
      <c r="B1932">
        <f>IF(ISNA(Sheet1!I1932),NA(),Sheet1!$O$5-(Sheet1!I1932/Sheet1!$O$6))</f>
        <v/>
      </c>
    </row>
    <row r="1933">
      <c r="A1933">
        <f>Sheet1!K1933</f>
        <v/>
      </c>
      <c r="B1933">
        <f>IF(ISNA(Sheet1!I1933),NA(),Sheet1!$O$5-(Sheet1!I1933/Sheet1!$O$6))</f>
        <v/>
      </c>
    </row>
    <row r="1934">
      <c r="A1934">
        <f>Sheet1!K1934</f>
        <v/>
      </c>
      <c r="B1934">
        <f>IF(ISNA(Sheet1!I1934),NA(),Sheet1!$O$5-(Sheet1!I1934/Sheet1!$O$6))</f>
        <v/>
      </c>
    </row>
    <row r="1935">
      <c r="A1935">
        <f>Sheet1!K1935</f>
        <v/>
      </c>
      <c r="B1935">
        <f>IF(ISNA(Sheet1!I1935),NA(),Sheet1!$O$5-(Sheet1!I1935/Sheet1!$O$6))</f>
        <v/>
      </c>
    </row>
    <row r="1936">
      <c r="A1936">
        <f>Sheet1!K1936</f>
        <v/>
      </c>
      <c r="B1936">
        <f>IF(ISNA(Sheet1!I1936),NA(),Sheet1!$O$5-(Sheet1!I1936/Sheet1!$O$6))</f>
        <v/>
      </c>
    </row>
    <row r="1937">
      <c r="A1937">
        <f>Sheet1!K1937</f>
        <v/>
      </c>
      <c r="B1937">
        <f>IF(ISNA(Sheet1!I1937),NA(),Sheet1!$O$5-(Sheet1!I1937/Sheet1!$O$6))</f>
        <v/>
      </c>
    </row>
    <row r="1938">
      <c r="A1938">
        <f>Sheet1!K1938</f>
        <v/>
      </c>
      <c r="B1938">
        <f>IF(ISNA(Sheet1!I1938),NA(),Sheet1!$O$5-(Sheet1!I1938/Sheet1!$O$6))</f>
        <v/>
      </c>
    </row>
    <row r="1939">
      <c r="A1939">
        <f>Sheet1!K1939</f>
        <v/>
      </c>
      <c r="B1939">
        <f>IF(ISNA(Sheet1!I1939),NA(),Sheet1!$O$5-(Sheet1!I1939/Sheet1!$O$6))</f>
        <v/>
      </c>
    </row>
    <row r="1940">
      <c r="A1940">
        <f>Sheet1!K1940</f>
        <v/>
      </c>
      <c r="B1940">
        <f>IF(ISNA(Sheet1!I1940),NA(),Sheet1!$O$5-(Sheet1!I1940/Sheet1!$O$6))</f>
        <v/>
      </c>
    </row>
    <row r="1941">
      <c r="A1941">
        <f>Sheet1!K1941</f>
        <v/>
      </c>
      <c r="B1941">
        <f>IF(ISNA(Sheet1!I1941),NA(),Sheet1!$O$5-(Sheet1!I1941/Sheet1!$O$6))</f>
        <v/>
      </c>
    </row>
    <row r="1942">
      <c r="A1942">
        <f>Sheet1!K1942</f>
        <v/>
      </c>
      <c r="B1942">
        <f>IF(ISNA(Sheet1!I1942),NA(),Sheet1!$O$5-(Sheet1!I1942/Sheet1!$O$6))</f>
        <v/>
      </c>
    </row>
    <row r="1943">
      <c r="A1943">
        <f>Sheet1!K1943</f>
        <v/>
      </c>
      <c r="B1943">
        <f>IF(ISNA(Sheet1!I1943),NA(),Sheet1!$O$5-(Sheet1!I1943/Sheet1!$O$6))</f>
        <v/>
      </c>
    </row>
    <row r="1944">
      <c r="A1944">
        <f>Sheet1!K1944</f>
        <v/>
      </c>
      <c r="B1944">
        <f>IF(ISNA(Sheet1!I1944),NA(),Sheet1!$O$5-(Sheet1!I1944/Sheet1!$O$6))</f>
        <v/>
      </c>
    </row>
    <row r="1945">
      <c r="A1945">
        <f>Sheet1!K1945</f>
        <v/>
      </c>
      <c r="B1945">
        <f>IF(ISNA(Sheet1!I1945),NA(),Sheet1!$O$5-(Sheet1!I1945/Sheet1!$O$6))</f>
        <v/>
      </c>
    </row>
    <row r="1946">
      <c r="A1946">
        <f>Sheet1!K1946</f>
        <v/>
      </c>
      <c r="B1946">
        <f>IF(ISNA(Sheet1!I1946),NA(),Sheet1!$O$5-(Sheet1!I1946/Sheet1!$O$6))</f>
        <v/>
      </c>
    </row>
    <row r="1947">
      <c r="A1947">
        <f>Sheet1!K1947</f>
        <v/>
      </c>
      <c r="B1947">
        <f>IF(ISNA(Sheet1!I1947),NA(),Sheet1!$O$5-(Sheet1!I1947/Sheet1!$O$6))</f>
        <v/>
      </c>
    </row>
    <row r="1948">
      <c r="A1948">
        <f>Sheet1!K1948</f>
        <v/>
      </c>
      <c r="B1948">
        <f>IF(ISNA(Sheet1!I1948),NA(),Sheet1!$O$5-(Sheet1!I1948/Sheet1!$O$6))</f>
        <v/>
      </c>
    </row>
    <row r="1949">
      <c r="A1949">
        <f>Sheet1!K1949</f>
        <v/>
      </c>
      <c r="B1949">
        <f>IF(ISNA(Sheet1!I1949),NA(),Sheet1!$O$5-(Sheet1!I1949/Sheet1!$O$6))</f>
        <v/>
      </c>
    </row>
    <row r="1950">
      <c r="A1950">
        <f>Sheet1!K1950</f>
        <v/>
      </c>
      <c r="B1950">
        <f>IF(ISNA(Sheet1!I1950),NA(),Sheet1!$O$5-(Sheet1!I1950/Sheet1!$O$6))</f>
        <v/>
      </c>
    </row>
    <row r="1951">
      <c r="A1951">
        <f>Sheet1!K1951</f>
        <v/>
      </c>
      <c r="B1951">
        <f>IF(ISNA(Sheet1!I1951),NA(),Sheet1!$O$5-(Sheet1!I1951/Sheet1!$O$6))</f>
        <v/>
      </c>
    </row>
    <row r="1952">
      <c r="A1952">
        <f>Sheet1!K1952</f>
        <v/>
      </c>
      <c r="B1952">
        <f>IF(ISNA(Sheet1!I1952),NA(),Sheet1!$O$5-(Sheet1!I1952/Sheet1!$O$6))</f>
        <v/>
      </c>
    </row>
    <row r="1953">
      <c r="A1953">
        <f>Sheet1!K1953</f>
        <v/>
      </c>
      <c r="B1953">
        <f>IF(ISNA(Sheet1!I1953),NA(),Sheet1!$O$5-(Sheet1!I1953/Sheet1!$O$6))</f>
        <v/>
      </c>
    </row>
    <row r="1954">
      <c r="A1954">
        <f>Sheet1!K1954</f>
        <v/>
      </c>
      <c r="B1954">
        <f>IF(ISNA(Sheet1!I1954),NA(),Sheet1!$O$5-(Sheet1!I1954/Sheet1!$O$6))</f>
        <v/>
      </c>
    </row>
    <row r="1955">
      <c r="A1955">
        <f>Sheet1!K1955</f>
        <v/>
      </c>
      <c r="B1955">
        <f>IF(ISNA(Sheet1!I1955),NA(),Sheet1!$O$5-(Sheet1!I1955/Sheet1!$O$6))</f>
        <v/>
      </c>
    </row>
    <row r="1956">
      <c r="A1956">
        <f>Sheet1!K1956</f>
        <v/>
      </c>
      <c r="B1956">
        <f>IF(ISNA(Sheet1!I1956),NA(),Sheet1!$O$5-(Sheet1!I1956/Sheet1!$O$6))</f>
        <v/>
      </c>
    </row>
    <row r="1957">
      <c r="A1957">
        <f>Sheet1!K1957</f>
        <v/>
      </c>
      <c r="B1957">
        <f>IF(ISNA(Sheet1!I1957),NA(),Sheet1!$O$5-(Sheet1!I1957/Sheet1!$O$6))</f>
        <v/>
      </c>
    </row>
    <row r="1958">
      <c r="A1958">
        <f>Sheet1!K1958</f>
        <v/>
      </c>
      <c r="B1958">
        <f>IF(ISNA(Sheet1!I1958),NA(),Sheet1!$O$5-(Sheet1!I1958/Sheet1!$O$6))</f>
        <v/>
      </c>
    </row>
    <row r="1959">
      <c r="A1959">
        <f>Sheet1!K1959</f>
        <v/>
      </c>
      <c r="B1959">
        <f>IF(ISNA(Sheet1!I1959),NA(),Sheet1!$O$5-(Sheet1!I1959/Sheet1!$O$6))</f>
        <v/>
      </c>
    </row>
    <row r="1960">
      <c r="A1960">
        <f>Sheet1!K1960</f>
        <v/>
      </c>
      <c r="B1960">
        <f>IF(ISNA(Sheet1!I1960),NA(),Sheet1!$O$5-(Sheet1!I1960/Sheet1!$O$6))</f>
        <v/>
      </c>
    </row>
    <row r="1961">
      <c r="A1961">
        <f>Sheet1!K1961</f>
        <v/>
      </c>
      <c r="B1961">
        <f>IF(ISNA(Sheet1!I1961),NA(),Sheet1!$O$5-(Sheet1!I1961/Sheet1!$O$6))</f>
        <v/>
      </c>
    </row>
    <row r="1962">
      <c r="A1962">
        <f>Sheet1!K1962</f>
        <v/>
      </c>
      <c r="B1962">
        <f>IF(ISNA(Sheet1!I1962),NA(),Sheet1!$O$5-(Sheet1!I1962/Sheet1!$O$6))</f>
        <v/>
      </c>
    </row>
    <row r="1963">
      <c r="A1963">
        <f>Sheet1!K1963</f>
        <v/>
      </c>
      <c r="B1963">
        <f>IF(ISNA(Sheet1!I1963),NA(),Sheet1!$O$5-(Sheet1!I1963/Sheet1!$O$6))</f>
        <v/>
      </c>
    </row>
    <row r="1964">
      <c r="A1964">
        <f>Sheet1!K1964</f>
        <v/>
      </c>
      <c r="B1964">
        <f>IF(ISNA(Sheet1!I1964),NA(),Sheet1!$O$5-(Sheet1!I1964/Sheet1!$O$6))</f>
        <v/>
      </c>
    </row>
    <row r="1965">
      <c r="A1965">
        <f>Sheet1!K1965</f>
        <v/>
      </c>
      <c r="B1965">
        <f>IF(ISNA(Sheet1!I1965),NA(),Sheet1!$O$5-(Sheet1!I1965/Sheet1!$O$6))</f>
        <v/>
      </c>
    </row>
    <row r="1966">
      <c r="A1966">
        <f>Sheet1!K1966</f>
        <v/>
      </c>
      <c r="B1966">
        <f>IF(ISNA(Sheet1!I1966),NA(),Sheet1!$O$5-(Sheet1!I1966/Sheet1!$O$6))</f>
        <v/>
      </c>
    </row>
    <row r="1967">
      <c r="A1967">
        <f>Sheet1!K1967</f>
        <v/>
      </c>
      <c r="B1967">
        <f>IF(ISNA(Sheet1!I1967),NA(),Sheet1!$O$5-(Sheet1!I1967/Sheet1!$O$6))</f>
        <v/>
      </c>
    </row>
    <row r="1968">
      <c r="A1968">
        <f>Sheet1!K1968</f>
        <v/>
      </c>
      <c r="B1968">
        <f>IF(ISNA(Sheet1!I1968),NA(),Sheet1!$O$5-(Sheet1!I1968/Sheet1!$O$6))</f>
        <v/>
      </c>
    </row>
    <row r="1969">
      <c r="A1969">
        <f>Sheet1!K1969</f>
        <v/>
      </c>
      <c r="B1969">
        <f>IF(ISNA(Sheet1!I1969),NA(),Sheet1!$O$5-(Sheet1!I1969/Sheet1!$O$6))</f>
        <v/>
      </c>
    </row>
    <row r="1970">
      <c r="A1970">
        <f>Sheet1!K1970</f>
        <v/>
      </c>
      <c r="B1970">
        <f>IF(ISNA(Sheet1!I1970),NA(),Sheet1!$O$5-(Sheet1!I1970/Sheet1!$O$6))</f>
        <v/>
      </c>
    </row>
    <row r="1971">
      <c r="A1971">
        <f>Sheet1!K1971</f>
        <v/>
      </c>
      <c r="B1971">
        <f>IF(ISNA(Sheet1!I1971),NA(),Sheet1!$O$5-(Sheet1!I1971/Sheet1!$O$6))</f>
        <v/>
      </c>
    </row>
    <row r="1972">
      <c r="A1972">
        <f>Sheet1!K1972</f>
        <v/>
      </c>
      <c r="B1972">
        <f>IF(ISNA(Sheet1!I1972),NA(),Sheet1!$O$5-(Sheet1!I1972/Sheet1!$O$6))</f>
        <v/>
      </c>
    </row>
    <row r="1973">
      <c r="A1973">
        <f>Sheet1!K1973</f>
        <v/>
      </c>
      <c r="B1973">
        <f>IF(ISNA(Sheet1!I1973),NA(),Sheet1!$O$5-(Sheet1!I1973/Sheet1!$O$6))</f>
        <v/>
      </c>
    </row>
    <row r="1974">
      <c r="A1974">
        <f>Sheet1!K1974</f>
        <v/>
      </c>
      <c r="B1974">
        <f>IF(ISNA(Sheet1!I1974),NA(),Sheet1!$O$5-(Sheet1!I1974/Sheet1!$O$6))</f>
        <v/>
      </c>
    </row>
    <row r="1975">
      <c r="A1975">
        <f>Sheet1!K1975</f>
        <v/>
      </c>
      <c r="B1975">
        <f>IF(ISNA(Sheet1!I1975),NA(),Sheet1!$O$5-(Sheet1!I1975/Sheet1!$O$6))</f>
        <v/>
      </c>
    </row>
    <row r="1976">
      <c r="A1976">
        <f>Sheet1!K1976</f>
        <v/>
      </c>
      <c r="B1976">
        <f>IF(ISNA(Sheet1!I1976),NA(),Sheet1!$O$5-(Sheet1!I1976/Sheet1!$O$6))</f>
        <v/>
      </c>
    </row>
    <row r="1977">
      <c r="A1977">
        <f>Sheet1!K1977</f>
        <v/>
      </c>
      <c r="B1977">
        <f>IF(ISNA(Sheet1!I1977),NA(),Sheet1!$O$5-(Sheet1!I1977/Sheet1!$O$6))</f>
        <v/>
      </c>
    </row>
    <row r="1978">
      <c r="A1978">
        <f>Sheet1!K1978</f>
        <v/>
      </c>
      <c r="B1978">
        <f>IF(ISNA(Sheet1!I1978),NA(),Sheet1!$O$5-(Sheet1!I1978/Sheet1!$O$6))</f>
        <v/>
      </c>
    </row>
    <row r="1979">
      <c r="A1979">
        <f>Sheet1!K1979</f>
        <v/>
      </c>
      <c r="B1979">
        <f>IF(ISNA(Sheet1!I1979),NA(),Sheet1!$O$5-(Sheet1!I1979/Sheet1!$O$6))</f>
        <v/>
      </c>
    </row>
    <row r="1980">
      <c r="A1980">
        <f>Sheet1!K1980</f>
        <v/>
      </c>
      <c r="B1980">
        <f>IF(ISNA(Sheet1!I1980),NA(),Sheet1!$O$5-(Sheet1!I1980/Sheet1!$O$6))</f>
        <v/>
      </c>
    </row>
    <row r="1981">
      <c r="A1981">
        <f>Sheet1!K1981</f>
        <v/>
      </c>
      <c r="B1981">
        <f>IF(ISNA(Sheet1!I1981),NA(),Sheet1!$O$5-(Sheet1!I1981/Sheet1!$O$6))</f>
        <v/>
      </c>
    </row>
    <row r="1982">
      <c r="A1982">
        <f>Sheet1!K1982</f>
        <v/>
      </c>
      <c r="B1982">
        <f>IF(ISNA(Sheet1!I1982),NA(),Sheet1!$O$5-(Sheet1!I1982/Sheet1!$O$6))</f>
        <v/>
      </c>
    </row>
    <row r="1983">
      <c r="A1983">
        <f>Sheet1!K1983</f>
        <v/>
      </c>
      <c r="B1983">
        <f>IF(ISNA(Sheet1!I1983),NA(),Sheet1!$O$5-(Sheet1!I1983/Sheet1!$O$6))</f>
        <v/>
      </c>
    </row>
    <row r="1984">
      <c r="A1984">
        <f>Sheet1!K1984</f>
        <v/>
      </c>
      <c r="B1984">
        <f>IF(ISNA(Sheet1!I1984),NA(),Sheet1!$O$5-(Sheet1!I1984/Sheet1!$O$6))</f>
        <v/>
      </c>
    </row>
    <row r="1985">
      <c r="A1985">
        <f>Sheet1!K1985</f>
        <v/>
      </c>
      <c r="B1985">
        <f>IF(ISNA(Sheet1!I1985),NA(),Sheet1!$O$5-(Sheet1!I1985/Sheet1!$O$6))</f>
        <v/>
      </c>
    </row>
    <row r="1986">
      <c r="A1986">
        <f>Sheet1!K1986</f>
        <v/>
      </c>
      <c r="B1986">
        <f>IF(ISNA(Sheet1!I1986),NA(),Sheet1!$O$5-(Sheet1!I1986/Sheet1!$O$6))</f>
        <v/>
      </c>
    </row>
    <row r="1987">
      <c r="A1987">
        <f>Sheet1!K1987</f>
        <v/>
      </c>
      <c r="B1987">
        <f>IF(ISNA(Sheet1!I1987),NA(),Sheet1!$O$5-(Sheet1!I1987/Sheet1!$O$6))</f>
        <v/>
      </c>
    </row>
    <row r="1988">
      <c r="A1988">
        <f>Sheet1!K1988</f>
        <v/>
      </c>
      <c r="B1988">
        <f>IF(ISNA(Sheet1!I1988),NA(),Sheet1!$O$5-(Sheet1!I1988/Sheet1!$O$6))</f>
        <v/>
      </c>
    </row>
    <row r="1989">
      <c r="A1989">
        <f>Sheet1!K1989</f>
        <v/>
      </c>
      <c r="B1989">
        <f>IF(ISNA(Sheet1!I1989),NA(),Sheet1!$O$5-(Sheet1!I1989/Sheet1!$O$6))</f>
        <v/>
      </c>
    </row>
    <row r="1990">
      <c r="A1990">
        <f>Sheet1!K1990</f>
        <v/>
      </c>
      <c r="B1990">
        <f>IF(ISNA(Sheet1!I1990),NA(),Sheet1!$O$5-(Sheet1!I1990/Sheet1!$O$6))</f>
        <v/>
      </c>
    </row>
    <row r="1991">
      <c r="A1991">
        <f>Sheet1!K1991</f>
        <v/>
      </c>
      <c r="B1991">
        <f>IF(ISNA(Sheet1!I1991),NA(),Sheet1!$O$5-(Sheet1!I1991/Sheet1!$O$6))</f>
        <v/>
      </c>
    </row>
    <row r="1992">
      <c r="A1992">
        <f>Sheet1!K1992</f>
        <v/>
      </c>
      <c r="B1992">
        <f>IF(ISNA(Sheet1!I1992),NA(),Sheet1!$O$5-(Sheet1!I1992/Sheet1!$O$6))</f>
        <v/>
      </c>
    </row>
    <row r="1993">
      <c r="A1993">
        <f>Sheet1!K1993</f>
        <v/>
      </c>
      <c r="B1993">
        <f>IF(ISNA(Sheet1!I1993),NA(),Sheet1!$O$5-(Sheet1!I1993/Sheet1!$O$6))</f>
        <v/>
      </c>
    </row>
    <row r="1994">
      <c r="A1994">
        <f>Sheet1!K1994</f>
        <v/>
      </c>
      <c r="B1994">
        <f>IF(ISNA(Sheet1!I1994),NA(),Sheet1!$O$5-(Sheet1!I1994/Sheet1!$O$6))</f>
        <v/>
      </c>
    </row>
    <row r="1995">
      <c r="A1995">
        <f>Sheet1!K1995</f>
        <v/>
      </c>
      <c r="B1995">
        <f>IF(ISNA(Sheet1!I1995),NA(),Sheet1!$O$5-(Sheet1!I1995/Sheet1!$O$6))</f>
        <v/>
      </c>
    </row>
    <row r="1996">
      <c r="A1996">
        <f>Sheet1!K1996</f>
        <v/>
      </c>
      <c r="B1996">
        <f>IF(ISNA(Sheet1!I1996),NA(),Sheet1!$O$5-(Sheet1!I1996/Sheet1!$O$6))</f>
        <v/>
      </c>
    </row>
    <row r="1997">
      <c r="A1997">
        <f>Sheet1!K1997</f>
        <v/>
      </c>
      <c r="B1997">
        <f>IF(ISNA(Sheet1!I1997),NA(),Sheet1!$O$5-(Sheet1!I1997/Sheet1!$O$6))</f>
        <v/>
      </c>
    </row>
    <row r="1998">
      <c r="A1998">
        <f>Sheet1!K1998</f>
        <v/>
      </c>
      <c r="B1998">
        <f>IF(ISNA(Sheet1!I1998),NA(),Sheet1!$O$5-(Sheet1!I1998/Sheet1!$O$6))</f>
        <v/>
      </c>
    </row>
    <row r="1999">
      <c r="A1999">
        <f>Sheet1!K1999</f>
        <v/>
      </c>
      <c r="B1999">
        <f>IF(ISNA(Sheet1!I1999),NA(),Sheet1!$O$5-(Sheet1!I1999/Sheet1!$O$6))</f>
        <v/>
      </c>
    </row>
    <row r="2000">
      <c r="A2000">
        <f>Sheet1!K2000</f>
        <v/>
      </c>
      <c r="B2000">
        <f>IF(ISNA(Sheet1!I2000),NA(),Sheet1!$O$5-(Sheet1!I2000/Sheet1!$O$6))</f>
        <v/>
      </c>
    </row>
    <row r="2001">
      <c r="A2001">
        <f>Sheet1!K2001</f>
        <v/>
      </c>
      <c r="B2001">
        <f>IF(ISNA(Sheet1!I2001),NA(),Sheet1!$O$5-(Sheet1!I2001/Sheet1!$O$6))</f>
        <v/>
      </c>
    </row>
    <row r="2002">
      <c r="A2002">
        <f>Sheet1!K2002</f>
        <v/>
      </c>
      <c r="B2002">
        <f>IF(ISNA(Sheet1!I2002),NA(),Sheet1!$O$5-(Sheet1!I2002/Sheet1!$O$6))</f>
        <v/>
      </c>
    </row>
    <row r="2003">
      <c r="A2003">
        <f>Sheet1!K2003</f>
        <v/>
      </c>
      <c r="B2003">
        <f>IF(ISNA(Sheet1!I2003),NA(),Sheet1!$O$5-(Sheet1!I2003/Sheet1!$O$6))</f>
        <v/>
      </c>
    </row>
    <row r="2004">
      <c r="A2004">
        <f>Sheet1!K2004</f>
        <v/>
      </c>
      <c r="B2004">
        <f>IF(ISNA(Sheet1!I2004),NA(),Sheet1!$O$5-(Sheet1!I2004/Sheet1!$O$6))</f>
        <v/>
      </c>
    </row>
    <row r="2005">
      <c r="A2005">
        <f>Sheet1!K2005</f>
        <v/>
      </c>
      <c r="B2005">
        <f>IF(ISNA(Sheet1!I2005),NA(),Sheet1!$O$5-(Sheet1!I2005/Sheet1!$O$6))</f>
        <v/>
      </c>
    </row>
    <row r="2006">
      <c r="A2006">
        <f>Sheet1!K2006</f>
        <v/>
      </c>
      <c r="B2006">
        <f>IF(ISNA(Sheet1!I2006),NA(),Sheet1!$O$5-(Sheet1!I2006/Sheet1!$O$6))</f>
        <v/>
      </c>
    </row>
    <row r="2007">
      <c r="A2007">
        <f>Sheet1!K2007</f>
        <v/>
      </c>
      <c r="B2007">
        <f>IF(ISNA(Sheet1!I2007),NA(),Sheet1!$O$5-(Sheet1!I2007/Sheet1!$O$6))</f>
        <v/>
      </c>
    </row>
    <row r="2008">
      <c r="A2008">
        <f>Sheet1!K2008</f>
        <v/>
      </c>
      <c r="B2008">
        <f>IF(ISNA(Sheet1!I2008),NA(),Sheet1!$O$5-(Sheet1!I2008/Sheet1!$O$6))</f>
        <v/>
      </c>
    </row>
    <row r="2009">
      <c r="A2009">
        <f>Sheet1!K2009</f>
        <v/>
      </c>
      <c r="B2009">
        <f>IF(ISNA(Sheet1!I2009),NA(),Sheet1!$O$5-(Sheet1!I2009/Sheet1!$O$6))</f>
        <v/>
      </c>
    </row>
    <row r="2010">
      <c r="A2010">
        <f>Sheet1!K2010</f>
        <v/>
      </c>
      <c r="B2010">
        <f>IF(ISNA(Sheet1!I2010),NA(),Sheet1!$O$5-(Sheet1!I2010/Sheet1!$O$6))</f>
        <v/>
      </c>
    </row>
    <row r="2011">
      <c r="A2011">
        <f>Sheet1!K2011</f>
        <v/>
      </c>
      <c r="B2011">
        <f>IF(ISNA(Sheet1!I2011),NA(),Sheet1!$O$5-(Sheet1!I2011/Sheet1!$O$6))</f>
        <v/>
      </c>
    </row>
    <row r="2012">
      <c r="A2012">
        <f>Sheet1!K2012</f>
        <v/>
      </c>
      <c r="B2012">
        <f>IF(ISNA(Sheet1!I2012),NA(),Sheet1!$O$5-(Sheet1!I2012/Sheet1!$O$6))</f>
        <v/>
      </c>
    </row>
    <row r="2013">
      <c r="A2013">
        <f>Sheet1!K2013</f>
        <v/>
      </c>
      <c r="B2013">
        <f>IF(ISNA(Sheet1!I2013),NA(),Sheet1!$O$5-(Sheet1!I2013/Sheet1!$O$6))</f>
        <v/>
      </c>
    </row>
    <row r="2014">
      <c r="A2014">
        <f>Sheet1!K2014</f>
        <v/>
      </c>
      <c r="B2014">
        <f>IF(ISNA(Sheet1!I2014),NA(),Sheet1!$O$5-(Sheet1!I2014/Sheet1!$O$6))</f>
        <v/>
      </c>
    </row>
    <row r="2015">
      <c r="A2015">
        <f>Sheet1!K2015</f>
        <v/>
      </c>
      <c r="B2015">
        <f>IF(ISNA(Sheet1!I2015),NA(),Sheet1!$O$5-(Sheet1!I2015/Sheet1!$O$6))</f>
        <v/>
      </c>
    </row>
    <row r="2016">
      <c r="A2016">
        <f>Sheet1!K2016</f>
        <v/>
      </c>
      <c r="B2016">
        <f>IF(ISNA(Sheet1!I2016),NA(),Sheet1!$O$5-(Sheet1!I2016/Sheet1!$O$6))</f>
        <v/>
      </c>
    </row>
    <row r="2017">
      <c r="A2017">
        <f>Sheet1!K2017</f>
        <v/>
      </c>
      <c r="B2017">
        <f>IF(ISNA(Sheet1!I2017),NA(),Sheet1!$O$5-(Sheet1!I2017/Sheet1!$O$6))</f>
        <v/>
      </c>
    </row>
    <row r="2018">
      <c r="A2018">
        <f>Sheet1!K2018</f>
        <v/>
      </c>
      <c r="B2018">
        <f>IF(ISNA(Sheet1!I2018),NA(),Sheet1!$O$5-(Sheet1!I2018/Sheet1!$O$6))</f>
        <v/>
      </c>
    </row>
    <row r="2019">
      <c r="A2019">
        <f>Sheet1!K2019</f>
        <v/>
      </c>
      <c r="B2019">
        <f>IF(ISNA(Sheet1!I2019),NA(),Sheet1!$O$5-(Sheet1!I2019/Sheet1!$O$6))</f>
        <v/>
      </c>
    </row>
    <row r="2020">
      <c r="A2020">
        <f>Sheet1!K2020</f>
        <v/>
      </c>
      <c r="B2020">
        <f>IF(ISNA(Sheet1!I2020),NA(),Sheet1!$O$5-(Sheet1!I2020/Sheet1!$O$6))</f>
        <v/>
      </c>
    </row>
    <row r="2021">
      <c r="A2021">
        <f>Sheet1!K2021</f>
        <v/>
      </c>
      <c r="B2021">
        <f>IF(ISNA(Sheet1!I2021),NA(),Sheet1!$O$5-(Sheet1!I2021/Sheet1!$O$6))</f>
        <v/>
      </c>
    </row>
    <row r="2022">
      <c r="A2022">
        <f>Sheet1!K2022</f>
        <v/>
      </c>
      <c r="B2022">
        <f>IF(ISNA(Sheet1!I2022),NA(),Sheet1!$O$5-(Sheet1!I2022/Sheet1!$O$6))</f>
        <v/>
      </c>
    </row>
    <row r="2023">
      <c r="A2023">
        <f>Sheet1!K2023</f>
        <v/>
      </c>
      <c r="B2023">
        <f>IF(ISNA(Sheet1!I2023),NA(),Sheet1!$O$5-(Sheet1!I2023/Sheet1!$O$6))</f>
        <v/>
      </c>
    </row>
    <row r="2024">
      <c r="A2024">
        <f>Sheet1!K2024</f>
        <v/>
      </c>
      <c r="B2024">
        <f>IF(ISNA(Sheet1!I2024),NA(),Sheet1!$O$5-(Sheet1!I2024/Sheet1!$O$6))</f>
        <v/>
      </c>
    </row>
    <row r="2025">
      <c r="A2025">
        <f>Sheet1!K2025</f>
        <v/>
      </c>
      <c r="B2025">
        <f>IF(ISNA(Sheet1!I2025),NA(),Sheet1!$O$5-(Sheet1!I2025/Sheet1!$O$6))</f>
        <v/>
      </c>
    </row>
    <row r="2026">
      <c r="A2026">
        <f>Sheet1!K2026</f>
        <v/>
      </c>
      <c r="B2026">
        <f>IF(ISNA(Sheet1!I2026),NA(),Sheet1!$O$5-(Sheet1!I2026/Sheet1!$O$6))</f>
        <v/>
      </c>
    </row>
    <row r="2027">
      <c r="A2027">
        <f>Sheet1!K2027</f>
        <v/>
      </c>
      <c r="B2027">
        <f>IF(ISNA(Sheet1!I2027),NA(),Sheet1!$O$5-(Sheet1!I2027/Sheet1!$O$6))</f>
        <v/>
      </c>
    </row>
    <row r="2028">
      <c r="A2028">
        <f>Sheet1!K2028</f>
        <v/>
      </c>
      <c r="B2028">
        <f>IF(ISNA(Sheet1!I2028),NA(),Sheet1!$O$5-(Sheet1!I2028/Sheet1!$O$6))</f>
        <v/>
      </c>
    </row>
    <row r="2029">
      <c r="A2029">
        <f>Sheet1!K2029</f>
        <v/>
      </c>
      <c r="B2029">
        <f>IF(ISNA(Sheet1!I2029),NA(),Sheet1!$O$5-(Sheet1!I2029/Sheet1!$O$6))</f>
        <v/>
      </c>
    </row>
    <row r="2030">
      <c r="A2030">
        <f>Sheet1!K2030</f>
        <v/>
      </c>
      <c r="B2030">
        <f>IF(ISNA(Sheet1!I2030),NA(),Sheet1!$O$5-(Sheet1!I2030/Sheet1!$O$6))</f>
        <v/>
      </c>
    </row>
    <row r="2031">
      <c r="A2031">
        <f>Sheet1!K2031</f>
        <v/>
      </c>
      <c r="B2031">
        <f>IF(ISNA(Sheet1!I2031),NA(),Sheet1!$O$5-(Sheet1!I2031/Sheet1!$O$6))</f>
        <v/>
      </c>
    </row>
    <row r="2032">
      <c r="A2032">
        <f>Sheet1!K2032</f>
        <v/>
      </c>
      <c r="B2032">
        <f>IF(ISNA(Sheet1!I2032),NA(),Sheet1!$O$5-(Sheet1!I2032/Sheet1!$O$6))</f>
        <v/>
      </c>
    </row>
    <row r="2033">
      <c r="A2033">
        <f>Sheet1!K2033</f>
        <v/>
      </c>
      <c r="B2033">
        <f>IF(ISNA(Sheet1!I2033),NA(),Sheet1!$O$5-(Sheet1!I2033/Sheet1!$O$6))</f>
        <v/>
      </c>
    </row>
    <row r="2034">
      <c r="A2034">
        <f>Sheet1!K2034</f>
        <v/>
      </c>
      <c r="B2034">
        <f>IF(ISNA(Sheet1!I2034),NA(),Sheet1!$O$5-(Sheet1!I2034/Sheet1!$O$6))</f>
        <v/>
      </c>
    </row>
    <row r="2035">
      <c r="A2035">
        <f>Sheet1!K2035</f>
        <v/>
      </c>
      <c r="B2035">
        <f>IF(ISNA(Sheet1!I2035),NA(),Sheet1!$O$5-(Sheet1!I2035/Sheet1!$O$6))</f>
        <v/>
      </c>
    </row>
    <row r="2036">
      <c r="A2036">
        <f>Sheet1!K2036</f>
        <v/>
      </c>
      <c r="B2036">
        <f>IF(ISNA(Sheet1!I2036),NA(),Sheet1!$O$5-(Sheet1!I2036/Sheet1!$O$6))</f>
        <v/>
      </c>
    </row>
    <row r="2037">
      <c r="A2037">
        <f>Sheet1!K2037</f>
        <v/>
      </c>
      <c r="B2037">
        <f>IF(ISNA(Sheet1!I2037),NA(),Sheet1!$O$5-(Sheet1!I2037/Sheet1!$O$6))</f>
        <v/>
      </c>
    </row>
    <row r="2038">
      <c r="A2038">
        <f>Sheet1!K2038</f>
        <v/>
      </c>
      <c r="B2038">
        <f>IF(ISNA(Sheet1!I2038),NA(),Sheet1!$O$5-(Sheet1!I2038/Sheet1!$O$6))</f>
        <v/>
      </c>
    </row>
    <row r="2039">
      <c r="A2039">
        <f>Sheet1!K2039</f>
        <v/>
      </c>
      <c r="B2039">
        <f>IF(ISNA(Sheet1!I2039),NA(),Sheet1!$O$5-(Sheet1!I2039/Sheet1!$O$6))</f>
        <v/>
      </c>
    </row>
    <row r="2040">
      <c r="A2040">
        <f>Sheet1!K2040</f>
        <v/>
      </c>
      <c r="B2040">
        <f>IF(ISNA(Sheet1!I2040),NA(),Sheet1!$O$5-(Sheet1!I2040/Sheet1!$O$6))</f>
        <v/>
      </c>
    </row>
    <row r="2041">
      <c r="A2041">
        <f>Sheet1!K2041</f>
        <v/>
      </c>
      <c r="B2041">
        <f>IF(ISNA(Sheet1!I2041),NA(),Sheet1!$O$5-(Sheet1!I2041/Sheet1!$O$6))</f>
        <v/>
      </c>
    </row>
    <row r="2042">
      <c r="A2042">
        <f>Sheet1!K2042</f>
        <v/>
      </c>
      <c r="B2042">
        <f>IF(ISNA(Sheet1!I2042),NA(),Sheet1!$O$5-(Sheet1!I2042/Sheet1!$O$6))</f>
        <v/>
      </c>
    </row>
    <row r="2043">
      <c r="A2043">
        <f>Sheet1!K2043</f>
        <v/>
      </c>
      <c r="B2043">
        <f>IF(ISNA(Sheet1!I2043),NA(),Sheet1!$O$5-(Sheet1!I2043/Sheet1!$O$6))</f>
        <v/>
      </c>
    </row>
    <row r="2044">
      <c r="A2044">
        <f>Sheet1!K2044</f>
        <v/>
      </c>
      <c r="B2044">
        <f>IF(ISNA(Sheet1!I2044),NA(),Sheet1!$O$5-(Sheet1!I2044/Sheet1!$O$6))</f>
        <v/>
      </c>
    </row>
    <row r="2045">
      <c r="A2045">
        <f>Sheet1!K2045</f>
        <v/>
      </c>
      <c r="B2045">
        <f>IF(ISNA(Sheet1!I2045),NA(),Sheet1!$O$5-(Sheet1!I2045/Sheet1!$O$6))</f>
        <v/>
      </c>
    </row>
    <row r="2046">
      <c r="A2046">
        <f>Sheet1!K2046</f>
        <v/>
      </c>
      <c r="B2046">
        <f>IF(ISNA(Sheet1!I2046),NA(),Sheet1!$O$5-(Sheet1!I2046/Sheet1!$O$6))</f>
        <v/>
      </c>
    </row>
    <row r="2047">
      <c r="A2047">
        <f>Sheet1!K2047</f>
        <v/>
      </c>
      <c r="B2047">
        <f>IF(ISNA(Sheet1!I2047),NA(),Sheet1!$O$5-(Sheet1!I2047/Sheet1!$O$6))</f>
        <v/>
      </c>
    </row>
    <row r="2048">
      <c r="A2048">
        <f>Sheet1!K2048</f>
        <v/>
      </c>
      <c r="B2048">
        <f>IF(ISNA(Sheet1!I2048),NA(),Sheet1!$O$5-(Sheet1!I2048/Sheet1!$O$6))</f>
        <v/>
      </c>
    </row>
    <row r="2049">
      <c r="A2049">
        <f>Sheet1!K2049</f>
        <v/>
      </c>
      <c r="B2049">
        <f>IF(ISNA(Sheet1!I2049),NA(),Sheet1!$O$5-(Sheet1!I2049/Sheet1!$O$6))</f>
        <v/>
      </c>
    </row>
    <row r="2050">
      <c r="A2050">
        <f>Sheet1!K2050</f>
        <v/>
      </c>
      <c r="B2050">
        <f>IF(ISNA(Sheet1!I2050),NA(),Sheet1!$O$5-(Sheet1!I2050/Sheet1!$O$6))</f>
        <v/>
      </c>
    </row>
    <row r="2051">
      <c r="A2051">
        <f>Sheet1!K2051</f>
        <v/>
      </c>
      <c r="B2051">
        <f>IF(ISNA(Sheet1!I2051),NA(),Sheet1!$O$5-(Sheet1!I2051/Sheet1!$O$6))</f>
        <v/>
      </c>
    </row>
    <row r="2052">
      <c r="A2052">
        <f>Sheet1!K2052</f>
        <v/>
      </c>
      <c r="B2052">
        <f>IF(ISNA(Sheet1!I2052),NA(),Sheet1!$O$5-(Sheet1!I2052/Sheet1!$O$6))</f>
        <v/>
      </c>
    </row>
    <row r="2053">
      <c r="A2053">
        <f>Sheet1!K2053</f>
        <v/>
      </c>
      <c r="B2053">
        <f>IF(ISNA(Sheet1!I2053),NA(),Sheet1!$O$5-(Sheet1!I2053/Sheet1!$O$6))</f>
        <v/>
      </c>
    </row>
    <row r="2054">
      <c r="A2054">
        <f>Sheet1!K2054</f>
        <v/>
      </c>
      <c r="B2054">
        <f>IF(ISNA(Sheet1!I2054),NA(),Sheet1!$O$5-(Sheet1!I2054/Sheet1!$O$6))</f>
        <v/>
      </c>
    </row>
    <row r="2055">
      <c r="A2055">
        <f>Sheet1!K2055</f>
        <v/>
      </c>
      <c r="B2055">
        <f>IF(ISNA(Sheet1!I2055),NA(),Sheet1!$O$5-(Sheet1!I2055/Sheet1!$O$6))</f>
        <v/>
      </c>
    </row>
    <row r="2056">
      <c r="A2056">
        <f>Sheet1!K2056</f>
        <v/>
      </c>
      <c r="B2056">
        <f>IF(ISNA(Sheet1!I2056),NA(),Sheet1!$O$5-(Sheet1!I2056/Sheet1!$O$6))</f>
        <v/>
      </c>
    </row>
    <row r="2057">
      <c r="A2057">
        <f>Sheet1!K2057</f>
        <v/>
      </c>
      <c r="B2057">
        <f>IF(ISNA(Sheet1!I2057),NA(),Sheet1!$O$5-(Sheet1!I2057/Sheet1!$O$6))</f>
        <v/>
      </c>
    </row>
    <row r="2058">
      <c r="A2058">
        <f>Sheet1!K2058</f>
        <v/>
      </c>
      <c r="B2058">
        <f>IF(ISNA(Sheet1!I2058),NA(),Sheet1!$O$5-(Sheet1!I2058/Sheet1!$O$6))</f>
        <v/>
      </c>
    </row>
    <row r="2059">
      <c r="A2059">
        <f>Sheet1!K2059</f>
        <v/>
      </c>
      <c r="B2059">
        <f>IF(ISNA(Sheet1!I2059),NA(),Sheet1!$O$5-(Sheet1!I2059/Sheet1!$O$6))</f>
        <v/>
      </c>
    </row>
    <row r="2060">
      <c r="A2060">
        <f>Sheet1!K2060</f>
        <v/>
      </c>
      <c r="B2060">
        <f>IF(ISNA(Sheet1!I2060),NA(),Sheet1!$O$5-(Sheet1!I2060/Sheet1!$O$6))</f>
        <v/>
      </c>
    </row>
    <row r="2061">
      <c r="A2061">
        <f>Sheet1!K2061</f>
        <v/>
      </c>
      <c r="B2061">
        <f>IF(ISNA(Sheet1!I2061),NA(),Sheet1!$O$5-(Sheet1!I2061/Sheet1!$O$6))</f>
        <v/>
      </c>
    </row>
    <row r="2062">
      <c r="A2062">
        <f>Sheet1!K2062</f>
        <v/>
      </c>
      <c r="B2062">
        <f>IF(ISNA(Sheet1!I2062),NA(),Sheet1!$O$5-(Sheet1!I2062/Sheet1!$O$6))</f>
        <v/>
      </c>
    </row>
    <row r="2063">
      <c r="A2063">
        <f>Sheet1!K2063</f>
        <v/>
      </c>
      <c r="B2063">
        <f>IF(ISNA(Sheet1!I2063),NA(),Sheet1!$O$5-(Sheet1!I2063/Sheet1!$O$6))</f>
        <v/>
      </c>
    </row>
    <row r="2064">
      <c r="A2064">
        <f>Sheet1!K2064</f>
        <v/>
      </c>
      <c r="B2064">
        <f>IF(ISNA(Sheet1!I2064),NA(),Sheet1!$O$5-(Sheet1!I2064/Sheet1!$O$6))</f>
        <v/>
      </c>
    </row>
    <row r="2065">
      <c r="A2065">
        <f>Sheet1!K2065</f>
        <v/>
      </c>
      <c r="B2065">
        <f>IF(ISNA(Sheet1!I2065),NA(),Sheet1!$O$5-(Sheet1!I2065/Sheet1!$O$6))</f>
        <v/>
      </c>
    </row>
    <row r="2066">
      <c r="A2066">
        <f>Sheet1!K2066</f>
        <v/>
      </c>
      <c r="B2066">
        <f>IF(ISNA(Sheet1!I2066),NA(),Sheet1!$O$5-(Sheet1!I2066/Sheet1!$O$6))</f>
        <v/>
      </c>
    </row>
    <row r="2067">
      <c r="A2067">
        <f>Sheet1!K2067</f>
        <v/>
      </c>
      <c r="B2067">
        <f>IF(ISNA(Sheet1!I2067),NA(),Sheet1!$O$5-(Sheet1!I2067/Sheet1!$O$6))</f>
        <v/>
      </c>
    </row>
    <row r="2068">
      <c r="A2068">
        <f>Sheet1!K2068</f>
        <v/>
      </c>
      <c r="B2068">
        <f>IF(ISNA(Sheet1!I2068),NA(),Sheet1!$O$5-(Sheet1!I2068/Sheet1!$O$6))</f>
        <v/>
      </c>
    </row>
    <row r="2069">
      <c r="A2069">
        <f>Sheet1!K2069</f>
        <v/>
      </c>
      <c r="B2069">
        <f>IF(ISNA(Sheet1!I2069),NA(),Sheet1!$O$5-(Sheet1!I2069/Sheet1!$O$6))</f>
        <v/>
      </c>
    </row>
    <row r="2070">
      <c r="A2070">
        <f>Sheet1!K2070</f>
        <v/>
      </c>
      <c r="B2070">
        <f>IF(ISNA(Sheet1!I2070),NA(),Sheet1!$O$5-(Sheet1!I2070/Sheet1!$O$6))</f>
        <v/>
      </c>
    </row>
    <row r="2071">
      <c r="A2071">
        <f>Sheet1!K2071</f>
        <v/>
      </c>
      <c r="B2071">
        <f>IF(ISNA(Sheet1!I2071),NA(),Sheet1!$O$5-(Sheet1!I2071/Sheet1!$O$6))</f>
        <v/>
      </c>
    </row>
    <row r="2072">
      <c r="A2072">
        <f>Sheet1!K2072</f>
        <v/>
      </c>
      <c r="B2072">
        <f>IF(ISNA(Sheet1!I2072),NA(),Sheet1!$O$5-(Sheet1!I2072/Sheet1!$O$6))</f>
        <v/>
      </c>
    </row>
    <row r="2073">
      <c r="A2073">
        <f>Sheet1!K2073</f>
        <v/>
      </c>
      <c r="B2073">
        <f>IF(ISNA(Sheet1!I2073),NA(),Sheet1!$O$5-(Sheet1!I2073/Sheet1!$O$6))</f>
        <v/>
      </c>
    </row>
    <row r="2074">
      <c r="A2074">
        <f>Sheet1!K2074</f>
        <v/>
      </c>
      <c r="B2074">
        <f>IF(ISNA(Sheet1!I2074),NA(),Sheet1!$O$5-(Sheet1!I2074/Sheet1!$O$6))</f>
        <v/>
      </c>
    </row>
    <row r="2075">
      <c r="A2075">
        <f>Sheet1!K2075</f>
        <v/>
      </c>
      <c r="B2075">
        <f>IF(ISNA(Sheet1!I2075),NA(),Sheet1!$O$5-(Sheet1!I2075/Sheet1!$O$6))</f>
        <v/>
      </c>
    </row>
    <row r="2076">
      <c r="A2076">
        <f>Sheet1!K2076</f>
        <v/>
      </c>
      <c r="B2076">
        <f>IF(ISNA(Sheet1!I2076),NA(),Sheet1!$O$5-(Sheet1!I2076/Sheet1!$O$6))</f>
        <v/>
      </c>
    </row>
    <row r="2077">
      <c r="A2077">
        <f>Sheet1!K2077</f>
        <v/>
      </c>
      <c r="B2077">
        <f>IF(ISNA(Sheet1!I2077),NA(),Sheet1!$O$5-(Sheet1!I2077/Sheet1!$O$6))</f>
        <v/>
      </c>
    </row>
    <row r="2078">
      <c r="A2078">
        <f>Sheet1!K2078</f>
        <v/>
      </c>
      <c r="B2078">
        <f>IF(ISNA(Sheet1!I2078),NA(),Sheet1!$O$5-(Sheet1!I2078/Sheet1!$O$6))</f>
        <v/>
      </c>
    </row>
    <row r="2079">
      <c r="A2079">
        <f>Sheet1!K2079</f>
        <v/>
      </c>
      <c r="B2079">
        <f>IF(ISNA(Sheet1!I2079),NA(),Sheet1!$O$5-(Sheet1!I2079/Sheet1!$O$6))</f>
        <v/>
      </c>
    </row>
    <row r="2080">
      <c r="A2080">
        <f>Sheet1!K2080</f>
        <v/>
      </c>
      <c r="B2080">
        <f>IF(ISNA(Sheet1!I2080),NA(),Sheet1!$O$5-(Sheet1!I2080/Sheet1!$O$6))</f>
        <v/>
      </c>
    </row>
    <row r="2081">
      <c r="A2081">
        <f>Sheet1!K2081</f>
        <v/>
      </c>
      <c r="B2081">
        <f>IF(ISNA(Sheet1!I2081),NA(),Sheet1!$O$5-(Sheet1!I2081/Sheet1!$O$6))</f>
        <v/>
      </c>
    </row>
    <row r="2082">
      <c r="A2082">
        <f>Sheet1!K2082</f>
        <v/>
      </c>
      <c r="B2082">
        <f>IF(ISNA(Sheet1!I2082),NA(),Sheet1!$O$5-(Sheet1!I2082/Sheet1!$O$6))</f>
        <v/>
      </c>
    </row>
    <row r="2083">
      <c r="A2083">
        <f>Sheet1!K2083</f>
        <v/>
      </c>
      <c r="B2083">
        <f>IF(ISNA(Sheet1!I2083),NA(),Sheet1!$O$5-(Sheet1!I2083/Sheet1!$O$6))</f>
        <v/>
      </c>
    </row>
    <row r="2084">
      <c r="A2084">
        <f>Sheet1!K2084</f>
        <v/>
      </c>
      <c r="B2084">
        <f>IF(ISNA(Sheet1!I2084),NA(),Sheet1!$O$5-(Sheet1!I2084/Sheet1!$O$6))</f>
        <v/>
      </c>
    </row>
    <row r="2085">
      <c r="A2085">
        <f>Sheet1!K2085</f>
        <v/>
      </c>
      <c r="B2085">
        <f>IF(ISNA(Sheet1!I2085),NA(),Sheet1!$O$5-(Sheet1!I2085/Sheet1!$O$6))</f>
        <v/>
      </c>
    </row>
    <row r="2086">
      <c r="A2086">
        <f>Sheet1!K2086</f>
        <v/>
      </c>
      <c r="B2086">
        <f>IF(ISNA(Sheet1!I2086),NA(),Sheet1!$O$5-(Sheet1!I2086/Sheet1!$O$6))</f>
        <v/>
      </c>
    </row>
    <row r="2087">
      <c r="A2087">
        <f>Sheet1!K2087</f>
        <v/>
      </c>
      <c r="B2087">
        <f>IF(ISNA(Sheet1!I2087),NA(),Sheet1!$O$5-(Sheet1!I2087/Sheet1!$O$6))</f>
        <v/>
      </c>
    </row>
    <row r="2088">
      <c r="A2088">
        <f>Sheet1!K2088</f>
        <v/>
      </c>
      <c r="B2088">
        <f>IF(ISNA(Sheet1!I2088),NA(),Sheet1!$O$5-(Sheet1!I2088/Sheet1!$O$6))</f>
        <v/>
      </c>
    </row>
    <row r="2089">
      <c r="A2089">
        <f>Sheet1!K2089</f>
        <v/>
      </c>
      <c r="B2089">
        <f>IF(ISNA(Sheet1!I2089),NA(),Sheet1!$O$5-(Sheet1!I2089/Sheet1!$O$6))</f>
        <v/>
      </c>
    </row>
    <row r="2090">
      <c r="A2090">
        <f>Sheet1!K2090</f>
        <v/>
      </c>
      <c r="B2090">
        <f>IF(ISNA(Sheet1!I2090),NA(),Sheet1!$O$5-(Sheet1!I2090/Sheet1!$O$6))</f>
        <v/>
      </c>
    </row>
    <row r="2091">
      <c r="A2091">
        <f>Sheet1!K2091</f>
        <v/>
      </c>
      <c r="B2091">
        <f>IF(ISNA(Sheet1!I2091),NA(),Sheet1!$O$5-(Sheet1!I2091/Sheet1!$O$6))</f>
        <v/>
      </c>
    </row>
    <row r="2092">
      <c r="A2092">
        <f>Sheet1!K2092</f>
        <v/>
      </c>
      <c r="B2092">
        <f>IF(ISNA(Sheet1!I2092),NA(),Sheet1!$O$5-(Sheet1!I2092/Sheet1!$O$6))</f>
        <v/>
      </c>
    </row>
    <row r="2093">
      <c r="A2093">
        <f>Sheet1!K2093</f>
        <v/>
      </c>
      <c r="B2093">
        <f>IF(ISNA(Sheet1!I2093),NA(),Sheet1!$O$5-(Sheet1!I2093/Sheet1!$O$6))</f>
        <v/>
      </c>
    </row>
    <row r="2094">
      <c r="A2094">
        <f>Sheet1!K2094</f>
        <v/>
      </c>
      <c r="B2094">
        <f>IF(ISNA(Sheet1!I2094),NA(),Sheet1!$O$5-(Sheet1!I2094/Sheet1!$O$6))</f>
        <v/>
      </c>
    </row>
    <row r="2095">
      <c r="A2095">
        <f>Sheet1!K2095</f>
        <v/>
      </c>
      <c r="B2095">
        <f>IF(ISNA(Sheet1!I2095),NA(),Sheet1!$O$5-(Sheet1!I2095/Sheet1!$O$6))</f>
        <v/>
      </c>
    </row>
    <row r="2096">
      <c r="A2096">
        <f>Sheet1!K2096</f>
        <v/>
      </c>
      <c r="B2096">
        <f>IF(ISNA(Sheet1!I2096),NA(),Sheet1!$O$5-(Sheet1!I2096/Sheet1!$O$6))</f>
        <v/>
      </c>
    </row>
    <row r="2097">
      <c r="A2097">
        <f>Sheet1!K2097</f>
        <v/>
      </c>
      <c r="B2097">
        <f>IF(ISNA(Sheet1!I2097),NA(),Sheet1!$O$5-(Sheet1!I2097/Sheet1!$O$6))</f>
        <v/>
      </c>
    </row>
    <row r="2098">
      <c r="A2098">
        <f>Sheet1!K2098</f>
        <v/>
      </c>
      <c r="B2098">
        <f>IF(ISNA(Sheet1!I2098),NA(),Sheet1!$O$5-(Sheet1!I2098/Sheet1!$O$6))</f>
        <v/>
      </c>
    </row>
    <row r="2099">
      <c r="A2099">
        <f>Sheet1!K2099</f>
        <v/>
      </c>
      <c r="B2099">
        <f>IF(ISNA(Sheet1!I2099),NA(),Sheet1!$O$5-(Sheet1!I2099/Sheet1!$O$6))</f>
        <v/>
      </c>
    </row>
    <row r="2100">
      <c r="A2100">
        <f>Sheet1!K2100</f>
        <v/>
      </c>
      <c r="B2100">
        <f>IF(ISNA(Sheet1!I2100),NA(),Sheet1!$O$5-(Sheet1!I2100/Sheet1!$O$6))</f>
        <v/>
      </c>
    </row>
    <row r="2101">
      <c r="A2101">
        <f>Sheet1!K2101</f>
        <v/>
      </c>
      <c r="B2101">
        <f>IF(ISNA(Sheet1!I2101),NA(),Sheet1!$O$5-(Sheet1!I2101/Sheet1!$O$6))</f>
        <v/>
      </c>
    </row>
    <row r="2102">
      <c r="A2102">
        <f>Sheet1!K2102</f>
        <v/>
      </c>
      <c r="B2102">
        <f>IF(ISNA(Sheet1!I2102),NA(),Sheet1!$O$5-(Sheet1!I2102/Sheet1!$O$6))</f>
        <v/>
      </c>
    </row>
    <row r="2103">
      <c r="A2103">
        <f>Sheet1!K2103</f>
        <v/>
      </c>
      <c r="B2103">
        <f>IF(ISNA(Sheet1!I2103),NA(),Sheet1!$O$5-(Sheet1!I2103/Sheet1!$O$6))</f>
        <v/>
      </c>
    </row>
    <row r="2104">
      <c r="A2104">
        <f>Sheet1!K2104</f>
        <v/>
      </c>
      <c r="B2104">
        <f>IF(ISNA(Sheet1!I2104),NA(),Sheet1!$O$5-(Sheet1!I2104/Sheet1!$O$6))</f>
        <v/>
      </c>
    </row>
    <row r="2105">
      <c r="A2105">
        <f>Sheet1!K2105</f>
        <v/>
      </c>
      <c r="B2105">
        <f>IF(ISNA(Sheet1!I2105),NA(),Sheet1!$O$5-(Sheet1!I2105/Sheet1!$O$6))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2026-08-07T13:41:03Z</dcterms:created>
  <dcterms:modified xsi:type="dcterms:W3CDTF">2026-08-07T14:57:15Z</dcterms:modified>
</cp:coreProperties>
</file>