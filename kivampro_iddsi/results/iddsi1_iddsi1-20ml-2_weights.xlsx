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'Sheet1'!$B$2:$B$536</f>
            </numRef>
          </xVal>
          <yVal>
            <numRef>
              <f>'Sheet1'!$D$2:$D$536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'Sheet1'!$K$2:$K$536</f>
            </numRef>
          </xVal>
          <yVal>
            <numRef>
              <f>'Sheet1'!$I$2:$I$536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'Hacim'!$A$2:$A$536</f>
            </numRef>
          </xVal>
          <yVal>
            <numRef>
              <f>'Hacim'!$B$2:$B$536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066</t>
        </is>
      </c>
      <c r="D2" t="n">
        <v>0.66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005</t>
        </is>
      </c>
      <c r="D4" t="n">
        <v>0.05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MAX(G2:G536)</f>
        <v/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IF(O11=1,INDEX(B2:B536,MATCH(O10,G2:G536,0)),-1000000)</f>
        <v/>
      </c>
    </row>
    <row r="13">
      <c r="A13" t="n">
        <v>33</v>
      </c>
      <c r="B13" t="n">
        <v>1.1</v>
      </c>
      <c r="C13" t="inlineStr">
        <is>
          <t>005</t>
        </is>
      </c>
      <c r="D13" t="n">
        <v>0.05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INDEX(B2:B536,MATCH(1,J2:J536,0))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005</t>
        </is>
      </c>
      <c r="D16" t="n">
        <v>0.05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000</t>
        </is>
      </c>
      <c r="D20" t="n">
        <v>0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005</t>
        </is>
      </c>
      <c r="D21" t="n">
        <v>0.05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000</t>
        </is>
      </c>
      <c r="D23" t="n">
        <v>0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005</t>
        </is>
      </c>
      <c r="D24" t="n">
        <v>0.05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00?</t>
        </is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003</t>
        </is>
      </c>
      <c r="D26" t="n">
        <v>0.03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004</t>
        </is>
      </c>
      <c r="D27" t="n">
        <v>0.04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022</t>
        </is>
      </c>
      <c r="D28" t="n">
        <v>0.22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022</t>
        </is>
      </c>
      <c r="D29" t="n">
        <v>0.22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037</t>
        </is>
      </c>
      <c r="D30" t="n">
        <v>0.37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037</t>
        </is>
      </c>
      <c r="D31" t="n">
        <v>0.37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056</t>
        </is>
      </c>
      <c r="D32" t="n">
        <v>0.5600000000000001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057</t>
        </is>
      </c>
      <c r="D33" t="n">
        <v>0.57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077</t>
        </is>
      </c>
      <c r="D34" t="n">
        <v>0.77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076</t>
        </is>
      </c>
      <c r="D35" t="n">
        <v>0.76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096</t>
        </is>
      </c>
      <c r="D36" t="n">
        <v>0.96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055</t>
        </is>
      </c>
      <c r="D37" t="n">
        <v>0.55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120</t>
        </is>
      </c>
      <c r="D38" t="n">
        <v>1.2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12?</t>
        </is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142</t>
        </is>
      </c>
      <c r="D40" t="n">
        <v>1.42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143</t>
        </is>
      </c>
      <c r="D41" t="n">
        <v>1.43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165</t>
        </is>
      </c>
      <c r="D42" t="n">
        <v>1.65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165</t>
        </is>
      </c>
      <c r="D43" t="n">
        <v>1.65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185</t>
        </is>
      </c>
      <c r="D44" t="n">
        <v>1.85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185</t>
        </is>
      </c>
      <c r="D45" t="n">
        <v>1.85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212</t>
        </is>
      </c>
      <c r="D46" t="n">
        <v>2.12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213</t>
        </is>
      </c>
      <c r="D47" t="n">
        <v>2.13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234</t>
        </is>
      </c>
      <c r="D48" t="n">
        <v>2.34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235</t>
        </is>
      </c>
      <c r="D49" t="n">
        <v>2.35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256</t>
        </is>
      </c>
      <c r="D50" t="n">
        <v>2.56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257</t>
        </is>
      </c>
      <c r="D51" t="n">
        <v>2.57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276</t>
        </is>
      </c>
      <c r="D52" t="n">
        <v>2.76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275</t>
        </is>
      </c>
      <c r="D53" t="n">
        <v>2.75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305</t>
        </is>
      </c>
      <c r="D54" t="n">
        <v>3.05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30?</t>
        </is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32?</t>
        </is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322</t>
        </is>
      </c>
      <c r="D57" t="n">
        <v>3.22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343</t>
        </is>
      </c>
      <c r="D58" t="n">
        <v>3.43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344</t>
        </is>
      </c>
      <c r="D59" t="n">
        <v>3.44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365</t>
        </is>
      </c>
      <c r="D60" t="n">
        <v>3.65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365</t>
        </is>
      </c>
      <c r="D61" t="n">
        <v>3.65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385</t>
        </is>
      </c>
      <c r="D62" t="n">
        <v>3.85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365</t>
        </is>
      </c>
      <c r="D63" t="n">
        <v>3.65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405</t>
        </is>
      </c>
      <c r="D64" t="n">
        <v>4.05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405</t>
        </is>
      </c>
      <c r="D65" t="n">
        <v>4.05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425</t>
        </is>
      </c>
      <c r="D66" t="n">
        <v>4.25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426</t>
        </is>
      </c>
      <c r="D67" t="n">
        <v>4.26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446</t>
        </is>
      </c>
      <c r="D68" t="n">
        <v>4.46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446</t>
        </is>
      </c>
      <c r="D69" t="n">
        <v>4.46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466</t>
        </is>
      </c>
      <c r="D70" t="n">
        <v>4.66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467</t>
        </is>
      </c>
      <c r="D71" t="n">
        <v>4.67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46?</t>
        </is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486</t>
        </is>
      </c>
      <c r="D73" t="n">
        <v>4.86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506</t>
        </is>
      </c>
      <c r="D74" t="n">
        <v>5.06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565</t>
        </is>
      </c>
      <c r="D75" t="n">
        <v>5.65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526</t>
        </is>
      </c>
      <c r="D76" t="n">
        <v>5.26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585</t>
        </is>
      </c>
      <c r="D77" t="n">
        <v>5.85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545</t>
        </is>
      </c>
      <c r="D78" t="n">
        <v>5.45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596</t>
        </is>
      </c>
      <c r="D79" t="n">
        <v>5.96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565</t>
        </is>
      </c>
      <c r="D80" t="n">
        <v>5.65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565</t>
        </is>
      </c>
      <c r="D81" t="n">
        <v>5.65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585</t>
        </is>
      </c>
      <c r="D82" t="n">
        <v>5.85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666</t>
        </is>
      </c>
      <c r="D83" t="n">
        <v>6.66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605</t>
        </is>
      </c>
      <c r="D84" t="n">
        <v>6.05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685</t>
        </is>
      </c>
      <c r="D85" t="n">
        <v>6.85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626</t>
        </is>
      </c>
      <c r="D86" t="n">
        <v>6.26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683</t>
        </is>
      </c>
      <c r="D87" t="n">
        <v>6.83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646</t>
        </is>
      </c>
      <c r="D88" t="n">
        <v>6.46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656</t>
        </is>
      </c>
      <c r="D89" t="n">
        <v>6.56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665</t>
        </is>
      </c>
      <c r="D90" t="n">
        <v>6.65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660</t>
        </is>
      </c>
      <c r="D91" t="n">
        <v>6.6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675</t>
        </is>
      </c>
      <c r="D92" t="n">
        <v>6.75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655</t>
        </is>
      </c>
      <c r="D93" t="n">
        <v>6.55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656</t>
        </is>
      </c>
      <c r="D94" t="n">
        <v>6.56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855</t>
        </is>
      </c>
      <c r="D95" t="n">
        <v>8.550000000000001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713</t>
        </is>
      </c>
      <c r="D96" t="n">
        <v>7.13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733</t>
        </is>
      </c>
      <c r="D97" t="n">
        <v>7.33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73?</t>
        </is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755</t>
        </is>
      </c>
      <c r="D99" t="n">
        <v>7.55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745</t>
        </is>
      </c>
      <c r="D100" t="n">
        <v>7.45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765</t>
        </is>
      </c>
      <c r="D101" t="n">
        <v>7.65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766</t>
        </is>
      </c>
      <c r="D102" t="n">
        <v>7.66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786</t>
        </is>
      </c>
      <c r="D103" t="n">
        <v>7.86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763</t>
        </is>
      </c>
      <c r="D104" t="n">
        <v>7.63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765</t>
        </is>
      </c>
      <c r="D105" t="n">
        <v>7.65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886</t>
        </is>
      </c>
      <c r="D106" t="n">
        <v>8.859999999999999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800</t>
        </is>
      </c>
      <c r="D107" t="n">
        <v>8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817</t>
        </is>
      </c>
      <c r="D108" t="n">
        <v>8.17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833</t>
        </is>
      </c>
      <c r="D109" t="n">
        <v>8.33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835</t>
        </is>
      </c>
      <c r="D110" t="n">
        <v>8.35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895</t>
        </is>
      </c>
      <c r="D111" t="n">
        <v>8.949999999999999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856</t>
        </is>
      </c>
      <c r="D112" t="n">
        <v>8.56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865</t>
        </is>
      </c>
      <c r="D113" t="n">
        <v>8.65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866</t>
        </is>
      </c>
      <c r="D114" t="n">
        <v>8.66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865</t>
        </is>
      </c>
      <c r="D115" t="n">
        <v>8.65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88?</t>
        </is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896</t>
        </is>
      </c>
      <c r="D117" t="n">
        <v>8.960000000000001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856</t>
        </is>
      </c>
      <c r="D118" t="n">
        <v>8.56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855</t>
        </is>
      </c>
      <c r="D119" t="n">
        <v>8.550000000000001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916</t>
        </is>
      </c>
      <c r="D120" t="n">
        <v>9.16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965</t>
        </is>
      </c>
      <c r="D121" t="n">
        <v>9.65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925</t>
        </is>
      </c>
      <c r="D122" t="n">
        <v>9.25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986</t>
        </is>
      </c>
      <c r="D123" t="n">
        <v>9.859999999999999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942</t>
        </is>
      </c>
      <c r="D124" t="n">
        <v>9.42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95?</t>
        </is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955</t>
        </is>
      </c>
      <c r="D126" t="n">
        <v>9.550000000000001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955</t>
        </is>
      </c>
      <c r="D127" t="n">
        <v>9.550000000000001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9?5</t>
        </is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985</t>
        </is>
      </c>
      <c r="D129" t="n">
        <v>9.85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955</t>
        </is>
      </c>
      <c r="D130" t="n">
        <v>9.550000000000001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954</t>
        </is>
      </c>
      <c r="D131" t="n">
        <v>9.539999999999999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955</t>
        </is>
      </c>
      <c r="D132" t="n">
        <v>9.550000000000001</v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1015</t>
        </is>
      </c>
      <c r="D133" t="n">
        <v>10.15</v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1016</t>
        </is>
      </c>
      <c r="D134" t="n">
        <v>10.16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101?</t>
        </is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1037</t>
        </is>
      </c>
      <c r="D136" t="n">
        <v>10.37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1037</t>
        </is>
      </c>
      <c r="D137" t="n">
        <v>10.37</v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1056</t>
        </is>
      </c>
      <c r="D138" t="n">
        <v>10.56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1052</t>
        </is>
      </c>
      <c r="D139" t="n">
        <v>10.52</v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1054</t>
        </is>
      </c>
      <c r="D140" t="n">
        <v>10.54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10?3</t>
        </is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1073</t>
        </is>
      </c>
      <c r="D142" t="n">
        <v>10.73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1075</t>
        </is>
      </c>
      <c r="D143" t="n">
        <v>10.75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1055</t>
        </is>
      </c>
      <c r="D144" t="n">
        <v>10.55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1055</t>
        </is>
      </c>
      <c r="D145" t="n">
        <v>10.55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1055</t>
        </is>
      </c>
      <c r="D146" t="n">
        <v>10.55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11?3</t>
        </is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1153</t>
        </is>
      </c>
      <c r="D148" t="n">
        <v>11.53</v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1115</t>
        </is>
      </c>
      <c r="D149" t="n">
        <v>11.15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1132</t>
        </is>
      </c>
      <c r="D150" t="n">
        <v>11.32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1133</t>
        </is>
      </c>
      <c r="D151" t="n">
        <v>11.33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1134</t>
        </is>
      </c>
      <c r="D152" t="n">
        <v>11.34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1152</t>
        </is>
      </c>
      <c r="D153" t="n">
        <v>11.52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1152</t>
        </is>
      </c>
      <c r="D154" t="n">
        <v>11.52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1153</t>
        </is>
      </c>
      <c r="D155" t="n">
        <v>11.53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117?</t>
        </is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117?</t>
        </is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1173</t>
        </is>
      </c>
      <c r="D158" t="n">
        <v>11.73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1155</t>
        </is>
      </c>
      <c r="D159" t="n">
        <v>11.55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119?</t>
        </is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1152</t>
        </is>
      </c>
      <c r="D161" t="n">
        <v>11.52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1205</t>
        </is>
      </c>
      <c r="D162" t="n">
        <v>12.05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1205</t>
        </is>
      </c>
      <c r="D163" t="n">
        <v>12.05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1215</t>
        </is>
      </c>
      <c r="D164" t="n">
        <v>12.15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1225</t>
        </is>
      </c>
      <c r="D165" t="n">
        <v>12.25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1227</t>
        </is>
      </c>
      <c r="D166" t="n">
        <v>12.27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1225</t>
        </is>
      </c>
      <c r="D167" t="n">
        <v>12.25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1244</t>
        </is>
      </c>
      <c r="D168" t="n">
        <v>12.44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1244</t>
        </is>
      </c>
      <c r="D169" t="n">
        <v>12.44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1245</t>
        </is>
      </c>
      <c r="D170" t="n">
        <v>12.45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1262</t>
        </is>
      </c>
      <c r="D171" t="n">
        <v>12.62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1262</t>
        </is>
      </c>
      <c r="D172" t="n">
        <v>12.62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1263</t>
        </is>
      </c>
      <c r="D173" t="n">
        <v>12.63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1275</t>
        </is>
      </c>
      <c r="D174" t="n">
        <v>12.75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1275</t>
        </is>
      </c>
      <c r="D175" t="n">
        <v>12.75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1260</t>
        </is>
      </c>
      <c r="D176" t="n">
        <v>12.6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1256</t>
        </is>
      </c>
      <c r="D177" t="n">
        <v>12.56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1256</t>
        </is>
      </c>
      <c r="D178" t="n">
        <v>12.56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1257</t>
        </is>
      </c>
      <c r="D179" t="n">
        <v>12.57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13??</t>
        </is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1352</t>
        </is>
      </c>
      <c r="D181" t="n">
        <v>13.52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1313</t>
        </is>
      </c>
      <c r="D182" t="n">
        <v>13.13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1314</t>
        </is>
      </c>
      <c r="D183" t="n">
        <v>13.14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133?</t>
        </is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1332</t>
        </is>
      </c>
      <c r="D185" t="n">
        <v>13.32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1333</t>
        </is>
      </c>
      <c r="D186" t="n">
        <v>13.33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1334</t>
        </is>
      </c>
      <c r="D187" t="n">
        <v>13.34</v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135?</t>
        </is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135?</t>
        </is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1352</t>
        </is>
      </c>
      <c r="D190" t="n">
        <v>13.52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1353</t>
        </is>
      </c>
      <c r="D191" t="n">
        <v>13.53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137?</t>
        </is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137?</t>
        </is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1372</t>
        </is>
      </c>
      <c r="D194" t="n">
        <v>13.72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1374</t>
        </is>
      </c>
      <c r="D195" t="n">
        <v>13.74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135?</t>
        </is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135?</t>
        </is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1352</t>
        </is>
      </c>
      <c r="D198" t="n">
        <v>13.52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1354</t>
        </is>
      </c>
      <c r="D199" t="n">
        <v>13.54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1415</t>
        </is>
      </c>
      <c r="D200" t="n">
        <v>14.15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1415</t>
        </is>
      </c>
      <c r="D201" t="n">
        <v>14.15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145?</t>
        </is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1413</t>
        </is>
      </c>
      <c r="D203" t="n">
        <v>14.13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1425</t>
        </is>
      </c>
      <c r="D204" t="n">
        <v>14.25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1425</t>
        </is>
      </c>
      <c r="D205" t="n">
        <v>14.25</v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1435</t>
        </is>
      </c>
      <c r="D206" t="n">
        <v>14.35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1432</t>
        </is>
      </c>
      <c r="D207" t="n">
        <v>14.32</v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1447</t>
        </is>
      </c>
      <c r="D208" t="n">
        <v>14.47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1445</t>
        </is>
      </c>
      <c r="D209" t="n">
        <v>14.45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1445</t>
        </is>
      </c>
      <c r="D210" t="n">
        <v>14.45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1455</t>
        </is>
      </c>
      <c r="D211" t="n">
        <v>14.55</v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145?</t>
        </is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1467</t>
        </is>
      </c>
      <c r="D213" t="n">
        <v>14.67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1467</t>
        </is>
      </c>
      <c r="D214" t="n">
        <v>14.67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1465</t>
        </is>
      </c>
      <c r="D215" t="n">
        <v>14.65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1465</t>
        </is>
      </c>
      <c r="D216" t="n">
        <v>14.65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147?</t>
        </is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1465</t>
        </is>
      </c>
      <c r="D218" t="n">
        <v>14.65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1466</t>
        </is>
      </c>
      <c r="D219" t="n">
        <v>14.66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148?</t>
        </is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1465</t>
        </is>
      </c>
      <c r="D221" t="n">
        <v>14.65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1502</t>
        </is>
      </c>
      <c r="D222" t="n">
        <v>15.02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1502</t>
        </is>
      </c>
      <c r="D223" t="n">
        <v>15.02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1503</t>
        </is>
      </c>
      <c r="D224" t="n">
        <v>15.03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1505</t>
        </is>
      </c>
      <c r="D225" t="n">
        <v>15.05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1515</t>
        </is>
      </c>
      <c r="D226" t="n">
        <v>15.15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1515</t>
        </is>
      </c>
      <c r="D227" t="n">
        <v>15.15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1525</t>
        </is>
      </c>
      <c r="D228" t="n">
        <v>15.25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152?</t>
        </is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1535</t>
        </is>
      </c>
      <c r="D230" t="n">
        <v>15.35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1536</t>
        </is>
      </c>
      <c r="D231" t="n">
        <v>15.36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1536</t>
        </is>
      </c>
      <c r="D232" t="n">
        <v>15.36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1535</t>
        </is>
      </c>
      <c r="D233" t="n">
        <v>15.35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1555</t>
        </is>
      </c>
      <c r="D234" t="n">
        <v>15.55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1555</t>
        </is>
      </c>
      <c r="D235" t="n">
        <v>15.55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1556</t>
        </is>
      </c>
      <c r="D236" t="n">
        <v>15.56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1556</t>
        </is>
      </c>
      <c r="D237" t="n">
        <v>15.56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1555</t>
        </is>
      </c>
      <c r="D238" t="n">
        <v>15.55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1555</t>
        </is>
      </c>
      <c r="D239" t="n">
        <v>15.55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1565</t>
        </is>
      </c>
      <c r="D240" t="n">
        <v>15.65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1566</t>
        </is>
      </c>
      <c r="D241" t="n">
        <v>15.66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1565</t>
        </is>
      </c>
      <c r="D242" t="n">
        <v>15.65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1565</t>
        </is>
      </c>
      <c r="D243" t="n">
        <v>15.65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1575</t>
        </is>
      </c>
      <c r="D244" t="n">
        <v>15.75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1575</t>
        </is>
      </c>
      <c r="D245" t="n">
        <v>15.75</v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1565</t>
        </is>
      </c>
      <c r="D246" t="n">
        <v>15.65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1565</t>
        </is>
      </c>
      <c r="D247" t="n">
        <v>15.65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1563</t>
        </is>
      </c>
      <c r="D248" t="n">
        <v>15.63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1585</t>
        </is>
      </c>
      <c r="D249" t="n">
        <v>15.85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1555</t>
        </is>
      </c>
      <c r="D250" t="n">
        <v>15.55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1665</t>
        </is>
      </c>
      <c r="D251" t="n">
        <v>16.65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1605</t>
        </is>
      </c>
      <c r="D252" t="n">
        <v>16.05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1606</t>
        </is>
      </c>
      <c r="D253" t="n">
        <v>16.06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1605</t>
        </is>
      </c>
      <c r="D254" t="n">
        <v>16.05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1656</t>
        </is>
      </c>
      <c r="D255" t="n">
        <v>16.56</v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16?5</t>
        </is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16?5</t>
        </is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1615</t>
        </is>
      </c>
      <c r="D258" t="n">
        <v>16.15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1665</t>
        </is>
      </c>
      <c r="D259" t="n">
        <v>16.65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1665</t>
        </is>
      </c>
      <c r="D260" t="n">
        <v>16.65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1635</t>
        </is>
      </c>
      <c r="D261" t="n">
        <v>16.35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1635</t>
        </is>
      </c>
      <c r="D262" t="n">
        <v>16.35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1635</t>
        </is>
      </c>
      <c r="D263" t="n">
        <v>16.35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1635</t>
        </is>
      </c>
      <c r="D264" t="n">
        <v>16.35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1695</t>
        </is>
      </c>
      <c r="D265" t="n">
        <v>16.95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1655</t>
        </is>
      </c>
      <c r="D266" t="n">
        <v>16.55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1654</t>
        </is>
      </c>
      <c r="D267" t="n">
        <v>16.54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1655</t>
        </is>
      </c>
      <c r="D268" t="n">
        <v>16.55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1655</t>
        </is>
      </c>
      <c r="D269" t="n">
        <v>16.55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1655</t>
        </is>
      </c>
      <c r="D270" t="n">
        <v>16.55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1655</t>
        </is>
      </c>
      <c r="D271" t="n">
        <v>16.55</v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1665</t>
        </is>
      </c>
      <c r="D272" t="n">
        <v>16.65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1665</t>
        </is>
      </c>
      <c r="D273" t="n">
        <v>16.65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1675</t>
        </is>
      </c>
      <c r="D274" t="n">
        <v>16.75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1675</t>
        </is>
      </c>
      <c r="D275" t="n">
        <v>16.75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1676</t>
        </is>
      </c>
      <c r="D276" t="n">
        <v>16.76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1675</t>
        </is>
      </c>
      <c r="D277" t="n">
        <v>16.75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1675</t>
        </is>
      </c>
      <c r="D278" t="n">
        <v>16.75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1664</t>
        </is>
      </c>
      <c r="D279" t="n">
        <v>16.64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1666</t>
        </is>
      </c>
      <c r="D280" t="n">
        <v>16.66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166?</t>
        </is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1657</t>
        </is>
      </c>
      <c r="D282" t="n">
        <v>16.57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1657</t>
        </is>
      </c>
      <c r="D283" t="n">
        <v>16.57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1696</t>
        </is>
      </c>
      <c r="D284" t="n">
        <v>16.96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1000</t>
        </is>
      </c>
      <c r="D285" t="n">
        <v>10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170?</t>
        </is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1706</t>
        </is>
      </c>
      <c r="D287" t="n">
        <v>17.06</v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1705</t>
        </is>
      </c>
      <c r="D288" t="n">
        <v>17.05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1707</t>
        </is>
      </c>
      <c r="D289" t="n">
        <v>17.07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1727</t>
        </is>
      </c>
      <c r="D290" t="n">
        <v>17.27</v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172?</t>
        </is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172?</t>
        </is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1726</t>
        </is>
      </c>
      <c r="D293" t="n">
        <v>17.26</v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1726</t>
        </is>
      </c>
      <c r="D294" t="n">
        <v>17.26</v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1725</t>
        </is>
      </c>
      <c r="D295" t="n">
        <v>17.25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1725</t>
        </is>
      </c>
      <c r="D296" t="n">
        <v>17.25</v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172?</t>
        </is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1730</t>
        </is>
      </c>
      <c r="D298" t="n">
        <v>17.3</v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173?</t>
        </is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1734</t>
        </is>
      </c>
      <c r="D300" t="n">
        <v>17.34</v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1736</t>
        </is>
      </c>
      <c r="D301" t="n">
        <v>17.36</v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1736</t>
        </is>
      </c>
      <c r="D302" t="n">
        <v>17.36</v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175?</t>
        </is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1743</t>
        </is>
      </c>
      <c r="D304" t="n">
        <v>17.43</v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1745</t>
        </is>
      </c>
      <c r="D305" t="n">
        <v>17.45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1745</t>
        </is>
      </c>
      <c r="D306" t="n">
        <v>17.45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1750</t>
        </is>
      </c>
      <c r="D307" t="n">
        <v>17.5</v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1752</t>
        </is>
      </c>
      <c r="D308" t="n">
        <v>17.52</v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1754</t>
        </is>
      </c>
      <c r="D309" t="n">
        <v>17.54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1756</t>
        </is>
      </c>
      <c r="D310" t="n">
        <v>17.56</v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1755</t>
        </is>
      </c>
      <c r="D311" t="n">
        <v>17.55</v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176?</t>
        </is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1763</t>
        </is>
      </c>
      <c r="D313" t="n">
        <v>17.63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1765</t>
        </is>
      </c>
      <c r="D314" t="n">
        <v>17.65</v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1765</t>
        </is>
      </c>
      <c r="D315" t="n">
        <v>17.65</v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1770</t>
        </is>
      </c>
      <c r="D316" t="n">
        <v>17.7</v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1772</t>
        </is>
      </c>
      <c r="D317" t="n">
        <v>17.72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1774</t>
        </is>
      </c>
      <c r="D318" t="n">
        <v>17.74</v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1775</t>
        </is>
      </c>
      <c r="D319" t="n">
        <v>17.75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1777</t>
        </is>
      </c>
      <c r="D320" t="n">
        <v>17.77</v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1775</t>
        </is>
      </c>
      <c r="D321" t="n">
        <v>17.75</v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176?</t>
        </is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1762</t>
        </is>
      </c>
      <c r="D323" t="n">
        <v>17.62</v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1764</t>
        </is>
      </c>
      <c r="D324" t="n">
        <v>17.64</v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1766</t>
        </is>
      </c>
      <c r="D325" t="n">
        <v>17.66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1767</t>
        </is>
      </c>
      <c r="D326" t="n">
        <v>17.67</v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1765</t>
        </is>
      </c>
      <c r="D327" t="n">
        <v>17.65</v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175?</t>
        </is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1753</t>
        </is>
      </c>
      <c r="D329" t="n">
        <v>17.53</v>
      </c>
      <c r="E329">
        <f>MEDIAN(D309:D349)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1755</t>
        </is>
      </c>
      <c r="D330" t="n">
        <v>17.55</v>
      </c>
      <c r="E330">
        <f>MEDIAN(D310:D350)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1757</t>
        </is>
      </c>
      <c r="D331" t="n">
        <v>17.57</v>
      </c>
      <c r="E331">
        <f>MEDIAN(D311:D351)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1755</t>
        </is>
      </c>
      <c r="D332" t="n">
        <v>17.55</v>
      </c>
      <c r="E332">
        <f>MEDIAN(D312:D352)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180?</t>
        </is>
      </c>
      <c r="E333">
        <f>MEDIAN(D313:D353)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1803</t>
        </is>
      </c>
      <c r="D334" t="n">
        <v>18.03</v>
      </c>
      <c r="E334">
        <f>MEDIAN(D314:D354)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1804</t>
        </is>
      </c>
      <c r="D335" t="n">
        <v>18.04</v>
      </c>
      <c r="E335">
        <f>MEDIAN(D315:D355)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1805</t>
        </is>
      </c>
      <c r="D336" t="n">
        <v>18.05</v>
      </c>
      <c r="E336">
        <f>MEDIAN(D316:D356)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1807</t>
        </is>
      </c>
      <c r="D337" t="n">
        <v>18.07</v>
      </c>
      <c r="E337">
        <f>MEDIAN(D317:D357)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1805</t>
        </is>
      </c>
      <c r="D338" t="n">
        <v>18.05</v>
      </c>
      <c r="E338">
        <f>MEDIAN(D318:D358)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181?</t>
        </is>
      </c>
      <c r="E339">
        <f>MEDIAN(D319:D359)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1812</t>
        </is>
      </c>
      <c r="D340" t="n">
        <v>18.12</v>
      </c>
      <c r="E340">
        <f>MEDIAN(D320:D360)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18?3</t>
        </is>
      </c>
      <c r="E341">
        <f>MEDIAN(D321:D361)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18?4</t>
        </is>
      </c>
      <c r="E342">
        <f>MEDIAN(D322:D362)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18?5</t>
        </is>
      </c>
      <c r="E343">
        <f>MEDIAN(D323:D363)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1816</t>
        </is>
      </c>
      <c r="D344" t="n">
        <v>18.16</v>
      </c>
      <c r="E344">
        <f>MEDIAN(D324:D364)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1855</t>
        </is>
      </c>
      <c r="D345" t="n">
        <v>18.55</v>
      </c>
      <c r="E345">
        <f>MEDIAN(D325:D365)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182?</t>
        </is>
      </c>
      <c r="E346">
        <f>MEDIAN(D326:D366)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1823</t>
        </is>
      </c>
      <c r="D347" t="n">
        <v>18.23</v>
      </c>
      <c r="E347">
        <f>MEDIAN(D327:D367)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1825</t>
        </is>
      </c>
      <c r="D348" t="n">
        <v>18.25</v>
      </c>
      <c r="E348">
        <f>MEDIAN(D328:D368)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  <row r="349">
      <c r="A349" t="n">
        <v>1041</v>
      </c>
      <c r="B349" t="n">
        <v>34.7</v>
      </c>
      <c r="C349" t="inlineStr">
        <is>
          <t>1825</t>
        </is>
      </c>
      <c r="D349" t="n">
        <v>18.25</v>
      </c>
      <c r="E349">
        <f>MEDIAN(D329:D369)</f>
        <v/>
      </c>
      <c r="F349">
        <f>E329</f>
        <v/>
      </c>
      <c r="G349">
        <f>F349-E349</f>
        <v/>
      </c>
      <c r="H349">
        <f>IF(OR(NOT(ISNUMBER(D349)),ABS(D349-E349)&gt;$O$3,AND($O$11=1,B349&lt;$O$12)),1,0)</f>
        <v/>
      </c>
      <c r="I349">
        <f>IF(H349=1,NA(),D349)</f>
        <v/>
      </c>
      <c r="J349">
        <f>IF(AND(ISNUMBER(D349),D349&gt;=$O$4,OR($O$11=0,B349&gt;=$O$12)),1,0)</f>
        <v/>
      </c>
      <c r="K349">
        <f>B349-$O$14</f>
        <v/>
      </c>
    </row>
    <row r="350">
      <c r="A350" t="n">
        <v>1044</v>
      </c>
      <c r="B350" t="n">
        <v>34.8</v>
      </c>
      <c r="C350" t="inlineStr">
        <is>
          <t>1827</t>
        </is>
      </c>
      <c r="D350" t="n">
        <v>18.27</v>
      </c>
      <c r="E350">
        <f>MEDIAN(D330:D370)</f>
        <v/>
      </c>
      <c r="F350">
        <f>E330</f>
        <v/>
      </c>
      <c r="G350">
        <f>F350-E350</f>
        <v/>
      </c>
      <c r="H350">
        <f>IF(OR(NOT(ISNUMBER(D350)),ABS(D350-E350)&gt;$O$3,AND($O$11=1,B350&lt;$O$12)),1,0)</f>
        <v/>
      </c>
      <c r="I350">
        <f>IF(H350=1,NA(),D350)</f>
        <v/>
      </c>
      <c r="J350">
        <f>IF(AND(ISNUMBER(D350),D350&gt;=$O$4,OR($O$11=0,B350&gt;=$O$12)),1,0)</f>
        <v/>
      </c>
      <c r="K350">
        <f>B350-$O$14</f>
        <v/>
      </c>
    </row>
    <row r="351">
      <c r="A351" t="n">
        <v>1047</v>
      </c>
      <c r="B351" t="n">
        <v>34.9</v>
      </c>
      <c r="C351" t="inlineStr">
        <is>
          <t>1825</t>
        </is>
      </c>
      <c r="D351" t="n">
        <v>18.25</v>
      </c>
      <c r="E351">
        <f>MEDIAN(D331:D371)</f>
        <v/>
      </c>
      <c r="F351">
        <f>E331</f>
        <v/>
      </c>
      <c r="G351">
        <f>F351-E351</f>
        <v/>
      </c>
      <c r="H351">
        <f>IF(OR(NOT(ISNUMBER(D351)),ABS(D351-E351)&gt;$O$3,AND($O$11=1,B351&lt;$O$12)),1,0)</f>
        <v/>
      </c>
      <c r="I351">
        <f>IF(H351=1,NA(),D351)</f>
        <v/>
      </c>
      <c r="J351">
        <f>IF(AND(ISNUMBER(D351),D351&gt;=$O$4,OR($O$11=0,B351&gt;=$O$12)),1,0)</f>
        <v/>
      </c>
      <c r="K351">
        <f>B351-$O$14</f>
        <v/>
      </c>
    </row>
    <row r="352">
      <c r="A352" t="n">
        <v>1050</v>
      </c>
      <c r="B352" t="n">
        <v>35</v>
      </c>
      <c r="C352" t="inlineStr">
        <is>
          <t>183?</t>
        </is>
      </c>
      <c r="E352">
        <f>MEDIAN(D332:D372)</f>
        <v/>
      </c>
      <c r="F352">
        <f>E332</f>
        <v/>
      </c>
      <c r="G352">
        <f>F352-E352</f>
        <v/>
      </c>
      <c r="H352">
        <f>IF(OR(NOT(ISNUMBER(D352)),ABS(D352-E352)&gt;$O$3,AND($O$11=1,B352&lt;$O$12)),1,0)</f>
        <v/>
      </c>
      <c r="I352">
        <f>IF(H352=1,NA(),D352)</f>
        <v/>
      </c>
      <c r="J352">
        <f>IF(AND(ISNUMBER(D352),D352&gt;=$O$4,OR($O$11=0,B352&gt;=$O$12)),1,0)</f>
        <v/>
      </c>
      <c r="K352">
        <f>B352-$O$14</f>
        <v/>
      </c>
    </row>
    <row r="353">
      <c r="A353" t="n">
        <v>1053</v>
      </c>
      <c r="B353" t="n">
        <v>35.1</v>
      </c>
      <c r="C353" t="inlineStr">
        <is>
          <t>1833</t>
        </is>
      </c>
      <c r="D353" t="n">
        <v>18.33</v>
      </c>
      <c r="E353">
        <f>MEDIAN(D333:D373)</f>
        <v/>
      </c>
      <c r="F353">
        <f>E333</f>
        <v/>
      </c>
      <c r="G353">
        <f>F353-E353</f>
        <v/>
      </c>
      <c r="H353">
        <f>IF(OR(NOT(ISNUMBER(D353)),ABS(D353-E353)&gt;$O$3,AND($O$11=1,B353&lt;$O$12)),1,0)</f>
        <v/>
      </c>
      <c r="I353">
        <f>IF(H353=1,NA(),D353)</f>
        <v/>
      </c>
      <c r="J353">
        <f>IF(AND(ISNUMBER(D353),D353&gt;=$O$4,OR($O$11=0,B353&gt;=$O$12)),1,0)</f>
        <v/>
      </c>
      <c r="K353">
        <f>B353-$O$14</f>
        <v/>
      </c>
    </row>
    <row r="354">
      <c r="A354" t="n">
        <v>1056</v>
      </c>
      <c r="B354" t="n">
        <v>35.2</v>
      </c>
      <c r="C354" t="inlineStr">
        <is>
          <t>1834</t>
        </is>
      </c>
      <c r="D354" t="n">
        <v>18.34</v>
      </c>
      <c r="E354">
        <f>MEDIAN(D334:D374)</f>
        <v/>
      </c>
      <c r="F354">
        <f>E334</f>
        <v/>
      </c>
      <c r="G354">
        <f>F354-E354</f>
        <v/>
      </c>
      <c r="H354">
        <f>IF(OR(NOT(ISNUMBER(D354)),ABS(D354-E354)&gt;$O$3,AND($O$11=1,B354&lt;$O$12)),1,0)</f>
        <v/>
      </c>
      <c r="I354">
        <f>IF(H354=1,NA(),D354)</f>
        <v/>
      </c>
      <c r="J354">
        <f>IF(AND(ISNUMBER(D354),D354&gt;=$O$4,OR($O$11=0,B354&gt;=$O$12)),1,0)</f>
        <v/>
      </c>
      <c r="K354">
        <f>B354-$O$14</f>
        <v/>
      </c>
    </row>
    <row r="355">
      <c r="A355" t="n">
        <v>1059</v>
      </c>
      <c r="B355" t="n">
        <v>35.3</v>
      </c>
      <c r="C355" t="inlineStr">
        <is>
          <t>1835</t>
        </is>
      </c>
      <c r="D355" t="n">
        <v>18.35</v>
      </c>
      <c r="E355">
        <f>MEDIAN(D335:D375)</f>
        <v/>
      </c>
      <c r="F355">
        <f>E335</f>
        <v/>
      </c>
      <c r="G355">
        <f>F355-E355</f>
        <v/>
      </c>
      <c r="H355">
        <f>IF(OR(NOT(ISNUMBER(D355)),ABS(D355-E355)&gt;$O$3,AND($O$11=1,B355&lt;$O$12)),1,0)</f>
        <v/>
      </c>
      <c r="I355">
        <f>IF(H355=1,NA(),D355)</f>
        <v/>
      </c>
      <c r="J355">
        <f>IF(AND(ISNUMBER(D355),D355&gt;=$O$4,OR($O$11=0,B355&gt;=$O$12)),1,0)</f>
        <v/>
      </c>
      <c r="K355">
        <f>B355-$O$14</f>
        <v/>
      </c>
    </row>
    <row r="356">
      <c r="A356" t="n">
        <v>1062</v>
      </c>
      <c r="B356" t="n">
        <v>35.4</v>
      </c>
      <c r="C356" t="inlineStr">
        <is>
          <t>1837</t>
        </is>
      </c>
      <c r="D356" t="n">
        <v>18.37</v>
      </c>
      <c r="E356">
        <f>MEDIAN(D336:D376)</f>
        <v/>
      </c>
      <c r="F356">
        <f>E336</f>
        <v/>
      </c>
      <c r="G356">
        <f>F356-E356</f>
        <v/>
      </c>
      <c r="H356">
        <f>IF(OR(NOT(ISNUMBER(D356)),ABS(D356-E356)&gt;$O$3,AND($O$11=1,B356&lt;$O$12)),1,0)</f>
        <v/>
      </c>
      <c r="I356">
        <f>IF(H356=1,NA(),D356)</f>
        <v/>
      </c>
      <c r="J356">
        <f>IF(AND(ISNUMBER(D356),D356&gt;=$O$4,OR($O$11=0,B356&gt;=$O$12)),1,0)</f>
        <v/>
      </c>
      <c r="K356">
        <f>B356-$O$14</f>
        <v/>
      </c>
    </row>
    <row r="357">
      <c r="A357" t="n">
        <v>1065</v>
      </c>
      <c r="B357" t="n">
        <v>35.5</v>
      </c>
      <c r="C357" t="inlineStr">
        <is>
          <t>1835</t>
        </is>
      </c>
      <c r="D357" t="n">
        <v>18.35</v>
      </c>
      <c r="E357">
        <f>MEDIAN(D337:D377)</f>
        <v/>
      </c>
      <c r="F357">
        <f>E337</f>
        <v/>
      </c>
      <c r="G357">
        <f>F357-E357</f>
        <v/>
      </c>
      <c r="H357">
        <f>IF(OR(NOT(ISNUMBER(D357)),ABS(D357-E357)&gt;$O$3,AND($O$11=1,B357&lt;$O$12)),1,0)</f>
        <v/>
      </c>
      <c r="I357">
        <f>IF(H357=1,NA(),D357)</f>
        <v/>
      </c>
      <c r="J357">
        <f>IF(AND(ISNUMBER(D357),D357&gt;=$O$4,OR($O$11=0,B357&gt;=$O$12)),1,0)</f>
        <v/>
      </c>
      <c r="K357">
        <f>B357-$O$14</f>
        <v/>
      </c>
    </row>
    <row r="358">
      <c r="A358" t="n">
        <v>1068</v>
      </c>
      <c r="B358" t="n">
        <v>35.6</v>
      </c>
      <c r="C358" t="inlineStr">
        <is>
          <t>1845</t>
        </is>
      </c>
      <c r="D358" t="n">
        <v>18.45</v>
      </c>
      <c r="E358">
        <f>MEDIAN(D338:D378)</f>
        <v/>
      </c>
      <c r="F358">
        <f>E338</f>
        <v/>
      </c>
      <c r="G358">
        <f>F358-E358</f>
        <v/>
      </c>
      <c r="H358">
        <f>IF(OR(NOT(ISNUMBER(D358)),ABS(D358-E358)&gt;$O$3,AND($O$11=1,B358&lt;$O$12)),1,0)</f>
        <v/>
      </c>
      <c r="I358">
        <f>IF(H358=1,NA(),D358)</f>
        <v/>
      </c>
      <c r="J358">
        <f>IF(AND(ISNUMBER(D358),D358&gt;=$O$4,OR($O$11=0,B358&gt;=$O$12)),1,0)</f>
        <v/>
      </c>
      <c r="K358">
        <f>B358-$O$14</f>
        <v/>
      </c>
    </row>
    <row r="359">
      <c r="A359" t="n">
        <v>1071</v>
      </c>
      <c r="B359" t="n">
        <v>35.7</v>
      </c>
      <c r="C359" t="inlineStr">
        <is>
          <t>184?</t>
        </is>
      </c>
      <c r="E359">
        <f>MEDIAN(D339:D379)</f>
        <v/>
      </c>
      <c r="F359">
        <f>E339</f>
        <v/>
      </c>
      <c r="G359">
        <f>F359-E359</f>
        <v/>
      </c>
      <c r="H359">
        <f>IF(OR(NOT(ISNUMBER(D359)),ABS(D359-E359)&gt;$O$3,AND($O$11=1,B359&lt;$O$12)),1,0)</f>
        <v/>
      </c>
      <c r="I359">
        <f>IF(H359=1,NA(),D359)</f>
        <v/>
      </c>
      <c r="J359">
        <f>IF(AND(ISNUMBER(D359),D359&gt;=$O$4,OR($O$11=0,B359&gt;=$O$12)),1,0)</f>
        <v/>
      </c>
      <c r="K359">
        <f>B359-$O$14</f>
        <v/>
      </c>
    </row>
    <row r="360">
      <c r="A360" t="n">
        <v>1074</v>
      </c>
      <c r="B360" t="n">
        <v>35.8</v>
      </c>
      <c r="C360" t="inlineStr">
        <is>
          <t>1842</t>
        </is>
      </c>
      <c r="D360" t="n">
        <v>18.42</v>
      </c>
      <c r="E360">
        <f>MEDIAN(D340:D380)</f>
        <v/>
      </c>
      <c r="F360">
        <f>E340</f>
        <v/>
      </c>
      <c r="G360">
        <f>F360-E360</f>
        <v/>
      </c>
      <c r="H360">
        <f>IF(OR(NOT(ISNUMBER(D360)),ABS(D360-E360)&gt;$O$3,AND($O$11=1,B360&lt;$O$12)),1,0)</f>
        <v/>
      </c>
      <c r="I360">
        <f>IF(H360=1,NA(),D360)</f>
        <v/>
      </c>
      <c r="J360">
        <f>IF(AND(ISNUMBER(D360),D360&gt;=$O$4,OR($O$11=0,B360&gt;=$O$12)),1,0)</f>
        <v/>
      </c>
      <c r="K360">
        <f>B360-$O$14</f>
        <v/>
      </c>
    </row>
    <row r="361">
      <c r="A361" t="n">
        <v>1077</v>
      </c>
      <c r="B361" t="n">
        <v>35.9</v>
      </c>
      <c r="C361" t="inlineStr">
        <is>
          <t>1844</t>
        </is>
      </c>
      <c r="D361" t="n">
        <v>18.44</v>
      </c>
      <c r="E361">
        <f>MEDIAN(D341:D381)</f>
        <v/>
      </c>
      <c r="F361">
        <f>E341</f>
        <v/>
      </c>
      <c r="G361">
        <f>F361-E361</f>
        <v/>
      </c>
      <c r="H361">
        <f>IF(OR(NOT(ISNUMBER(D361)),ABS(D361-E361)&gt;$O$3,AND($O$11=1,B361&lt;$O$12)),1,0)</f>
        <v/>
      </c>
      <c r="I361">
        <f>IF(H361=1,NA(),D361)</f>
        <v/>
      </c>
      <c r="J361">
        <f>IF(AND(ISNUMBER(D361),D361&gt;=$O$4,OR($O$11=0,B361&gt;=$O$12)),1,0)</f>
        <v/>
      </c>
      <c r="K361">
        <f>B361-$O$14</f>
        <v/>
      </c>
    </row>
    <row r="362">
      <c r="A362" t="n">
        <v>1080</v>
      </c>
      <c r="B362" t="n">
        <v>36</v>
      </c>
      <c r="C362" t="inlineStr">
        <is>
          <t>1845</t>
        </is>
      </c>
      <c r="D362" t="n">
        <v>18.45</v>
      </c>
      <c r="E362">
        <f>MEDIAN(D342:D382)</f>
        <v/>
      </c>
      <c r="F362">
        <f>E342</f>
        <v/>
      </c>
      <c r="G362">
        <f>F362-E362</f>
        <v/>
      </c>
      <c r="H362">
        <f>IF(OR(NOT(ISNUMBER(D362)),ABS(D362-E362)&gt;$O$3,AND($O$11=1,B362&lt;$O$12)),1,0)</f>
        <v/>
      </c>
      <c r="I362">
        <f>IF(H362=1,NA(),D362)</f>
        <v/>
      </c>
      <c r="J362">
        <f>IF(AND(ISNUMBER(D362),D362&gt;=$O$4,OR($O$11=0,B362&gt;=$O$12)),1,0)</f>
        <v/>
      </c>
      <c r="K362">
        <f>B362-$O$14</f>
        <v/>
      </c>
    </row>
    <row r="363">
      <c r="A363" t="n">
        <v>1083</v>
      </c>
      <c r="B363" t="n">
        <v>36.1</v>
      </c>
      <c r="C363" t="inlineStr">
        <is>
          <t>1845</t>
        </is>
      </c>
      <c r="D363" t="n">
        <v>18.45</v>
      </c>
      <c r="E363">
        <f>MEDIAN(D343:D383)</f>
        <v/>
      </c>
      <c r="F363">
        <f>E343</f>
        <v/>
      </c>
      <c r="G363">
        <f>F363-E363</f>
        <v/>
      </c>
      <c r="H363">
        <f>IF(OR(NOT(ISNUMBER(D363)),ABS(D363-E363)&gt;$O$3,AND($O$11=1,B363&lt;$O$12)),1,0)</f>
        <v/>
      </c>
      <c r="I363">
        <f>IF(H363=1,NA(),D363)</f>
        <v/>
      </c>
      <c r="J363">
        <f>IF(AND(ISNUMBER(D363),D363&gt;=$O$4,OR($O$11=0,B363&gt;=$O$12)),1,0)</f>
        <v/>
      </c>
      <c r="K363">
        <f>B363-$O$14</f>
        <v/>
      </c>
    </row>
    <row r="364">
      <c r="A364" t="n">
        <v>1086</v>
      </c>
      <c r="B364" t="n">
        <v>36.2</v>
      </c>
      <c r="C364" t="inlineStr">
        <is>
          <t>1847</t>
        </is>
      </c>
      <c r="D364" t="n">
        <v>18.47</v>
      </c>
      <c r="E364">
        <f>MEDIAN(D344:D384)</f>
        <v/>
      </c>
      <c r="F364">
        <f>E344</f>
        <v/>
      </c>
      <c r="G364">
        <f>F364-E364</f>
        <v/>
      </c>
      <c r="H364">
        <f>IF(OR(NOT(ISNUMBER(D364)),ABS(D364-E364)&gt;$O$3,AND($O$11=1,B364&lt;$O$12)),1,0)</f>
        <v/>
      </c>
      <c r="I364">
        <f>IF(H364=1,NA(),D364)</f>
        <v/>
      </c>
      <c r="J364">
        <f>IF(AND(ISNUMBER(D364),D364&gt;=$O$4,OR($O$11=0,B364&gt;=$O$12)),1,0)</f>
        <v/>
      </c>
      <c r="K364">
        <f>B364-$O$14</f>
        <v/>
      </c>
    </row>
    <row r="365">
      <c r="A365" t="n">
        <v>1089</v>
      </c>
      <c r="B365" t="n">
        <v>36.3</v>
      </c>
      <c r="C365" t="inlineStr">
        <is>
          <t>1845</t>
        </is>
      </c>
      <c r="D365" t="n">
        <v>18.45</v>
      </c>
      <c r="E365">
        <f>MEDIAN(D345:D385)</f>
        <v/>
      </c>
      <c r="F365">
        <f>E345</f>
        <v/>
      </c>
      <c r="G365">
        <f>F365-E365</f>
        <v/>
      </c>
      <c r="H365">
        <f>IF(OR(NOT(ISNUMBER(D365)),ABS(D365-E365)&gt;$O$3,AND($O$11=1,B365&lt;$O$12)),1,0)</f>
        <v/>
      </c>
      <c r="I365">
        <f>IF(H365=1,NA(),D365)</f>
        <v/>
      </c>
      <c r="J365">
        <f>IF(AND(ISNUMBER(D365),D365&gt;=$O$4,OR($O$11=0,B365&gt;=$O$12)),1,0)</f>
        <v/>
      </c>
      <c r="K365">
        <f>B365-$O$14</f>
        <v/>
      </c>
    </row>
    <row r="366">
      <c r="A366" t="n">
        <v>1092</v>
      </c>
      <c r="B366" t="n">
        <v>36.4</v>
      </c>
      <c r="C366" t="inlineStr">
        <is>
          <t>1855</t>
        </is>
      </c>
      <c r="D366" t="n">
        <v>18.55</v>
      </c>
      <c r="E366">
        <f>MEDIAN(D346:D386)</f>
        <v/>
      </c>
      <c r="F366">
        <f>E346</f>
        <v/>
      </c>
      <c r="G366">
        <f>F366-E366</f>
        <v/>
      </c>
      <c r="H366">
        <f>IF(OR(NOT(ISNUMBER(D366)),ABS(D366-E366)&gt;$O$3,AND($O$11=1,B366&lt;$O$12)),1,0)</f>
        <v/>
      </c>
      <c r="I366">
        <f>IF(H366=1,NA(),D366)</f>
        <v/>
      </c>
      <c r="J366">
        <f>IF(AND(ISNUMBER(D366),D366&gt;=$O$4,OR($O$11=0,B366&gt;=$O$12)),1,0)</f>
        <v/>
      </c>
      <c r="K366">
        <f>B366-$O$14</f>
        <v/>
      </c>
    </row>
    <row r="367">
      <c r="A367" t="n">
        <v>1095</v>
      </c>
      <c r="B367" t="n">
        <v>36.5</v>
      </c>
      <c r="C367" t="inlineStr">
        <is>
          <t>185?</t>
        </is>
      </c>
      <c r="E367">
        <f>MEDIAN(D347:D387)</f>
        <v/>
      </c>
      <c r="F367">
        <f>E347</f>
        <v/>
      </c>
      <c r="G367">
        <f>F367-E367</f>
        <v/>
      </c>
      <c r="H367">
        <f>IF(OR(NOT(ISNUMBER(D367)),ABS(D367-E367)&gt;$O$3,AND($O$11=1,B367&lt;$O$12)),1,0)</f>
        <v/>
      </c>
      <c r="I367">
        <f>IF(H367=1,NA(),D367)</f>
        <v/>
      </c>
      <c r="J367">
        <f>IF(AND(ISNUMBER(D367),D367&gt;=$O$4,OR($O$11=0,B367&gt;=$O$12)),1,0)</f>
        <v/>
      </c>
      <c r="K367">
        <f>B367-$O$14</f>
        <v/>
      </c>
    </row>
    <row r="368">
      <c r="A368" t="n">
        <v>1098</v>
      </c>
      <c r="B368" t="n">
        <v>36.6</v>
      </c>
      <c r="C368" t="inlineStr">
        <is>
          <t>1852</t>
        </is>
      </c>
      <c r="D368" t="n">
        <v>18.52</v>
      </c>
      <c r="E368">
        <f>MEDIAN(D348:D388)</f>
        <v/>
      </c>
      <c r="F368">
        <f>E348</f>
        <v/>
      </c>
      <c r="G368">
        <f>F368-E368</f>
        <v/>
      </c>
      <c r="H368">
        <f>IF(OR(NOT(ISNUMBER(D368)),ABS(D368-E368)&gt;$O$3,AND($O$11=1,B368&lt;$O$12)),1,0)</f>
        <v/>
      </c>
      <c r="I368">
        <f>IF(H368=1,NA(),D368)</f>
        <v/>
      </c>
      <c r="J368">
        <f>IF(AND(ISNUMBER(D368),D368&gt;=$O$4,OR($O$11=0,B368&gt;=$O$12)),1,0)</f>
        <v/>
      </c>
      <c r="K368">
        <f>B368-$O$14</f>
        <v/>
      </c>
    </row>
    <row r="369">
      <c r="A369" t="n">
        <v>1101</v>
      </c>
      <c r="B369" t="n">
        <v>36.7</v>
      </c>
      <c r="C369" t="inlineStr">
        <is>
          <t>1853</t>
        </is>
      </c>
      <c r="D369" t="n">
        <v>18.53</v>
      </c>
      <c r="E369">
        <f>MEDIAN(D349:D389)</f>
        <v/>
      </c>
      <c r="F369">
        <f>E349</f>
        <v/>
      </c>
      <c r="G369">
        <f>F369-E369</f>
        <v/>
      </c>
      <c r="H369">
        <f>IF(OR(NOT(ISNUMBER(D369)),ABS(D369-E369)&gt;$O$3,AND($O$11=1,B369&lt;$O$12)),1,0)</f>
        <v/>
      </c>
      <c r="I369">
        <f>IF(H369=1,NA(),D369)</f>
        <v/>
      </c>
      <c r="J369">
        <f>IF(AND(ISNUMBER(D369),D369&gt;=$O$4,OR($O$11=0,B369&gt;=$O$12)),1,0)</f>
        <v/>
      </c>
      <c r="K369">
        <f>B369-$O$14</f>
        <v/>
      </c>
    </row>
    <row r="370">
      <c r="A370" t="n">
        <v>1104</v>
      </c>
      <c r="B370" t="n">
        <v>36.8</v>
      </c>
      <c r="C370" t="inlineStr">
        <is>
          <t>1855</t>
        </is>
      </c>
      <c r="D370" t="n">
        <v>18.55</v>
      </c>
      <c r="E370">
        <f>MEDIAN(D350:D390)</f>
        <v/>
      </c>
      <c r="F370">
        <f>E350</f>
        <v/>
      </c>
      <c r="G370">
        <f>F370-E370</f>
        <v/>
      </c>
      <c r="H370">
        <f>IF(OR(NOT(ISNUMBER(D370)),ABS(D370-E370)&gt;$O$3,AND($O$11=1,B370&lt;$O$12)),1,0)</f>
        <v/>
      </c>
      <c r="I370">
        <f>IF(H370=1,NA(),D370)</f>
        <v/>
      </c>
      <c r="J370">
        <f>IF(AND(ISNUMBER(D370),D370&gt;=$O$4,OR($O$11=0,B370&gt;=$O$12)),1,0)</f>
        <v/>
      </c>
      <c r="K370">
        <f>B370-$O$14</f>
        <v/>
      </c>
    </row>
    <row r="371">
      <c r="A371" t="n">
        <v>1107</v>
      </c>
      <c r="B371" t="n">
        <v>36.9</v>
      </c>
      <c r="C371" t="inlineStr">
        <is>
          <t>1855</t>
        </is>
      </c>
      <c r="D371" t="n">
        <v>18.55</v>
      </c>
      <c r="E371">
        <f>MEDIAN(D351:D391)</f>
        <v/>
      </c>
      <c r="F371">
        <f>E351</f>
        <v/>
      </c>
      <c r="G371">
        <f>F371-E371</f>
        <v/>
      </c>
      <c r="H371">
        <f>IF(OR(NOT(ISNUMBER(D371)),ABS(D371-E371)&gt;$O$3,AND($O$11=1,B371&lt;$O$12)),1,0)</f>
        <v/>
      </c>
      <c r="I371">
        <f>IF(H371=1,NA(),D371)</f>
        <v/>
      </c>
      <c r="J371">
        <f>IF(AND(ISNUMBER(D371),D371&gt;=$O$4,OR($O$11=0,B371&gt;=$O$12)),1,0)</f>
        <v/>
      </c>
      <c r="K371">
        <f>B371-$O$14</f>
        <v/>
      </c>
    </row>
    <row r="372">
      <c r="A372" t="n">
        <v>1110</v>
      </c>
      <c r="B372" t="n">
        <v>37</v>
      </c>
      <c r="C372" t="inlineStr">
        <is>
          <t>1855</t>
        </is>
      </c>
      <c r="D372" t="n">
        <v>18.55</v>
      </c>
      <c r="E372">
        <f>MEDIAN(D352:D392)</f>
        <v/>
      </c>
      <c r="F372">
        <f>E352</f>
        <v/>
      </c>
      <c r="G372">
        <f>F372-E372</f>
        <v/>
      </c>
      <c r="H372">
        <f>IF(OR(NOT(ISNUMBER(D372)),ABS(D372-E372)&gt;$O$3,AND($O$11=1,B372&lt;$O$12)),1,0)</f>
        <v/>
      </c>
      <c r="I372">
        <f>IF(H372=1,NA(),D372)</f>
        <v/>
      </c>
      <c r="J372">
        <f>IF(AND(ISNUMBER(D372),D372&gt;=$O$4,OR($O$11=0,B372&gt;=$O$12)),1,0)</f>
        <v/>
      </c>
      <c r="K372">
        <f>B372-$O$14</f>
        <v/>
      </c>
    </row>
    <row r="373">
      <c r="A373" t="n">
        <v>1113</v>
      </c>
      <c r="B373" t="n">
        <v>37.1</v>
      </c>
      <c r="C373" t="inlineStr">
        <is>
          <t>1855</t>
        </is>
      </c>
      <c r="D373" t="n">
        <v>18.55</v>
      </c>
      <c r="E373">
        <f>MEDIAN(D353:D393)</f>
        <v/>
      </c>
      <c r="F373">
        <f>E353</f>
        <v/>
      </c>
      <c r="G373">
        <f>F373-E373</f>
        <v/>
      </c>
      <c r="H373">
        <f>IF(OR(NOT(ISNUMBER(D373)),ABS(D373-E373)&gt;$O$3,AND($O$11=1,B373&lt;$O$12)),1,0)</f>
        <v/>
      </c>
      <c r="I373">
        <f>IF(H373=1,NA(),D373)</f>
        <v/>
      </c>
      <c r="J373">
        <f>IF(AND(ISNUMBER(D373),D373&gt;=$O$4,OR($O$11=0,B373&gt;=$O$12)),1,0)</f>
        <v/>
      </c>
      <c r="K373">
        <f>B373-$O$14</f>
        <v/>
      </c>
    </row>
    <row r="374">
      <c r="A374" t="n">
        <v>1116</v>
      </c>
      <c r="B374" t="n">
        <v>37.2</v>
      </c>
      <c r="C374" t="inlineStr">
        <is>
          <t>1860</t>
        </is>
      </c>
      <c r="D374" t="n">
        <v>18.6</v>
      </c>
      <c r="E374">
        <f>MEDIAN(D354:D394)</f>
        <v/>
      </c>
      <c r="F374">
        <f>E354</f>
        <v/>
      </c>
      <c r="G374">
        <f>F374-E374</f>
        <v/>
      </c>
      <c r="H374">
        <f>IF(OR(NOT(ISNUMBER(D374)),ABS(D374-E374)&gt;$O$3,AND($O$11=1,B374&lt;$O$12)),1,0)</f>
        <v/>
      </c>
      <c r="I374">
        <f>IF(H374=1,NA(),D374)</f>
        <v/>
      </c>
      <c r="J374">
        <f>IF(AND(ISNUMBER(D374),D374&gt;=$O$4,OR($O$11=0,B374&gt;=$O$12)),1,0)</f>
        <v/>
      </c>
      <c r="K374">
        <f>B374-$O$14</f>
        <v/>
      </c>
    </row>
    <row r="375">
      <c r="A375" t="n">
        <v>1119</v>
      </c>
      <c r="B375" t="n">
        <v>37.3</v>
      </c>
      <c r="C375" t="inlineStr">
        <is>
          <t>186?</t>
        </is>
      </c>
      <c r="E375">
        <f>MEDIAN(D355:D395)</f>
        <v/>
      </c>
      <c r="F375">
        <f>E355</f>
        <v/>
      </c>
      <c r="G375">
        <f>F375-E375</f>
        <v/>
      </c>
      <c r="H375">
        <f>IF(OR(NOT(ISNUMBER(D375)),ABS(D375-E375)&gt;$O$3,AND($O$11=1,B375&lt;$O$12)),1,0)</f>
        <v/>
      </c>
      <c r="I375">
        <f>IF(H375=1,NA(),D375)</f>
        <v/>
      </c>
      <c r="J375">
        <f>IF(AND(ISNUMBER(D375),D375&gt;=$O$4,OR($O$11=0,B375&gt;=$O$12)),1,0)</f>
        <v/>
      </c>
      <c r="K375">
        <f>B375-$O$14</f>
        <v/>
      </c>
    </row>
    <row r="376">
      <c r="A376" t="n">
        <v>1122</v>
      </c>
      <c r="B376" t="n">
        <v>37.4</v>
      </c>
      <c r="C376" t="inlineStr">
        <is>
          <t>1863</t>
        </is>
      </c>
      <c r="D376" t="n">
        <v>18.63</v>
      </c>
      <c r="E376">
        <f>MEDIAN(D356:D396)</f>
        <v/>
      </c>
      <c r="F376">
        <f>E356</f>
        <v/>
      </c>
      <c r="G376">
        <f>F376-E376</f>
        <v/>
      </c>
      <c r="H376">
        <f>IF(OR(NOT(ISNUMBER(D376)),ABS(D376-E376)&gt;$O$3,AND($O$11=1,B376&lt;$O$12)),1,0)</f>
        <v/>
      </c>
      <c r="I376">
        <f>IF(H376=1,NA(),D376)</f>
        <v/>
      </c>
      <c r="J376">
        <f>IF(AND(ISNUMBER(D376),D376&gt;=$O$4,OR($O$11=0,B376&gt;=$O$12)),1,0)</f>
        <v/>
      </c>
      <c r="K376">
        <f>B376-$O$14</f>
        <v/>
      </c>
    </row>
    <row r="377">
      <c r="A377" t="n">
        <v>1125</v>
      </c>
      <c r="B377" t="n">
        <v>37.5</v>
      </c>
      <c r="C377" t="inlineStr">
        <is>
          <t>1864</t>
        </is>
      </c>
      <c r="D377" t="n">
        <v>18.64</v>
      </c>
      <c r="E377">
        <f>MEDIAN(D357:D397)</f>
        <v/>
      </c>
      <c r="F377">
        <f>E357</f>
        <v/>
      </c>
      <c r="G377">
        <f>F377-E377</f>
        <v/>
      </c>
      <c r="H377">
        <f>IF(OR(NOT(ISNUMBER(D377)),ABS(D377-E377)&gt;$O$3,AND($O$11=1,B377&lt;$O$12)),1,0)</f>
        <v/>
      </c>
      <c r="I377">
        <f>IF(H377=1,NA(),D377)</f>
        <v/>
      </c>
      <c r="J377">
        <f>IF(AND(ISNUMBER(D377),D377&gt;=$O$4,OR($O$11=0,B377&gt;=$O$12)),1,0)</f>
        <v/>
      </c>
      <c r="K377">
        <f>B377-$O$14</f>
        <v/>
      </c>
    </row>
    <row r="378">
      <c r="A378" t="n">
        <v>1128</v>
      </c>
      <c r="B378" t="n">
        <v>37.6</v>
      </c>
      <c r="C378" t="inlineStr">
        <is>
          <t>1865</t>
        </is>
      </c>
      <c r="D378" t="n">
        <v>18.65</v>
      </c>
      <c r="E378">
        <f>MEDIAN(D358:D398)</f>
        <v/>
      </c>
      <c r="F378">
        <f>E358</f>
        <v/>
      </c>
      <c r="G378">
        <f>F378-E378</f>
        <v/>
      </c>
      <c r="H378">
        <f>IF(OR(NOT(ISNUMBER(D378)),ABS(D378-E378)&gt;$O$3,AND($O$11=1,B378&lt;$O$12)),1,0)</f>
        <v/>
      </c>
      <c r="I378">
        <f>IF(H378=1,NA(),D378)</f>
        <v/>
      </c>
      <c r="J378">
        <f>IF(AND(ISNUMBER(D378),D378&gt;=$O$4,OR($O$11=0,B378&gt;=$O$12)),1,0)</f>
        <v/>
      </c>
      <c r="K378">
        <f>B378-$O$14</f>
        <v/>
      </c>
    </row>
    <row r="379">
      <c r="A379" t="n">
        <v>1131</v>
      </c>
      <c r="B379" t="n">
        <v>37.7</v>
      </c>
      <c r="C379" t="inlineStr">
        <is>
          <t>1865</t>
        </is>
      </c>
      <c r="D379" t="n">
        <v>18.65</v>
      </c>
      <c r="E379">
        <f>MEDIAN(D359:D399)</f>
        <v/>
      </c>
      <c r="F379">
        <f>E359</f>
        <v/>
      </c>
      <c r="G379">
        <f>F379-E379</f>
        <v/>
      </c>
      <c r="H379">
        <f>IF(OR(NOT(ISNUMBER(D379)),ABS(D379-E379)&gt;$O$3,AND($O$11=1,B379&lt;$O$12)),1,0)</f>
        <v/>
      </c>
      <c r="I379">
        <f>IF(H379=1,NA(),D379)</f>
        <v/>
      </c>
      <c r="J379">
        <f>IF(AND(ISNUMBER(D379),D379&gt;=$O$4,OR($O$11=0,B379&gt;=$O$12)),1,0)</f>
        <v/>
      </c>
      <c r="K379">
        <f>B379-$O$14</f>
        <v/>
      </c>
    </row>
    <row r="380">
      <c r="A380" t="n">
        <v>1134</v>
      </c>
      <c r="B380" t="n">
        <v>37.8</v>
      </c>
      <c r="C380" t="inlineStr">
        <is>
          <t>1867</t>
        </is>
      </c>
      <c r="D380" t="n">
        <v>18.67</v>
      </c>
      <c r="E380">
        <f>MEDIAN(D360:D400)</f>
        <v/>
      </c>
      <c r="F380">
        <f>E360</f>
        <v/>
      </c>
      <c r="G380">
        <f>F380-E380</f>
        <v/>
      </c>
      <c r="H380">
        <f>IF(OR(NOT(ISNUMBER(D380)),ABS(D380-E380)&gt;$O$3,AND($O$11=1,B380&lt;$O$12)),1,0)</f>
        <v/>
      </c>
      <c r="I380">
        <f>IF(H380=1,NA(),D380)</f>
        <v/>
      </c>
      <c r="J380">
        <f>IF(AND(ISNUMBER(D380),D380&gt;=$O$4,OR($O$11=0,B380&gt;=$O$12)),1,0)</f>
        <v/>
      </c>
      <c r="K380">
        <f>B380-$O$14</f>
        <v/>
      </c>
    </row>
    <row r="381">
      <c r="A381" t="n">
        <v>1137</v>
      </c>
      <c r="B381" t="n">
        <v>37.9</v>
      </c>
      <c r="C381" t="inlineStr">
        <is>
          <t>1865</t>
        </is>
      </c>
      <c r="D381" t="n">
        <v>18.65</v>
      </c>
      <c r="E381">
        <f>MEDIAN(D361:D401)</f>
        <v/>
      </c>
      <c r="F381">
        <f>E361</f>
        <v/>
      </c>
      <c r="G381">
        <f>F381-E381</f>
        <v/>
      </c>
      <c r="H381">
        <f>IF(OR(NOT(ISNUMBER(D381)),ABS(D381-E381)&gt;$O$3,AND($O$11=1,B381&lt;$O$12)),1,0)</f>
        <v/>
      </c>
      <c r="I381">
        <f>IF(H381=1,NA(),D381)</f>
        <v/>
      </c>
      <c r="J381">
        <f>IF(AND(ISNUMBER(D381),D381&gt;=$O$4,OR($O$11=0,B381&gt;=$O$12)),1,0)</f>
        <v/>
      </c>
      <c r="K381">
        <f>B381-$O$14</f>
        <v/>
      </c>
    </row>
    <row r="382">
      <c r="A382" t="n">
        <v>1140</v>
      </c>
      <c r="B382" t="n">
        <v>38</v>
      </c>
      <c r="C382" t="inlineStr">
        <is>
          <t>1865</t>
        </is>
      </c>
      <c r="D382" t="n">
        <v>18.65</v>
      </c>
      <c r="E382">
        <f>MEDIAN(D362:D402)</f>
        <v/>
      </c>
      <c r="F382">
        <f>E362</f>
        <v/>
      </c>
      <c r="G382">
        <f>F382-E382</f>
        <v/>
      </c>
      <c r="H382">
        <f>IF(OR(NOT(ISNUMBER(D382)),ABS(D382-E382)&gt;$O$3,AND($O$11=1,B382&lt;$O$12)),1,0)</f>
        <v/>
      </c>
      <c r="I382">
        <f>IF(H382=1,NA(),D382)</f>
        <v/>
      </c>
      <c r="J382">
        <f>IF(AND(ISNUMBER(D382),D382&gt;=$O$4,OR($O$11=0,B382&gt;=$O$12)),1,0)</f>
        <v/>
      </c>
      <c r="K382">
        <f>B382-$O$14</f>
        <v/>
      </c>
    </row>
    <row r="383">
      <c r="A383" t="n">
        <v>1143</v>
      </c>
      <c r="B383" t="n">
        <v>38.1</v>
      </c>
      <c r="C383" t="inlineStr">
        <is>
          <t>187?</t>
        </is>
      </c>
      <c r="E383">
        <f>MEDIAN(D363:D403)</f>
        <v/>
      </c>
      <c r="F383">
        <f>E363</f>
        <v/>
      </c>
      <c r="G383">
        <f>F383-E383</f>
        <v/>
      </c>
      <c r="H383">
        <f>IF(OR(NOT(ISNUMBER(D383)),ABS(D383-E383)&gt;$O$3,AND($O$11=1,B383&lt;$O$12)),1,0)</f>
        <v/>
      </c>
      <c r="I383">
        <f>IF(H383=1,NA(),D383)</f>
        <v/>
      </c>
      <c r="J383">
        <f>IF(AND(ISNUMBER(D383),D383&gt;=$O$4,OR($O$11=0,B383&gt;=$O$12)),1,0)</f>
        <v/>
      </c>
      <c r="K383">
        <f>B383-$O$14</f>
        <v/>
      </c>
    </row>
    <row r="384">
      <c r="A384" t="n">
        <v>1146</v>
      </c>
      <c r="B384" t="n">
        <v>38.2</v>
      </c>
      <c r="C384" t="inlineStr">
        <is>
          <t>1876</t>
        </is>
      </c>
      <c r="D384" t="n">
        <v>18.76</v>
      </c>
      <c r="E384">
        <f>MEDIAN(D364:D404)</f>
        <v/>
      </c>
      <c r="F384">
        <f>E364</f>
        <v/>
      </c>
      <c r="G384">
        <f>F384-E384</f>
        <v/>
      </c>
      <c r="H384">
        <f>IF(OR(NOT(ISNUMBER(D384)),ABS(D384-E384)&gt;$O$3,AND($O$11=1,B384&lt;$O$12)),1,0)</f>
        <v/>
      </c>
      <c r="I384">
        <f>IF(H384=1,NA(),D384)</f>
        <v/>
      </c>
      <c r="J384">
        <f>IF(AND(ISNUMBER(D384),D384&gt;=$O$4,OR($O$11=0,B384&gt;=$O$12)),1,0)</f>
        <v/>
      </c>
      <c r="K384">
        <f>B384-$O$14</f>
        <v/>
      </c>
    </row>
    <row r="385">
      <c r="A385" t="n">
        <v>1149</v>
      </c>
      <c r="B385" t="n">
        <v>38.3</v>
      </c>
      <c r="C385" t="inlineStr">
        <is>
          <t>1875</t>
        </is>
      </c>
      <c r="D385" t="n">
        <v>18.75</v>
      </c>
      <c r="E385">
        <f>MEDIAN(D365:D405)</f>
        <v/>
      </c>
      <c r="F385">
        <f>E365</f>
        <v/>
      </c>
      <c r="G385">
        <f>F385-E385</f>
        <v/>
      </c>
      <c r="H385">
        <f>IF(OR(NOT(ISNUMBER(D385)),ABS(D385-E385)&gt;$O$3,AND($O$11=1,B385&lt;$O$12)),1,0)</f>
        <v/>
      </c>
      <c r="I385">
        <f>IF(H385=1,NA(),D385)</f>
        <v/>
      </c>
      <c r="J385">
        <f>IF(AND(ISNUMBER(D385),D385&gt;=$O$4,OR($O$11=0,B385&gt;=$O$12)),1,0)</f>
        <v/>
      </c>
      <c r="K385">
        <f>B385-$O$14</f>
        <v/>
      </c>
    </row>
    <row r="386">
      <c r="A386" t="n">
        <v>1152</v>
      </c>
      <c r="B386" t="n">
        <v>38.4</v>
      </c>
      <c r="C386" t="inlineStr">
        <is>
          <t>1875</t>
        </is>
      </c>
      <c r="D386" t="n">
        <v>18.75</v>
      </c>
      <c r="E386">
        <f>MEDIAN(D366:D406)</f>
        <v/>
      </c>
      <c r="F386">
        <f>E366</f>
        <v/>
      </c>
      <c r="G386">
        <f>F386-E386</f>
        <v/>
      </c>
      <c r="H386">
        <f>IF(OR(NOT(ISNUMBER(D386)),ABS(D386-E386)&gt;$O$3,AND($O$11=1,B386&lt;$O$12)),1,0)</f>
        <v/>
      </c>
      <c r="I386">
        <f>IF(H386=1,NA(),D386)</f>
        <v/>
      </c>
      <c r="J386">
        <f>IF(AND(ISNUMBER(D386),D386&gt;=$O$4,OR($O$11=0,B386&gt;=$O$12)),1,0)</f>
        <v/>
      </c>
      <c r="K386">
        <f>B386-$O$14</f>
        <v/>
      </c>
    </row>
    <row r="387">
      <c r="A387" t="n">
        <v>1155</v>
      </c>
      <c r="B387" t="n">
        <v>38.5</v>
      </c>
      <c r="C387" t="inlineStr">
        <is>
          <t>1875</t>
        </is>
      </c>
      <c r="D387" t="n">
        <v>18.75</v>
      </c>
      <c r="E387">
        <f>MEDIAN(D367:D407)</f>
        <v/>
      </c>
      <c r="F387">
        <f>E367</f>
        <v/>
      </c>
      <c r="G387">
        <f>F387-E387</f>
        <v/>
      </c>
      <c r="H387">
        <f>IF(OR(NOT(ISNUMBER(D387)),ABS(D387-E387)&gt;$O$3,AND($O$11=1,B387&lt;$O$12)),1,0)</f>
        <v/>
      </c>
      <c r="I387">
        <f>IF(H387=1,NA(),D387)</f>
        <v/>
      </c>
      <c r="J387">
        <f>IF(AND(ISNUMBER(D387),D387&gt;=$O$4,OR($O$11=0,B387&gt;=$O$12)),1,0)</f>
        <v/>
      </c>
      <c r="K387">
        <f>B387-$O$14</f>
        <v/>
      </c>
    </row>
    <row r="388">
      <c r="A388" t="n">
        <v>1158</v>
      </c>
      <c r="B388" t="n">
        <v>38.6</v>
      </c>
      <c r="C388" t="inlineStr">
        <is>
          <t>1876</t>
        </is>
      </c>
      <c r="D388" t="n">
        <v>18.76</v>
      </c>
      <c r="E388">
        <f>MEDIAN(D368:D408)</f>
        <v/>
      </c>
      <c r="F388">
        <f>E368</f>
        <v/>
      </c>
      <c r="G388">
        <f>F388-E388</f>
        <v/>
      </c>
      <c r="H388">
        <f>IF(OR(NOT(ISNUMBER(D388)),ABS(D388-E388)&gt;$O$3,AND($O$11=1,B388&lt;$O$12)),1,0)</f>
        <v/>
      </c>
      <c r="I388">
        <f>IF(H388=1,NA(),D388)</f>
        <v/>
      </c>
      <c r="J388">
        <f>IF(AND(ISNUMBER(D388),D388&gt;=$O$4,OR($O$11=0,B388&gt;=$O$12)),1,0)</f>
        <v/>
      </c>
      <c r="K388">
        <f>B388-$O$14</f>
        <v/>
      </c>
    </row>
    <row r="389">
      <c r="A389" t="n">
        <v>1161</v>
      </c>
      <c r="B389" t="n">
        <v>38.7</v>
      </c>
      <c r="C389" t="inlineStr">
        <is>
          <t>18?5</t>
        </is>
      </c>
      <c r="E389">
        <f>MEDIAN(D369:D409)</f>
        <v/>
      </c>
      <c r="F389">
        <f>E369</f>
        <v/>
      </c>
      <c r="G389">
        <f>F389-E389</f>
        <v/>
      </c>
      <c r="H389">
        <f>IF(OR(NOT(ISNUMBER(D389)),ABS(D389-E389)&gt;$O$3,AND($O$11=1,B389&lt;$O$12)),1,0)</f>
        <v/>
      </c>
      <c r="I389">
        <f>IF(H389=1,NA(),D389)</f>
        <v/>
      </c>
      <c r="J389">
        <f>IF(AND(ISNUMBER(D389),D389&gt;=$O$4,OR($O$11=0,B389&gt;=$O$12)),1,0)</f>
        <v/>
      </c>
      <c r="K389">
        <f>B389-$O$14</f>
        <v/>
      </c>
    </row>
    <row r="390">
      <c r="A390" t="n">
        <v>1164</v>
      </c>
      <c r="B390" t="n">
        <v>38.8</v>
      </c>
      <c r="C390" t="inlineStr">
        <is>
          <t>1860</t>
        </is>
      </c>
      <c r="D390" t="n">
        <v>18.6</v>
      </c>
      <c r="E390">
        <f>MEDIAN(D370:D410)</f>
        <v/>
      </c>
      <c r="F390">
        <f>E370</f>
        <v/>
      </c>
      <c r="G390">
        <f>F390-E390</f>
        <v/>
      </c>
      <c r="H390">
        <f>IF(OR(NOT(ISNUMBER(D390)),ABS(D390-E390)&gt;$O$3,AND($O$11=1,B390&lt;$O$12)),1,0)</f>
        <v/>
      </c>
      <c r="I390">
        <f>IF(H390=1,NA(),D390)</f>
        <v/>
      </c>
      <c r="J390">
        <f>IF(AND(ISNUMBER(D390),D390&gt;=$O$4,OR($O$11=0,B390&gt;=$O$12)),1,0)</f>
        <v/>
      </c>
      <c r="K390">
        <f>B390-$O$14</f>
        <v/>
      </c>
    </row>
    <row r="391">
      <c r="A391" t="n">
        <v>1167</v>
      </c>
      <c r="B391" t="n">
        <v>38.9</v>
      </c>
      <c r="C391" t="inlineStr">
        <is>
          <t>188?</t>
        </is>
      </c>
      <c r="E391">
        <f>MEDIAN(D371:D411)</f>
        <v/>
      </c>
      <c r="F391">
        <f>E371</f>
        <v/>
      </c>
      <c r="G391">
        <f>F391-E391</f>
        <v/>
      </c>
      <c r="H391">
        <f>IF(OR(NOT(ISNUMBER(D391)),ABS(D391-E391)&gt;$O$3,AND($O$11=1,B391&lt;$O$12)),1,0)</f>
        <v/>
      </c>
      <c r="I391">
        <f>IF(H391=1,NA(),D391)</f>
        <v/>
      </c>
      <c r="J391">
        <f>IF(AND(ISNUMBER(D391),D391&gt;=$O$4,OR($O$11=0,B391&gt;=$O$12)),1,0)</f>
        <v/>
      </c>
      <c r="K391">
        <f>B391-$O$14</f>
        <v/>
      </c>
    </row>
    <row r="392">
      <c r="A392" t="n">
        <v>1170</v>
      </c>
      <c r="B392" t="n">
        <v>39</v>
      </c>
      <c r="C392" t="inlineStr">
        <is>
          <t>1865</t>
        </is>
      </c>
      <c r="D392" t="n">
        <v>18.65</v>
      </c>
      <c r="E392">
        <f>MEDIAN(D372:D412)</f>
        <v/>
      </c>
      <c r="F392">
        <f>E372</f>
        <v/>
      </c>
      <c r="G392">
        <f>F392-E392</f>
        <v/>
      </c>
      <c r="H392">
        <f>IF(OR(NOT(ISNUMBER(D392)),ABS(D392-E392)&gt;$O$3,AND($O$11=1,B392&lt;$O$12)),1,0)</f>
        <v/>
      </c>
      <c r="I392">
        <f>IF(H392=1,NA(),D392)</f>
        <v/>
      </c>
      <c r="J392">
        <f>IF(AND(ISNUMBER(D392),D392&gt;=$O$4,OR($O$11=0,B392&gt;=$O$12)),1,0)</f>
        <v/>
      </c>
      <c r="K392">
        <f>B392-$O$14</f>
        <v/>
      </c>
    </row>
    <row r="393">
      <c r="A393" t="n">
        <v>1173</v>
      </c>
      <c r="B393" t="n">
        <v>39.1</v>
      </c>
      <c r="C393" t="inlineStr">
        <is>
          <t>1885</t>
        </is>
      </c>
      <c r="D393" t="n">
        <v>18.85</v>
      </c>
      <c r="E393">
        <f>MEDIAN(D373:D413)</f>
        <v/>
      </c>
      <c r="F393">
        <f>E373</f>
        <v/>
      </c>
      <c r="G393">
        <f>F393-E393</f>
        <v/>
      </c>
      <c r="H393">
        <f>IF(OR(NOT(ISNUMBER(D393)),ABS(D393-E393)&gt;$O$3,AND($O$11=1,B393&lt;$O$12)),1,0)</f>
        <v/>
      </c>
      <c r="I393">
        <f>IF(H393=1,NA(),D393)</f>
        <v/>
      </c>
      <c r="J393">
        <f>IF(AND(ISNUMBER(D393),D393&gt;=$O$4,OR($O$11=0,B393&gt;=$O$12)),1,0)</f>
        <v/>
      </c>
      <c r="K393">
        <f>B393-$O$14</f>
        <v/>
      </c>
    </row>
    <row r="394">
      <c r="A394" t="n">
        <v>1176</v>
      </c>
      <c r="B394" t="n">
        <v>39.2</v>
      </c>
      <c r="C394" t="inlineStr">
        <is>
          <t>1865</t>
        </is>
      </c>
      <c r="D394" t="n">
        <v>18.65</v>
      </c>
      <c r="E394">
        <f>MEDIAN(D374:D414)</f>
        <v/>
      </c>
      <c r="F394">
        <f>E374</f>
        <v/>
      </c>
      <c r="G394">
        <f>F394-E394</f>
        <v/>
      </c>
      <c r="H394">
        <f>IF(OR(NOT(ISNUMBER(D394)),ABS(D394-E394)&gt;$O$3,AND($O$11=1,B394&lt;$O$12)),1,0)</f>
        <v/>
      </c>
      <c r="I394">
        <f>IF(H394=1,NA(),D394)</f>
        <v/>
      </c>
      <c r="J394">
        <f>IF(AND(ISNUMBER(D394),D394&gt;=$O$4,OR($O$11=0,B394&gt;=$O$12)),1,0)</f>
        <v/>
      </c>
      <c r="K394">
        <f>B394-$O$14</f>
        <v/>
      </c>
    </row>
    <row r="395">
      <c r="A395" t="n">
        <v>1179</v>
      </c>
      <c r="B395" t="n">
        <v>39.3</v>
      </c>
      <c r="C395" t="inlineStr">
        <is>
          <t>1865</t>
        </is>
      </c>
      <c r="D395" t="n">
        <v>18.65</v>
      </c>
      <c r="E395">
        <f>MEDIAN(D375:D415)</f>
        <v/>
      </c>
      <c r="F395">
        <f>E375</f>
        <v/>
      </c>
      <c r="G395">
        <f>F395-E395</f>
        <v/>
      </c>
      <c r="H395">
        <f>IF(OR(NOT(ISNUMBER(D395)),ABS(D395-E395)&gt;$O$3,AND($O$11=1,B395&lt;$O$12)),1,0)</f>
        <v/>
      </c>
      <c r="I395">
        <f>IF(H395=1,NA(),D395)</f>
        <v/>
      </c>
      <c r="J395">
        <f>IF(AND(ISNUMBER(D395),D395&gt;=$O$4,OR($O$11=0,B395&gt;=$O$12)),1,0)</f>
        <v/>
      </c>
      <c r="K395">
        <f>B395-$O$14</f>
        <v/>
      </c>
    </row>
    <row r="396">
      <c r="A396" t="n">
        <v>1182</v>
      </c>
      <c r="B396" t="n">
        <v>39.4</v>
      </c>
      <c r="C396" t="inlineStr">
        <is>
          <t>1865</t>
        </is>
      </c>
      <c r="D396" t="n">
        <v>18.65</v>
      </c>
      <c r="E396">
        <f>MEDIAN(D376:D416)</f>
        <v/>
      </c>
      <c r="F396">
        <f>E376</f>
        <v/>
      </c>
      <c r="G396">
        <f>F396-E396</f>
        <v/>
      </c>
      <c r="H396">
        <f>IF(OR(NOT(ISNUMBER(D396)),ABS(D396-E396)&gt;$O$3,AND($O$11=1,B396&lt;$O$12)),1,0)</f>
        <v/>
      </c>
      <c r="I396">
        <f>IF(H396=1,NA(),D396)</f>
        <v/>
      </c>
      <c r="J396">
        <f>IF(AND(ISNUMBER(D396),D396&gt;=$O$4,OR($O$11=0,B396&gt;=$O$12)),1,0)</f>
        <v/>
      </c>
      <c r="K396">
        <f>B396-$O$14</f>
        <v/>
      </c>
    </row>
    <row r="397">
      <c r="A397" t="n">
        <v>1185</v>
      </c>
      <c r="B397" t="n">
        <v>39.5</v>
      </c>
      <c r="C397" t="inlineStr">
        <is>
          <t>1855</t>
        </is>
      </c>
      <c r="D397" t="n">
        <v>18.55</v>
      </c>
      <c r="E397">
        <f>MEDIAN(D377:D417)</f>
        <v/>
      </c>
      <c r="F397">
        <f>E377</f>
        <v/>
      </c>
      <c r="G397">
        <f>F397-E397</f>
        <v/>
      </c>
      <c r="H397">
        <f>IF(OR(NOT(ISNUMBER(D397)),ABS(D397-E397)&gt;$O$3,AND($O$11=1,B397&lt;$O$12)),1,0)</f>
        <v/>
      </c>
      <c r="I397">
        <f>IF(H397=1,NA(),D397)</f>
        <v/>
      </c>
      <c r="J397">
        <f>IF(AND(ISNUMBER(D397),D397&gt;=$O$4,OR($O$11=0,B397&gt;=$O$12)),1,0)</f>
        <v/>
      </c>
      <c r="K397">
        <f>B397-$O$14</f>
        <v/>
      </c>
    </row>
    <row r="398">
      <c r="A398" t="n">
        <v>1188</v>
      </c>
      <c r="B398" t="n">
        <v>39.6</v>
      </c>
      <c r="C398" t="inlineStr">
        <is>
          <t>1850</t>
        </is>
      </c>
      <c r="D398" t="n">
        <v>18.5</v>
      </c>
      <c r="E398">
        <f>MEDIAN(D378:D418)</f>
        <v/>
      </c>
      <c r="F398">
        <f>E378</f>
        <v/>
      </c>
      <c r="G398">
        <f>F398-E398</f>
        <v/>
      </c>
      <c r="H398">
        <f>IF(OR(NOT(ISNUMBER(D398)),ABS(D398-E398)&gt;$O$3,AND($O$11=1,B398&lt;$O$12)),1,0)</f>
        <v/>
      </c>
      <c r="I398">
        <f>IF(H398=1,NA(),D398)</f>
        <v/>
      </c>
      <c r="J398">
        <f>IF(AND(ISNUMBER(D398),D398&gt;=$O$4,OR($O$11=0,B398&gt;=$O$12)),1,0)</f>
        <v/>
      </c>
      <c r="K398">
        <f>B398-$O$14</f>
        <v/>
      </c>
    </row>
    <row r="399">
      <c r="A399" t="n">
        <v>1191</v>
      </c>
      <c r="B399" t="n">
        <v>39.7</v>
      </c>
      <c r="C399" t="inlineStr">
        <is>
          <t>1855</t>
        </is>
      </c>
      <c r="D399" t="n">
        <v>18.55</v>
      </c>
      <c r="E399">
        <f>MEDIAN(D379:D419)</f>
        <v/>
      </c>
      <c r="F399">
        <f>E379</f>
        <v/>
      </c>
      <c r="G399">
        <f>F399-E399</f>
        <v/>
      </c>
      <c r="H399">
        <f>IF(OR(NOT(ISNUMBER(D399)),ABS(D399-E399)&gt;$O$3,AND($O$11=1,B399&lt;$O$12)),1,0)</f>
        <v/>
      </c>
      <c r="I399">
        <f>IF(H399=1,NA(),D399)</f>
        <v/>
      </c>
      <c r="J399">
        <f>IF(AND(ISNUMBER(D399),D399&gt;=$O$4,OR($O$11=0,B399&gt;=$O$12)),1,0)</f>
        <v/>
      </c>
      <c r="K399">
        <f>B399-$O$14</f>
        <v/>
      </c>
    </row>
    <row r="400">
      <c r="A400" t="n">
        <v>1194</v>
      </c>
      <c r="B400" t="n">
        <v>39.8</v>
      </c>
      <c r="C400" t="inlineStr">
        <is>
          <t>1856</t>
        </is>
      </c>
      <c r="D400" t="n">
        <v>18.56</v>
      </c>
      <c r="E400">
        <f>MEDIAN(D380:D420)</f>
        <v/>
      </c>
      <c r="F400">
        <f>E380</f>
        <v/>
      </c>
      <c r="G400">
        <f>F400-E400</f>
        <v/>
      </c>
      <c r="H400">
        <f>IF(OR(NOT(ISNUMBER(D400)),ABS(D400-E400)&gt;$O$3,AND($O$11=1,B400&lt;$O$12)),1,0)</f>
        <v/>
      </c>
      <c r="I400">
        <f>IF(H400=1,NA(),D400)</f>
        <v/>
      </c>
      <c r="J400">
        <f>IF(AND(ISNUMBER(D400),D400&gt;=$O$4,OR($O$11=0,B400&gt;=$O$12)),1,0)</f>
        <v/>
      </c>
      <c r="K400">
        <f>B400-$O$14</f>
        <v/>
      </c>
    </row>
    <row r="401">
      <c r="A401" t="n">
        <v>1197</v>
      </c>
      <c r="B401" t="n">
        <v>39.9</v>
      </c>
      <c r="C401" t="inlineStr">
        <is>
          <t>1856</t>
        </is>
      </c>
      <c r="D401" t="n">
        <v>18.56</v>
      </c>
      <c r="E401">
        <f>MEDIAN(D381:D421)</f>
        <v/>
      </c>
      <c r="F401">
        <f>E381</f>
        <v/>
      </c>
      <c r="G401">
        <f>F401-E401</f>
        <v/>
      </c>
      <c r="H401">
        <f>IF(OR(NOT(ISNUMBER(D401)),ABS(D401-E401)&gt;$O$3,AND($O$11=1,B401&lt;$O$12)),1,0)</f>
        <v/>
      </c>
      <c r="I401">
        <f>IF(H401=1,NA(),D401)</f>
        <v/>
      </c>
      <c r="J401">
        <f>IF(AND(ISNUMBER(D401),D401&gt;=$O$4,OR($O$11=0,B401&gt;=$O$12)),1,0)</f>
        <v/>
      </c>
      <c r="K401">
        <f>B401-$O$14</f>
        <v/>
      </c>
    </row>
    <row r="402">
      <c r="A402" t="n">
        <v>1200</v>
      </c>
      <c r="B402" t="n">
        <v>40</v>
      </c>
      <c r="C402" t="inlineStr">
        <is>
          <t>1855</t>
        </is>
      </c>
      <c r="D402" t="n">
        <v>18.55</v>
      </c>
      <c r="E402">
        <f>MEDIAN(D382:D422)</f>
        <v/>
      </c>
      <c r="F402">
        <f>E382</f>
        <v/>
      </c>
      <c r="G402">
        <f>F402-E402</f>
        <v/>
      </c>
      <c r="H402">
        <f>IF(OR(NOT(ISNUMBER(D402)),ABS(D402-E402)&gt;$O$3,AND($O$11=1,B402&lt;$O$12)),1,0)</f>
        <v/>
      </c>
      <c r="I402">
        <f>IF(H402=1,NA(),D402)</f>
        <v/>
      </c>
      <c r="J402">
        <f>IF(AND(ISNUMBER(D402),D402&gt;=$O$4,OR($O$11=0,B402&gt;=$O$12)),1,0)</f>
        <v/>
      </c>
      <c r="K402">
        <f>B402-$O$14</f>
        <v/>
      </c>
    </row>
    <row r="403">
      <c r="A403" t="n">
        <v>1203</v>
      </c>
      <c r="B403" t="n">
        <v>40.1</v>
      </c>
      <c r="C403" t="inlineStr">
        <is>
          <t>1855</t>
        </is>
      </c>
      <c r="D403" t="n">
        <v>18.55</v>
      </c>
      <c r="E403">
        <f>MEDIAN(D383:D423)</f>
        <v/>
      </c>
      <c r="F403">
        <f>E383</f>
        <v/>
      </c>
      <c r="G403">
        <f>F403-E403</f>
        <v/>
      </c>
      <c r="H403">
        <f>IF(OR(NOT(ISNUMBER(D403)),ABS(D403-E403)&gt;$O$3,AND($O$11=1,B403&lt;$O$12)),1,0)</f>
        <v/>
      </c>
      <c r="I403">
        <f>IF(H403=1,NA(),D403)</f>
        <v/>
      </c>
      <c r="J403">
        <f>IF(AND(ISNUMBER(D403),D403&gt;=$O$4,OR($O$11=0,B403&gt;=$O$12)),1,0)</f>
        <v/>
      </c>
      <c r="K403">
        <f>B403-$O$14</f>
        <v/>
      </c>
    </row>
    <row r="404">
      <c r="A404" t="n">
        <v>1206</v>
      </c>
      <c r="B404" t="n">
        <v>40.2</v>
      </c>
      <c r="C404" t="inlineStr">
        <is>
          <t>1855</t>
        </is>
      </c>
      <c r="D404" t="n">
        <v>18.55</v>
      </c>
      <c r="E404">
        <f>MEDIAN(D384:D424)</f>
        <v/>
      </c>
      <c r="F404">
        <f>E384</f>
        <v/>
      </c>
      <c r="G404">
        <f>F404-E404</f>
        <v/>
      </c>
      <c r="H404">
        <f>IF(OR(NOT(ISNUMBER(D404)),ABS(D404-E404)&gt;$O$3,AND($O$11=1,B404&lt;$O$12)),1,0)</f>
        <v/>
      </c>
      <c r="I404">
        <f>IF(H404=1,NA(),D404)</f>
        <v/>
      </c>
      <c r="J404">
        <f>IF(AND(ISNUMBER(D404),D404&gt;=$O$4,OR($O$11=0,B404&gt;=$O$12)),1,0)</f>
        <v/>
      </c>
      <c r="K404">
        <f>B404-$O$14</f>
        <v/>
      </c>
    </row>
    <row r="405">
      <c r="A405" t="n">
        <v>1209</v>
      </c>
      <c r="B405" t="n">
        <v>40.3</v>
      </c>
      <c r="C405" t="inlineStr">
        <is>
          <t>1895</t>
        </is>
      </c>
      <c r="D405" t="n">
        <v>18.95</v>
      </c>
      <c r="E405">
        <f>MEDIAN(D385:D425)</f>
        <v/>
      </c>
      <c r="F405">
        <f>E385</f>
        <v/>
      </c>
      <c r="G405">
        <f>F405-E405</f>
        <v/>
      </c>
      <c r="H405">
        <f>IF(OR(NOT(ISNUMBER(D405)),ABS(D405-E405)&gt;$O$3,AND($O$11=1,B405&lt;$O$12)),1,0)</f>
        <v/>
      </c>
      <c r="I405">
        <f>IF(H405=1,NA(),D405)</f>
        <v/>
      </c>
      <c r="J405">
        <f>IF(AND(ISNUMBER(D405),D405&gt;=$O$4,OR($O$11=0,B405&gt;=$O$12)),1,0)</f>
        <v/>
      </c>
      <c r="K405">
        <f>B405-$O$14</f>
        <v/>
      </c>
    </row>
    <row r="406">
      <c r="A406" t="n">
        <v>1212</v>
      </c>
      <c r="B406" t="n">
        <v>40.4</v>
      </c>
      <c r="C406" t="inlineStr">
        <is>
          <t>1895</t>
        </is>
      </c>
      <c r="D406" t="n">
        <v>18.95</v>
      </c>
      <c r="E406">
        <f>MEDIAN(D386:D426)</f>
        <v/>
      </c>
      <c r="F406">
        <f>E386</f>
        <v/>
      </c>
      <c r="G406">
        <f>F406-E406</f>
        <v/>
      </c>
      <c r="H406">
        <f>IF(OR(NOT(ISNUMBER(D406)),ABS(D406-E406)&gt;$O$3,AND($O$11=1,B406&lt;$O$12)),1,0)</f>
        <v/>
      </c>
      <c r="I406">
        <f>IF(H406=1,NA(),D406)</f>
        <v/>
      </c>
      <c r="J406">
        <f>IF(AND(ISNUMBER(D406),D406&gt;=$O$4,OR($O$11=0,B406&gt;=$O$12)),1,0)</f>
        <v/>
      </c>
      <c r="K406">
        <f>B406-$O$14</f>
        <v/>
      </c>
    </row>
    <row r="407">
      <c r="A407" t="n">
        <v>1215</v>
      </c>
      <c r="B407" t="n">
        <v>40.5</v>
      </c>
      <c r="C407" t="inlineStr">
        <is>
          <t>1855</t>
        </is>
      </c>
      <c r="D407" t="n">
        <v>18.55</v>
      </c>
      <c r="E407">
        <f>MEDIAN(D387:D427)</f>
        <v/>
      </c>
      <c r="F407">
        <f>E387</f>
        <v/>
      </c>
      <c r="G407">
        <f>F407-E407</f>
        <v/>
      </c>
      <c r="H407">
        <f>IF(OR(NOT(ISNUMBER(D407)),ABS(D407-E407)&gt;$O$3,AND($O$11=1,B407&lt;$O$12)),1,0)</f>
        <v/>
      </c>
      <c r="I407">
        <f>IF(H407=1,NA(),D407)</f>
        <v/>
      </c>
      <c r="J407">
        <f>IF(AND(ISNUMBER(D407),D407&gt;=$O$4,OR($O$11=0,B407&gt;=$O$12)),1,0)</f>
        <v/>
      </c>
      <c r="K407">
        <f>B407-$O$14</f>
        <v/>
      </c>
    </row>
    <row r="408">
      <c r="A408" t="n">
        <v>1218</v>
      </c>
      <c r="B408" t="n">
        <v>40.6</v>
      </c>
      <c r="C408" t="inlineStr">
        <is>
          <t>1855</t>
        </is>
      </c>
      <c r="D408" t="n">
        <v>18.55</v>
      </c>
      <c r="E408">
        <f>MEDIAN(D388:D428)</f>
        <v/>
      </c>
      <c r="F408">
        <f>E388</f>
        <v/>
      </c>
      <c r="G408">
        <f>F408-E408</f>
        <v/>
      </c>
      <c r="H408">
        <f>IF(OR(NOT(ISNUMBER(D408)),ABS(D408-E408)&gt;$O$3,AND($O$11=1,B408&lt;$O$12)),1,0)</f>
        <v/>
      </c>
      <c r="I408">
        <f>IF(H408=1,NA(),D408)</f>
        <v/>
      </c>
      <c r="J408">
        <f>IF(AND(ISNUMBER(D408),D408&gt;=$O$4,OR($O$11=0,B408&gt;=$O$12)),1,0)</f>
        <v/>
      </c>
      <c r="K408">
        <f>B408-$O$14</f>
        <v/>
      </c>
    </row>
    <row r="409">
      <c r="A409" t="n">
        <v>1221</v>
      </c>
      <c r="B409" t="n">
        <v>40.7</v>
      </c>
      <c r="C409" t="inlineStr">
        <is>
          <t>1905</t>
        </is>
      </c>
      <c r="D409" t="n">
        <v>19.05</v>
      </c>
      <c r="E409">
        <f>MEDIAN(D389:D429)</f>
        <v/>
      </c>
      <c r="F409">
        <f>E389</f>
        <v/>
      </c>
      <c r="G409">
        <f>F409-E409</f>
        <v/>
      </c>
      <c r="H409">
        <f>IF(OR(NOT(ISNUMBER(D409)),ABS(D409-E409)&gt;$O$3,AND($O$11=1,B409&lt;$O$12)),1,0)</f>
        <v/>
      </c>
      <c r="I409">
        <f>IF(H409=1,NA(),D409)</f>
        <v/>
      </c>
      <c r="J409">
        <f>IF(AND(ISNUMBER(D409),D409&gt;=$O$4,OR($O$11=0,B409&gt;=$O$12)),1,0)</f>
        <v/>
      </c>
      <c r="K409">
        <f>B409-$O$14</f>
        <v/>
      </c>
    </row>
    <row r="410">
      <c r="A410" t="n">
        <v>1224</v>
      </c>
      <c r="B410" t="n">
        <v>40.8</v>
      </c>
      <c r="C410" t="inlineStr">
        <is>
          <t>190?</t>
        </is>
      </c>
      <c r="E410">
        <f>MEDIAN(D390:D430)</f>
        <v/>
      </c>
      <c r="F410">
        <f>E390</f>
        <v/>
      </c>
      <c r="G410">
        <f>F410-E410</f>
        <v/>
      </c>
      <c r="H410">
        <f>IF(OR(NOT(ISNUMBER(D410)),ABS(D410-E410)&gt;$O$3,AND($O$11=1,B410&lt;$O$12)),1,0)</f>
        <v/>
      </c>
      <c r="I410">
        <f>IF(H410=1,NA(),D410)</f>
        <v/>
      </c>
      <c r="J410">
        <f>IF(AND(ISNUMBER(D410),D410&gt;=$O$4,OR($O$11=0,B410&gt;=$O$12)),1,0)</f>
        <v/>
      </c>
      <c r="K410">
        <f>B410-$O$14</f>
        <v/>
      </c>
    </row>
    <row r="411">
      <c r="A411" t="n">
        <v>1227</v>
      </c>
      <c r="B411" t="n">
        <v>40.9</v>
      </c>
      <c r="C411" t="inlineStr">
        <is>
          <t>1905</t>
        </is>
      </c>
      <c r="D411" t="n">
        <v>19.05</v>
      </c>
      <c r="E411">
        <f>MEDIAN(D391:D431)</f>
        <v/>
      </c>
      <c r="F411">
        <f>E391</f>
        <v/>
      </c>
      <c r="G411">
        <f>F411-E411</f>
        <v/>
      </c>
      <c r="H411">
        <f>IF(OR(NOT(ISNUMBER(D411)),ABS(D411-E411)&gt;$O$3,AND($O$11=1,B411&lt;$O$12)),1,0)</f>
        <v/>
      </c>
      <c r="I411">
        <f>IF(H411=1,NA(),D411)</f>
        <v/>
      </c>
      <c r="J411">
        <f>IF(AND(ISNUMBER(D411),D411&gt;=$O$4,OR($O$11=0,B411&gt;=$O$12)),1,0)</f>
        <v/>
      </c>
      <c r="K411">
        <f>B411-$O$14</f>
        <v/>
      </c>
    </row>
    <row r="412">
      <c r="A412" t="n">
        <v>1230</v>
      </c>
      <c r="B412" t="n">
        <v>41</v>
      </c>
      <c r="C412" t="inlineStr">
        <is>
          <t>1905</t>
        </is>
      </c>
      <c r="D412" t="n">
        <v>19.05</v>
      </c>
      <c r="E412">
        <f>MEDIAN(D392:D432)</f>
        <v/>
      </c>
      <c r="F412">
        <f>E392</f>
        <v/>
      </c>
      <c r="G412">
        <f>F412-E412</f>
        <v/>
      </c>
      <c r="H412">
        <f>IF(OR(NOT(ISNUMBER(D412)),ABS(D412-E412)&gt;$O$3,AND($O$11=1,B412&lt;$O$12)),1,0)</f>
        <v/>
      </c>
      <c r="I412">
        <f>IF(H412=1,NA(),D412)</f>
        <v/>
      </c>
      <c r="J412">
        <f>IF(AND(ISNUMBER(D412),D412&gt;=$O$4,OR($O$11=0,B412&gt;=$O$12)),1,0)</f>
        <v/>
      </c>
      <c r="K412">
        <f>B412-$O$14</f>
        <v/>
      </c>
    </row>
    <row r="413">
      <c r="A413" t="n">
        <v>1233</v>
      </c>
      <c r="B413" t="n">
        <v>41.1</v>
      </c>
      <c r="C413" t="inlineStr">
        <is>
          <t>1902</t>
        </is>
      </c>
      <c r="D413" t="n">
        <v>19.02</v>
      </c>
      <c r="E413">
        <f>MEDIAN(D393:D433)</f>
        <v/>
      </c>
      <c r="F413">
        <f>E393</f>
        <v/>
      </c>
      <c r="G413">
        <f>F413-E413</f>
        <v/>
      </c>
      <c r="H413">
        <f>IF(OR(NOT(ISNUMBER(D413)),ABS(D413-E413)&gt;$O$3,AND($O$11=1,B413&lt;$O$12)),1,0)</f>
        <v/>
      </c>
      <c r="I413">
        <f>IF(H413=1,NA(),D413)</f>
        <v/>
      </c>
      <c r="J413">
        <f>IF(AND(ISNUMBER(D413),D413&gt;=$O$4,OR($O$11=0,B413&gt;=$O$12)),1,0)</f>
        <v/>
      </c>
      <c r="K413">
        <f>B413-$O$14</f>
        <v/>
      </c>
    </row>
    <row r="414">
      <c r="A414" t="n">
        <v>1236</v>
      </c>
      <c r="B414" t="n">
        <v>41.2</v>
      </c>
      <c r="C414" t="inlineStr">
        <is>
          <t>1906</t>
        </is>
      </c>
      <c r="D414" t="n">
        <v>19.06</v>
      </c>
      <c r="E414">
        <f>MEDIAN(D394:D434)</f>
        <v/>
      </c>
      <c r="F414">
        <f>E394</f>
        <v/>
      </c>
      <c r="G414">
        <f>F414-E414</f>
        <v/>
      </c>
      <c r="H414">
        <f>IF(OR(NOT(ISNUMBER(D414)),ABS(D414-E414)&gt;$O$3,AND($O$11=1,B414&lt;$O$12)),1,0)</f>
        <v/>
      </c>
      <c r="I414">
        <f>IF(H414=1,NA(),D414)</f>
        <v/>
      </c>
      <c r="J414">
        <f>IF(AND(ISNUMBER(D414),D414&gt;=$O$4,OR($O$11=0,B414&gt;=$O$12)),1,0)</f>
        <v/>
      </c>
      <c r="K414">
        <f>B414-$O$14</f>
        <v/>
      </c>
    </row>
    <row r="415">
      <c r="A415" t="n">
        <v>1239</v>
      </c>
      <c r="B415" t="n">
        <v>41.3</v>
      </c>
      <c r="C415" t="inlineStr">
        <is>
          <t>1905</t>
        </is>
      </c>
      <c r="D415" t="n">
        <v>19.05</v>
      </c>
      <c r="E415">
        <f>MEDIAN(D395:D435)</f>
        <v/>
      </c>
      <c r="F415">
        <f>E395</f>
        <v/>
      </c>
      <c r="G415">
        <f>F415-E415</f>
        <v/>
      </c>
      <c r="H415">
        <f>IF(OR(NOT(ISNUMBER(D415)),ABS(D415-E415)&gt;$O$3,AND($O$11=1,B415&lt;$O$12)),1,0)</f>
        <v/>
      </c>
      <c r="I415">
        <f>IF(H415=1,NA(),D415)</f>
        <v/>
      </c>
      <c r="J415">
        <f>IF(AND(ISNUMBER(D415),D415&gt;=$O$4,OR($O$11=0,B415&gt;=$O$12)),1,0)</f>
        <v/>
      </c>
      <c r="K415">
        <f>B415-$O$14</f>
        <v/>
      </c>
    </row>
    <row r="416">
      <c r="A416" t="n">
        <v>1242</v>
      </c>
      <c r="B416" t="n">
        <v>41.4</v>
      </c>
      <c r="C416" t="inlineStr">
        <is>
          <t>1905</t>
        </is>
      </c>
      <c r="D416" t="n">
        <v>19.05</v>
      </c>
      <c r="E416">
        <f>MEDIAN(D396:D436)</f>
        <v/>
      </c>
      <c r="F416">
        <f>E396</f>
        <v/>
      </c>
      <c r="G416">
        <f>F416-E416</f>
        <v/>
      </c>
      <c r="H416">
        <f>IF(OR(NOT(ISNUMBER(D416)),ABS(D416-E416)&gt;$O$3,AND($O$11=1,B416&lt;$O$12)),1,0)</f>
        <v/>
      </c>
      <c r="I416">
        <f>IF(H416=1,NA(),D416)</f>
        <v/>
      </c>
      <c r="J416">
        <f>IF(AND(ISNUMBER(D416),D416&gt;=$O$4,OR($O$11=0,B416&gt;=$O$12)),1,0)</f>
        <v/>
      </c>
      <c r="K416">
        <f>B416-$O$14</f>
        <v/>
      </c>
    </row>
    <row r="417">
      <c r="A417" t="n">
        <v>1245</v>
      </c>
      <c r="B417" t="n">
        <v>41.5</v>
      </c>
      <c r="C417" t="inlineStr">
        <is>
          <t>1905</t>
        </is>
      </c>
      <c r="D417" t="n">
        <v>19.05</v>
      </c>
      <c r="E417">
        <f>MEDIAN(D397:D437)</f>
        <v/>
      </c>
      <c r="F417">
        <f>E397</f>
        <v/>
      </c>
      <c r="G417">
        <f>F417-E417</f>
        <v/>
      </c>
      <c r="H417">
        <f>IF(OR(NOT(ISNUMBER(D417)),ABS(D417-E417)&gt;$O$3,AND($O$11=1,B417&lt;$O$12)),1,0)</f>
        <v/>
      </c>
      <c r="I417">
        <f>IF(H417=1,NA(),D417)</f>
        <v/>
      </c>
      <c r="J417">
        <f>IF(AND(ISNUMBER(D417),D417&gt;=$O$4,OR($O$11=0,B417&gt;=$O$12)),1,0)</f>
        <v/>
      </c>
      <c r="K417">
        <f>B417-$O$14</f>
        <v/>
      </c>
    </row>
    <row r="418">
      <c r="A418" t="n">
        <v>1248</v>
      </c>
      <c r="B418" t="n">
        <v>41.6</v>
      </c>
      <c r="C418" t="inlineStr">
        <is>
          <t>1905</t>
        </is>
      </c>
      <c r="D418" t="n">
        <v>19.05</v>
      </c>
      <c r="E418">
        <f>MEDIAN(D398:D438)</f>
        <v/>
      </c>
      <c r="F418">
        <f>E398</f>
        <v/>
      </c>
      <c r="G418">
        <f>F418-E418</f>
        <v/>
      </c>
      <c r="H418">
        <f>IF(OR(NOT(ISNUMBER(D418)),ABS(D418-E418)&gt;$O$3,AND($O$11=1,B418&lt;$O$12)),1,0)</f>
        <v/>
      </c>
      <c r="I418">
        <f>IF(H418=1,NA(),D418)</f>
        <v/>
      </c>
      <c r="J418">
        <f>IF(AND(ISNUMBER(D418),D418&gt;=$O$4,OR($O$11=0,B418&gt;=$O$12)),1,0)</f>
        <v/>
      </c>
      <c r="K418">
        <f>B418-$O$14</f>
        <v/>
      </c>
    </row>
    <row r="419">
      <c r="A419" t="n">
        <v>1251</v>
      </c>
      <c r="B419" t="n">
        <v>41.7</v>
      </c>
      <c r="C419" t="inlineStr">
        <is>
          <t>1905</t>
        </is>
      </c>
      <c r="D419" t="n">
        <v>19.05</v>
      </c>
      <c r="E419">
        <f>MEDIAN(D399:D439)</f>
        <v/>
      </c>
      <c r="F419">
        <f>E399</f>
        <v/>
      </c>
      <c r="G419">
        <f>F419-E419</f>
        <v/>
      </c>
      <c r="H419">
        <f>IF(OR(NOT(ISNUMBER(D419)),ABS(D419-E419)&gt;$O$3,AND($O$11=1,B419&lt;$O$12)),1,0)</f>
        <v/>
      </c>
      <c r="I419">
        <f>IF(H419=1,NA(),D419)</f>
        <v/>
      </c>
      <c r="J419">
        <f>IF(AND(ISNUMBER(D419),D419&gt;=$O$4,OR($O$11=0,B419&gt;=$O$12)),1,0)</f>
        <v/>
      </c>
      <c r="K419">
        <f>B419-$O$14</f>
        <v/>
      </c>
    </row>
    <row r="420">
      <c r="A420" t="n">
        <v>1254</v>
      </c>
      <c r="B420" t="n">
        <v>41.8</v>
      </c>
      <c r="C420" t="inlineStr">
        <is>
          <t>1906</t>
        </is>
      </c>
      <c r="D420" t="n">
        <v>19.06</v>
      </c>
      <c r="E420">
        <f>MEDIAN(D400:D440)</f>
        <v/>
      </c>
      <c r="F420">
        <f>E400</f>
        <v/>
      </c>
      <c r="G420">
        <f>F420-E420</f>
        <v/>
      </c>
      <c r="H420">
        <f>IF(OR(NOT(ISNUMBER(D420)),ABS(D420-E420)&gt;$O$3,AND($O$11=1,B420&lt;$O$12)),1,0)</f>
        <v/>
      </c>
      <c r="I420">
        <f>IF(H420=1,NA(),D420)</f>
        <v/>
      </c>
      <c r="J420">
        <f>IF(AND(ISNUMBER(D420),D420&gt;=$O$4,OR($O$11=0,B420&gt;=$O$12)),1,0)</f>
        <v/>
      </c>
      <c r="K420">
        <f>B420-$O$14</f>
        <v/>
      </c>
    </row>
    <row r="421">
      <c r="A421" t="n">
        <v>1257</v>
      </c>
      <c r="B421" t="n">
        <v>41.9</v>
      </c>
      <c r="C421" t="inlineStr">
        <is>
          <t>1915</t>
        </is>
      </c>
      <c r="D421" t="n">
        <v>19.15</v>
      </c>
      <c r="E421">
        <f>MEDIAN(D401:D441)</f>
        <v/>
      </c>
      <c r="F421">
        <f>E401</f>
        <v/>
      </c>
      <c r="G421">
        <f>F421-E421</f>
        <v/>
      </c>
      <c r="H421">
        <f>IF(OR(NOT(ISNUMBER(D421)),ABS(D421-E421)&gt;$O$3,AND($O$11=1,B421&lt;$O$12)),1,0)</f>
        <v/>
      </c>
      <c r="I421">
        <f>IF(H421=1,NA(),D421)</f>
        <v/>
      </c>
      <c r="J421">
        <f>IF(AND(ISNUMBER(D421),D421&gt;=$O$4,OR($O$11=0,B421&gt;=$O$12)),1,0)</f>
        <v/>
      </c>
      <c r="K421">
        <f>B421-$O$14</f>
        <v/>
      </c>
    </row>
    <row r="422">
      <c r="A422" t="n">
        <v>1260</v>
      </c>
      <c r="B422" t="n">
        <v>42</v>
      </c>
      <c r="C422" t="inlineStr">
        <is>
          <t>1916</t>
        </is>
      </c>
      <c r="D422" t="n">
        <v>19.16</v>
      </c>
      <c r="E422">
        <f>MEDIAN(D402:D442)</f>
        <v/>
      </c>
      <c r="F422">
        <f>E402</f>
        <v/>
      </c>
      <c r="G422">
        <f>F422-E422</f>
        <v/>
      </c>
      <c r="H422">
        <f>IF(OR(NOT(ISNUMBER(D422)),ABS(D422-E422)&gt;$O$3,AND($O$11=1,B422&lt;$O$12)),1,0)</f>
        <v/>
      </c>
      <c r="I422">
        <f>IF(H422=1,NA(),D422)</f>
        <v/>
      </c>
      <c r="J422">
        <f>IF(AND(ISNUMBER(D422),D422&gt;=$O$4,OR($O$11=0,B422&gt;=$O$12)),1,0)</f>
        <v/>
      </c>
      <c r="K422">
        <f>B422-$O$14</f>
        <v/>
      </c>
    </row>
    <row r="423">
      <c r="A423" t="n">
        <v>1263</v>
      </c>
      <c r="B423" t="n">
        <v>42.1</v>
      </c>
      <c r="C423" t="inlineStr">
        <is>
          <t>19?6</t>
        </is>
      </c>
      <c r="E423">
        <f>MEDIAN(D403:D443)</f>
        <v/>
      </c>
      <c r="F423">
        <f>E403</f>
        <v/>
      </c>
      <c r="G423">
        <f>F423-E423</f>
        <v/>
      </c>
      <c r="H423">
        <f>IF(OR(NOT(ISNUMBER(D423)),ABS(D423-E423)&gt;$O$3,AND($O$11=1,B423&lt;$O$12)),1,0)</f>
        <v/>
      </c>
      <c r="I423">
        <f>IF(H423=1,NA(),D423)</f>
        <v/>
      </c>
      <c r="J423">
        <f>IF(AND(ISNUMBER(D423),D423&gt;=$O$4,OR($O$11=0,B423&gt;=$O$12)),1,0)</f>
        <v/>
      </c>
      <c r="K423">
        <f>B423-$O$14</f>
        <v/>
      </c>
    </row>
    <row r="424">
      <c r="A424" t="n">
        <v>1266</v>
      </c>
      <c r="B424" t="n">
        <v>42.2</v>
      </c>
      <c r="C424" t="inlineStr">
        <is>
          <t>1915</t>
        </is>
      </c>
      <c r="D424" t="n">
        <v>19.15</v>
      </c>
      <c r="E424">
        <f>MEDIAN(D404:D444)</f>
        <v/>
      </c>
      <c r="F424">
        <f>E404</f>
        <v/>
      </c>
      <c r="G424">
        <f>F424-E424</f>
        <v/>
      </c>
      <c r="H424">
        <f>IF(OR(NOT(ISNUMBER(D424)),ABS(D424-E424)&gt;$O$3,AND($O$11=1,B424&lt;$O$12)),1,0)</f>
        <v/>
      </c>
      <c r="I424">
        <f>IF(H424=1,NA(),D424)</f>
        <v/>
      </c>
      <c r="J424">
        <f>IF(AND(ISNUMBER(D424),D424&gt;=$O$4,OR($O$11=0,B424&gt;=$O$12)),1,0)</f>
        <v/>
      </c>
      <c r="K424">
        <f>B424-$O$14</f>
        <v/>
      </c>
    </row>
    <row r="425">
      <c r="A425" t="n">
        <v>1269</v>
      </c>
      <c r="B425" t="n">
        <v>42.3</v>
      </c>
      <c r="C425" t="inlineStr">
        <is>
          <t>19?5</t>
        </is>
      </c>
      <c r="E425">
        <f>MEDIAN(D405:D445)</f>
        <v/>
      </c>
      <c r="F425">
        <f>E405</f>
        <v/>
      </c>
      <c r="G425">
        <f>F425-E425</f>
        <v/>
      </c>
      <c r="H425">
        <f>IF(OR(NOT(ISNUMBER(D425)),ABS(D425-E425)&gt;$O$3,AND($O$11=1,B425&lt;$O$12)),1,0)</f>
        <v/>
      </c>
      <c r="I425">
        <f>IF(H425=1,NA(),D425)</f>
        <v/>
      </c>
      <c r="J425">
        <f>IF(AND(ISNUMBER(D425),D425&gt;=$O$4,OR($O$11=0,B425&gt;=$O$12)),1,0)</f>
        <v/>
      </c>
      <c r="K425">
        <f>B425-$O$14</f>
        <v/>
      </c>
    </row>
    <row r="426">
      <c r="A426" t="n">
        <v>1272</v>
      </c>
      <c r="B426" t="n">
        <v>42.4</v>
      </c>
      <c r="C426" t="inlineStr">
        <is>
          <t>19?5</t>
        </is>
      </c>
      <c r="E426">
        <f>MEDIAN(D406:D446)</f>
        <v/>
      </c>
      <c r="F426">
        <f>E406</f>
        <v/>
      </c>
      <c r="G426">
        <f>F426-E426</f>
        <v/>
      </c>
      <c r="H426">
        <f>IF(OR(NOT(ISNUMBER(D426)),ABS(D426-E426)&gt;$O$3,AND($O$11=1,B426&lt;$O$12)),1,0)</f>
        <v/>
      </c>
      <c r="I426">
        <f>IF(H426=1,NA(),D426)</f>
        <v/>
      </c>
      <c r="J426">
        <f>IF(AND(ISNUMBER(D426),D426&gt;=$O$4,OR($O$11=0,B426&gt;=$O$12)),1,0)</f>
        <v/>
      </c>
      <c r="K426">
        <f>B426-$O$14</f>
        <v/>
      </c>
    </row>
    <row r="427">
      <c r="A427" t="n">
        <v>1275</v>
      </c>
      <c r="B427" t="n">
        <v>42.5</v>
      </c>
      <c r="C427" t="inlineStr">
        <is>
          <t>1915</t>
        </is>
      </c>
      <c r="D427" t="n">
        <v>19.15</v>
      </c>
      <c r="E427">
        <f>MEDIAN(D407:D447)</f>
        <v/>
      </c>
      <c r="F427">
        <f>E407</f>
        <v/>
      </c>
      <c r="G427">
        <f>F427-E427</f>
        <v/>
      </c>
      <c r="H427">
        <f>IF(OR(NOT(ISNUMBER(D427)),ABS(D427-E427)&gt;$O$3,AND($O$11=1,B427&lt;$O$12)),1,0)</f>
        <v/>
      </c>
      <c r="I427">
        <f>IF(H427=1,NA(),D427)</f>
        <v/>
      </c>
      <c r="J427">
        <f>IF(AND(ISNUMBER(D427),D427&gt;=$O$4,OR($O$11=0,B427&gt;=$O$12)),1,0)</f>
        <v/>
      </c>
      <c r="K427">
        <f>B427-$O$14</f>
        <v/>
      </c>
    </row>
    <row r="428">
      <c r="A428" t="n">
        <v>1278</v>
      </c>
      <c r="B428" t="n">
        <v>42.6</v>
      </c>
      <c r="C428" t="inlineStr">
        <is>
          <t>19?5</t>
        </is>
      </c>
      <c r="E428">
        <f>MEDIAN(D408:D448)</f>
        <v/>
      </c>
      <c r="F428">
        <f>E408</f>
        <v/>
      </c>
      <c r="G428">
        <f>F428-E428</f>
        <v/>
      </c>
      <c r="H428">
        <f>IF(OR(NOT(ISNUMBER(D428)),ABS(D428-E428)&gt;$O$3,AND($O$11=1,B428&lt;$O$12)),1,0)</f>
        <v/>
      </c>
      <c r="I428">
        <f>IF(H428=1,NA(),D428)</f>
        <v/>
      </c>
      <c r="J428">
        <f>IF(AND(ISNUMBER(D428),D428&gt;=$O$4,OR($O$11=0,B428&gt;=$O$12)),1,0)</f>
        <v/>
      </c>
      <c r="K428">
        <f>B428-$O$14</f>
        <v/>
      </c>
    </row>
    <row r="429">
      <c r="A429" t="n">
        <v>1281</v>
      </c>
      <c r="B429" t="n">
        <v>42.7</v>
      </c>
      <c r="C429" t="inlineStr">
        <is>
          <t>1915</t>
        </is>
      </c>
      <c r="D429" t="n">
        <v>19.15</v>
      </c>
      <c r="E429">
        <f>MEDIAN(D409:D449)</f>
        <v/>
      </c>
      <c r="F429">
        <f>E409</f>
        <v/>
      </c>
      <c r="G429">
        <f>F429-E429</f>
        <v/>
      </c>
      <c r="H429">
        <f>IF(OR(NOT(ISNUMBER(D429)),ABS(D429-E429)&gt;$O$3,AND($O$11=1,B429&lt;$O$12)),1,0)</f>
        <v/>
      </c>
      <c r="I429">
        <f>IF(H429=1,NA(),D429)</f>
        <v/>
      </c>
      <c r="J429">
        <f>IF(AND(ISNUMBER(D429),D429&gt;=$O$4,OR($O$11=0,B429&gt;=$O$12)),1,0)</f>
        <v/>
      </c>
      <c r="K429">
        <f>B429-$O$14</f>
        <v/>
      </c>
    </row>
    <row r="430">
      <c r="A430" t="n">
        <v>1284</v>
      </c>
      <c r="B430" t="n">
        <v>42.8</v>
      </c>
      <c r="C430" t="inlineStr">
        <is>
          <t>1915</t>
        </is>
      </c>
      <c r="D430" t="n">
        <v>19.15</v>
      </c>
      <c r="E430">
        <f>MEDIAN(D410:D450)</f>
        <v/>
      </c>
      <c r="F430">
        <f>E410</f>
        <v/>
      </c>
      <c r="G430">
        <f>F430-E430</f>
        <v/>
      </c>
      <c r="H430">
        <f>IF(OR(NOT(ISNUMBER(D430)),ABS(D430-E430)&gt;$O$3,AND($O$11=1,B430&lt;$O$12)),1,0)</f>
        <v/>
      </c>
      <c r="I430">
        <f>IF(H430=1,NA(),D430)</f>
        <v/>
      </c>
      <c r="J430">
        <f>IF(AND(ISNUMBER(D430),D430&gt;=$O$4,OR($O$11=0,B430&gt;=$O$12)),1,0)</f>
        <v/>
      </c>
      <c r="K430">
        <f>B430-$O$14</f>
        <v/>
      </c>
    </row>
    <row r="431">
      <c r="A431" t="n">
        <v>1287</v>
      </c>
      <c r="B431" t="n">
        <v>42.9</v>
      </c>
      <c r="C431" t="inlineStr">
        <is>
          <t>1915</t>
        </is>
      </c>
      <c r="D431" t="n">
        <v>19.15</v>
      </c>
      <c r="E431">
        <f>MEDIAN(D411:D451)</f>
        <v/>
      </c>
      <c r="F431">
        <f>E411</f>
        <v/>
      </c>
      <c r="G431">
        <f>F431-E431</f>
        <v/>
      </c>
      <c r="H431">
        <f>IF(OR(NOT(ISNUMBER(D431)),ABS(D431-E431)&gt;$O$3,AND($O$11=1,B431&lt;$O$12)),1,0)</f>
        <v/>
      </c>
      <c r="I431">
        <f>IF(H431=1,NA(),D431)</f>
        <v/>
      </c>
      <c r="J431">
        <f>IF(AND(ISNUMBER(D431),D431&gt;=$O$4,OR($O$11=0,B431&gt;=$O$12)),1,0)</f>
        <v/>
      </c>
      <c r="K431">
        <f>B431-$O$14</f>
        <v/>
      </c>
    </row>
    <row r="432">
      <c r="A432" t="n">
        <v>1290</v>
      </c>
      <c r="B432" t="n">
        <v>43</v>
      </c>
      <c r="C432" t="inlineStr">
        <is>
          <t>1956</t>
        </is>
      </c>
      <c r="D432" t="n">
        <v>19.56</v>
      </c>
      <c r="E432">
        <f>MEDIAN(D412:D452)</f>
        <v/>
      </c>
      <c r="F432">
        <f>E412</f>
        <v/>
      </c>
      <c r="G432">
        <f>F432-E432</f>
        <v/>
      </c>
      <c r="H432">
        <f>IF(OR(NOT(ISNUMBER(D432)),ABS(D432-E432)&gt;$O$3,AND($O$11=1,B432&lt;$O$12)),1,0)</f>
        <v/>
      </c>
      <c r="I432">
        <f>IF(H432=1,NA(),D432)</f>
        <v/>
      </c>
      <c r="J432">
        <f>IF(AND(ISNUMBER(D432),D432&gt;=$O$4,OR($O$11=0,B432&gt;=$O$12)),1,0)</f>
        <v/>
      </c>
      <c r="K432">
        <f>B432-$O$14</f>
        <v/>
      </c>
    </row>
    <row r="433">
      <c r="A433" t="n">
        <v>1293</v>
      </c>
      <c r="B433" t="n">
        <v>43.1</v>
      </c>
      <c r="C433" t="inlineStr">
        <is>
          <t>1915</t>
        </is>
      </c>
      <c r="D433" t="n">
        <v>19.15</v>
      </c>
      <c r="E433">
        <f>MEDIAN(D413:D453)</f>
        <v/>
      </c>
      <c r="F433">
        <f>E413</f>
        <v/>
      </c>
      <c r="G433">
        <f>F433-E433</f>
        <v/>
      </c>
      <c r="H433">
        <f>IF(OR(NOT(ISNUMBER(D433)),ABS(D433-E433)&gt;$O$3,AND($O$11=1,B433&lt;$O$12)),1,0)</f>
        <v/>
      </c>
      <c r="I433">
        <f>IF(H433=1,NA(),D433)</f>
        <v/>
      </c>
      <c r="J433">
        <f>IF(AND(ISNUMBER(D433),D433&gt;=$O$4,OR($O$11=0,B433&gt;=$O$12)),1,0)</f>
        <v/>
      </c>
      <c r="K433">
        <f>B433-$O$14</f>
        <v/>
      </c>
    </row>
    <row r="434">
      <c r="A434" t="n">
        <v>1296</v>
      </c>
      <c r="B434" t="n">
        <v>43.2</v>
      </c>
      <c r="C434" t="inlineStr">
        <is>
          <t>19?5</t>
        </is>
      </c>
      <c r="E434">
        <f>MEDIAN(D414:D454)</f>
        <v/>
      </c>
      <c r="F434">
        <f>E414</f>
        <v/>
      </c>
      <c r="G434">
        <f>F434-E434</f>
        <v/>
      </c>
      <c r="H434">
        <f>IF(OR(NOT(ISNUMBER(D434)),ABS(D434-E434)&gt;$O$3,AND($O$11=1,B434&lt;$O$12)),1,0)</f>
        <v/>
      </c>
      <c r="I434">
        <f>IF(H434=1,NA(),D434)</f>
        <v/>
      </c>
      <c r="J434">
        <f>IF(AND(ISNUMBER(D434),D434&gt;=$O$4,OR($O$11=0,B434&gt;=$O$12)),1,0)</f>
        <v/>
      </c>
      <c r="K434">
        <f>B434-$O$14</f>
        <v/>
      </c>
    </row>
    <row r="435">
      <c r="A435" t="n">
        <v>1299</v>
      </c>
      <c r="B435" t="n">
        <v>43.3</v>
      </c>
      <c r="C435" t="inlineStr">
        <is>
          <t>1965</t>
        </is>
      </c>
      <c r="D435" t="n">
        <v>19.65</v>
      </c>
      <c r="E435">
        <f>MEDIAN(D415:D455)</f>
        <v/>
      </c>
      <c r="F435">
        <f>E415</f>
        <v/>
      </c>
      <c r="G435">
        <f>F435-E435</f>
        <v/>
      </c>
      <c r="H435">
        <f>IF(OR(NOT(ISNUMBER(D435)),ABS(D435-E435)&gt;$O$3,AND($O$11=1,B435&lt;$O$12)),1,0)</f>
        <v/>
      </c>
      <c r="I435">
        <f>IF(H435=1,NA(),D435)</f>
        <v/>
      </c>
      <c r="J435">
        <f>IF(AND(ISNUMBER(D435),D435&gt;=$O$4,OR($O$11=0,B435&gt;=$O$12)),1,0)</f>
        <v/>
      </c>
      <c r="K435">
        <f>B435-$O$14</f>
        <v/>
      </c>
    </row>
    <row r="436">
      <c r="A436" t="n">
        <v>1302</v>
      </c>
      <c r="B436" t="n">
        <v>43.4</v>
      </c>
      <c r="C436" t="inlineStr">
        <is>
          <t>1925</t>
        </is>
      </c>
      <c r="D436" t="n">
        <v>19.25</v>
      </c>
      <c r="E436">
        <f>MEDIAN(D416:D456)</f>
        <v/>
      </c>
      <c r="F436">
        <f>E416</f>
        <v/>
      </c>
      <c r="G436">
        <f>F436-E436</f>
        <v/>
      </c>
      <c r="H436">
        <f>IF(OR(NOT(ISNUMBER(D436)),ABS(D436-E436)&gt;$O$3,AND($O$11=1,B436&lt;$O$12)),1,0)</f>
        <v/>
      </c>
      <c r="I436">
        <f>IF(H436=1,NA(),D436)</f>
        <v/>
      </c>
      <c r="J436">
        <f>IF(AND(ISNUMBER(D436),D436&gt;=$O$4,OR($O$11=0,B436&gt;=$O$12)),1,0)</f>
        <v/>
      </c>
      <c r="K436">
        <f>B436-$O$14</f>
        <v/>
      </c>
    </row>
    <row r="437">
      <c r="A437" t="n">
        <v>1305</v>
      </c>
      <c r="B437" t="n">
        <v>43.5</v>
      </c>
      <c r="C437" t="inlineStr">
        <is>
          <t>1925</t>
        </is>
      </c>
      <c r="D437" t="n">
        <v>19.25</v>
      </c>
      <c r="E437">
        <f>MEDIAN(D417:D457)</f>
        <v/>
      </c>
      <c r="F437">
        <f>E417</f>
        <v/>
      </c>
      <c r="G437">
        <f>F437-E437</f>
        <v/>
      </c>
      <c r="H437">
        <f>IF(OR(NOT(ISNUMBER(D437)),ABS(D437-E437)&gt;$O$3,AND($O$11=1,B437&lt;$O$12)),1,0)</f>
        <v/>
      </c>
      <c r="I437">
        <f>IF(H437=1,NA(),D437)</f>
        <v/>
      </c>
      <c r="J437">
        <f>IF(AND(ISNUMBER(D437),D437&gt;=$O$4,OR($O$11=0,B437&gt;=$O$12)),1,0)</f>
        <v/>
      </c>
      <c r="K437">
        <f>B437-$O$14</f>
        <v/>
      </c>
    </row>
    <row r="438">
      <c r="A438" t="n">
        <v>1308</v>
      </c>
      <c r="B438" t="n">
        <v>43.6</v>
      </c>
      <c r="C438" t="inlineStr">
        <is>
          <t>1925</t>
        </is>
      </c>
      <c r="D438" t="n">
        <v>19.25</v>
      </c>
      <c r="E438">
        <f>MEDIAN(D418:D458)</f>
        <v/>
      </c>
      <c r="F438">
        <f>E418</f>
        <v/>
      </c>
      <c r="G438">
        <f>F438-E438</f>
        <v/>
      </c>
      <c r="H438">
        <f>IF(OR(NOT(ISNUMBER(D438)),ABS(D438-E438)&gt;$O$3,AND($O$11=1,B438&lt;$O$12)),1,0)</f>
        <v/>
      </c>
      <c r="I438">
        <f>IF(H438=1,NA(),D438)</f>
        <v/>
      </c>
      <c r="J438">
        <f>IF(AND(ISNUMBER(D438),D438&gt;=$O$4,OR($O$11=0,B438&gt;=$O$12)),1,0)</f>
        <v/>
      </c>
      <c r="K438">
        <f>B438-$O$14</f>
        <v/>
      </c>
    </row>
    <row r="439">
      <c r="A439" t="n">
        <v>1311</v>
      </c>
      <c r="B439" t="n">
        <v>43.7</v>
      </c>
      <c r="C439" t="inlineStr">
        <is>
          <t>1925</t>
        </is>
      </c>
      <c r="D439" t="n">
        <v>19.25</v>
      </c>
      <c r="E439">
        <f>MEDIAN(D419:D459)</f>
        <v/>
      </c>
      <c r="F439">
        <f>E419</f>
        <v/>
      </c>
      <c r="G439">
        <f>F439-E439</f>
        <v/>
      </c>
      <c r="H439">
        <f>IF(OR(NOT(ISNUMBER(D439)),ABS(D439-E439)&gt;$O$3,AND($O$11=1,B439&lt;$O$12)),1,0)</f>
        <v/>
      </c>
      <c r="I439">
        <f>IF(H439=1,NA(),D439)</f>
        <v/>
      </c>
      <c r="J439">
        <f>IF(AND(ISNUMBER(D439),D439&gt;=$O$4,OR($O$11=0,B439&gt;=$O$12)),1,0)</f>
        <v/>
      </c>
      <c r="K439">
        <f>B439-$O$14</f>
        <v/>
      </c>
    </row>
    <row r="440">
      <c r="A440" t="n">
        <v>1314</v>
      </c>
      <c r="B440" t="n">
        <v>43.8</v>
      </c>
      <c r="C440" t="inlineStr">
        <is>
          <t>1926</t>
        </is>
      </c>
      <c r="D440" t="n">
        <v>19.26</v>
      </c>
      <c r="E440">
        <f>MEDIAN(D420:D460)</f>
        <v/>
      </c>
      <c r="F440">
        <f>E420</f>
        <v/>
      </c>
      <c r="G440">
        <f>F440-E440</f>
        <v/>
      </c>
      <c r="H440">
        <f>IF(OR(NOT(ISNUMBER(D440)),ABS(D440-E440)&gt;$O$3,AND($O$11=1,B440&lt;$O$12)),1,0)</f>
        <v/>
      </c>
      <c r="I440">
        <f>IF(H440=1,NA(),D440)</f>
        <v/>
      </c>
      <c r="J440">
        <f>IF(AND(ISNUMBER(D440),D440&gt;=$O$4,OR($O$11=0,B440&gt;=$O$12)),1,0)</f>
        <v/>
      </c>
      <c r="K440">
        <f>B440-$O$14</f>
        <v/>
      </c>
    </row>
    <row r="441">
      <c r="A441" t="n">
        <v>1317</v>
      </c>
      <c r="B441" t="n">
        <v>43.9</v>
      </c>
      <c r="C441" t="inlineStr">
        <is>
          <t>1925</t>
        </is>
      </c>
      <c r="D441" t="n">
        <v>19.25</v>
      </c>
      <c r="E441">
        <f>MEDIAN(D421:D461)</f>
        <v/>
      </c>
      <c r="F441">
        <f>E421</f>
        <v/>
      </c>
      <c r="G441">
        <f>F441-E441</f>
        <v/>
      </c>
      <c r="H441">
        <f>IF(OR(NOT(ISNUMBER(D441)),ABS(D441-E441)&gt;$O$3,AND($O$11=1,B441&lt;$O$12)),1,0)</f>
        <v/>
      </c>
      <c r="I441">
        <f>IF(H441=1,NA(),D441)</f>
        <v/>
      </c>
      <c r="J441">
        <f>IF(AND(ISNUMBER(D441),D441&gt;=$O$4,OR($O$11=0,B441&gt;=$O$12)),1,0)</f>
        <v/>
      </c>
      <c r="K441">
        <f>B441-$O$14</f>
        <v/>
      </c>
    </row>
    <row r="442">
      <c r="A442" t="n">
        <v>1320</v>
      </c>
      <c r="B442" t="n">
        <v>44</v>
      </c>
      <c r="C442" t="inlineStr">
        <is>
          <t>1925</t>
        </is>
      </c>
      <c r="D442" t="n">
        <v>19.25</v>
      </c>
      <c r="E442">
        <f>MEDIAN(D422:D462)</f>
        <v/>
      </c>
      <c r="F442">
        <f>E422</f>
        <v/>
      </c>
      <c r="G442">
        <f>F442-E442</f>
        <v/>
      </c>
      <c r="H442">
        <f>IF(OR(NOT(ISNUMBER(D442)),ABS(D442-E442)&gt;$O$3,AND($O$11=1,B442&lt;$O$12)),1,0)</f>
        <v/>
      </c>
      <c r="I442">
        <f>IF(H442=1,NA(),D442)</f>
        <v/>
      </c>
      <c r="J442">
        <f>IF(AND(ISNUMBER(D442),D442&gt;=$O$4,OR($O$11=0,B442&gt;=$O$12)),1,0)</f>
        <v/>
      </c>
      <c r="K442">
        <f>B442-$O$14</f>
        <v/>
      </c>
    </row>
    <row r="443">
      <c r="A443" t="n">
        <v>1323</v>
      </c>
      <c r="B443" t="n">
        <v>44.1</v>
      </c>
      <c r="C443" t="inlineStr">
        <is>
          <t>1925</t>
        </is>
      </c>
      <c r="D443" t="n">
        <v>19.25</v>
      </c>
      <c r="E443">
        <f>MEDIAN(D423:D463)</f>
        <v/>
      </c>
      <c r="F443">
        <f>E423</f>
        <v/>
      </c>
      <c r="G443">
        <f>F443-E443</f>
        <v/>
      </c>
      <c r="H443">
        <f>IF(OR(NOT(ISNUMBER(D443)),ABS(D443-E443)&gt;$O$3,AND($O$11=1,B443&lt;$O$12)),1,0)</f>
        <v/>
      </c>
      <c r="I443">
        <f>IF(H443=1,NA(),D443)</f>
        <v/>
      </c>
      <c r="J443">
        <f>IF(AND(ISNUMBER(D443),D443&gt;=$O$4,OR($O$11=0,B443&gt;=$O$12)),1,0)</f>
        <v/>
      </c>
      <c r="K443">
        <f>B443-$O$14</f>
        <v/>
      </c>
    </row>
    <row r="444">
      <c r="A444" t="n">
        <v>1326</v>
      </c>
      <c r="B444" t="n">
        <v>44.2</v>
      </c>
      <c r="C444" t="inlineStr">
        <is>
          <t>1965</t>
        </is>
      </c>
      <c r="D444" t="n">
        <v>19.65</v>
      </c>
      <c r="E444">
        <f>MEDIAN(D424:D464)</f>
        <v/>
      </c>
      <c r="F444">
        <f>E424</f>
        <v/>
      </c>
      <c r="G444">
        <f>F444-E444</f>
        <v/>
      </c>
      <c r="H444">
        <f>IF(OR(NOT(ISNUMBER(D444)),ABS(D444-E444)&gt;$O$3,AND($O$11=1,B444&lt;$O$12)),1,0)</f>
        <v/>
      </c>
      <c r="I444">
        <f>IF(H444=1,NA(),D444)</f>
        <v/>
      </c>
      <c r="J444">
        <f>IF(AND(ISNUMBER(D444),D444&gt;=$O$4,OR($O$11=0,B444&gt;=$O$12)),1,0)</f>
        <v/>
      </c>
      <c r="K444">
        <f>B444-$O$14</f>
        <v/>
      </c>
    </row>
    <row r="445">
      <c r="A445" t="n">
        <v>1329</v>
      </c>
      <c r="B445" t="n">
        <v>44.3</v>
      </c>
      <c r="C445" t="inlineStr">
        <is>
          <t>1935</t>
        </is>
      </c>
      <c r="D445" t="n">
        <v>19.35</v>
      </c>
      <c r="E445">
        <f>MEDIAN(D425:D465)</f>
        <v/>
      </c>
      <c r="F445">
        <f>E425</f>
        <v/>
      </c>
      <c r="G445">
        <f>F445-E445</f>
        <v/>
      </c>
      <c r="H445">
        <f>IF(OR(NOT(ISNUMBER(D445)),ABS(D445-E445)&gt;$O$3,AND($O$11=1,B445&lt;$O$12)),1,0)</f>
        <v/>
      </c>
      <c r="I445">
        <f>IF(H445=1,NA(),D445)</f>
        <v/>
      </c>
      <c r="J445">
        <f>IF(AND(ISNUMBER(D445),D445&gt;=$O$4,OR($O$11=0,B445&gt;=$O$12)),1,0)</f>
        <v/>
      </c>
      <c r="K445">
        <f>B445-$O$14</f>
        <v/>
      </c>
    </row>
    <row r="446">
      <c r="A446" t="n">
        <v>1332</v>
      </c>
      <c r="B446" t="n">
        <v>44.4</v>
      </c>
      <c r="C446" t="inlineStr">
        <is>
          <t>193?</t>
        </is>
      </c>
      <c r="E446">
        <f>MEDIAN(D426:D466)</f>
        <v/>
      </c>
      <c r="F446">
        <f>E426</f>
        <v/>
      </c>
      <c r="G446">
        <f>F446-E446</f>
        <v/>
      </c>
      <c r="H446">
        <f>IF(OR(NOT(ISNUMBER(D446)),ABS(D446-E446)&gt;$O$3,AND($O$11=1,B446&lt;$O$12)),1,0)</f>
        <v/>
      </c>
      <c r="I446">
        <f>IF(H446=1,NA(),D446)</f>
        <v/>
      </c>
      <c r="J446">
        <f>IF(AND(ISNUMBER(D446),D446&gt;=$O$4,OR($O$11=0,B446&gt;=$O$12)),1,0)</f>
        <v/>
      </c>
      <c r="K446">
        <f>B446-$O$14</f>
        <v/>
      </c>
    </row>
    <row r="447">
      <c r="A447" t="n">
        <v>1335</v>
      </c>
      <c r="B447" t="n">
        <v>44.5</v>
      </c>
      <c r="C447" t="inlineStr">
        <is>
          <t>1936</t>
        </is>
      </c>
      <c r="D447" t="n">
        <v>19.36</v>
      </c>
      <c r="E447">
        <f>MEDIAN(D427:D467)</f>
        <v/>
      </c>
      <c r="F447">
        <f>E427</f>
        <v/>
      </c>
      <c r="G447">
        <f>F447-E447</f>
        <v/>
      </c>
      <c r="H447">
        <f>IF(OR(NOT(ISNUMBER(D447)),ABS(D447-E447)&gt;$O$3,AND($O$11=1,B447&lt;$O$12)),1,0)</f>
        <v/>
      </c>
      <c r="I447">
        <f>IF(H447=1,NA(),D447)</f>
        <v/>
      </c>
      <c r="J447">
        <f>IF(AND(ISNUMBER(D447),D447&gt;=$O$4,OR($O$11=0,B447&gt;=$O$12)),1,0)</f>
        <v/>
      </c>
      <c r="K447">
        <f>B447-$O$14</f>
        <v/>
      </c>
    </row>
    <row r="448">
      <c r="A448" t="n">
        <v>1338</v>
      </c>
      <c r="B448" t="n">
        <v>44.6</v>
      </c>
      <c r="C448" t="inlineStr">
        <is>
          <t>1932</t>
        </is>
      </c>
      <c r="D448" t="n">
        <v>19.32</v>
      </c>
      <c r="E448">
        <f>MEDIAN(D428:D468)</f>
        <v/>
      </c>
      <c r="F448">
        <f>E428</f>
        <v/>
      </c>
      <c r="G448">
        <f>F448-E448</f>
        <v/>
      </c>
      <c r="H448">
        <f>IF(OR(NOT(ISNUMBER(D448)),ABS(D448-E448)&gt;$O$3,AND($O$11=1,B448&lt;$O$12)),1,0)</f>
        <v/>
      </c>
      <c r="I448">
        <f>IF(H448=1,NA(),D448)</f>
        <v/>
      </c>
      <c r="J448">
        <f>IF(AND(ISNUMBER(D448),D448&gt;=$O$4,OR($O$11=0,B448&gt;=$O$12)),1,0)</f>
        <v/>
      </c>
      <c r="K448">
        <f>B448-$O$14</f>
        <v/>
      </c>
    </row>
    <row r="449">
      <c r="A449" t="n">
        <v>1341</v>
      </c>
      <c r="B449" t="n">
        <v>44.7</v>
      </c>
      <c r="C449" t="inlineStr">
        <is>
          <t>1936</t>
        </is>
      </c>
      <c r="D449" t="n">
        <v>19.36</v>
      </c>
      <c r="E449">
        <f>MEDIAN(D429:D469)</f>
        <v/>
      </c>
      <c r="F449">
        <f>E429</f>
        <v/>
      </c>
      <c r="G449">
        <f>F449-E449</f>
        <v/>
      </c>
      <c r="H449">
        <f>IF(OR(NOT(ISNUMBER(D449)),ABS(D449-E449)&gt;$O$3,AND($O$11=1,B449&lt;$O$12)),1,0)</f>
        <v/>
      </c>
      <c r="I449">
        <f>IF(H449=1,NA(),D449)</f>
        <v/>
      </c>
      <c r="J449">
        <f>IF(AND(ISNUMBER(D449),D449&gt;=$O$4,OR($O$11=0,B449&gt;=$O$12)),1,0)</f>
        <v/>
      </c>
      <c r="K449">
        <f>B449-$O$14</f>
        <v/>
      </c>
    </row>
    <row r="450">
      <c r="A450" t="n">
        <v>1344</v>
      </c>
      <c r="B450" t="n">
        <v>44.8</v>
      </c>
      <c r="C450" t="inlineStr">
        <is>
          <t>1934</t>
        </is>
      </c>
      <c r="D450" t="n">
        <v>19.34</v>
      </c>
      <c r="E450">
        <f>MEDIAN(D430:D470)</f>
        <v/>
      </c>
      <c r="F450">
        <f>E430</f>
        <v/>
      </c>
      <c r="G450">
        <f>F450-E450</f>
        <v/>
      </c>
      <c r="H450">
        <f>IF(OR(NOT(ISNUMBER(D450)),ABS(D450-E450)&gt;$O$3,AND($O$11=1,B450&lt;$O$12)),1,0)</f>
        <v/>
      </c>
      <c r="I450">
        <f>IF(H450=1,NA(),D450)</f>
        <v/>
      </c>
      <c r="J450">
        <f>IF(AND(ISNUMBER(D450),D450&gt;=$O$4,OR($O$11=0,B450&gt;=$O$12)),1,0)</f>
        <v/>
      </c>
      <c r="K450">
        <f>B450-$O$14</f>
        <v/>
      </c>
    </row>
    <row r="451">
      <c r="A451" t="n">
        <v>1347</v>
      </c>
      <c r="B451" t="n">
        <v>44.9</v>
      </c>
      <c r="C451" t="inlineStr">
        <is>
          <t>1935</t>
        </is>
      </c>
      <c r="D451" t="n">
        <v>19.35</v>
      </c>
      <c r="E451">
        <f>MEDIAN(D431:D471)</f>
        <v/>
      </c>
      <c r="F451">
        <f>E431</f>
        <v/>
      </c>
      <c r="G451">
        <f>F451-E451</f>
        <v/>
      </c>
      <c r="H451">
        <f>IF(OR(NOT(ISNUMBER(D451)),ABS(D451-E451)&gt;$O$3,AND($O$11=1,B451&lt;$O$12)),1,0)</f>
        <v/>
      </c>
      <c r="I451">
        <f>IF(H451=1,NA(),D451)</f>
        <v/>
      </c>
      <c r="J451">
        <f>IF(AND(ISNUMBER(D451),D451&gt;=$O$4,OR($O$11=0,B451&gt;=$O$12)),1,0)</f>
        <v/>
      </c>
      <c r="K451">
        <f>B451-$O$14</f>
        <v/>
      </c>
    </row>
    <row r="452">
      <c r="A452" t="n">
        <v>1350</v>
      </c>
      <c r="B452" t="n">
        <v>45</v>
      </c>
      <c r="C452" t="inlineStr">
        <is>
          <t>1934</t>
        </is>
      </c>
      <c r="D452" t="n">
        <v>19.34</v>
      </c>
      <c r="E452">
        <f>MEDIAN(D432:D472)</f>
        <v/>
      </c>
      <c r="F452">
        <f>E432</f>
        <v/>
      </c>
      <c r="G452">
        <f>F452-E452</f>
        <v/>
      </c>
      <c r="H452">
        <f>IF(OR(NOT(ISNUMBER(D452)),ABS(D452-E452)&gt;$O$3,AND($O$11=1,B452&lt;$O$12)),1,0)</f>
        <v/>
      </c>
      <c r="I452">
        <f>IF(H452=1,NA(),D452)</f>
        <v/>
      </c>
      <c r="J452">
        <f>IF(AND(ISNUMBER(D452),D452&gt;=$O$4,OR($O$11=0,B452&gt;=$O$12)),1,0)</f>
        <v/>
      </c>
      <c r="K452">
        <f>B452-$O$14</f>
        <v/>
      </c>
    </row>
    <row r="453">
      <c r="A453" t="n">
        <v>1353</v>
      </c>
      <c r="B453" t="n">
        <v>45.1</v>
      </c>
      <c r="C453" t="inlineStr">
        <is>
          <t>1934</t>
        </is>
      </c>
      <c r="D453" t="n">
        <v>19.34</v>
      </c>
      <c r="E453">
        <f>MEDIAN(D433:D473)</f>
        <v/>
      </c>
      <c r="F453">
        <f>E433</f>
        <v/>
      </c>
      <c r="G453">
        <f>F453-E453</f>
        <v/>
      </c>
      <c r="H453">
        <f>IF(OR(NOT(ISNUMBER(D453)),ABS(D453-E453)&gt;$O$3,AND($O$11=1,B453&lt;$O$12)),1,0)</f>
        <v/>
      </c>
      <c r="I453">
        <f>IF(H453=1,NA(),D453)</f>
        <v/>
      </c>
      <c r="J453">
        <f>IF(AND(ISNUMBER(D453),D453&gt;=$O$4,OR($O$11=0,B453&gt;=$O$12)),1,0)</f>
        <v/>
      </c>
      <c r="K453">
        <f>B453-$O$14</f>
        <v/>
      </c>
    </row>
    <row r="454">
      <c r="A454" t="n">
        <v>1356</v>
      </c>
      <c r="B454" t="n">
        <v>45.2</v>
      </c>
      <c r="C454" t="inlineStr">
        <is>
          <t>1935</t>
        </is>
      </c>
      <c r="D454" t="n">
        <v>19.35</v>
      </c>
      <c r="E454">
        <f>MEDIAN(D434:D474)</f>
        <v/>
      </c>
      <c r="F454">
        <f>E434</f>
        <v/>
      </c>
      <c r="G454">
        <f>F454-E454</f>
        <v/>
      </c>
      <c r="H454">
        <f>IF(OR(NOT(ISNUMBER(D454)),ABS(D454-E454)&gt;$O$3,AND($O$11=1,B454&lt;$O$12)),1,0)</f>
        <v/>
      </c>
      <c r="I454">
        <f>IF(H454=1,NA(),D454)</f>
        <v/>
      </c>
      <c r="J454">
        <f>IF(AND(ISNUMBER(D454),D454&gt;=$O$4,OR($O$11=0,B454&gt;=$O$12)),1,0)</f>
        <v/>
      </c>
      <c r="K454">
        <f>B454-$O$14</f>
        <v/>
      </c>
    </row>
    <row r="455">
      <c r="A455" t="n">
        <v>1359</v>
      </c>
      <c r="B455" t="n">
        <v>45.3</v>
      </c>
      <c r="C455" t="inlineStr">
        <is>
          <t>1935</t>
        </is>
      </c>
      <c r="D455" t="n">
        <v>19.35</v>
      </c>
      <c r="E455">
        <f>MEDIAN(D435:D475)</f>
        <v/>
      </c>
      <c r="F455">
        <f>E435</f>
        <v/>
      </c>
      <c r="G455">
        <f>F455-E455</f>
        <v/>
      </c>
      <c r="H455">
        <f>IF(OR(NOT(ISNUMBER(D455)),ABS(D455-E455)&gt;$O$3,AND($O$11=1,B455&lt;$O$12)),1,0)</f>
        <v/>
      </c>
      <c r="I455">
        <f>IF(H455=1,NA(),D455)</f>
        <v/>
      </c>
      <c r="J455">
        <f>IF(AND(ISNUMBER(D455),D455&gt;=$O$4,OR($O$11=0,B455&gt;=$O$12)),1,0)</f>
        <v/>
      </c>
      <c r="K455">
        <f>B455-$O$14</f>
        <v/>
      </c>
    </row>
    <row r="456">
      <c r="A456" t="n">
        <v>1362</v>
      </c>
      <c r="B456" t="n">
        <v>45.4</v>
      </c>
      <c r="C456" t="inlineStr">
        <is>
          <t>1935</t>
        </is>
      </c>
      <c r="D456" t="n">
        <v>19.35</v>
      </c>
      <c r="E456">
        <f>MEDIAN(D436:D476)</f>
        <v/>
      </c>
      <c r="F456">
        <f>E436</f>
        <v/>
      </c>
      <c r="G456">
        <f>F456-E456</f>
        <v/>
      </c>
      <c r="H456">
        <f>IF(OR(NOT(ISNUMBER(D456)),ABS(D456-E456)&gt;$O$3,AND($O$11=1,B456&lt;$O$12)),1,0)</f>
        <v/>
      </c>
      <c r="I456">
        <f>IF(H456=1,NA(),D456)</f>
        <v/>
      </c>
      <c r="J456">
        <f>IF(AND(ISNUMBER(D456),D456&gt;=$O$4,OR($O$11=0,B456&gt;=$O$12)),1,0)</f>
        <v/>
      </c>
      <c r="K456">
        <f>B456-$O$14</f>
        <v/>
      </c>
    </row>
    <row r="457">
      <c r="A457" t="n">
        <v>1365</v>
      </c>
      <c r="B457" t="n">
        <v>45.5</v>
      </c>
      <c r="C457" t="inlineStr">
        <is>
          <t>1935</t>
        </is>
      </c>
      <c r="D457" t="n">
        <v>19.35</v>
      </c>
      <c r="E457">
        <f>MEDIAN(D437:D477)</f>
        <v/>
      </c>
      <c r="F457">
        <f>E437</f>
        <v/>
      </c>
      <c r="G457">
        <f>F457-E457</f>
        <v/>
      </c>
      <c r="H457">
        <f>IF(OR(NOT(ISNUMBER(D457)),ABS(D457-E457)&gt;$O$3,AND($O$11=1,B457&lt;$O$12)),1,0)</f>
        <v/>
      </c>
      <c r="I457">
        <f>IF(H457=1,NA(),D457)</f>
        <v/>
      </c>
      <c r="J457">
        <f>IF(AND(ISNUMBER(D457),D457&gt;=$O$4,OR($O$11=0,B457&gt;=$O$12)),1,0)</f>
        <v/>
      </c>
      <c r="K457">
        <f>B457-$O$14</f>
        <v/>
      </c>
    </row>
    <row r="458">
      <c r="A458" t="n">
        <v>1368</v>
      </c>
      <c r="B458" t="n">
        <v>45.6</v>
      </c>
      <c r="C458" t="inlineStr">
        <is>
          <t>193?</t>
        </is>
      </c>
      <c r="E458">
        <f>MEDIAN(D438:D478)</f>
        <v/>
      </c>
      <c r="F458">
        <f>E438</f>
        <v/>
      </c>
      <c r="G458">
        <f>F458-E458</f>
        <v/>
      </c>
      <c r="H458">
        <f>IF(OR(NOT(ISNUMBER(D458)),ABS(D458-E458)&gt;$O$3,AND($O$11=1,B458&lt;$O$12)),1,0)</f>
        <v/>
      </c>
      <c r="I458">
        <f>IF(H458=1,NA(),D458)</f>
        <v/>
      </c>
      <c r="J458">
        <f>IF(AND(ISNUMBER(D458),D458&gt;=$O$4,OR($O$11=0,B458&gt;=$O$12)),1,0)</f>
        <v/>
      </c>
      <c r="K458">
        <f>B458-$O$14</f>
        <v/>
      </c>
    </row>
    <row r="459">
      <c r="A459" t="n">
        <v>1371</v>
      </c>
      <c r="B459" t="n">
        <v>45.7</v>
      </c>
      <c r="C459" t="inlineStr">
        <is>
          <t>1937</t>
        </is>
      </c>
      <c r="D459" t="n">
        <v>19.37</v>
      </c>
      <c r="E459">
        <f>MEDIAN(D439:D479)</f>
        <v/>
      </c>
      <c r="F459">
        <f>E439</f>
        <v/>
      </c>
      <c r="G459">
        <f>F459-E459</f>
        <v/>
      </c>
      <c r="H459">
        <f>IF(OR(NOT(ISNUMBER(D459)),ABS(D459-E459)&gt;$O$3,AND($O$11=1,B459&lt;$O$12)),1,0)</f>
        <v/>
      </c>
      <c r="I459">
        <f>IF(H459=1,NA(),D459)</f>
        <v/>
      </c>
      <c r="J459">
        <f>IF(AND(ISNUMBER(D459),D459&gt;=$O$4,OR($O$11=0,B459&gt;=$O$12)),1,0)</f>
        <v/>
      </c>
      <c r="K459">
        <f>B459-$O$14</f>
        <v/>
      </c>
    </row>
    <row r="460">
      <c r="A460" t="n">
        <v>1374</v>
      </c>
      <c r="B460" t="n">
        <v>45.8</v>
      </c>
      <c r="C460" t="inlineStr">
        <is>
          <t>1936</t>
        </is>
      </c>
      <c r="D460" t="n">
        <v>19.36</v>
      </c>
      <c r="E460">
        <f>MEDIAN(D440:D480)</f>
        <v/>
      </c>
      <c r="F460">
        <f>E440</f>
        <v/>
      </c>
      <c r="G460">
        <f>F460-E460</f>
        <v/>
      </c>
      <c r="H460">
        <f>IF(OR(NOT(ISNUMBER(D460)),ABS(D460-E460)&gt;$O$3,AND($O$11=1,B460&lt;$O$12)),1,0)</f>
        <v/>
      </c>
      <c r="I460">
        <f>IF(H460=1,NA(),D460)</f>
        <v/>
      </c>
      <c r="J460">
        <f>IF(AND(ISNUMBER(D460),D460&gt;=$O$4,OR($O$11=0,B460&gt;=$O$12)),1,0)</f>
        <v/>
      </c>
      <c r="K460">
        <f>B460-$O$14</f>
        <v/>
      </c>
    </row>
    <row r="461">
      <c r="A461" t="n">
        <v>1377</v>
      </c>
      <c r="B461" t="n">
        <v>45.9</v>
      </c>
      <c r="C461" t="inlineStr">
        <is>
          <t>1936</t>
        </is>
      </c>
      <c r="D461" t="n">
        <v>19.36</v>
      </c>
      <c r="E461">
        <f>MEDIAN(D441:D481)</f>
        <v/>
      </c>
      <c r="F461">
        <f>E441</f>
        <v/>
      </c>
      <c r="G461">
        <f>F461-E461</f>
        <v/>
      </c>
      <c r="H461">
        <f>IF(OR(NOT(ISNUMBER(D461)),ABS(D461-E461)&gt;$O$3,AND($O$11=1,B461&lt;$O$12)),1,0)</f>
        <v/>
      </c>
      <c r="I461">
        <f>IF(H461=1,NA(),D461)</f>
        <v/>
      </c>
      <c r="J461">
        <f>IF(AND(ISNUMBER(D461),D461&gt;=$O$4,OR($O$11=0,B461&gt;=$O$12)),1,0)</f>
        <v/>
      </c>
      <c r="K461">
        <f>B461-$O$14</f>
        <v/>
      </c>
    </row>
    <row r="462">
      <c r="A462" t="n">
        <v>1380</v>
      </c>
      <c r="B462" t="n">
        <v>46</v>
      </c>
      <c r="C462" t="inlineStr">
        <is>
          <t>1935</t>
        </is>
      </c>
      <c r="D462" t="n">
        <v>19.35</v>
      </c>
      <c r="E462">
        <f>MEDIAN(D442:D482)</f>
        <v/>
      </c>
      <c r="F462">
        <f>E442</f>
        <v/>
      </c>
      <c r="G462">
        <f>F462-E462</f>
        <v/>
      </c>
      <c r="H462">
        <f>IF(OR(NOT(ISNUMBER(D462)),ABS(D462-E462)&gt;$O$3,AND($O$11=1,B462&lt;$O$12)),1,0)</f>
        <v/>
      </c>
      <c r="I462">
        <f>IF(H462=1,NA(),D462)</f>
        <v/>
      </c>
      <c r="J462">
        <f>IF(AND(ISNUMBER(D462),D462&gt;=$O$4,OR($O$11=0,B462&gt;=$O$12)),1,0)</f>
        <v/>
      </c>
      <c r="K462">
        <f>B462-$O$14</f>
        <v/>
      </c>
    </row>
    <row r="463">
      <c r="A463" t="n">
        <v>1383</v>
      </c>
      <c r="B463" t="n">
        <v>46.1</v>
      </c>
      <c r="C463" t="inlineStr">
        <is>
          <t>1935</t>
        </is>
      </c>
      <c r="D463" t="n">
        <v>19.35</v>
      </c>
      <c r="E463">
        <f>MEDIAN(D443:D483)</f>
        <v/>
      </c>
      <c r="F463">
        <f>E443</f>
        <v/>
      </c>
      <c r="G463">
        <f>F463-E463</f>
        <v/>
      </c>
      <c r="H463">
        <f>IF(OR(NOT(ISNUMBER(D463)),ABS(D463-E463)&gt;$O$3,AND($O$11=1,B463&lt;$O$12)),1,0)</f>
        <v/>
      </c>
      <c r="I463">
        <f>IF(H463=1,NA(),D463)</f>
        <v/>
      </c>
      <c r="J463">
        <f>IF(AND(ISNUMBER(D463),D463&gt;=$O$4,OR($O$11=0,B463&gt;=$O$12)),1,0)</f>
        <v/>
      </c>
      <c r="K463">
        <f>B463-$O$14</f>
        <v/>
      </c>
    </row>
    <row r="464">
      <c r="A464" t="n">
        <v>1386</v>
      </c>
      <c r="B464" t="n">
        <v>46.2</v>
      </c>
      <c r="C464" t="inlineStr">
        <is>
          <t>1935</t>
        </is>
      </c>
      <c r="D464" t="n">
        <v>19.35</v>
      </c>
      <c r="E464">
        <f>MEDIAN(D444:D484)</f>
        <v/>
      </c>
      <c r="F464">
        <f>E444</f>
        <v/>
      </c>
      <c r="G464">
        <f>F464-E464</f>
        <v/>
      </c>
      <c r="H464">
        <f>IF(OR(NOT(ISNUMBER(D464)),ABS(D464-E464)&gt;$O$3,AND($O$11=1,B464&lt;$O$12)),1,0)</f>
        <v/>
      </c>
      <c r="I464">
        <f>IF(H464=1,NA(),D464)</f>
        <v/>
      </c>
      <c r="J464">
        <f>IF(AND(ISNUMBER(D464),D464&gt;=$O$4,OR($O$11=0,B464&gt;=$O$12)),1,0)</f>
        <v/>
      </c>
      <c r="K464">
        <f>B464-$O$14</f>
        <v/>
      </c>
    </row>
    <row r="465">
      <c r="A465" t="n">
        <v>1389</v>
      </c>
      <c r="B465" t="n">
        <v>46.3</v>
      </c>
      <c r="C465" t="inlineStr">
        <is>
          <t>1935</t>
        </is>
      </c>
      <c r="D465" t="n">
        <v>19.35</v>
      </c>
      <c r="E465">
        <f>MEDIAN(D445:D485)</f>
        <v/>
      </c>
      <c r="F465">
        <f>E445</f>
        <v/>
      </c>
      <c r="G465">
        <f>F465-E465</f>
        <v/>
      </c>
      <c r="H465">
        <f>IF(OR(NOT(ISNUMBER(D465)),ABS(D465-E465)&gt;$O$3,AND($O$11=1,B465&lt;$O$12)),1,0)</f>
        <v/>
      </c>
      <c r="I465">
        <f>IF(H465=1,NA(),D465)</f>
        <v/>
      </c>
      <c r="J465">
        <f>IF(AND(ISNUMBER(D465),D465&gt;=$O$4,OR($O$11=0,B465&gt;=$O$12)),1,0)</f>
        <v/>
      </c>
      <c r="K465">
        <f>B465-$O$14</f>
        <v/>
      </c>
    </row>
    <row r="466">
      <c r="A466" t="n">
        <v>1392</v>
      </c>
      <c r="B466" t="n">
        <v>46.4</v>
      </c>
      <c r="C466" t="inlineStr">
        <is>
          <t>1940</t>
        </is>
      </c>
      <c r="D466" t="n">
        <v>19.4</v>
      </c>
      <c r="E466">
        <f>MEDIAN(D446:D486)</f>
        <v/>
      </c>
      <c r="F466">
        <f>E446</f>
        <v/>
      </c>
      <c r="G466">
        <f>F466-E466</f>
        <v/>
      </c>
      <c r="H466">
        <f>IF(OR(NOT(ISNUMBER(D466)),ABS(D466-E466)&gt;$O$3,AND($O$11=1,B466&lt;$O$12)),1,0)</f>
        <v/>
      </c>
      <c r="I466">
        <f>IF(H466=1,NA(),D466)</f>
        <v/>
      </c>
      <c r="J466">
        <f>IF(AND(ISNUMBER(D466),D466&gt;=$O$4,OR($O$11=0,B466&gt;=$O$12)),1,0)</f>
        <v/>
      </c>
      <c r="K466">
        <f>B466-$O$14</f>
        <v/>
      </c>
    </row>
    <row r="467">
      <c r="A467" t="n">
        <v>1395</v>
      </c>
      <c r="B467" t="n">
        <v>46.5</v>
      </c>
      <c r="C467" t="inlineStr">
        <is>
          <t>1940</t>
        </is>
      </c>
      <c r="D467" t="n">
        <v>19.4</v>
      </c>
      <c r="E467">
        <f>MEDIAN(D447:D487)</f>
        <v/>
      </c>
      <c r="F467">
        <f>E447</f>
        <v/>
      </c>
      <c r="G467">
        <f>F467-E467</f>
        <v/>
      </c>
      <c r="H467">
        <f>IF(OR(NOT(ISNUMBER(D467)),ABS(D467-E467)&gt;$O$3,AND($O$11=1,B467&lt;$O$12)),1,0)</f>
        <v/>
      </c>
      <c r="I467">
        <f>IF(H467=1,NA(),D467)</f>
        <v/>
      </c>
      <c r="J467">
        <f>IF(AND(ISNUMBER(D467),D467&gt;=$O$4,OR($O$11=0,B467&gt;=$O$12)),1,0)</f>
        <v/>
      </c>
      <c r="K467">
        <f>B467-$O$14</f>
        <v/>
      </c>
    </row>
    <row r="468">
      <c r="A468" t="n">
        <v>1398</v>
      </c>
      <c r="B468" t="n">
        <v>46.6</v>
      </c>
      <c r="C468" t="inlineStr">
        <is>
          <t>194??</t>
        </is>
      </c>
      <c r="E468">
        <f>MEDIAN(D448:D488)</f>
        <v/>
      </c>
      <c r="F468">
        <f>E448</f>
        <v/>
      </c>
      <c r="G468">
        <f>F468-E468</f>
        <v/>
      </c>
      <c r="H468">
        <f>IF(OR(NOT(ISNUMBER(D468)),ABS(D468-E468)&gt;$O$3,AND($O$11=1,B468&lt;$O$12)),1,0)</f>
        <v/>
      </c>
      <c r="I468">
        <f>IF(H468=1,NA(),D468)</f>
        <v/>
      </c>
      <c r="J468">
        <f>IF(AND(ISNUMBER(D468),D468&gt;=$O$4,OR($O$11=0,B468&gt;=$O$12)),1,0)</f>
        <v/>
      </c>
      <c r="K468">
        <f>B468-$O$14</f>
        <v/>
      </c>
    </row>
    <row r="469">
      <c r="A469" t="n">
        <v>1401</v>
      </c>
      <c r="B469" t="n">
        <v>46.7</v>
      </c>
      <c r="C469" t="inlineStr">
        <is>
          <t>194?</t>
        </is>
      </c>
      <c r="E469">
        <f>MEDIAN(D449:D489)</f>
        <v/>
      </c>
      <c r="F469">
        <f>E449</f>
        <v/>
      </c>
      <c r="G469">
        <f>F469-E469</f>
        <v/>
      </c>
      <c r="H469">
        <f>IF(OR(NOT(ISNUMBER(D469)),ABS(D469-E469)&gt;$O$3,AND($O$11=1,B469&lt;$O$12)),1,0)</f>
        <v/>
      </c>
      <c r="I469">
        <f>IF(H469=1,NA(),D469)</f>
        <v/>
      </c>
      <c r="J469">
        <f>IF(AND(ISNUMBER(D469),D469&gt;=$O$4,OR($O$11=0,B469&gt;=$O$12)),1,0)</f>
        <v/>
      </c>
      <c r="K469">
        <f>B469-$O$14</f>
        <v/>
      </c>
    </row>
    <row r="470">
      <c r="A470" t="n">
        <v>1404</v>
      </c>
      <c r="B470" t="n">
        <v>46.8</v>
      </c>
      <c r="C470" t="inlineStr">
        <is>
          <t>194?</t>
        </is>
      </c>
      <c r="E470">
        <f>MEDIAN(D450:D490)</f>
        <v/>
      </c>
      <c r="F470">
        <f>E450</f>
        <v/>
      </c>
      <c r="G470">
        <f>F470-E470</f>
        <v/>
      </c>
      <c r="H470">
        <f>IF(OR(NOT(ISNUMBER(D470)),ABS(D470-E470)&gt;$O$3,AND($O$11=1,B470&lt;$O$12)),1,0)</f>
        <v/>
      </c>
      <c r="I470">
        <f>IF(H470=1,NA(),D470)</f>
        <v/>
      </c>
      <c r="J470">
        <f>IF(AND(ISNUMBER(D470),D470&gt;=$O$4,OR($O$11=0,B470&gt;=$O$12)),1,0)</f>
        <v/>
      </c>
      <c r="K470">
        <f>B470-$O$14</f>
        <v/>
      </c>
    </row>
    <row r="471">
      <c r="A471" t="n">
        <v>1407</v>
      </c>
      <c r="B471" t="n">
        <v>46.9</v>
      </c>
      <c r="C471" t="inlineStr">
        <is>
          <t>194?</t>
        </is>
      </c>
      <c r="E471">
        <f>MEDIAN(D451:D491)</f>
        <v/>
      </c>
      <c r="F471">
        <f>E451</f>
        <v/>
      </c>
      <c r="G471">
        <f>F471-E471</f>
        <v/>
      </c>
      <c r="H471">
        <f>IF(OR(NOT(ISNUMBER(D471)),ABS(D471-E471)&gt;$O$3,AND($O$11=1,B471&lt;$O$12)),1,0)</f>
        <v/>
      </c>
      <c r="I471">
        <f>IF(H471=1,NA(),D471)</f>
        <v/>
      </c>
      <c r="J471">
        <f>IF(AND(ISNUMBER(D471),D471&gt;=$O$4,OR($O$11=0,B471&gt;=$O$12)),1,0)</f>
        <v/>
      </c>
      <c r="K471">
        <f>B471-$O$14</f>
        <v/>
      </c>
    </row>
    <row r="472">
      <c r="A472" t="n">
        <v>1410</v>
      </c>
      <c r="B472" t="n">
        <v>47</v>
      </c>
      <c r="C472" t="inlineStr">
        <is>
          <t>194?</t>
        </is>
      </c>
      <c r="E472">
        <f>MEDIAN(D452:D492)</f>
        <v/>
      </c>
      <c r="F472">
        <f>E452</f>
        <v/>
      </c>
      <c r="G472">
        <f>F472-E472</f>
        <v/>
      </c>
      <c r="H472">
        <f>IF(OR(NOT(ISNUMBER(D472)),ABS(D472-E472)&gt;$O$3,AND($O$11=1,B472&lt;$O$12)),1,0)</f>
        <v/>
      </c>
      <c r="I472">
        <f>IF(H472=1,NA(),D472)</f>
        <v/>
      </c>
      <c r="J472">
        <f>IF(AND(ISNUMBER(D472),D472&gt;=$O$4,OR($O$11=0,B472&gt;=$O$12)),1,0)</f>
        <v/>
      </c>
      <c r="K472">
        <f>B472-$O$14</f>
        <v/>
      </c>
    </row>
    <row r="473">
      <c r="A473" t="n">
        <v>1413</v>
      </c>
      <c r="B473" t="n">
        <v>47.1</v>
      </c>
      <c r="C473" t="inlineStr">
        <is>
          <t>194?</t>
        </is>
      </c>
      <c r="E473">
        <f>MEDIAN(D453:D493)</f>
        <v/>
      </c>
      <c r="F473">
        <f>E453</f>
        <v/>
      </c>
      <c r="G473">
        <f>F473-E473</f>
        <v/>
      </c>
      <c r="H473">
        <f>IF(OR(NOT(ISNUMBER(D473)),ABS(D473-E473)&gt;$O$3,AND($O$11=1,B473&lt;$O$12)),1,0)</f>
        <v/>
      </c>
      <c r="I473">
        <f>IF(H473=1,NA(),D473)</f>
        <v/>
      </c>
      <c r="J473">
        <f>IF(AND(ISNUMBER(D473),D473&gt;=$O$4,OR($O$11=0,B473&gt;=$O$12)),1,0)</f>
        <v/>
      </c>
      <c r="K473">
        <f>B473-$O$14</f>
        <v/>
      </c>
    </row>
    <row r="474">
      <c r="A474" t="n">
        <v>1416</v>
      </c>
      <c r="B474" t="n">
        <v>47.2</v>
      </c>
      <c r="C474" t="inlineStr">
        <is>
          <t>1942</t>
        </is>
      </c>
      <c r="D474" t="n">
        <v>19.42</v>
      </c>
      <c r="E474">
        <f>MEDIAN(D454:D494)</f>
        <v/>
      </c>
      <c r="F474">
        <f>E454</f>
        <v/>
      </c>
      <c r="G474">
        <f>F474-E474</f>
        <v/>
      </c>
      <c r="H474">
        <f>IF(OR(NOT(ISNUMBER(D474)),ABS(D474-E474)&gt;$O$3,AND($O$11=1,B474&lt;$O$12)),1,0)</f>
        <v/>
      </c>
      <c r="I474">
        <f>IF(H474=1,NA(),D474)</f>
        <v/>
      </c>
      <c r="J474">
        <f>IF(AND(ISNUMBER(D474),D474&gt;=$O$4,OR($O$11=0,B474&gt;=$O$12)),1,0)</f>
        <v/>
      </c>
      <c r="K474">
        <f>B474-$O$14</f>
        <v/>
      </c>
    </row>
    <row r="475">
      <c r="A475" t="n">
        <v>1419</v>
      </c>
      <c r="B475" t="n">
        <v>47.3</v>
      </c>
      <c r="C475" t="inlineStr">
        <is>
          <t>1942</t>
        </is>
      </c>
      <c r="D475" t="n">
        <v>19.42</v>
      </c>
      <c r="E475">
        <f>MEDIAN(D455:D495)</f>
        <v/>
      </c>
      <c r="F475">
        <f>E455</f>
        <v/>
      </c>
      <c r="G475">
        <f>F475-E475</f>
        <v/>
      </c>
      <c r="H475">
        <f>IF(OR(NOT(ISNUMBER(D475)),ABS(D475-E475)&gt;$O$3,AND($O$11=1,B475&lt;$O$12)),1,0)</f>
        <v/>
      </c>
      <c r="I475">
        <f>IF(H475=1,NA(),D475)</f>
        <v/>
      </c>
      <c r="J475">
        <f>IF(AND(ISNUMBER(D475),D475&gt;=$O$4,OR($O$11=0,B475&gt;=$O$12)),1,0)</f>
        <v/>
      </c>
      <c r="K475">
        <f>B475-$O$14</f>
        <v/>
      </c>
    </row>
    <row r="476">
      <c r="A476" t="n">
        <v>1422</v>
      </c>
      <c r="B476" t="n">
        <v>47.4</v>
      </c>
      <c r="C476" t="inlineStr">
        <is>
          <t>1942</t>
        </is>
      </c>
      <c r="D476" t="n">
        <v>19.42</v>
      </c>
      <c r="E476">
        <f>MEDIAN(D456:D496)</f>
        <v/>
      </c>
      <c r="F476">
        <f>E456</f>
        <v/>
      </c>
      <c r="G476">
        <f>F476-E476</f>
        <v/>
      </c>
      <c r="H476">
        <f>IF(OR(NOT(ISNUMBER(D476)),ABS(D476-E476)&gt;$O$3,AND($O$11=1,B476&lt;$O$12)),1,0)</f>
        <v/>
      </c>
      <c r="I476">
        <f>IF(H476=1,NA(),D476)</f>
        <v/>
      </c>
      <c r="J476">
        <f>IF(AND(ISNUMBER(D476),D476&gt;=$O$4,OR($O$11=0,B476&gt;=$O$12)),1,0)</f>
        <v/>
      </c>
      <c r="K476">
        <f>B476-$O$14</f>
        <v/>
      </c>
    </row>
    <row r="477">
      <c r="A477" t="n">
        <v>1425</v>
      </c>
      <c r="B477" t="n">
        <v>47.5</v>
      </c>
      <c r="C477" t="inlineStr">
        <is>
          <t>1943</t>
        </is>
      </c>
      <c r="D477" t="n">
        <v>19.43</v>
      </c>
      <c r="E477">
        <f>MEDIAN(D457:D497)</f>
        <v/>
      </c>
      <c r="F477">
        <f>E457</f>
        <v/>
      </c>
      <c r="G477">
        <f>F477-E477</f>
        <v/>
      </c>
      <c r="H477">
        <f>IF(OR(NOT(ISNUMBER(D477)),ABS(D477-E477)&gt;$O$3,AND($O$11=1,B477&lt;$O$12)),1,0)</f>
        <v/>
      </c>
      <c r="I477">
        <f>IF(H477=1,NA(),D477)</f>
        <v/>
      </c>
      <c r="J477">
        <f>IF(AND(ISNUMBER(D477),D477&gt;=$O$4,OR($O$11=0,B477&gt;=$O$12)),1,0)</f>
        <v/>
      </c>
      <c r="K477">
        <f>B477-$O$14</f>
        <v/>
      </c>
    </row>
    <row r="478">
      <c r="A478" t="n">
        <v>1428</v>
      </c>
      <c r="B478" t="n">
        <v>47.6</v>
      </c>
      <c r="C478" t="inlineStr">
        <is>
          <t>1943</t>
        </is>
      </c>
      <c r="D478" t="n">
        <v>19.43</v>
      </c>
      <c r="E478">
        <f>MEDIAN(D458:D498)</f>
        <v/>
      </c>
      <c r="F478">
        <f>E458</f>
        <v/>
      </c>
      <c r="G478">
        <f>F478-E478</f>
        <v/>
      </c>
      <c r="H478">
        <f>IF(OR(NOT(ISNUMBER(D478)),ABS(D478-E478)&gt;$O$3,AND($O$11=1,B478&lt;$O$12)),1,0)</f>
        <v/>
      </c>
      <c r="I478">
        <f>IF(H478=1,NA(),D478)</f>
        <v/>
      </c>
      <c r="J478">
        <f>IF(AND(ISNUMBER(D478),D478&gt;=$O$4,OR($O$11=0,B478&gt;=$O$12)),1,0)</f>
        <v/>
      </c>
      <c r="K478">
        <f>B478-$O$14</f>
        <v/>
      </c>
    </row>
    <row r="479">
      <c r="A479" t="n">
        <v>1431</v>
      </c>
      <c r="B479" t="n">
        <v>47.7</v>
      </c>
      <c r="C479" t="inlineStr">
        <is>
          <t>1943</t>
        </is>
      </c>
      <c r="D479" t="n">
        <v>19.43</v>
      </c>
      <c r="E479">
        <f>MEDIAN(D459:D499)</f>
        <v/>
      </c>
      <c r="F479">
        <f>E459</f>
        <v/>
      </c>
      <c r="G479">
        <f>F479-E479</f>
        <v/>
      </c>
      <c r="H479">
        <f>IF(OR(NOT(ISNUMBER(D479)),ABS(D479-E479)&gt;$O$3,AND($O$11=1,B479&lt;$O$12)),1,0)</f>
        <v/>
      </c>
      <c r="I479">
        <f>IF(H479=1,NA(),D479)</f>
        <v/>
      </c>
      <c r="J479">
        <f>IF(AND(ISNUMBER(D479),D479&gt;=$O$4,OR($O$11=0,B479&gt;=$O$12)),1,0)</f>
        <v/>
      </c>
      <c r="K479">
        <f>B479-$O$14</f>
        <v/>
      </c>
    </row>
    <row r="480">
      <c r="A480" t="n">
        <v>1434</v>
      </c>
      <c r="B480" t="n">
        <v>47.8</v>
      </c>
      <c r="C480" t="inlineStr">
        <is>
          <t>1943</t>
        </is>
      </c>
      <c r="D480" t="n">
        <v>19.43</v>
      </c>
      <c r="E480">
        <f>MEDIAN(D460:D500)</f>
        <v/>
      </c>
      <c r="F480">
        <f>E460</f>
        <v/>
      </c>
      <c r="G480">
        <f>F480-E480</f>
        <v/>
      </c>
      <c r="H480">
        <f>IF(OR(NOT(ISNUMBER(D480)),ABS(D480-E480)&gt;$O$3,AND($O$11=1,B480&lt;$O$12)),1,0)</f>
        <v/>
      </c>
      <c r="I480">
        <f>IF(H480=1,NA(),D480)</f>
        <v/>
      </c>
      <c r="J480">
        <f>IF(AND(ISNUMBER(D480),D480&gt;=$O$4,OR($O$11=0,B480&gt;=$O$12)),1,0)</f>
        <v/>
      </c>
      <c r="K480">
        <f>B480-$O$14</f>
        <v/>
      </c>
    </row>
    <row r="481">
      <c r="A481" t="n">
        <v>1437</v>
      </c>
      <c r="B481" t="n">
        <v>47.9</v>
      </c>
      <c r="C481" t="inlineStr">
        <is>
          <t>1943</t>
        </is>
      </c>
      <c r="D481" t="n">
        <v>19.43</v>
      </c>
      <c r="E481">
        <f>MEDIAN(D461:D501)</f>
        <v/>
      </c>
      <c r="F481">
        <f>E461</f>
        <v/>
      </c>
      <c r="G481">
        <f>F481-E481</f>
        <v/>
      </c>
      <c r="H481">
        <f>IF(OR(NOT(ISNUMBER(D481)),ABS(D481-E481)&gt;$O$3,AND($O$11=1,B481&lt;$O$12)),1,0)</f>
        <v/>
      </c>
      <c r="I481">
        <f>IF(H481=1,NA(),D481)</f>
        <v/>
      </c>
      <c r="J481">
        <f>IF(AND(ISNUMBER(D481),D481&gt;=$O$4,OR($O$11=0,B481&gt;=$O$12)),1,0)</f>
        <v/>
      </c>
      <c r="K481">
        <f>B481-$O$14</f>
        <v/>
      </c>
    </row>
    <row r="482">
      <c r="A482" t="n">
        <v>1440</v>
      </c>
      <c r="B482" t="n">
        <v>48</v>
      </c>
      <c r="C482" t="inlineStr">
        <is>
          <t>1944</t>
        </is>
      </c>
      <c r="D482" t="n">
        <v>19.44</v>
      </c>
      <c r="E482">
        <f>MEDIAN(D462:D502)</f>
        <v/>
      </c>
      <c r="F482">
        <f>E462</f>
        <v/>
      </c>
      <c r="G482">
        <f>F482-E482</f>
        <v/>
      </c>
      <c r="H482">
        <f>IF(OR(NOT(ISNUMBER(D482)),ABS(D482-E482)&gt;$O$3,AND($O$11=1,B482&lt;$O$12)),1,0)</f>
        <v/>
      </c>
      <c r="I482">
        <f>IF(H482=1,NA(),D482)</f>
        <v/>
      </c>
      <c r="J482">
        <f>IF(AND(ISNUMBER(D482),D482&gt;=$O$4,OR($O$11=0,B482&gt;=$O$12)),1,0)</f>
        <v/>
      </c>
      <c r="K482">
        <f>B482-$O$14</f>
        <v/>
      </c>
    </row>
    <row r="483">
      <c r="A483" t="n">
        <v>1443</v>
      </c>
      <c r="B483" t="n">
        <v>48.1</v>
      </c>
      <c r="C483" t="inlineStr">
        <is>
          <t>1944</t>
        </is>
      </c>
      <c r="D483" t="n">
        <v>19.44</v>
      </c>
      <c r="E483">
        <f>MEDIAN(D463:D503)</f>
        <v/>
      </c>
      <c r="F483">
        <f>E463</f>
        <v/>
      </c>
      <c r="G483">
        <f>F483-E483</f>
        <v/>
      </c>
      <c r="H483">
        <f>IF(OR(NOT(ISNUMBER(D483)),ABS(D483-E483)&gt;$O$3,AND($O$11=1,B483&lt;$O$12)),1,0)</f>
        <v/>
      </c>
      <c r="I483">
        <f>IF(H483=1,NA(),D483)</f>
        <v/>
      </c>
      <c r="J483">
        <f>IF(AND(ISNUMBER(D483),D483&gt;=$O$4,OR($O$11=0,B483&gt;=$O$12)),1,0)</f>
        <v/>
      </c>
      <c r="K483">
        <f>B483-$O$14</f>
        <v/>
      </c>
    </row>
    <row r="484">
      <c r="A484" t="n">
        <v>1446</v>
      </c>
      <c r="B484" t="n">
        <v>48.2</v>
      </c>
      <c r="C484" t="inlineStr">
        <is>
          <t>1944</t>
        </is>
      </c>
      <c r="D484" t="n">
        <v>19.44</v>
      </c>
      <c r="E484">
        <f>MEDIAN(D464:D504)</f>
        <v/>
      </c>
      <c r="F484">
        <f>E464</f>
        <v/>
      </c>
      <c r="G484">
        <f>F484-E484</f>
        <v/>
      </c>
      <c r="H484">
        <f>IF(OR(NOT(ISNUMBER(D484)),ABS(D484-E484)&gt;$O$3,AND($O$11=1,B484&lt;$O$12)),1,0)</f>
        <v/>
      </c>
      <c r="I484">
        <f>IF(H484=1,NA(),D484)</f>
        <v/>
      </c>
      <c r="J484">
        <f>IF(AND(ISNUMBER(D484),D484&gt;=$O$4,OR($O$11=0,B484&gt;=$O$12)),1,0)</f>
        <v/>
      </c>
      <c r="K484">
        <f>B484-$O$14</f>
        <v/>
      </c>
    </row>
    <row r="485">
      <c r="A485" t="n">
        <v>1449</v>
      </c>
      <c r="B485" t="n">
        <v>48.3</v>
      </c>
      <c r="C485" t="inlineStr">
        <is>
          <t>1944</t>
        </is>
      </c>
      <c r="D485" t="n">
        <v>19.44</v>
      </c>
      <c r="E485">
        <f>MEDIAN(D465:D505)</f>
        <v/>
      </c>
      <c r="F485">
        <f>E465</f>
        <v/>
      </c>
      <c r="G485">
        <f>F485-E485</f>
        <v/>
      </c>
      <c r="H485">
        <f>IF(OR(NOT(ISNUMBER(D485)),ABS(D485-E485)&gt;$O$3,AND($O$11=1,B485&lt;$O$12)),1,0)</f>
        <v/>
      </c>
      <c r="I485">
        <f>IF(H485=1,NA(),D485)</f>
        <v/>
      </c>
      <c r="J485">
        <f>IF(AND(ISNUMBER(D485),D485&gt;=$O$4,OR($O$11=0,B485&gt;=$O$12)),1,0)</f>
        <v/>
      </c>
      <c r="K485">
        <f>B485-$O$14</f>
        <v/>
      </c>
    </row>
    <row r="486">
      <c r="A486" t="n">
        <v>1452</v>
      </c>
      <c r="B486" t="n">
        <v>48.4</v>
      </c>
      <c r="C486" t="inlineStr">
        <is>
          <t>1944</t>
        </is>
      </c>
      <c r="D486" t="n">
        <v>19.44</v>
      </c>
      <c r="E486">
        <f>MEDIAN(D466:D506)</f>
        <v/>
      </c>
      <c r="F486">
        <f>E466</f>
        <v/>
      </c>
      <c r="G486">
        <f>F486-E486</f>
        <v/>
      </c>
      <c r="H486">
        <f>IF(OR(NOT(ISNUMBER(D486)),ABS(D486-E486)&gt;$O$3,AND($O$11=1,B486&lt;$O$12)),1,0)</f>
        <v/>
      </c>
      <c r="I486">
        <f>IF(H486=1,NA(),D486)</f>
        <v/>
      </c>
      <c r="J486">
        <f>IF(AND(ISNUMBER(D486),D486&gt;=$O$4,OR($O$11=0,B486&gt;=$O$12)),1,0)</f>
        <v/>
      </c>
      <c r="K486">
        <f>B486-$O$14</f>
        <v/>
      </c>
    </row>
    <row r="487">
      <c r="A487" t="n">
        <v>1455</v>
      </c>
      <c r="B487" t="n">
        <v>48.5</v>
      </c>
      <c r="C487" t="inlineStr">
        <is>
          <t>1944</t>
        </is>
      </c>
      <c r="D487" t="n">
        <v>19.44</v>
      </c>
      <c r="E487">
        <f>MEDIAN(D467:D507)</f>
        <v/>
      </c>
      <c r="F487">
        <f>E467</f>
        <v/>
      </c>
      <c r="G487">
        <f>F487-E487</f>
        <v/>
      </c>
      <c r="H487">
        <f>IF(OR(NOT(ISNUMBER(D487)),ABS(D487-E487)&gt;$O$3,AND($O$11=1,B487&lt;$O$12)),1,0)</f>
        <v/>
      </c>
      <c r="I487">
        <f>IF(H487=1,NA(),D487)</f>
        <v/>
      </c>
      <c r="J487">
        <f>IF(AND(ISNUMBER(D487),D487&gt;=$O$4,OR($O$11=0,B487&gt;=$O$12)),1,0)</f>
        <v/>
      </c>
      <c r="K487">
        <f>B487-$O$14</f>
        <v/>
      </c>
    </row>
    <row r="488">
      <c r="A488" t="n">
        <v>1458</v>
      </c>
      <c r="B488" t="n">
        <v>48.6</v>
      </c>
      <c r="C488" t="inlineStr">
        <is>
          <t>1944</t>
        </is>
      </c>
      <c r="D488" t="n">
        <v>19.44</v>
      </c>
      <c r="E488">
        <f>MEDIAN(D468:D508)</f>
        <v/>
      </c>
      <c r="F488">
        <f>E468</f>
        <v/>
      </c>
      <c r="G488">
        <f>F488-E488</f>
        <v/>
      </c>
      <c r="H488">
        <f>IF(OR(NOT(ISNUMBER(D488)),ABS(D488-E488)&gt;$O$3,AND($O$11=1,B488&lt;$O$12)),1,0)</f>
        <v/>
      </c>
      <c r="I488">
        <f>IF(H488=1,NA(),D488)</f>
        <v/>
      </c>
      <c r="J488">
        <f>IF(AND(ISNUMBER(D488),D488&gt;=$O$4,OR($O$11=0,B488&gt;=$O$12)),1,0)</f>
        <v/>
      </c>
      <c r="K488">
        <f>B488-$O$14</f>
        <v/>
      </c>
    </row>
    <row r="489">
      <c r="A489" t="n">
        <v>1461</v>
      </c>
      <c r="B489" t="n">
        <v>48.7</v>
      </c>
      <c r="C489" t="inlineStr">
        <is>
          <t>1944</t>
        </is>
      </c>
      <c r="D489" t="n">
        <v>19.44</v>
      </c>
      <c r="E489">
        <f>MEDIAN(D469:D509)</f>
        <v/>
      </c>
      <c r="F489">
        <f>E469</f>
        <v/>
      </c>
      <c r="G489">
        <f>F489-E489</f>
        <v/>
      </c>
      <c r="H489">
        <f>IF(OR(NOT(ISNUMBER(D489)),ABS(D489-E489)&gt;$O$3,AND($O$11=1,B489&lt;$O$12)),1,0)</f>
        <v/>
      </c>
      <c r="I489">
        <f>IF(H489=1,NA(),D489)</f>
        <v/>
      </c>
      <c r="J489">
        <f>IF(AND(ISNUMBER(D489),D489&gt;=$O$4,OR($O$11=0,B489&gt;=$O$12)),1,0)</f>
        <v/>
      </c>
      <c r="K489">
        <f>B489-$O$14</f>
        <v/>
      </c>
    </row>
    <row r="490">
      <c r="A490" t="n">
        <v>1464</v>
      </c>
      <c r="B490" t="n">
        <v>48.8</v>
      </c>
      <c r="C490" t="inlineStr">
        <is>
          <t>1944</t>
        </is>
      </c>
      <c r="D490" t="n">
        <v>19.44</v>
      </c>
      <c r="E490">
        <f>MEDIAN(D470:D510)</f>
        <v/>
      </c>
      <c r="F490">
        <f>E470</f>
        <v/>
      </c>
      <c r="G490">
        <f>F490-E490</f>
        <v/>
      </c>
      <c r="H490">
        <f>IF(OR(NOT(ISNUMBER(D490)),ABS(D490-E490)&gt;$O$3,AND($O$11=1,B490&lt;$O$12)),1,0)</f>
        <v/>
      </c>
      <c r="I490">
        <f>IF(H490=1,NA(),D490)</f>
        <v/>
      </c>
      <c r="J490">
        <f>IF(AND(ISNUMBER(D490),D490&gt;=$O$4,OR($O$11=0,B490&gt;=$O$12)),1,0)</f>
        <v/>
      </c>
      <c r="K490">
        <f>B490-$O$14</f>
        <v/>
      </c>
    </row>
    <row r="491">
      <c r="A491" t="n">
        <v>1467</v>
      </c>
      <c r="B491" t="n">
        <v>48.9</v>
      </c>
      <c r="C491" t="inlineStr">
        <is>
          <t>1944</t>
        </is>
      </c>
      <c r="D491" t="n">
        <v>19.44</v>
      </c>
      <c r="E491">
        <f>MEDIAN(D471:D511)</f>
        <v/>
      </c>
      <c r="F491">
        <f>E471</f>
        <v/>
      </c>
      <c r="G491">
        <f>F491-E491</f>
        <v/>
      </c>
      <c r="H491">
        <f>IF(OR(NOT(ISNUMBER(D491)),ABS(D491-E491)&gt;$O$3,AND($O$11=1,B491&lt;$O$12)),1,0)</f>
        <v/>
      </c>
      <c r="I491">
        <f>IF(H491=1,NA(),D491)</f>
        <v/>
      </c>
      <c r="J491">
        <f>IF(AND(ISNUMBER(D491),D491&gt;=$O$4,OR($O$11=0,B491&gt;=$O$12)),1,0)</f>
        <v/>
      </c>
      <c r="K491">
        <f>B491-$O$14</f>
        <v/>
      </c>
    </row>
    <row r="492">
      <c r="A492" t="n">
        <v>1470</v>
      </c>
      <c r="B492" t="n">
        <v>49</v>
      </c>
      <c r="C492" t="inlineStr">
        <is>
          <t>1944</t>
        </is>
      </c>
      <c r="D492" t="n">
        <v>19.44</v>
      </c>
      <c r="E492">
        <f>MEDIAN(D472:D512)</f>
        <v/>
      </c>
      <c r="F492">
        <f>E472</f>
        <v/>
      </c>
      <c r="G492">
        <f>F492-E492</f>
        <v/>
      </c>
      <c r="H492">
        <f>IF(OR(NOT(ISNUMBER(D492)),ABS(D492-E492)&gt;$O$3,AND($O$11=1,B492&lt;$O$12)),1,0)</f>
        <v/>
      </c>
      <c r="I492">
        <f>IF(H492=1,NA(),D492)</f>
        <v/>
      </c>
      <c r="J492">
        <f>IF(AND(ISNUMBER(D492),D492&gt;=$O$4,OR($O$11=0,B492&gt;=$O$12)),1,0)</f>
        <v/>
      </c>
      <c r="K492">
        <f>B492-$O$14</f>
        <v/>
      </c>
    </row>
    <row r="493">
      <c r="A493" t="n">
        <v>1473</v>
      </c>
      <c r="B493" t="n">
        <v>49.1</v>
      </c>
      <c r="C493" t="inlineStr">
        <is>
          <t>1944</t>
        </is>
      </c>
      <c r="D493" t="n">
        <v>19.44</v>
      </c>
      <c r="E493">
        <f>MEDIAN(D473:D513)</f>
        <v/>
      </c>
      <c r="F493">
        <f>E473</f>
        <v/>
      </c>
      <c r="G493">
        <f>F493-E493</f>
        <v/>
      </c>
      <c r="H493">
        <f>IF(OR(NOT(ISNUMBER(D493)),ABS(D493-E493)&gt;$O$3,AND($O$11=1,B493&lt;$O$12)),1,0)</f>
        <v/>
      </c>
      <c r="I493">
        <f>IF(H493=1,NA(),D493)</f>
        <v/>
      </c>
      <c r="J493">
        <f>IF(AND(ISNUMBER(D493),D493&gt;=$O$4,OR($O$11=0,B493&gt;=$O$12)),1,0)</f>
        <v/>
      </c>
      <c r="K493">
        <f>B493-$O$14</f>
        <v/>
      </c>
    </row>
    <row r="494">
      <c r="A494" t="n">
        <v>1476</v>
      </c>
      <c r="B494" t="n">
        <v>49.2</v>
      </c>
      <c r="C494" t="inlineStr">
        <is>
          <t>1944</t>
        </is>
      </c>
      <c r="D494" t="n">
        <v>19.44</v>
      </c>
      <c r="E494">
        <f>MEDIAN(D474:D514)</f>
        <v/>
      </c>
      <c r="F494">
        <f>E474</f>
        <v/>
      </c>
      <c r="G494">
        <f>F494-E494</f>
        <v/>
      </c>
      <c r="H494">
        <f>IF(OR(NOT(ISNUMBER(D494)),ABS(D494-E494)&gt;$O$3,AND($O$11=1,B494&lt;$O$12)),1,0)</f>
        <v/>
      </c>
      <c r="I494">
        <f>IF(H494=1,NA(),D494)</f>
        <v/>
      </c>
      <c r="J494">
        <f>IF(AND(ISNUMBER(D494),D494&gt;=$O$4,OR($O$11=0,B494&gt;=$O$12)),1,0)</f>
        <v/>
      </c>
      <c r="K494">
        <f>B494-$O$14</f>
        <v/>
      </c>
    </row>
    <row r="495">
      <c r="A495" t="n">
        <v>1479</v>
      </c>
      <c r="B495" t="n">
        <v>49.3</v>
      </c>
      <c r="C495" t="inlineStr">
        <is>
          <t>1944</t>
        </is>
      </c>
      <c r="D495" t="n">
        <v>19.44</v>
      </c>
      <c r="E495">
        <f>MEDIAN(D475:D515)</f>
        <v/>
      </c>
      <c r="F495">
        <f>E475</f>
        <v/>
      </c>
      <c r="G495">
        <f>F495-E495</f>
        <v/>
      </c>
      <c r="H495">
        <f>IF(OR(NOT(ISNUMBER(D495)),ABS(D495-E495)&gt;$O$3,AND($O$11=1,B495&lt;$O$12)),1,0)</f>
        <v/>
      </c>
      <c r="I495">
        <f>IF(H495=1,NA(),D495)</f>
        <v/>
      </c>
      <c r="J495">
        <f>IF(AND(ISNUMBER(D495),D495&gt;=$O$4,OR($O$11=0,B495&gt;=$O$12)),1,0)</f>
        <v/>
      </c>
      <c r="K495">
        <f>B495-$O$14</f>
        <v/>
      </c>
    </row>
    <row r="496">
      <c r="A496" t="n">
        <v>1482</v>
      </c>
      <c r="B496" t="n">
        <v>49.4</v>
      </c>
      <c r="C496" t="inlineStr">
        <is>
          <t>1944</t>
        </is>
      </c>
      <c r="D496" t="n">
        <v>19.44</v>
      </c>
      <c r="E496">
        <f>MEDIAN(D476:D516)</f>
        <v/>
      </c>
      <c r="F496">
        <f>E476</f>
        <v/>
      </c>
      <c r="G496">
        <f>F496-E496</f>
        <v/>
      </c>
      <c r="H496">
        <f>IF(OR(NOT(ISNUMBER(D496)),ABS(D496-E496)&gt;$O$3,AND($O$11=1,B496&lt;$O$12)),1,0)</f>
        <v/>
      </c>
      <c r="I496">
        <f>IF(H496=1,NA(),D496)</f>
        <v/>
      </c>
      <c r="J496">
        <f>IF(AND(ISNUMBER(D496),D496&gt;=$O$4,OR($O$11=0,B496&gt;=$O$12)),1,0)</f>
        <v/>
      </c>
      <c r="K496">
        <f>B496-$O$14</f>
        <v/>
      </c>
    </row>
    <row r="497">
      <c r="A497" t="n">
        <v>1485</v>
      </c>
      <c r="B497" t="n">
        <v>49.5</v>
      </c>
      <c r="C497" t="inlineStr">
        <is>
          <t>1944</t>
        </is>
      </c>
      <c r="D497" t="n">
        <v>19.44</v>
      </c>
      <c r="E497">
        <f>MEDIAN(D477:D517)</f>
        <v/>
      </c>
      <c r="F497">
        <f>E477</f>
        <v/>
      </c>
      <c r="G497">
        <f>F497-E497</f>
        <v/>
      </c>
      <c r="H497">
        <f>IF(OR(NOT(ISNUMBER(D497)),ABS(D497-E497)&gt;$O$3,AND($O$11=1,B497&lt;$O$12)),1,0)</f>
        <v/>
      </c>
      <c r="I497">
        <f>IF(H497=1,NA(),D497)</f>
        <v/>
      </c>
      <c r="J497">
        <f>IF(AND(ISNUMBER(D497),D497&gt;=$O$4,OR($O$11=0,B497&gt;=$O$12)),1,0)</f>
        <v/>
      </c>
      <c r="K497">
        <f>B497-$O$14</f>
        <v/>
      </c>
    </row>
    <row r="498">
      <c r="A498" t="n">
        <v>1488</v>
      </c>
      <c r="B498" t="n">
        <v>49.6</v>
      </c>
      <c r="C498" t="inlineStr">
        <is>
          <t>1944</t>
        </is>
      </c>
      <c r="D498" t="n">
        <v>19.44</v>
      </c>
      <c r="E498">
        <f>MEDIAN(D478:D518)</f>
        <v/>
      </c>
      <c r="F498">
        <f>E478</f>
        <v/>
      </c>
      <c r="G498">
        <f>F498-E498</f>
        <v/>
      </c>
      <c r="H498">
        <f>IF(OR(NOT(ISNUMBER(D498)),ABS(D498-E498)&gt;$O$3,AND($O$11=1,B498&lt;$O$12)),1,0)</f>
        <v/>
      </c>
      <c r="I498">
        <f>IF(H498=1,NA(),D498)</f>
        <v/>
      </c>
      <c r="J498">
        <f>IF(AND(ISNUMBER(D498),D498&gt;=$O$4,OR($O$11=0,B498&gt;=$O$12)),1,0)</f>
        <v/>
      </c>
      <c r="K498">
        <f>B498-$O$14</f>
        <v/>
      </c>
    </row>
    <row r="499">
      <c r="A499" t="n">
        <v>1491</v>
      </c>
      <c r="B499" t="n">
        <v>49.7</v>
      </c>
      <c r="C499" t="inlineStr">
        <is>
          <t>1944</t>
        </is>
      </c>
      <c r="D499" t="n">
        <v>19.44</v>
      </c>
      <c r="E499">
        <f>MEDIAN(D479:D519)</f>
        <v/>
      </c>
      <c r="F499">
        <f>E479</f>
        <v/>
      </c>
      <c r="G499">
        <f>F499-E499</f>
        <v/>
      </c>
      <c r="H499">
        <f>IF(OR(NOT(ISNUMBER(D499)),ABS(D499-E499)&gt;$O$3,AND($O$11=1,B499&lt;$O$12)),1,0)</f>
        <v/>
      </c>
      <c r="I499">
        <f>IF(H499=1,NA(),D499)</f>
        <v/>
      </c>
      <c r="J499">
        <f>IF(AND(ISNUMBER(D499),D499&gt;=$O$4,OR($O$11=0,B499&gt;=$O$12)),1,0)</f>
        <v/>
      </c>
      <c r="K499">
        <f>B499-$O$14</f>
        <v/>
      </c>
    </row>
    <row r="500">
      <c r="A500" t="n">
        <v>1494</v>
      </c>
      <c r="B500" t="n">
        <v>49.8</v>
      </c>
      <c r="C500" t="inlineStr">
        <is>
          <t>1944</t>
        </is>
      </c>
      <c r="D500" t="n">
        <v>19.44</v>
      </c>
      <c r="E500">
        <f>MEDIAN(D480:D520)</f>
        <v/>
      </c>
      <c r="F500">
        <f>E480</f>
        <v/>
      </c>
      <c r="G500">
        <f>F500-E500</f>
        <v/>
      </c>
      <c r="H500">
        <f>IF(OR(NOT(ISNUMBER(D500)),ABS(D500-E500)&gt;$O$3,AND($O$11=1,B500&lt;$O$12)),1,0)</f>
        <v/>
      </c>
      <c r="I500">
        <f>IF(H500=1,NA(),D500)</f>
        <v/>
      </c>
      <c r="J500">
        <f>IF(AND(ISNUMBER(D500),D500&gt;=$O$4,OR($O$11=0,B500&gt;=$O$12)),1,0)</f>
        <v/>
      </c>
      <c r="K500">
        <f>B500-$O$14</f>
        <v/>
      </c>
    </row>
    <row r="501">
      <c r="A501" t="n">
        <v>1497</v>
      </c>
      <c r="B501" t="n">
        <v>49.9</v>
      </c>
      <c r="C501" t="inlineStr">
        <is>
          <t>1944</t>
        </is>
      </c>
      <c r="D501" t="n">
        <v>19.44</v>
      </c>
      <c r="E501">
        <f>MEDIAN(D481:D521)</f>
        <v/>
      </c>
      <c r="F501">
        <f>E481</f>
        <v/>
      </c>
      <c r="G501">
        <f>F501-E501</f>
        <v/>
      </c>
      <c r="H501">
        <f>IF(OR(NOT(ISNUMBER(D501)),ABS(D501-E501)&gt;$O$3,AND($O$11=1,B501&lt;$O$12)),1,0)</f>
        <v/>
      </c>
      <c r="I501">
        <f>IF(H501=1,NA(),D501)</f>
        <v/>
      </c>
      <c r="J501">
        <f>IF(AND(ISNUMBER(D501),D501&gt;=$O$4,OR($O$11=0,B501&gt;=$O$12)),1,0)</f>
        <v/>
      </c>
      <c r="K501">
        <f>B501-$O$14</f>
        <v/>
      </c>
    </row>
    <row r="502">
      <c r="A502" t="n">
        <v>1500</v>
      </c>
      <c r="B502" t="n">
        <v>50</v>
      </c>
      <c r="C502" t="inlineStr">
        <is>
          <t>1944</t>
        </is>
      </c>
      <c r="D502" t="n">
        <v>19.44</v>
      </c>
      <c r="E502">
        <f>MEDIAN(D482:D522)</f>
        <v/>
      </c>
      <c r="F502">
        <f>E482</f>
        <v/>
      </c>
      <c r="G502">
        <f>F502-E502</f>
        <v/>
      </c>
      <c r="H502">
        <f>IF(OR(NOT(ISNUMBER(D502)),ABS(D502-E502)&gt;$O$3,AND($O$11=1,B502&lt;$O$12)),1,0)</f>
        <v/>
      </c>
      <c r="I502">
        <f>IF(H502=1,NA(),D502)</f>
        <v/>
      </c>
      <c r="J502">
        <f>IF(AND(ISNUMBER(D502),D502&gt;=$O$4,OR($O$11=0,B502&gt;=$O$12)),1,0)</f>
        <v/>
      </c>
      <c r="K502">
        <f>B502-$O$14</f>
        <v/>
      </c>
    </row>
    <row r="503">
      <c r="A503" t="n">
        <v>1503</v>
      </c>
      <c r="B503" t="n">
        <v>50.1</v>
      </c>
      <c r="C503" t="inlineStr">
        <is>
          <t>1944</t>
        </is>
      </c>
      <c r="D503" t="n">
        <v>19.44</v>
      </c>
      <c r="E503">
        <f>MEDIAN(D483:D523)</f>
        <v/>
      </c>
      <c r="F503">
        <f>E483</f>
        <v/>
      </c>
      <c r="G503">
        <f>F503-E503</f>
        <v/>
      </c>
      <c r="H503">
        <f>IF(OR(NOT(ISNUMBER(D503)),ABS(D503-E503)&gt;$O$3,AND($O$11=1,B503&lt;$O$12)),1,0)</f>
        <v/>
      </c>
      <c r="I503">
        <f>IF(H503=1,NA(),D503)</f>
        <v/>
      </c>
      <c r="J503">
        <f>IF(AND(ISNUMBER(D503),D503&gt;=$O$4,OR($O$11=0,B503&gt;=$O$12)),1,0)</f>
        <v/>
      </c>
      <c r="K503">
        <f>B503-$O$14</f>
        <v/>
      </c>
    </row>
    <row r="504">
      <c r="A504" t="n">
        <v>1506</v>
      </c>
      <c r="B504" t="n">
        <v>50.2</v>
      </c>
      <c r="C504" t="inlineStr">
        <is>
          <t>1944</t>
        </is>
      </c>
      <c r="D504" t="n">
        <v>19.44</v>
      </c>
      <c r="E504">
        <f>MEDIAN(D484:D524)</f>
        <v/>
      </c>
      <c r="F504">
        <f>E484</f>
        <v/>
      </c>
      <c r="G504">
        <f>F504-E504</f>
        <v/>
      </c>
      <c r="H504">
        <f>IF(OR(NOT(ISNUMBER(D504)),ABS(D504-E504)&gt;$O$3,AND($O$11=1,B504&lt;$O$12)),1,0)</f>
        <v/>
      </c>
      <c r="I504">
        <f>IF(H504=1,NA(),D504)</f>
        <v/>
      </c>
      <c r="J504">
        <f>IF(AND(ISNUMBER(D504),D504&gt;=$O$4,OR($O$11=0,B504&gt;=$O$12)),1,0)</f>
        <v/>
      </c>
      <c r="K504">
        <f>B504-$O$14</f>
        <v/>
      </c>
    </row>
    <row r="505">
      <c r="A505" t="n">
        <v>1509</v>
      </c>
      <c r="B505" t="n">
        <v>50.3</v>
      </c>
      <c r="C505" t="inlineStr">
        <is>
          <t>1944</t>
        </is>
      </c>
      <c r="D505" t="n">
        <v>19.44</v>
      </c>
      <c r="E505">
        <f>MEDIAN(D485:D525)</f>
        <v/>
      </c>
      <c r="F505">
        <f>E485</f>
        <v/>
      </c>
      <c r="G505">
        <f>F505-E505</f>
        <v/>
      </c>
      <c r="H505">
        <f>IF(OR(NOT(ISNUMBER(D505)),ABS(D505-E505)&gt;$O$3,AND($O$11=1,B505&lt;$O$12)),1,0)</f>
        <v/>
      </c>
      <c r="I505">
        <f>IF(H505=1,NA(),D505)</f>
        <v/>
      </c>
      <c r="J505">
        <f>IF(AND(ISNUMBER(D505),D505&gt;=$O$4,OR($O$11=0,B505&gt;=$O$12)),1,0)</f>
        <v/>
      </c>
      <c r="K505">
        <f>B505-$O$14</f>
        <v/>
      </c>
    </row>
    <row r="506">
      <c r="A506" t="n">
        <v>1512</v>
      </c>
      <c r="B506" t="n">
        <v>50.4</v>
      </c>
      <c r="C506" t="inlineStr">
        <is>
          <t>1944</t>
        </is>
      </c>
      <c r="D506" t="n">
        <v>19.44</v>
      </c>
      <c r="E506">
        <f>MEDIAN(D486:D526)</f>
        <v/>
      </c>
      <c r="F506">
        <f>E486</f>
        <v/>
      </c>
      <c r="G506">
        <f>F506-E506</f>
        <v/>
      </c>
      <c r="H506">
        <f>IF(OR(NOT(ISNUMBER(D506)),ABS(D506-E506)&gt;$O$3,AND($O$11=1,B506&lt;$O$12)),1,0)</f>
        <v/>
      </c>
      <c r="I506">
        <f>IF(H506=1,NA(),D506)</f>
        <v/>
      </c>
      <c r="J506">
        <f>IF(AND(ISNUMBER(D506),D506&gt;=$O$4,OR($O$11=0,B506&gt;=$O$12)),1,0)</f>
        <v/>
      </c>
      <c r="K506">
        <f>B506-$O$14</f>
        <v/>
      </c>
    </row>
    <row r="507">
      <c r="A507" t="n">
        <v>1515</v>
      </c>
      <c r="B507" t="n">
        <v>50.5</v>
      </c>
      <c r="C507" t="inlineStr">
        <is>
          <t>1944</t>
        </is>
      </c>
      <c r="D507" t="n">
        <v>19.44</v>
      </c>
      <c r="E507">
        <f>MEDIAN(D487:D527)</f>
        <v/>
      </c>
      <c r="F507">
        <f>E487</f>
        <v/>
      </c>
      <c r="G507">
        <f>F507-E507</f>
        <v/>
      </c>
      <c r="H507">
        <f>IF(OR(NOT(ISNUMBER(D507)),ABS(D507-E507)&gt;$O$3,AND($O$11=1,B507&lt;$O$12)),1,0)</f>
        <v/>
      </c>
      <c r="I507">
        <f>IF(H507=1,NA(),D507)</f>
        <v/>
      </c>
      <c r="J507">
        <f>IF(AND(ISNUMBER(D507),D507&gt;=$O$4,OR($O$11=0,B507&gt;=$O$12)),1,0)</f>
        <v/>
      </c>
      <c r="K507">
        <f>B507-$O$14</f>
        <v/>
      </c>
    </row>
    <row r="508">
      <c r="A508" t="n">
        <v>1518</v>
      </c>
      <c r="B508" t="n">
        <v>50.6</v>
      </c>
      <c r="C508" t="inlineStr">
        <is>
          <t>1944</t>
        </is>
      </c>
      <c r="D508" t="n">
        <v>19.44</v>
      </c>
      <c r="E508">
        <f>MEDIAN(D488:D528)</f>
        <v/>
      </c>
      <c r="F508">
        <f>E488</f>
        <v/>
      </c>
      <c r="G508">
        <f>F508-E508</f>
        <v/>
      </c>
      <c r="H508">
        <f>IF(OR(NOT(ISNUMBER(D508)),ABS(D508-E508)&gt;$O$3,AND($O$11=1,B508&lt;$O$12)),1,0)</f>
        <v/>
      </c>
      <c r="I508">
        <f>IF(H508=1,NA(),D508)</f>
        <v/>
      </c>
      <c r="J508">
        <f>IF(AND(ISNUMBER(D508),D508&gt;=$O$4,OR($O$11=0,B508&gt;=$O$12)),1,0)</f>
        <v/>
      </c>
      <c r="K508">
        <f>B508-$O$14</f>
        <v/>
      </c>
    </row>
    <row r="509">
      <c r="A509" t="n">
        <v>1521</v>
      </c>
      <c r="B509" t="n">
        <v>50.7</v>
      </c>
      <c r="C509" t="inlineStr">
        <is>
          <t>1944</t>
        </is>
      </c>
      <c r="D509" t="n">
        <v>19.44</v>
      </c>
      <c r="E509">
        <f>MEDIAN(D489:D529)</f>
        <v/>
      </c>
      <c r="F509">
        <f>E489</f>
        <v/>
      </c>
      <c r="G509">
        <f>F509-E509</f>
        <v/>
      </c>
      <c r="H509">
        <f>IF(OR(NOT(ISNUMBER(D509)),ABS(D509-E509)&gt;$O$3,AND($O$11=1,B509&lt;$O$12)),1,0)</f>
        <v/>
      </c>
      <c r="I509">
        <f>IF(H509=1,NA(),D509)</f>
        <v/>
      </c>
      <c r="J509">
        <f>IF(AND(ISNUMBER(D509),D509&gt;=$O$4,OR($O$11=0,B509&gt;=$O$12)),1,0)</f>
        <v/>
      </c>
      <c r="K509">
        <f>B509-$O$14</f>
        <v/>
      </c>
    </row>
    <row r="510">
      <c r="A510" t="n">
        <v>1524</v>
      </c>
      <c r="B510" t="n">
        <v>50.8</v>
      </c>
      <c r="C510" t="inlineStr">
        <is>
          <t>1944</t>
        </is>
      </c>
      <c r="D510" t="n">
        <v>19.44</v>
      </c>
      <c r="E510">
        <f>MEDIAN(D490:D530)</f>
        <v/>
      </c>
      <c r="F510">
        <f>E490</f>
        <v/>
      </c>
      <c r="G510">
        <f>F510-E510</f>
        <v/>
      </c>
      <c r="H510">
        <f>IF(OR(NOT(ISNUMBER(D510)),ABS(D510-E510)&gt;$O$3,AND($O$11=1,B510&lt;$O$12)),1,0)</f>
        <v/>
      </c>
      <c r="I510">
        <f>IF(H510=1,NA(),D510)</f>
        <v/>
      </c>
      <c r="J510">
        <f>IF(AND(ISNUMBER(D510),D510&gt;=$O$4,OR($O$11=0,B510&gt;=$O$12)),1,0)</f>
        <v/>
      </c>
      <c r="K510">
        <f>B510-$O$14</f>
        <v/>
      </c>
    </row>
    <row r="511">
      <c r="A511" t="n">
        <v>1527</v>
      </c>
      <c r="B511" t="n">
        <v>50.9</v>
      </c>
      <c r="C511" t="inlineStr">
        <is>
          <t>1944</t>
        </is>
      </c>
      <c r="D511" t="n">
        <v>19.44</v>
      </c>
      <c r="E511">
        <f>MEDIAN(D491:D531)</f>
        <v/>
      </c>
      <c r="F511">
        <f>E491</f>
        <v/>
      </c>
      <c r="G511">
        <f>F511-E511</f>
        <v/>
      </c>
      <c r="H511">
        <f>IF(OR(NOT(ISNUMBER(D511)),ABS(D511-E511)&gt;$O$3,AND($O$11=1,B511&lt;$O$12)),1,0)</f>
        <v/>
      </c>
      <c r="I511">
        <f>IF(H511=1,NA(),D511)</f>
        <v/>
      </c>
      <c r="J511">
        <f>IF(AND(ISNUMBER(D511),D511&gt;=$O$4,OR($O$11=0,B511&gt;=$O$12)),1,0)</f>
        <v/>
      </c>
      <c r="K511">
        <f>B511-$O$14</f>
        <v/>
      </c>
    </row>
    <row r="512">
      <c r="A512" t="n">
        <v>1530</v>
      </c>
      <c r="B512" t="n">
        <v>51</v>
      </c>
      <c r="C512" t="inlineStr">
        <is>
          <t>1944</t>
        </is>
      </c>
      <c r="D512" t="n">
        <v>19.44</v>
      </c>
      <c r="E512">
        <f>MEDIAN(D492:D532)</f>
        <v/>
      </c>
      <c r="F512">
        <f>E492</f>
        <v/>
      </c>
      <c r="G512">
        <f>F512-E512</f>
        <v/>
      </c>
      <c r="H512">
        <f>IF(OR(NOT(ISNUMBER(D512)),ABS(D512-E512)&gt;$O$3,AND($O$11=1,B512&lt;$O$12)),1,0)</f>
        <v/>
      </c>
      <c r="I512">
        <f>IF(H512=1,NA(),D512)</f>
        <v/>
      </c>
      <c r="J512">
        <f>IF(AND(ISNUMBER(D512),D512&gt;=$O$4,OR($O$11=0,B512&gt;=$O$12)),1,0)</f>
        <v/>
      </c>
      <c r="K512">
        <f>B512-$O$14</f>
        <v/>
      </c>
    </row>
    <row r="513">
      <c r="A513" t="n">
        <v>1533</v>
      </c>
      <c r="B513" t="n">
        <v>51.1</v>
      </c>
      <c r="C513" t="inlineStr">
        <is>
          <t>1944</t>
        </is>
      </c>
      <c r="D513" t="n">
        <v>19.44</v>
      </c>
      <c r="E513">
        <f>MEDIAN(D493:D533)</f>
        <v/>
      </c>
      <c r="F513">
        <f>E493</f>
        <v/>
      </c>
      <c r="G513">
        <f>F513-E513</f>
        <v/>
      </c>
      <c r="H513">
        <f>IF(OR(NOT(ISNUMBER(D513)),ABS(D513-E513)&gt;$O$3,AND($O$11=1,B513&lt;$O$12)),1,0)</f>
        <v/>
      </c>
      <c r="I513">
        <f>IF(H513=1,NA(),D513)</f>
        <v/>
      </c>
      <c r="J513">
        <f>IF(AND(ISNUMBER(D513),D513&gt;=$O$4,OR($O$11=0,B513&gt;=$O$12)),1,0)</f>
        <v/>
      </c>
      <c r="K513">
        <f>B513-$O$14</f>
        <v/>
      </c>
    </row>
    <row r="514">
      <c r="A514" t="n">
        <v>1536</v>
      </c>
      <c r="B514" t="n">
        <v>51.2</v>
      </c>
      <c r="C514" t="inlineStr">
        <is>
          <t>1944</t>
        </is>
      </c>
      <c r="D514" t="n">
        <v>19.44</v>
      </c>
      <c r="E514">
        <f>MEDIAN(D494:D534)</f>
        <v/>
      </c>
      <c r="F514">
        <f>E494</f>
        <v/>
      </c>
      <c r="G514">
        <f>F514-E514</f>
        <v/>
      </c>
      <c r="H514">
        <f>IF(OR(NOT(ISNUMBER(D514)),ABS(D514-E514)&gt;$O$3,AND($O$11=1,B514&lt;$O$12)),1,0)</f>
        <v/>
      </c>
      <c r="I514">
        <f>IF(H514=1,NA(),D514)</f>
        <v/>
      </c>
      <c r="J514">
        <f>IF(AND(ISNUMBER(D514),D514&gt;=$O$4,OR($O$11=0,B514&gt;=$O$12)),1,0)</f>
        <v/>
      </c>
      <c r="K514">
        <f>B514-$O$14</f>
        <v/>
      </c>
    </row>
    <row r="515">
      <c r="A515" t="n">
        <v>1539</v>
      </c>
      <c r="B515" t="n">
        <v>51.3</v>
      </c>
      <c r="C515" t="inlineStr">
        <is>
          <t>1944</t>
        </is>
      </c>
      <c r="D515" t="n">
        <v>19.44</v>
      </c>
      <c r="E515">
        <f>MEDIAN(D495:D535)</f>
        <v/>
      </c>
      <c r="F515">
        <f>E495</f>
        <v/>
      </c>
      <c r="G515">
        <f>F515-E515</f>
        <v/>
      </c>
      <c r="H515">
        <f>IF(OR(NOT(ISNUMBER(D515)),ABS(D515-E515)&gt;$O$3,AND($O$11=1,B515&lt;$O$12)),1,0)</f>
        <v/>
      </c>
      <c r="I515">
        <f>IF(H515=1,NA(),D515)</f>
        <v/>
      </c>
      <c r="J515">
        <f>IF(AND(ISNUMBER(D515),D515&gt;=$O$4,OR($O$11=0,B515&gt;=$O$12)),1,0)</f>
        <v/>
      </c>
      <c r="K515">
        <f>B515-$O$14</f>
        <v/>
      </c>
    </row>
    <row r="516">
      <c r="A516" t="n">
        <v>1542</v>
      </c>
      <c r="B516" t="n">
        <v>51.4</v>
      </c>
      <c r="C516" t="inlineStr">
        <is>
          <t>1944</t>
        </is>
      </c>
      <c r="D516" t="n">
        <v>19.44</v>
      </c>
      <c r="E516">
        <f>MEDIAN(D496:D536)</f>
        <v/>
      </c>
      <c r="F516">
        <f>E496</f>
        <v/>
      </c>
      <c r="G516">
        <f>F516-E516</f>
        <v/>
      </c>
      <c r="H516">
        <f>IF(OR(NOT(ISNUMBER(D516)),ABS(D516-E516)&gt;$O$3,AND($O$11=1,B516&lt;$O$12)),1,0)</f>
        <v/>
      </c>
      <c r="I516">
        <f>IF(H516=1,NA(),D516)</f>
        <v/>
      </c>
      <c r="J516">
        <f>IF(AND(ISNUMBER(D516),D516&gt;=$O$4,OR($O$11=0,B516&gt;=$O$12)),1,0)</f>
        <v/>
      </c>
      <c r="K516">
        <f>B516-$O$14</f>
        <v/>
      </c>
    </row>
    <row r="517">
      <c r="A517" t="n">
        <v>1545</v>
      </c>
      <c r="B517" t="n">
        <v>51.5</v>
      </c>
      <c r="C517" t="inlineStr">
        <is>
          <t>1944</t>
        </is>
      </c>
      <c r="D517" t="n">
        <v>19.44</v>
      </c>
      <c r="E517">
        <f>MEDIAN(D497:D536)</f>
        <v/>
      </c>
      <c r="F517">
        <f>E497</f>
        <v/>
      </c>
      <c r="G517">
        <f>F517-E517</f>
        <v/>
      </c>
      <c r="H517">
        <f>IF(OR(NOT(ISNUMBER(D517)),ABS(D517-E517)&gt;$O$3,AND($O$11=1,B517&lt;$O$12)),1,0)</f>
        <v/>
      </c>
      <c r="I517">
        <f>IF(H517=1,NA(),D517)</f>
        <v/>
      </c>
      <c r="J517">
        <f>IF(AND(ISNUMBER(D517),D517&gt;=$O$4,OR($O$11=0,B517&gt;=$O$12)),1,0)</f>
        <v/>
      </c>
      <c r="K517">
        <f>B517-$O$14</f>
        <v/>
      </c>
    </row>
    <row r="518">
      <c r="A518" t="n">
        <v>1548</v>
      </c>
      <c r="B518" t="n">
        <v>51.6</v>
      </c>
      <c r="C518" t="inlineStr">
        <is>
          <t>1945</t>
        </is>
      </c>
      <c r="D518" t="n">
        <v>19.45</v>
      </c>
      <c r="E518">
        <f>MEDIAN(D498:D536)</f>
        <v/>
      </c>
      <c r="F518">
        <f>E498</f>
        <v/>
      </c>
      <c r="G518">
        <f>F518-E518</f>
        <v/>
      </c>
      <c r="H518">
        <f>IF(OR(NOT(ISNUMBER(D518)),ABS(D518-E518)&gt;$O$3,AND($O$11=1,B518&lt;$O$12)),1,0)</f>
        <v/>
      </c>
      <c r="I518">
        <f>IF(H518=1,NA(),D518)</f>
        <v/>
      </c>
      <c r="J518">
        <f>IF(AND(ISNUMBER(D518),D518&gt;=$O$4,OR($O$11=0,B518&gt;=$O$12)),1,0)</f>
        <v/>
      </c>
      <c r="K518">
        <f>B518-$O$14</f>
        <v/>
      </c>
    </row>
    <row r="519">
      <c r="A519" t="n">
        <v>1551</v>
      </c>
      <c r="B519" t="n">
        <v>51.7</v>
      </c>
      <c r="C519" t="inlineStr">
        <is>
          <t>1945</t>
        </is>
      </c>
      <c r="D519" t="n">
        <v>19.45</v>
      </c>
      <c r="E519">
        <f>MEDIAN(D499:D536)</f>
        <v/>
      </c>
      <c r="F519">
        <f>E499</f>
        <v/>
      </c>
      <c r="G519">
        <f>F519-E519</f>
        <v/>
      </c>
      <c r="H519">
        <f>IF(OR(NOT(ISNUMBER(D519)),ABS(D519-E519)&gt;$O$3,AND($O$11=1,B519&lt;$O$12)),1,0)</f>
        <v/>
      </c>
      <c r="I519">
        <f>IF(H519=1,NA(),D519)</f>
        <v/>
      </c>
      <c r="J519">
        <f>IF(AND(ISNUMBER(D519),D519&gt;=$O$4,OR($O$11=0,B519&gt;=$O$12)),1,0)</f>
        <v/>
      </c>
      <c r="K519">
        <f>B519-$O$14</f>
        <v/>
      </c>
    </row>
    <row r="520">
      <c r="A520" t="n">
        <v>1554</v>
      </c>
      <c r="B520" t="n">
        <v>51.8</v>
      </c>
      <c r="C520" t="inlineStr">
        <is>
          <t>1945</t>
        </is>
      </c>
      <c r="D520" t="n">
        <v>19.45</v>
      </c>
      <c r="E520">
        <f>MEDIAN(D500:D536)</f>
        <v/>
      </c>
      <c r="F520">
        <f>E500</f>
        <v/>
      </c>
      <c r="G520">
        <f>F520-E520</f>
        <v/>
      </c>
      <c r="H520">
        <f>IF(OR(NOT(ISNUMBER(D520)),ABS(D520-E520)&gt;$O$3,AND($O$11=1,B520&lt;$O$12)),1,0)</f>
        <v/>
      </c>
      <c r="I520">
        <f>IF(H520=1,NA(),D520)</f>
        <v/>
      </c>
      <c r="J520">
        <f>IF(AND(ISNUMBER(D520),D520&gt;=$O$4,OR($O$11=0,B520&gt;=$O$12)),1,0)</f>
        <v/>
      </c>
      <c r="K520">
        <f>B520-$O$14</f>
        <v/>
      </c>
    </row>
    <row r="521">
      <c r="A521" t="n">
        <v>1557</v>
      </c>
      <c r="B521" t="n">
        <v>51.9</v>
      </c>
      <c r="C521" t="inlineStr">
        <is>
          <t>1945</t>
        </is>
      </c>
      <c r="D521" t="n">
        <v>19.45</v>
      </c>
      <c r="E521">
        <f>MEDIAN(D501:D536)</f>
        <v/>
      </c>
      <c r="F521">
        <f>E501</f>
        <v/>
      </c>
      <c r="G521">
        <f>F521-E521</f>
        <v/>
      </c>
      <c r="H521">
        <f>IF(OR(NOT(ISNUMBER(D521)),ABS(D521-E521)&gt;$O$3,AND($O$11=1,B521&lt;$O$12)),1,0)</f>
        <v/>
      </c>
      <c r="I521">
        <f>IF(H521=1,NA(),D521)</f>
        <v/>
      </c>
      <c r="J521">
        <f>IF(AND(ISNUMBER(D521),D521&gt;=$O$4,OR($O$11=0,B521&gt;=$O$12)),1,0)</f>
        <v/>
      </c>
      <c r="K521">
        <f>B521-$O$14</f>
        <v/>
      </c>
    </row>
    <row r="522">
      <c r="A522" t="n">
        <v>1560</v>
      </c>
      <c r="B522" t="n">
        <v>52</v>
      </c>
      <c r="C522" t="inlineStr">
        <is>
          <t>1945</t>
        </is>
      </c>
      <c r="D522" t="n">
        <v>19.45</v>
      </c>
      <c r="E522">
        <f>MEDIAN(D502:D536)</f>
        <v/>
      </c>
      <c r="F522">
        <f>E502</f>
        <v/>
      </c>
      <c r="G522">
        <f>F522-E522</f>
        <v/>
      </c>
      <c r="H522">
        <f>IF(OR(NOT(ISNUMBER(D522)),ABS(D522-E522)&gt;$O$3,AND($O$11=1,B522&lt;$O$12)),1,0)</f>
        <v/>
      </c>
      <c r="I522">
        <f>IF(H522=1,NA(),D522)</f>
        <v/>
      </c>
      <c r="J522">
        <f>IF(AND(ISNUMBER(D522),D522&gt;=$O$4,OR($O$11=0,B522&gt;=$O$12)),1,0)</f>
        <v/>
      </c>
      <c r="K522">
        <f>B522-$O$14</f>
        <v/>
      </c>
    </row>
    <row r="523">
      <c r="A523" t="n">
        <v>1563</v>
      </c>
      <c r="B523" t="n">
        <v>52.1</v>
      </c>
      <c r="C523" t="inlineStr">
        <is>
          <t>1945</t>
        </is>
      </c>
      <c r="D523" t="n">
        <v>19.45</v>
      </c>
      <c r="E523">
        <f>MEDIAN(D503:D536)</f>
        <v/>
      </c>
      <c r="F523">
        <f>E503</f>
        <v/>
      </c>
      <c r="G523">
        <f>F523-E523</f>
        <v/>
      </c>
      <c r="H523">
        <f>IF(OR(NOT(ISNUMBER(D523)),ABS(D523-E523)&gt;$O$3,AND($O$11=1,B523&lt;$O$12)),1,0)</f>
        <v/>
      </c>
      <c r="I523">
        <f>IF(H523=1,NA(),D523)</f>
        <v/>
      </c>
      <c r="J523">
        <f>IF(AND(ISNUMBER(D523),D523&gt;=$O$4,OR($O$11=0,B523&gt;=$O$12)),1,0)</f>
        <v/>
      </c>
      <c r="K523">
        <f>B523-$O$14</f>
        <v/>
      </c>
    </row>
    <row r="524">
      <c r="A524" t="n">
        <v>1566</v>
      </c>
      <c r="B524" t="n">
        <v>52.2</v>
      </c>
      <c r="C524" t="inlineStr">
        <is>
          <t>1945</t>
        </is>
      </c>
      <c r="D524" t="n">
        <v>19.45</v>
      </c>
      <c r="E524">
        <f>MEDIAN(D504:D536)</f>
        <v/>
      </c>
      <c r="F524">
        <f>E504</f>
        <v/>
      </c>
      <c r="G524">
        <f>F524-E524</f>
        <v/>
      </c>
      <c r="H524">
        <f>IF(OR(NOT(ISNUMBER(D524)),ABS(D524-E524)&gt;$O$3,AND($O$11=1,B524&lt;$O$12)),1,0)</f>
        <v/>
      </c>
      <c r="I524">
        <f>IF(H524=1,NA(),D524)</f>
        <v/>
      </c>
      <c r="J524">
        <f>IF(AND(ISNUMBER(D524),D524&gt;=$O$4,OR($O$11=0,B524&gt;=$O$12)),1,0)</f>
        <v/>
      </c>
      <c r="K524">
        <f>B524-$O$14</f>
        <v/>
      </c>
    </row>
    <row r="525">
      <c r="A525" t="n">
        <v>1569</v>
      </c>
      <c r="B525" t="n">
        <v>52.3</v>
      </c>
      <c r="C525" t="inlineStr">
        <is>
          <t>1946</t>
        </is>
      </c>
      <c r="D525" t="n">
        <v>19.46</v>
      </c>
      <c r="E525">
        <f>MEDIAN(D505:D536)</f>
        <v/>
      </c>
      <c r="F525">
        <f>E505</f>
        <v/>
      </c>
      <c r="G525">
        <f>F525-E525</f>
        <v/>
      </c>
      <c r="H525">
        <f>IF(OR(NOT(ISNUMBER(D525)),ABS(D525-E525)&gt;$O$3,AND($O$11=1,B525&lt;$O$12)),1,0)</f>
        <v/>
      </c>
      <c r="I525">
        <f>IF(H525=1,NA(),D525)</f>
        <v/>
      </c>
      <c r="J525">
        <f>IF(AND(ISNUMBER(D525),D525&gt;=$O$4,OR($O$11=0,B525&gt;=$O$12)),1,0)</f>
        <v/>
      </c>
      <c r="K525">
        <f>B525-$O$14</f>
        <v/>
      </c>
    </row>
    <row r="526">
      <c r="A526" t="n">
        <v>1572</v>
      </c>
      <c r="B526" t="n">
        <v>52.4</v>
      </c>
      <c r="C526" t="inlineStr">
        <is>
          <t>1945</t>
        </is>
      </c>
      <c r="D526" t="n">
        <v>19.45</v>
      </c>
      <c r="E526">
        <f>MEDIAN(D506:D536)</f>
        <v/>
      </c>
      <c r="F526">
        <f>E506</f>
        <v/>
      </c>
      <c r="G526">
        <f>F526-E526</f>
        <v/>
      </c>
      <c r="H526">
        <f>IF(OR(NOT(ISNUMBER(D526)),ABS(D526-E526)&gt;$O$3,AND($O$11=1,B526&lt;$O$12)),1,0)</f>
        <v/>
      </c>
      <c r="I526">
        <f>IF(H526=1,NA(),D526)</f>
        <v/>
      </c>
      <c r="J526">
        <f>IF(AND(ISNUMBER(D526),D526&gt;=$O$4,OR($O$11=0,B526&gt;=$O$12)),1,0)</f>
        <v/>
      </c>
      <c r="K526">
        <f>B526-$O$14</f>
        <v/>
      </c>
    </row>
    <row r="527">
      <c r="A527" t="n">
        <v>1575</v>
      </c>
      <c r="B527" t="n">
        <v>52.5</v>
      </c>
      <c r="C527" t="inlineStr">
        <is>
          <t>1946</t>
        </is>
      </c>
      <c r="D527" t="n">
        <v>19.46</v>
      </c>
      <c r="E527">
        <f>MEDIAN(D507:D536)</f>
        <v/>
      </c>
      <c r="F527">
        <f>E507</f>
        <v/>
      </c>
      <c r="G527">
        <f>F527-E527</f>
        <v/>
      </c>
      <c r="H527">
        <f>IF(OR(NOT(ISNUMBER(D527)),ABS(D527-E527)&gt;$O$3,AND($O$11=1,B527&lt;$O$12)),1,0)</f>
        <v/>
      </c>
      <c r="I527">
        <f>IF(H527=1,NA(),D527)</f>
        <v/>
      </c>
      <c r="J527">
        <f>IF(AND(ISNUMBER(D527),D527&gt;=$O$4,OR($O$11=0,B527&gt;=$O$12)),1,0)</f>
        <v/>
      </c>
      <c r="K527">
        <f>B527-$O$14</f>
        <v/>
      </c>
    </row>
    <row r="528">
      <c r="A528" t="n">
        <v>1578</v>
      </c>
      <c r="B528" t="n">
        <v>52.6</v>
      </c>
      <c r="C528" t="inlineStr">
        <is>
          <t>1946</t>
        </is>
      </c>
      <c r="D528" t="n">
        <v>19.46</v>
      </c>
      <c r="E528">
        <f>MEDIAN(D508:D536)</f>
        <v/>
      </c>
      <c r="F528">
        <f>E508</f>
        <v/>
      </c>
      <c r="G528">
        <f>F528-E528</f>
        <v/>
      </c>
      <c r="H528">
        <f>IF(OR(NOT(ISNUMBER(D528)),ABS(D528-E528)&gt;$O$3,AND($O$11=1,B528&lt;$O$12)),1,0)</f>
        <v/>
      </c>
      <c r="I528">
        <f>IF(H528=1,NA(),D528)</f>
        <v/>
      </c>
      <c r="J528">
        <f>IF(AND(ISNUMBER(D528),D528&gt;=$O$4,OR($O$11=0,B528&gt;=$O$12)),1,0)</f>
        <v/>
      </c>
      <c r="K528">
        <f>B528-$O$14</f>
        <v/>
      </c>
    </row>
    <row r="529">
      <c r="A529" t="n">
        <v>1581</v>
      </c>
      <c r="B529" t="n">
        <v>52.7</v>
      </c>
      <c r="C529" t="inlineStr">
        <is>
          <t>1446</t>
        </is>
      </c>
      <c r="D529" t="n">
        <v>14.46</v>
      </c>
      <c r="E529">
        <f>MEDIAN(D509:D536)</f>
        <v/>
      </c>
      <c r="F529">
        <f>E509</f>
        <v/>
      </c>
      <c r="G529">
        <f>F529-E529</f>
        <v/>
      </c>
      <c r="H529">
        <f>IF(OR(NOT(ISNUMBER(D529)),ABS(D529-E529)&gt;$O$3,AND($O$11=1,B529&lt;$O$12)),1,0)</f>
        <v/>
      </c>
      <c r="I529">
        <f>IF(H529=1,NA(),D529)</f>
        <v/>
      </c>
      <c r="J529">
        <f>IF(AND(ISNUMBER(D529),D529&gt;=$O$4,OR($O$11=0,B529&gt;=$O$12)),1,0)</f>
        <v/>
      </c>
      <c r="K529">
        <f>B529-$O$14</f>
        <v/>
      </c>
    </row>
    <row r="530">
      <c r="A530" t="n">
        <v>1584</v>
      </c>
      <c r="B530" t="n">
        <v>52.8</v>
      </c>
      <c r="C530" t="inlineStr">
        <is>
          <t>1945</t>
        </is>
      </c>
      <c r="D530" t="n">
        <v>19.45</v>
      </c>
      <c r="E530">
        <f>MEDIAN(D510:D536)</f>
        <v/>
      </c>
      <c r="F530">
        <f>E510</f>
        <v/>
      </c>
      <c r="G530">
        <f>F530-E530</f>
        <v/>
      </c>
      <c r="H530">
        <f>IF(OR(NOT(ISNUMBER(D530)),ABS(D530-E530)&gt;$O$3,AND($O$11=1,B530&lt;$O$12)),1,0)</f>
        <v/>
      </c>
      <c r="I530">
        <f>IF(H530=1,NA(),D530)</f>
        <v/>
      </c>
      <c r="J530">
        <f>IF(AND(ISNUMBER(D530),D530&gt;=$O$4,OR($O$11=0,B530&gt;=$O$12)),1,0)</f>
        <v/>
      </c>
      <c r="K530">
        <f>B530-$O$14</f>
        <v/>
      </c>
    </row>
    <row r="531">
      <c r="A531" t="n">
        <v>1587</v>
      </c>
      <c r="B531" t="n">
        <v>52.9</v>
      </c>
      <c r="C531" t="inlineStr">
        <is>
          <t>1946</t>
        </is>
      </c>
      <c r="D531" t="n">
        <v>19.46</v>
      </c>
      <c r="E531">
        <f>MEDIAN(D511:D536)</f>
        <v/>
      </c>
      <c r="F531">
        <f>E511</f>
        <v/>
      </c>
      <c r="G531">
        <f>F531-E531</f>
        <v/>
      </c>
      <c r="H531">
        <f>IF(OR(NOT(ISNUMBER(D531)),ABS(D531-E531)&gt;$O$3,AND($O$11=1,B531&lt;$O$12)),1,0)</f>
        <v/>
      </c>
      <c r="I531">
        <f>IF(H531=1,NA(),D531)</f>
        <v/>
      </c>
      <c r="J531">
        <f>IF(AND(ISNUMBER(D531),D531&gt;=$O$4,OR($O$11=0,B531&gt;=$O$12)),1,0)</f>
        <v/>
      </c>
      <c r="K531">
        <f>B531-$O$14</f>
        <v/>
      </c>
    </row>
    <row r="532">
      <c r="A532" t="n">
        <v>1590</v>
      </c>
      <c r="B532" t="n">
        <v>53</v>
      </c>
      <c r="C532" t="inlineStr">
        <is>
          <t>1945</t>
        </is>
      </c>
      <c r="D532" t="n">
        <v>19.45</v>
      </c>
      <c r="E532">
        <f>MEDIAN(D512:D536)</f>
        <v/>
      </c>
      <c r="F532">
        <f>E512</f>
        <v/>
      </c>
      <c r="G532">
        <f>F532-E532</f>
        <v/>
      </c>
      <c r="H532">
        <f>IF(OR(NOT(ISNUMBER(D532)),ABS(D532-E532)&gt;$O$3,AND($O$11=1,B532&lt;$O$12)),1,0)</f>
        <v/>
      </c>
      <c r="I532">
        <f>IF(H532=1,NA(),D532)</f>
        <v/>
      </c>
      <c r="J532">
        <f>IF(AND(ISNUMBER(D532),D532&gt;=$O$4,OR($O$11=0,B532&gt;=$O$12)),1,0)</f>
        <v/>
      </c>
      <c r="K532">
        <f>B532-$O$14</f>
        <v/>
      </c>
    </row>
    <row r="533">
      <c r="A533" t="n">
        <v>1593</v>
      </c>
      <c r="B533" t="n">
        <v>53.1</v>
      </c>
      <c r="C533" t="inlineStr">
        <is>
          <t>1945</t>
        </is>
      </c>
      <c r="D533" t="n">
        <v>19.45</v>
      </c>
      <c r="E533">
        <f>MEDIAN(D513:D536)</f>
        <v/>
      </c>
      <c r="F533">
        <f>E513</f>
        <v/>
      </c>
      <c r="G533">
        <f>F533-E533</f>
        <v/>
      </c>
      <c r="H533">
        <f>IF(OR(NOT(ISNUMBER(D533)),ABS(D533-E533)&gt;$O$3,AND($O$11=1,B533&lt;$O$12)),1,0)</f>
        <v/>
      </c>
      <c r="I533">
        <f>IF(H533=1,NA(),D533)</f>
        <v/>
      </c>
      <c r="J533">
        <f>IF(AND(ISNUMBER(D533),D533&gt;=$O$4,OR($O$11=0,B533&gt;=$O$12)),1,0)</f>
        <v/>
      </c>
      <c r="K533">
        <f>B533-$O$14</f>
        <v/>
      </c>
    </row>
    <row r="534">
      <c r="A534" t="n">
        <v>1596</v>
      </c>
      <c r="B534" t="n">
        <v>53.2</v>
      </c>
      <c r="C534" t="inlineStr">
        <is>
          <t>1945</t>
        </is>
      </c>
      <c r="D534" t="n">
        <v>19.45</v>
      </c>
      <c r="E534">
        <f>MEDIAN(D514:D536)</f>
        <v/>
      </c>
      <c r="F534">
        <f>E514</f>
        <v/>
      </c>
      <c r="G534">
        <f>F534-E534</f>
        <v/>
      </c>
      <c r="H534">
        <f>IF(OR(NOT(ISNUMBER(D534)),ABS(D534-E534)&gt;$O$3,AND($O$11=1,B534&lt;$O$12)),1,0)</f>
        <v/>
      </c>
      <c r="I534">
        <f>IF(H534=1,NA(),D534)</f>
        <v/>
      </c>
      <c r="J534">
        <f>IF(AND(ISNUMBER(D534),D534&gt;=$O$4,OR($O$11=0,B534&gt;=$O$12)),1,0)</f>
        <v/>
      </c>
      <c r="K534">
        <f>B534-$O$14</f>
        <v/>
      </c>
    </row>
    <row r="535">
      <c r="A535" t="n">
        <v>1599</v>
      </c>
      <c r="B535" t="n">
        <v>53.3</v>
      </c>
      <c r="C535" t="inlineStr">
        <is>
          <t>1945</t>
        </is>
      </c>
      <c r="D535" t="n">
        <v>19.45</v>
      </c>
      <c r="E535">
        <f>MEDIAN(D515:D536)</f>
        <v/>
      </c>
      <c r="F535">
        <f>E515</f>
        <v/>
      </c>
      <c r="G535">
        <f>F535-E535</f>
        <v/>
      </c>
      <c r="H535">
        <f>IF(OR(NOT(ISNUMBER(D535)),ABS(D535-E535)&gt;$O$3,AND($O$11=1,B535&lt;$O$12)),1,0)</f>
        <v/>
      </c>
      <c r="I535">
        <f>IF(H535=1,NA(),D535)</f>
        <v/>
      </c>
      <c r="J535">
        <f>IF(AND(ISNUMBER(D535),D535&gt;=$O$4,OR($O$11=0,B535&gt;=$O$12)),1,0)</f>
        <v/>
      </c>
      <c r="K535">
        <f>B535-$O$14</f>
        <v/>
      </c>
    </row>
    <row r="536">
      <c r="A536" t="n">
        <v>1602</v>
      </c>
      <c r="B536" t="n">
        <v>53.4</v>
      </c>
      <c r="C536" t="inlineStr">
        <is>
          <t>1945</t>
        </is>
      </c>
      <c r="D536" t="n">
        <v>19.45</v>
      </c>
      <c r="E536">
        <f>MEDIAN(D516:D536)</f>
        <v/>
      </c>
      <c r="F536">
        <f>E516</f>
        <v/>
      </c>
      <c r="G536">
        <f>F536-E536</f>
        <v/>
      </c>
      <c r="H536">
        <f>IF(OR(NOT(ISNUMBER(D536)),ABS(D536-E536)&gt;$O$3,AND($O$11=1,B536&lt;$O$12)),1,0)</f>
        <v/>
      </c>
      <c r="I536">
        <f>IF(H536=1,NA(),D536)</f>
        <v/>
      </c>
      <c r="J536">
        <f>IF(AND(ISNUMBER(D536),D536&gt;=$O$4,OR($O$11=0,B536&gt;=$O$12)),1,0)</f>
        <v/>
      </c>
      <c r="K536">
        <f>B536-$O$14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  <row r="349">
      <c r="A349">
        <f>Sheet1!K349</f>
        <v/>
      </c>
      <c r="B349">
        <f>IF(ISNA(Sheet1!I349),NA(),Sheet1!$O$5-(Sheet1!I349/Sheet1!$O$6))</f>
        <v/>
      </c>
    </row>
    <row r="350">
      <c r="A350">
        <f>Sheet1!K350</f>
        <v/>
      </c>
      <c r="B350">
        <f>IF(ISNA(Sheet1!I350),NA(),Sheet1!$O$5-(Sheet1!I350/Sheet1!$O$6))</f>
        <v/>
      </c>
    </row>
    <row r="351">
      <c r="A351">
        <f>Sheet1!K351</f>
        <v/>
      </c>
      <c r="B351">
        <f>IF(ISNA(Sheet1!I351),NA(),Sheet1!$O$5-(Sheet1!I351/Sheet1!$O$6))</f>
        <v/>
      </c>
    </row>
    <row r="352">
      <c r="A352">
        <f>Sheet1!K352</f>
        <v/>
      </c>
      <c r="B352">
        <f>IF(ISNA(Sheet1!I352),NA(),Sheet1!$O$5-(Sheet1!I352/Sheet1!$O$6))</f>
        <v/>
      </c>
    </row>
    <row r="353">
      <c r="A353">
        <f>Sheet1!K353</f>
        <v/>
      </c>
      <c r="B353">
        <f>IF(ISNA(Sheet1!I353),NA(),Sheet1!$O$5-(Sheet1!I353/Sheet1!$O$6))</f>
        <v/>
      </c>
    </row>
    <row r="354">
      <c r="A354">
        <f>Sheet1!K354</f>
        <v/>
      </c>
      <c r="B354">
        <f>IF(ISNA(Sheet1!I354),NA(),Sheet1!$O$5-(Sheet1!I354/Sheet1!$O$6))</f>
        <v/>
      </c>
    </row>
    <row r="355">
      <c r="A355">
        <f>Sheet1!K355</f>
        <v/>
      </c>
      <c r="B355">
        <f>IF(ISNA(Sheet1!I355),NA(),Sheet1!$O$5-(Sheet1!I355/Sheet1!$O$6))</f>
        <v/>
      </c>
    </row>
    <row r="356">
      <c r="A356">
        <f>Sheet1!K356</f>
        <v/>
      </c>
      <c r="B356">
        <f>IF(ISNA(Sheet1!I356),NA(),Sheet1!$O$5-(Sheet1!I356/Sheet1!$O$6))</f>
        <v/>
      </c>
    </row>
    <row r="357">
      <c r="A357">
        <f>Sheet1!K357</f>
        <v/>
      </c>
      <c r="B357">
        <f>IF(ISNA(Sheet1!I357),NA(),Sheet1!$O$5-(Sheet1!I357/Sheet1!$O$6))</f>
        <v/>
      </c>
    </row>
    <row r="358">
      <c r="A358">
        <f>Sheet1!K358</f>
        <v/>
      </c>
      <c r="B358">
        <f>IF(ISNA(Sheet1!I358),NA(),Sheet1!$O$5-(Sheet1!I358/Sheet1!$O$6))</f>
        <v/>
      </c>
    </row>
    <row r="359">
      <c r="A359">
        <f>Sheet1!K359</f>
        <v/>
      </c>
      <c r="B359">
        <f>IF(ISNA(Sheet1!I359),NA(),Sheet1!$O$5-(Sheet1!I359/Sheet1!$O$6))</f>
        <v/>
      </c>
    </row>
    <row r="360">
      <c r="A360">
        <f>Sheet1!K360</f>
        <v/>
      </c>
      <c r="B360">
        <f>IF(ISNA(Sheet1!I360),NA(),Sheet1!$O$5-(Sheet1!I360/Sheet1!$O$6))</f>
        <v/>
      </c>
    </row>
    <row r="361">
      <c r="A361">
        <f>Sheet1!K361</f>
        <v/>
      </c>
      <c r="B361">
        <f>IF(ISNA(Sheet1!I361),NA(),Sheet1!$O$5-(Sheet1!I361/Sheet1!$O$6))</f>
        <v/>
      </c>
    </row>
    <row r="362">
      <c r="A362">
        <f>Sheet1!K362</f>
        <v/>
      </c>
      <c r="B362">
        <f>IF(ISNA(Sheet1!I362),NA(),Sheet1!$O$5-(Sheet1!I362/Sheet1!$O$6))</f>
        <v/>
      </c>
    </row>
    <row r="363">
      <c r="A363">
        <f>Sheet1!K363</f>
        <v/>
      </c>
      <c r="B363">
        <f>IF(ISNA(Sheet1!I363),NA(),Sheet1!$O$5-(Sheet1!I363/Sheet1!$O$6))</f>
        <v/>
      </c>
    </row>
    <row r="364">
      <c r="A364">
        <f>Sheet1!K364</f>
        <v/>
      </c>
      <c r="B364">
        <f>IF(ISNA(Sheet1!I364),NA(),Sheet1!$O$5-(Sheet1!I364/Sheet1!$O$6))</f>
        <v/>
      </c>
    </row>
    <row r="365">
      <c r="A365">
        <f>Sheet1!K365</f>
        <v/>
      </c>
      <c r="B365">
        <f>IF(ISNA(Sheet1!I365),NA(),Sheet1!$O$5-(Sheet1!I365/Sheet1!$O$6))</f>
        <v/>
      </c>
    </row>
    <row r="366">
      <c r="A366">
        <f>Sheet1!K366</f>
        <v/>
      </c>
      <c r="B366">
        <f>IF(ISNA(Sheet1!I366),NA(),Sheet1!$O$5-(Sheet1!I366/Sheet1!$O$6))</f>
        <v/>
      </c>
    </row>
    <row r="367">
      <c r="A367">
        <f>Sheet1!K367</f>
        <v/>
      </c>
      <c r="B367">
        <f>IF(ISNA(Sheet1!I367),NA(),Sheet1!$O$5-(Sheet1!I367/Sheet1!$O$6))</f>
        <v/>
      </c>
    </row>
    <row r="368">
      <c r="A368">
        <f>Sheet1!K368</f>
        <v/>
      </c>
      <c r="B368">
        <f>IF(ISNA(Sheet1!I368),NA(),Sheet1!$O$5-(Sheet1!I368/Sheet1!$O$6))</f>
        <v/>
      </c>
    </row>
    <row r="369">
      <c r="A369">
        <f>Sheet1!K369</f>
        <v/>
      </c>
      <c r="B369">
        <f>IF(ISNA(Sheet1!I369),NA(),Sheet1!$O$5-(Sheet1!I369/Sheet1!$O$6))</f>
        <v/>
      </c>
    </row>
    <row r="370">
      <c r="A370">
        <f>Sheet1!K370</f>
        <v/>
      </c>
      <c r="B370">
        <f>IF(ISNA(Sheet1!I370),NA(),Sheet1!$O$5-(Sheet1!I370/Sheet1!$O$6))</f>
        <v/>
      </c>
    </row>
    <row r="371">
      <c r="A371">
        <f>Sheet1!K371</f>
        <v/>
      </c>
      <c r="B371">
        <f>IF(ISNA(Sheet1!I371),NA(),Sheet1!$O$5-(Sheet1!I371/Sheet1!$O$6))</f>
        <v/>
      </c>
    </row>
    <row r="372">
      <c r="A372">
        <f>Sheet1!K372</f>
        <v/>
      </c>
      <c r="B372">
        <f>IF(ISNA(Sheet1!I372),NA(),Sheet1!$O$5-(Sheet1!I372/Sheet1!$O$6))</f>
        <v/>
      </c>
    </row>
    <row r="373">
      <c r="A373">
        <f>Sheet1!K373</f>
        <v/>
      </c>
      <c r="B373">
        <f>IF(ISNA(Sheet1!I373),NA(),Sheet1!$O$5-(Sheet1!I373/Sheet1!$O$6))</f>
        <v/>
      </c>
    </row>
    <row r="374">
      <c r="A374">
        <f>Sheet1!K374</f>
        <v/>
      </c>
      <c r="B374">
        <f>IF(ISNA(Sheet1!I374),NA(),Sheet1!$O$5-(Sheet1!I374/Sheet1!$O$6))</f>
        <v/>
      </c>
    </row>
    <row r="375">
      <c r="A375">
        <f>Sheet1!K375</f>
        <v/>
      </c>
      <c r="B375">
        <f>IF(ISNA(Sheet1!I375),NA(),Sheet1!$O$5-(Sheet1!I375/Sheet1!$O$6))</f>
        <v/>
      </c>
    </row>
    <row r="376">
      <c r="A376">
        <f>Sheet1!K376</f>
        <v/>
      </c>
      <c r="B376">
        <f>IF(ISNA(Sheet1!I376),NA(),Sheet1!$O$5-(Sheet1!I376/Sheet1!$O$6))</f>
        <v/>
      </c>
    </row>
    <row r="377">
      <c r="A377">
        <f>Sheet1!K377</f>
        <v/>
      </c>
      <c r="B377">
        <f>IF(ISNA(Sheet1!I377),NA(),Sheet1!$O$5-(Sheet1!I377/Sheet1!$O$6))</f>
        <v/>
      </c>
    </row>
    <row r="378">
      <c r="A378">
        <f>Sheet1!K378</f>
        <v/>
      </c>
      <c r="B378">
        <f>IF(ISNA(Sheet1!I378),NA(),Sheet1!$O$5-(Sheet1!I378/Sheet1!$O$6))</f>
        <v/>
      </c>
    </row>
    <row r="379">
      <c r="A379">
        <f>Sheet1!K379</f>
        <v/>
      </c>
      <c r="B379">
        <f>IF(ISNA(Sheet1!I379),NA(),Sheet1!$O$5-(Sheet1!I379/Sheet1!$O$6))</f>
        <v/>
      </c>
    </row>
    <row r="380">
      <c r="A380">
        <f>Sheet1!K380</f>
        <v/>
      </c>
      <c r="B380">
        <f>IF(ISNA(Sheet1!I380),NA(),Sheet1!$O$5-(Sheet1!I380/Sheet1!$O$6))</f>
        <v/>
      </c>
    </row>
    <row r="381">
      <c r="A381">
        <f>Sheet1!K381</f>
        <v/>
      </c>
      <c r="B381">
        <f>IF(ISNA(Sheet1!I381),NA(),Sheet1!$O$5-(Sheet1!I381/Sheet1!$O$6))</f>
        <v/>
      </c>
    </row>
    <row r="382">
      <c r="A382">
        <f>Sheet1!K382</f>
        <v/>
      </c>
      <c r="B382">
        <f>IF(ISNA(Sheet1!I382),NA(),Sheet1!$O$5-(Sheet1!I382/Sheet1!$O$6))</f>
        <v/>
      </c>
    </row>
    <row r="383">
      <c r="A383">
        <f>Sheet1!K383</f>
        <v/>
      </c>
      <c r="B383">
        <f>IF(ISNA(Sheet1!I383),NA(),Sheet1!$O$5-(Sheet1!I383/Sheet1!$O$6))</f>
        <v/>
      </c>
    </row>
    <row r="384">
      <c r="A384">
        <f>Sheet1!K384</f>
        <v/>
      </c>
      <c r="B384">
        <f>IF(ISNA(Sheet1!I384),NA(),Sheet1!$O$5-(Sheet1!I384/Sheet1!$O$6))</f>
        <v/>
      </c>
    </row>
    <row r="385">
      <c r="A385">
        <f>Sheet1!K385</f>
        <v/>
      </c>
      <c r="B385">
        <f>IF(ISNA(Sheet1!I385),NA(),Sheet1!$O$5-(Sheet1!I385/Sheet1!$O$6))</f>
        <v/>
      </c>
    </row>
    <row r="386">
      <c r="A386">
        <f>Sheet1!K386</f>
        <v/>
      </c>
      <c r="B386">
        <f>IF(ISNA(Sheet1!I386),NA(),Sheet1!$O$5-(Sheet1!I386/Sheet1!$O$6))</f>
        <v/>
      </c>
    </row>
    <row r="387">
      <c r="A387">
        <f>Sheet1!K387</f>
        <v/>
      </c>
      <c r="B387">
        <f>IF(ISNA(Sheet1!I387),NA(),Sheet1!$O$5-(Sheet1!I387/Sheet1!$O$6))</f>
        <v/>
      </c>
    </row>
    <row r="388">
      <c r="A388">
        <f>Sheet1!K388</f>
        <v/>
      </c>
      <c r="B388">
        <f>IF(ISNA(Sheet1!I388),NA(),Sheet1!$O$5-(Sheet1!I388/Sheet1!$O$6))</f>
        <v/>
      </c>
    </row>
    <row r="389">
      <c r="A389">
        <f>Sheet1!K389</f>
        <v/>
      </c>
      <c r="B389">
        <f>IF(ISNA(Sheet1!I389),NA(),Sheet1!$O$5-(Sheet1!I389/Sheet1!$O$6))</f>
        <v/>
      </c>
    </row>
    <row r="390">
      <c r="A390">
        <f>Sheet1!K390</f>
        <v/>
      </c>
      <c r="B390">
        <f>IF(ISNA(Sheet1!I390),NA(),Sheet1!$O$5-(Sheet1!I390/Sheet1!$O$6))</f>
        <v/>
      </c>
    </row>
    <row r="391">
      <c r="A391">
        <f>Sheet1!K391</f>
        <v/>
      </c>
      <c r="B391">
        <f>IF(ISNA(Sheet1!I391),NA(),Sheet1!$O$5-(Sheet1!I391/Sheet1!$O$6))</f>
        <v/>
      </c>
    </row>
    <row r="392">
      <c r="A392">
        <f>Sheet1!K392</f>
        <v/>
      </c>
      <c r="B392">
        <f>IF(ISNA(Sheet1!I392),NA(),Sheet1!$O$5-(Sheet1!I392/Sheet1!$O$6))</f>
        <v/>
      </c>
    </row>
    <row r="393">
      <c r="A393">
        <f>Sheet1!K393</f>
        <v/>
      </c>
      <c r="B393">
        <f>IF(ISNA(Sheet1!I393),NA(),Sheet1!$O$5-(Sheet1!I393/Sheet1!$O$6))</f>
        <v/>
      </c>
    </row>
    <row r="394">
      <c r="A394">
        <f>Sheet1!K394</f>
        <v/>
      </c>
      <c r="B394">
        <f>IF(ISNA(Sheet1!I394),NA(),Sheet1!$O$5-(Sheet1!I394/Sheet1!$O$6))</f>
        <v/>
      </c>
    </row>
    <row r="395">
      <c r="A395">
        <f>Sheet1!K395</f>
        <v/>
      </c>
      <c r="B395">
        <f>IF(ISNA(Sheet1!I395),NA(),Sheet1!$O$5-(Sheet1!I395/Sheet1!$O$6))</f>
        <v/>
      </c>
    </row>
    <row r="396">
      <c r="A396">
        <f>Sheet1!K396</f>
        <v/>
      </c>
      <c r="B396">
        <f>IF(ISNA(Sheet1!I396),NA(),Sheet1!$O$5-(Sheet1!I396/Sheet1!$O$6))</f>
        <v/>
      </c>
    </row>
    <row r="397">
      <c r="A397">
        <f>Sheet1!K397</f>
        <v/>
      </c>
      <c r="B397">
        <f>IF(ISNA(Sheet1!I397),NA(),Sheet1!$O$5-(Sheet1!I397/Sheet1!$O$6))</f>
        <v/>
      </c>
    </row>
    <row r="398">
      <c r="A398">
        <f>Sheet1!K398</f>
        <v/>
      </c>
      <c r="B398">
        <f>IF(ISNA(Sheet1!I398),NA(),Sheet1!$O$5-(Sheet1!I398/Sheet1!$O$6))</f>
        <v/>
      </c>
    </row>
    <row r="399">
      <c r="A399">
        <f>Sheet1!K399</f>
        <v/>
      </c>
      <c r="B399">
        <f>IF(ISNA(Sheet1!I399),NA(),Sheet1!$O$5-(Sheet1!I399/Sheet1!$O$6))</f>
        <v/>
      </c>
    </row>
    <row r="400">
      <c r="A400">
        <f>Sheet1!K400</f>
        <v/>
      </c>
      <c r="B400">
        <f>IF(ISNA(Sheet1!I400),NA(),Sheet1!$O$5-(Sheet1!I400/Sheet1!$O$6))</f>
        <v/>
      </c>
    </row>
    <row r="401">
      <c r="A401">
        <f>Sheet1!K401</f>
        <v/>
      </c>
      <c r="B401">
        <f>IF(ISNA(Sheet1!I401),NA(),Sheet1!$O$5-(Sheet1!I401/Sheet1!$O$6))</f>
        <v/>
      </c>
    </row>
    <row r="402">
      <c r="A402">
        <f>Sheet1!K402</f>
        <v/>
      </c>
      <c r="B402">
        <f>IF(ISNA(Sheet1!I402),NA(),Sheet1!$O$5-(Sheet1!I402/Sheet1!$O$6))</f>
        <v/>
      </c>
    </row>
    <row r="403">
      <c r="A403">
        <f>Sheet1!K403</f>
        <v/>
      </c>
      <c r="B403">
        <f>IF(ISNA(Sheet1!I403),NA(),Sheet1!$O$5-(Sheet1!I403/Sheet1!$O$6))</f>
        <v/>
      </c>
    </row>
    <row r="404">
      <c r="A404">
        <f>Sheet1!K404</f>
        <v/>
      </c>
      <c r="B404">
        <f>IF(ISNA(Sheet1!I404),NA(),Sheet1!$O$5-(Sheet1!I404/Sheet1!$O$6))</f>
        <v/>
      </c>
    </row>
    <row r="405">
      <c r="A405">
        <f>Sheet1!K405</f>
        <v/>
      </c>
      <c r="B405">
        <f>IF(ISNA(Sheet1!I405),NA(),Sheet1!$O$5-(Sheet1!I405/Sheet1!$O$6))</f>
        <v/>
      </c>
    </row>
    <row r="406">
      <c r="A406">
        <f>Sheet1!K406</f>
        <v/>
      </c>
      <c r="B406">
        <f>IF(ISNA(Sheet1!I406),NA(),Sheet1!$O$5-(Sheet1!I406/Sheet1!$O$6))</f>
        <v/>
      </c>
    </row>
    <row r="407">
      <c r="A407">
        <f>Sheet1!K407</f>
        <v/>
      </c>
      <c r="B407">
        <f>IF(ISNA(Sheet1!I407),NA(),Sheet1!$O$5-(Sheet1!I407/Sheet1!$O$6))</f>
        <v/>
      </c>
    </row>
    <row r="408">
      <c r="A408">
        <f>Sheet1!K408</f>
        <v/>
      </c>
      <c r="B408">
        <f>IF(ISNA(Sheet1!I408),NA(),Sheet1!$O$5-(Sheet1!I408/Sheet1!$O$6))</f>
        <v/>
      </c>
    </row>
    <row r="409">
      <c r="A409">
        <f>Sheet1!K409</f>
        <v/>
      </c>
      <c r="B409">
        <f>IF(ISNA(Sheet1!I409),NA(),Sheet1!$O$5-(Sheet1!I409/Sheet1!$O$6))</f>
        <v/>
      </c>
    </row>
    <row r="410">
      <c r="A410">
        <f>Sheet1!K410</f>
        <v/>
      </c>
      <c r="B410">
        <f>IF(ISNA(Sheet1!I410),NA(),Sheet1!$O$5-(Sheet1!I410/Sheet1!$O$6))</f>
        <v/>
      </c>
    </row>
    <row r="411">
      <c r="A411">
        <f>Sheet1!K411</f>
        <v/>
      </c>
      <c r="B411">
        <f>IF(ISNA(Sheet1!I411),NA(),Sheet1!$O$5-(Sheet1!I411/Sheet1!$O$6))</f>
        <v/>
      </c>
    </row>
    <row r="412">
      <c r="A412">
        <f>Sheet1!K412</f>
        <v/>
      </c>
      <c r="B412">
        <f>IF(ISNA(Sheet1!I412),NA(),Sheet1!$O$5-(Sheet1!I412/Sheet1!$O$6))</f>
        <v/>
      </c>
    </row>
    <row r="413">
      <c r="A413">
        <f>Sheet1!K413</f>
        <v/>
      </c>
      <c r="B413">
        <f>IF(ISNA(Sheet1!I413),NA(),Sheet1!$O$5-(Sheet1!I413/Sheet1!$O$6))</f>
        <v/>
      </c>
    </row>
    <row r="414">
      <c r="A414">
        <f>Sheet1!K414</f>
        <v/>
      </c>
      <c r="B414">
        <f>IF(ISNA(Sheet1!I414),NA(),Sheet1!$O$5-(Sheet1!I414/Sheet1!$O$6))</f>
        <v/>
      </c>
    </row>
    <row r="415">
      <c r="A415">
        <f>Sheet1!K415</f>
        <v/>
      </c>
      <c r="B415">
        <f>IF(ISNA(Sheet1!I415),NA(),Sheet1!$O$5-(Sheet1!I415/Sheet1!$O$6))</f>
        <v/>
      </c>
    </row>
    <row r="416">
      <c r="A416">
        <f>Sheet1!K416</f>
        <v/>
      </c>
      <c r="B416">
        <f>IF(ISNA(Sheet1!I416),NA(),Sheet1!$O$5-(Sheet1!I416/Sheet1!$O$6))</f>
        <v/>
      </c>
    </row>
    <row r="417">
      <c r="A417">
        <f>Sheet1!K417</f>
        <v/>
      </c>
      <c r="B417">
        <f>IF(ISNA(Sheet1!I417),NA(),Sheet1!$O$5-(Sheet1!I417/Sheet1!$O$6))</f>
        <v/>
      </c>
    </row>
    <row r="418">
      <c r="A418">
        <f>Sheet1!K418</f>
        <v/>
      </c>
      <c r="B418">
        <f>IF(ISNA(Sheet1!I418),NA(),Sheet1!$O$5-(Sheet1!I418/Sheet1!$O$6))</f>
        <v/>
      </c>
    </row>
    <row r="419">
      <c r="A419">
        <f>Sheet1!K419</f>
        <v/>
      </c>
      <c r="B419">
        <f>IF(ISNA(Sheet1!I419),NA(),Sheet1!$O$5-(Sheet1!I419/Sheet1!$O$6))</f>
        <v/>
      </c>
    </row>
    <row r="420">
      <c r="A420">
        <f>Sheet1!K420</f>
        <v/>
      </c>
      <c r="B420">
        <f>IF(ISNA(Sheet1!I420),NA(),Sheet1!$O$5-(Sheet1!I420/Sheet1!$O$6))</f>
        <v/>
      </c>
    </row>
    <row r="421">
      <c r="A421">
        <f>Sheet1!K421</f>
        <v/>
      </c>
      <c r="B421">
        <f>IF(ISNA(Sheet1!I421),NA(),Sheet1!$O$5-(Sheet1!I421/Sheet1!$O$6))</f>
        <v/>
      </c>
    </row>
    <row r="422">
      <c r="A422">
        <f>Sheet1!K422</f>
        <v/>
      </c>
      <c r="B422">
        <f>IF(ISNA(Sheet1!I422),NA(),Sheet1!$O$5-(Sheet1!I422/Sheet1!$O$6))</f>
        <v/>
      </c>
    </row>
    <row r="423">
      <c r="A423">
        <f>Sheet1!K423</f>
        <v/>
      </c>
      <c r="B423">
        <f>IF(ISNA(Sheet1!I423),NA(),Sheet1!$O$5-(Sheet1!I423/Sheet1!$O$6))</f>
        <v/>
      </c>
    </row>
    <row r="424">
      <c r="A424">
        <f>Sheet1!K424</f>
        <v/>
      </c>
      <c r="B424">
        <f>IF(ISNA(Sheet1!I424),NA(),Sheet1!$O$5-(Sheet1!I424/Sheet1!$O$6))</f>
        <v/>
      </c>
    </row>
    <row r="425">
      <c r="A425">
        <f>Sheet1!K425</f>
        <v/>
      </c>
      <c r="B425">
        <f>IF(ISNA(Sheet1!I425),NA(),Sheet1!$O$5-(Sheet1!I425/Sheet1!$O$6))</f>
        <v/>
      </c>
    </row>
    <row r="426">
      <c r="A426">
        <f>Sheet1!K426</f>
        <v/>
      </c>
      <c r="B426">
        <f>IF(ISNA(Sheet1!I426),NA(),Sheet1!$O$5-(Sheet1!I426/Sheet1!$O$6))</f>
        <v/>
      </c>
    </row>
    <row r="427">
      <c r="A427">
        <f>Sheet1!K427</f>
        <v/>
      </c>
      <c r="B427">
        <f>IF(ISNA(Sheet1!I427),NA(),Sheet1!$O$5-(Sheet1!I427/Sheet1!$O$6))</f>
        <v/>
      </c>
    </row>
    <row r="428">
      <c r="A428">
        <f>Sheet1!K428</f>
        <v/>
      </c>
      <c r="B428">
        <f>IF(ISNA(Sheet1!I428),NA(),Sheet1!$O$5-(Sheet1!I428/Sheet1!$O$6))</f>
        <v/>
      </c>
    </row>
    <row r="429">
      <c r="A429">
        <f>Sheet1!K429</f>
        <v/>
      </c>
      <c r="B429">
        <f>IF(ISNA(Sheet1!I429),NA(),Sheet1!$O$5-(Sheet1!I429/Sheet1!$O$6))</f>
        <v/>
      </c>
    </row>
    <row r="430">
      <c r="A430">
        <f>Sheet1!K430</f>
        <v/>
      </c>
      <c r="B430">
        <f>IF(ISNA(Sheet1!I430),NA(),Sheet1!$O$5-(Sheet1!I430/Sheet1!$O$6))</f>
        <v/>
      </c>
    </row>
    <row r="431">
      <c r="A431">
        <f>Sheet1!K431</f>
        <v/>
      </c>
      <c r="B431">
        <f>IF(ISNA(Sheet1!I431),NA(),Sheet1!$O$5-(Sheet1!I431/Sheet1!$O$6))</f>
        <v/>
      </c>
    </row>
    <row r="432">
      <c r="A432">
        <f>Sheet1!K432</f>
        <v/>
      </c>
      <c r="B432">
        <f>IF(ISNA(Sheet1!I432),NA(),Sheet1!$O$5-(Sheet1!I432/Sheet1!$O$6))</f>
        <v/>
      </c>
    </row>
    <row r="433">
      <c r="A433">
        <f>Sheet1!K433</f>
        <v/>
      </c>
      <c r="B433">
        <f>IF(ISNA(Sheet1!I433),NA(),Sheet1!$O$5-(Sheet1!I433/Sheet1!$O$6))</f>
        <v/>
      </c>
    </row>
    <row r="434">
      <c r="A434">
        <f>Sheet1!K434</f>
        <v/>
      </c>
      <c r="B434">
        <f>IF(ISNA(Sheet1!I434),NA(),Sheet1!$O$5-(Sheet1!I434/Sheet1!$O$6))</f>
        <v/>
      </c>
    </row>
    <row r="435">
      <c r="A435">
        <f>Sheet1!K435</f>
        <v/>
      </c>
      <c r="B435">
        <f>IF(ISNA(Sheet1!I435),NA(),Sheet1!$O$5-(Sheet1!I435/Sheet1!$O$6))</f>
        <v/>
      </c>
    </row>
    <row r="436">
      <c r="A436">
        <f>Sheet1!K436</f>
        <v/>
      </c>
      <c r="B436">
        <f>IF(ISNA(Sheet1!I436),NA(),Sheet1!$O$5-(Sheet1!I436/Sheet1!$O$6))</f>
        <v/>
      </c>
    </row>
    <row r="437">
      <c r="A437">
        <f>Sheet1!K437</f>
        <v/>
      </c>
      <c r="B437">
        <f>IF(ISNA(Sheet1!I437),NA(),Sheet1!$O$5-(Sheet1!I437/Sheet1!$O$6))</f>
        <v/>
      </c>
    </row>
    <row r="438">
      <c r="A438">
        <f>Sheet1!K438</f>
        <v/>
      </c>
      <c r="B438">
        <f>IF(ISNA(Sheet1!I438),NA(),Sheet1!$O$5-(Sheet1!I438/Sheet1!$O$6))</f>
        <v/>
      </c>
    </row>
    <row r="439">
      <c r="A439">
        <f>Sheet1!K439</f>
        <v/>
      </c>
      <c r="B439">
        <f>IF(ISNA(Sheet1!I439),NA(),Sheet1!$O$5-(Sheet1!I439/Sheet1!$O$6))</f>
        <v/>
      </c>
    </row>
    <row r="440">
      <c r="A440">
        <f>Sheet1!K440</f>
        <v/>
      </c>
      <c r="B440">
        <f>IF(ISNA(Sheet1!I440),NA(),Sheet1!$O$5-(Sheet1!I440/Sheet1!$O$6))</f>
        <v/>
      </c>
    </row>
    <row r="441">
      <c r="A441">
        <f>Sheet1!K441</f>
        <v/>
      </c>
      <c r="B441">
        <f>IF(ISNA(Sheet1!I441),NA(),Sheet1!$O$5-(Sheet1!I441/Sheet1!$O$6))</f>
        <v/>
      </c>
    </row>
    <row r="442">
      <c r="A442">
        <f>Sheet1!K442</f>
        <v/>
      </c>
      <c r="B442">
        <f>IF(ISNA(Sheet1!I442),NA(),Sheet1!$O$5-(Sheet1!I442/Sheet1!$O$6))</f>
        <v/>
      </c>
    </row>
    <row r="443">
      <c r="A443">
        <f>Sheet1!K443</f>
        <v/>
      </c>
      <c r="B443">
        <f>IF(ISNA(Sheet1!I443),NA(),Sheet1!$O$5-(Sheet1!I443/Sheet1!$O$6))</f>
        <v/>
      </c>
    </row>
    <row r="444">
      <c r="A444">
        <f>Sheet1!K444</f>
        <v/>
      </c>
      <c r="B444">
        <f>IF(ISNA(Sheet1!I444),NA(),Sheet1!$O$5-(Sheet1!I444/Sheet1!$O$6))</f>
        <v/>
      </c>
    </row>
    <row r="445">
      <c r="A445">
        <f>Sheet1!K445</f>
        <v/>
      </c>
      <c r="B445">
        <f>IF(ISNA(Sheet1!I445),NA(),Sheet1!$O$5-(Sheet1!I445/Sheet1!$O$6))</f>
        <v/>
      </c>
    </row>
    <row r="446">
      <c r="A446">
        <f>Sheet1!K446</f>
        <v/>
      </c>
      <c r="B446">
        <f>IF(ISNA(Sheet1!I446),NA(),Sheet1!$O$5-(Sheet1!I446/Sheet1!$O$6))</f>
        <v/>
      </c>
    </row>
    <row r="447">
      <c r="A447">
        <f>Sheet1!K447</f>
        <v/>
      </c>
      <c r="B447">
        <f>IF(ISNA(Sheet1!I447),NA(),Sheet1!$O$5-(Sheet1!I447/Sheet1!$O$6))</f>
        <v/>
      </c>
    </row>
    <row r="448">
      <c r="A448">
        <f>Sheet1!K448</f>
        <v/>
      </c>
      <c r="B448">
        <f>IF(ISNA(Sheet1!I448),NA(),Sheet1!$O$5-(Sheet1!I448/Sheet1!$O$6))</f>
        <v/>
      </c>
    </row>
    <row r="449">
      <c r="A449">
        <f>Sheet1!K449</f>
        <v/>
      </c>
      <c r="B449">
        <f>IF(ISNA(Sheet1!I449),NA(),Sheet1!$O$5-(Sheet1!I449/Sheet1!$O$6))</f>
        <v/>
      </c>
    </row>
    <row r="450">
      <c r="A450">
        <f>Sheet1!K450</f>
        <v/>
      </c>
      <c r="B450">
        <f>IF(ISNA(Sheet1!I450),NA(),Sheet1!$O$5-(Sheet1!I450/Sheet1!$O$6))</f>
        <v/>
      </c>
    </row>
    <row r="451">
      <c r="A451">
        <f>Sheet1!K451</f>
        <v/>
      </c>
      <c r="B451">
        <f>IF(ISNA(Sheet1!I451),NA(),Sheet1!$O$5-(Sheet1!I451/Sheet1!$O$6))</f>
        <v/>
      </c>
    </row>
    <row r="452">
      <c r="A452">
        <f>Sheet1!K452</f>
        <v/>
      </c>
      <c r="B452">
        <f>IF(ISNA(Sheet1!I452),NA(),Sheet1!$O$5-(Sheet1!I452/Sheet1!$O$6))</f>
        <v/>
      </c>
    </row>
    <row r="453">
      <c r="A453">
        <f>Sheet1!K453</f>
        <v/>
      </c>
      <c r="B453">
        <f>IF(ISNA(Sheet1!I453),NA(),Sheet1!$O$5-(Sheet1!I453/Sheet1!$O$6))</f>
        <v/>
      </c>
    </row>
    <row r="454">
      <c r="A454">
        <f>Sheet1!K454</f>
        <v/>
      </c>
      <c r="B454">
        <f>IF(ISNA(Sheet1!I454),NA(),Sheet1!$O$5-(Sheet1!I454/Sheet1!$O$6))</f>
        <v/>
      </c>
    </row>
    <row r="455">
      <c r="A455">
        <f>Sheet1!K455</f>
        <v/>
      </c>
      <c r="B455">
        <f>IF(ISNA(Sheet1!I455),NA(),Sheet1!$O$5-(Sheet1!I455/Sheet1!$O$6))</f>
        <v/>
      </c>
    </row>
    <row r="456">
      <c r="A456">
        <f>Sheet1!K456</f>
        <v/>
      </c>
      <c r="B456">
        <f>IF(ISNA(Sheet1!I456),NA(),Sheet1!$O$5-(Sheet1!I456/Sheet1!$O$6))</f>
        <v/>
      </c>
    </row>
    <row r="457">
      <c r="A457">
        <f>Sheet1!K457</f>
        <v/>
      </c>
      <c r="B457">
        <f>IF(ISNA(Sheet1!I457),NA(),Sheet1!$O$5-(Sheet1!I457/Sheet1!$O$6))</f>
        <v/>
      </c>
    </row>
    <row r="458">
      <c r="A458">
        <f>Sheet1!K458</f>
        <v/>
      </c>
      <c r="B458">
        <f>IF(ISNA(Sheet1!I458),NA(),Sheet1!$O$5-(Sheet1!I458/Sheet1!$O$6))</f>
        <v/>
      </c>
    </row>
    <row r="459">
      <c r="A459">
        <f>Sheet1!K459</f>
        <v/>
      </c>
      <c r="B459">
        <f>IF(ISNA(Sheet1!I459),NA(),Sheet1!$O$5-(Sheet1!I459/Sheet1!$O$6))</f>
        <v/>
      </c>
    </row>
    <row r="460">
      <c r="A460">
        <f>Sheet1!K460</f>
        <v/>
      </c>
      <c r="B460">
        <f>IF(ISNA(Sheet1!I460),NA(),Sheet1!$O$5-(Sheet1!I460/Sheet1!$O$6))</f>
        <v/>
      </c>
    </row>
    <row r="461">
      <c r="A461">
        <f>Sheet1!K461</f>
        <v/>
      </c>
      <c r="B461">
        <f>IF(ISNA(Sheet1!I461),NA(),Sheet1!$O$5-(Sheet1!I461/Sheet1!$O$6))</f>
        <v/>
      </c>
    </row>
    <row r="462">
      <c r="A462">
        <f>Sheet1!K462</f>
        <v/>
      </c>
      <c r="B462">
        <f>IF(ISNA(Sheet1!I462),NA(),Sheet1!$O$5-(Sheet1!I462/Sheet1!$O$6))</f>
        <v/>
      </c>
    </row>
    <row r="463">
      <c r="A463">
        <f>Sheet1!K463</f>
        <v/>
      </c>
      <c r="B463">
        <f>IF(ISNA(Sheet1!I463),NA(),Sheet1!$O$5-(Sheet1!I463/Sheet1!$O$6))</f>
        <v/>
      </c>
    </row>
    <row r="464">
      <c r="A464">
        <f>Sheet1!K464</f>
        <v/>
      </c>
      <c r="B464">
        <f>IF(ISNA(Sheet1!I464),NA(),Sheet1!$O$5-(Sheet1!I464/Sheet1!$O$6))</f>
        <v/>
      </c>
    </row>
    <row r="465">
      <c r="A465">
        <f>Sheet1!K465</f>
        <v/>
      </c>
      <c r="B465">
        <f>IF(ISNA(Sheet1!I465),NA(),Sheet1!$O$5-(Sheet1!I465/Sheet1!$O$6))</f>
        <v/>
      </c>
    </row>
    <row r="466">
      <c r="A466">
        <f>Sheet1!K466</f>
        <v/>
      </c>
      <c r="B466">
        <f>IF(ISNA(Sheet1!I466),NA(),Sheet1!$O$5-(Sheet1!I466/Sheet1!$O$6))</f>
        <v/>
      </c>
    </row>
    <row r="467">
      <c r="A467">
        <f>Sheet1!K467</f>
        <v/>
      </c>
      <c r="B467">
        <f>IF(ISNA(Sheet1!I467),NA(),Sheet1!$O$5-(Sheet1!I467/Sheet1!$O$6))</f>
        <v/>
      </c>
    </row>
    <row r="468">
      <c r="A468">
        <f>Sheet1!K468</f>
        <v/>
      </c>
      <c r="B468">
        <f>IF(ISNA(Sheet1!I468),NA(),Sheet1!$O$5-(Sheet1!I468/Sheet1!$O$6))</f>
        <v/>
      </c>
    </row>
    <row r="469">
      <c r="A469">
        <f>Sheet1!K469</f>
        <v/>
      </c>
      <c r="B469">
        <f>IF(ISNA(Sheet1!I469),NA(),Sheet1!$O$5-(Sheet1!I469/Sheet1!$O$6))</f>
        <v/>
      </c>
    </row>
    <row r="470">
      <c r="A470">
        <f>Sheet1!K470</f>
        <v/>
      </c>
      <c r="B470">
        <f>IF(ISNA(Sheet1!I470),NA(),Sheet1!$O$5-(Sheet1!I470/Sheet1!$O$6))</f>
        <v/>
      </c>
    </row>
    <row r="471">
      <c r="A471">
        <f>Sheet1!K471</f>
        <v/>
      </c>
      <c r="B471">
        <f>IF(ISNA(Sheet1!I471),NA(),Sheet1!$O$5-(Sheet1!I471/Sheet1!$O$6))</f>
        <v/>
      </c>
    </row>
    <row r="472">
      <c r="A472">
        <f>Sheet1!K472</f>
        <v/>
      </c>
      <c r="B472">
        <f>IF(ISNA(Sheet1!I472),NA(),Sheet1!$O$5-(Sheet1!I472/Sheet1!$O$6))</f>
        <v/>
      </c>
    </row>
    <row r="473">
      <c r="A473">
        <f>Sheet1!K473</f>
        <v/>
      </c>
      <c r="B473">
        <f>IF(ISNA(Sheet1!I473),NA(),Sheet1!$O$5-(Sheet1!I473/Sheet1!$O$6))</f>
        <v/>
      </c>
    </row>
    <row r="474">
      <c r="A474">
        <f>Sheet1!K474</f>
        <v/>
      </c>
      <c r="B474">
        <f>IF(ISNA(Sheet1!I474),NA(),Sheet1!$O$5-(Sheet1!I474/Sheet1!$O$6))</f>
        <v/>
      </c>
    </row>
    <row r="475">
      <c r="A475">
        <f>Sheet1!K475</f>
        <v/>
      </c>
      <c r="B475">
        <f>IF(ISNA(Sheet1!I475),NA(),Sheet1!$O$5-(Sheet1!I475/Sheet1!$O$6))</f>
        <v/>
      </c>
    </row>
    <row r="476">
      <c r="A476">
        <f>Sheet1!K476</f>
        <v/>
      </c>
      <c r="B476">
        <f>IF(ISNA(Sheet1!I476),NA(),Sheet1!$O$5-(Sheet1!I476/Sheet1!$O$6))</f>
        <v/>
      </c>
    </row>
    <row r="477">
      <c r="A477">
        <f>Sheet1!K477</f>
        <v/>
      </c>
      <c r="B477">
        <f>IF(ISNA(Sheet1!I477),NA(),Sheet1!$O$5-(Sheet1!I477/Sheet1!$O$6))</f>
        <v/>
      </c>
    </row>
    <row r="478">
      <c r="A478">
        <f>Sheet1!K478</f>
        <v/>
      </c>
      <c r="B478">
        <f>IF(ISNA(Sheet1!I478),NA(),Sheet1!$O$5-(Sheet1!I478/Sheet1!$O$6))</f>
        <v/>
      </c>
    </row>
    <row r="479">
      <c r="A479">
        <f>Sheet1!K479</f>
        <v/>
      </c>
      <c r="B479">
        <f>IF(ISNA(Sheet1!I479),NA(),Sheet1!$O$5-(Sheet1!I479/Sheet1!$O$6))</f>
        <v/>
      </c>
    </row>
    <row r="480">
      <c r="A480">
        <f>Sheet1!K480</f>
        <v/>
      </c>
      <c r="B480">
        <f>IF(ISNA(Sheet1!I480),NA(),Sheet1!$O$5-(Sheet1!I480/Sheet1!$O$6))</f>
        <v/>
      </c>
    </row>
    <row r="481">
      <c r="A481">
        <f>Sheet1!K481</f>
        <v/>
      </c>
      <c r="B481">
        <f>IF(ISNA(Sheet1!I481),NA(),Sheet1!$O$5-(Sheet1!I481/Sheet1!$O$6))</f>
        <v/>
      </c>
    </row>
    <row r="482">
      <c r="A482">
        <f>Sheet1!K482</f>
        <v/>
      </c>
      <c r="B482">
        <f>IF(ISNA(Sheet1!I482),NA(),Sheet1!$O$5-(Sheet1!I482/Sheet1!$O$6))</f>
        <v/>
      </c>
    </row>
    <row r="483">
      <c r="A483">
        <f>Sheet1!K483</f>
        <v/>
      </c>
      <c r="B483">
        <f>IF(ISNA(Sheet1!I483),NA(),Sheet1!$O$5-(Sheet1!I483/Sheet1!$O$6))</f>
        <v/>
      </c>
    </row>
    <row r="484">
      <c r="A484">
        <f>Sheet1!K484</f>
        <v/>
      </c>
      <c r="B484">
        <f>IF(ISNA(Sheet1!I484),NA(),Sheet1!$O$5-(Sheet1!I484/Sheet1!$O$6))</f>
        <v/>
      </c>
    </row>
    <row r="485">
      <c r="A485">
        <f>Sheet1!K485</f>
        <v/>
      </c>
      <c r="B485">
        <f>IF(ISNA(Sheet1!I485),NA(),Sheet1!$O$5-(Sheet1!I485/Sheet1!$O$6))</f>
        <v/>
      </c>
    </row>
    <row r="486">
      <c r="A486">
        <f>Sheet1!K486</f>
        <v/>
      </c>
      <c r="B486">
        <f>IF(ISNA(Sheet1!I486),NA(),Sheet1!$O$5-(Sheet1!I486/Sheet1!$O$6))</f>
        <v/>
      </c>
    </row>
    <row r="487">
      <c r="A487">
        <f>Sheet1!K487</f>
        <v/>
      </c>
      <c r="B487">
        <f>IF(ISNA(Sheet1!I487),NA(),Sheet1!$O$5-(Sheet1!I487/Sheet1!$O$6))</f>
        <v/>
      </c>
    </row>
    <row r="488">
      <c r="A488">
        <f>Sheet1!K488</f>
        <v/>
      </c>
      <c r="B488">
        <f>IF(ISNA(Sheet1!I488),NA(),Sheet1!$O$5-(Sheet1!I488/Sheet1!$O$6))</f>
        <v/>
      </c>
    </row>
    <row r="489">
      <c r="A489">
        <f>Sheet1!K489</f>
        <v/>
      </c>
      <c r="B489">
        <f>IF(ISNA(Sheet1!I489),NA(),Sheet1!$O$5-(Sheet1!I489/Sheet1!$O$6))</f>
        <v/>
      </c>
    </row>
    <row r="490">
      <c r="A490">
        <f>Sheet1!K490</f>
        <v/>
      </c>
      <c r="B490">
        <f>IF(ISNA(Sheet1!I490),NA(),Sheet1!$O$5-(Sheet1!I490/Sheet1!$O$6))</f>
        <v/>
      </c>
    </row>
    <row r="491">
      <c r="A491">
        <f>Sheet1!K491</f>
        <v/>
      </c>
      <c r="B491">
        <f>IF(ISNA(Sheet1!I491),NA(),Sheet1!$O$5-(Sheet1!I491/Sheet1!$O$6))</f>
        <v/>
      </c>
    </row>
    <row r="492">
      <c r="A492">
        <f>Sheet1!K492</f>
        <v/>
      </c>
      <c r="B492">
        <f>IF(ISNA(Sheet1!I492),NA(),Sheet1!$O$5-(Sheet1!I492/Sheet1!$O$6))</f>
        <v/>
      </c>
    </row>
    <row r="493">
      <c r="A493">
        <f>Sheet1!K493</f>
        <v/>
      </c>
      <c r="B493">
        <f>IF(ISNA(Sheet1!I493),NA(),Sheet1!$O$5-(Sheet1!I493/Sheet1!$O$6))</f>
        <v/>
      </c>
    </row>
    <row r="494">
      <c r="A494">
        <f>Sheet1!K494</f>
        <v/>
      </c>
      <c r="B494">
        <f>IF(ISNA(Sheet1!I494),NA(),Sheet1!$O$5-(Sheet1!I494/Sheet1!$O$6))</f>
        <v/>
      </c>
    </row>
    <row r="495">
      <c r="A495">
        <f>Sheet1!K495</f>
        <v/>
      </c>
      <c r="B495">
        <f>IF(ISNA(Sheet1!I495),NA(),Sheet1!$O$5-(Sheet1!I495/Sheet1!$O$6))</f>
        <v/>
      </c>
    </row>
    <row r="496">
      <c r="A496">
        <f>Sheet1!K496</f>
        <v/>
      </c>
      <c r="B496">
        <f>IF(ISNA(Sheet1!I496),NA(),Sheet1!$O$5-(Sheet1!I496/Sheet1!$O$6))</f>
        <v/>
      </c>
    </row>
    <row r="497">
      <c r="A497">
        <f>Sheet1!K497</f>
        <v/>
      </c>
      <c r="B497">
        <f>IF(ISNA(Sheet1!I497),NA(),Sheet1!$O$5-(Sheet1!I497/Sheet1!$O$6))</f>
        <v/>
      </c>
    </row>
    <row r="498">
      <c r="A498">
        <f>Sheet1!K498</f>
        <v/>
      </c>
      <c r="B498">
        <f>IF(ISNA(Sheet1!I498),NA(),Sheet1!$O$5-(Sheet1!I498/Sheet1!$O$6))</f>
        <v/>
      </c>
    </row>
    <row r="499">
      <c r="A499">
        <f>Sheet1!K499</f>
        <v/>
      </c>
      <c r="B499">
        <f>IF(ISNA(Sheet1!I499),NA(),Sheet1!$O$5-(Sheet1!I499/Sheet1!$O$6))</f>
        <v/>
      </c>
    </row>
    <row r="500">
      <c r="A500">
        <f>Sheet1!K500</f>
        <v/>
      </c>
      <c r="B500">
        <f>IF(ISNA(Sheet1!I500),NA(),Sheet1!$O$5-(Sheet1!I500/Sheet1!$O$6))</f>
        <v/>
      </c>
    </row>
    <row r="501">
      <c r="A501">
        <f>Sheet1!K501</f>
        <v/>
      </c>
      <c r="B501">
        <f>IF(ISNA(Sheet1!I501),NA(),Sheet1!$O$5-(Sheet1!I501/Sheet1!$O$6))</f>
        <v/>
      </c>
    </row>
    <row r="502">
      <c r="A502">
        <f>Sheet1!K502</f>
        <v/>
      </c>
      <c r="B502">
        <f>IF(ISNA(Sheet1!I502),NA(),Sheet1!$O$5-(Sheet1!I502/Sheet1!$O$6))</f>
        <v/>
      </c>
    </row>
    <row r="503">
      <c r="A503">
        <f>Sheet1!K503</f>
        <v/>
      </c>
      <c r="B503">
        <f>IF(ISNA(Sheet1!I503),NA(),Sheet1!$O$5-(Sheet1!I503/Sheet1!$O$6))</f>
        <v/>
      </c>
    </row>
    <row r="504">
      <c r="A504">
        <f>Sheet1!K504</f>
        <v/>
      </c>
      <c r="B504">
        <f>IF(ISNA(Sheet1!I504),NA(),Sheet1!$O$5-(Sheet1!I504/Sheet1!$O$6))</f>
        <v/>
      </c>
    </row>
    <row r="505">
      <c r="A505">
        <f>Sheet1!K505</f>
        <v/>
      </c>
      <c r="B505">
        <f>IF(ISNA(Sheet1!I505),NA(),Sheet1!$O$5-(Sheet1!I505/Sheet1!$O$6))</f>
        <v/>
      </c>
    </row>
    <row r="506">
      <c r="A506">
        <f>Sheet1!K506</f>
        <v/>
      </c>
      <c r="B506">
        <f>IF(ISNA(Sheet1!I506),NA(),Sheet1!$O$5-(Sheet1!I506/Sheet1!$O$6))</f>
        <v/>
      </c>
    </row>
    <row r="507">
      <c r="A507">
        <f>Sheet1!K507</f>
        <v/>
      </c>
      <c r="B507">
        <f>IF(ISNA(Sheet1!I507),NA(),Sheet1!$O$5-(Sheet1!I507/Sheet1!$O$6))</f>
        <v/>
      </c>
    </row>
    <row r="508">
      <c r="A508">
        <f>Sheet1!K508</f>
        <v/>
      </c>
      <c r="B508">
        <f>IF(ISNA(Sheet1!I508),NA(),Sheet1!$O$5-(Sheet1!I508/Sheet1!$O$6))</f>
        <v/>
      </c>
    </row>
    <row r="509">
      <c r="A509">
        <f>Sheet1!K509</f>
        <v/>
      </c>
      <c r="B509">
        <f>IF(ISNA(Sheet1!I509),NA(),Sheet1!$O$5-(Sheet1!I509/Sheet1!$O$6))</f>
        <v/>
      </c>
    </row>
    <row r="510">
      <c r="A510">
        <f>Sheet1!K510</f>
        <v/>
      </c>
      <c r="B510">
        <f>IF(ISNA(Sheet1!I510),NA(),Sheet1!$O$5-(Sheet1!I510/Sheet1!$O$6))</f>
        <v/>
      </c>
    </row>
    <row r="511">
      <c r="A511">
        <f>Sheet1!K511</f>
        <v/>
      </c>
      <c r="B511">
        <f>IF(ISNA(Sheet1!I511),NA(),Sheet1!$O$5-(Sheet1!I511/Sheet1!$O$6))</f>
        <v/>
      </c>
    </row>
    <row r="512">
      <c r="A512">
        <f>Sheet1!K512</f>
        <v/>
      </c>
      <c r="B512">
        <f>IF(ISNA(Sheet1!I512),NA(),Sheet1!$O$5-(Sheet1!I512/Sheet1!$O$6))</f>
        <v/>
      </c>
    </row>
    <row r="513">
      <c r="A513">
        <f>Sheet1!K513</f>
        <v/>
      </c>
      <c r="B513">
        <f>IF(ISNA(Sheet1!I513),NA(),Sheet1!$O$5-(Sheet1!I513/Sheet1!$O$6))</f>
        <v/>
      </c>
    </row>
    <row r="514">
      <c r="A514">
        <f>Sheet1!K514</f>
        <v/>
      </c>
      <c r="B514">
        <f>IF(ISNA(Sheet1!I514),NA(),Sheet1!$O$5-(Sheet1!I514/Sheet1!$O$6))</f>
        <v/>
      </c>
    </row>
    <row r="515">
      <c r="A515">
        <f>Sheet1!K515</f>
        <v/>
      </c>
      <c r="B515">
        <f>IF(ISNA(Sheet1!I515),NA(),Sheet1!$O$5-(Sheet1!I515/Sheet1!$O$6))</f>
        <v/>
      </c>
    </row>
    <row r="516">
      <c r="A516">
        <f>Sheet1!K516</f>
        <v/>
      </c>
      <c r="B516">
        <f>IF(ISNA(Sheet1!I516),NA(),Sheet1!$O$5-(Sheet1!I516/Sheet1!$O$6))</f>
        <v/>
      </c>
    </row>
    <row r="517">
      <c r="A517">
        <f>Sheet1!K517</f>
        <v/>
      </c>
      <c r="B517">
        <f>IF(ISNA(Sheet1!I517),NA(),Sheet1!$O$5-(Sheet1!I517/Sheet1!$O$6))</f>
        <v/>
      </c>
    </row>
    <row r="518">
      <c r="A518">
        <f>Sheet1!K518</f>
        <v/>
      </c>
      <c r="B518">
        <f>IF(ISNA(Sheet1!I518),NA(),Sheet1!$O$5-(Sheet1!I518/Sheet1!$O$6))</f>
        <v/>
      </c>
    </row>
    <row r="519">
      <c r="A519">
        <f>Sheet1!K519</f>
        <v/>
      </c>
      <c r="B519">
        <f>IF(ISNA(Sheet1!I519),NA(),Sheet1!$O$5-(Sheet1!I519/Sheet1!$O$6))</f>
        <v/>
      </c>
    </row>
    <row r="520">
      <c r="A520">
        <f>Sheet1!K520</f>
        <v/>
      </c>
      <c r="B520">
        <f>IF(ISNA(Sheet1!I520),NA(),Sheet1!$O$5-(Sheet1!I520/Sheet1!$O$6))</f>
        <v/>
      </c>
    </row>
    <row r="521">
      <c r="A521">
        <f>Sheet1!K521</f>
        <v/>
      </c>
      <c r="B521">
        <f>IF(ISNA(Sheet1!I521),NA(),Sheet1!$O$5-(Sheet1!I521/Sheet1!$O$6))</f>
        <v/>
      </c>
    </row>
    <row r="522">
      <c r="A522">
        <f>Sheet1!K522</f>
        <v/>
      </c>
      <c r="B522">
        <f>IF(ISNA(Sheet1!I522),NA(),Sheet1!$O$5-(Sheet1!I522/Sheet1!$O$6))</f>
        <v/>
      </c>
    </row>
    <row r="523">
      <c r="A523">
        <f>Sheet1!K523</f>
        <v/>
      </c>
      <c r="B523">
        <f>IF(ISNA(Sheet1!I523),NA(),Sheet1!$O$5-(Sheet1!I523/Sheet1!$O$6))</f>
        <v/>
      </c>
    </row>
    <row r="524">
      <c r="A524">
        <f>Sheet1!K524</f>
        <v/>
      </c>
      <c r="B524">
        <f>IF(ISNA(Sheet1!I524),NA(),Sheet1!$O$5-(Sheet1!I524/Sheet1!$O$6))</f>
        <v/>
      </c>
    </row>
    <row r="525">
      <c r="A525">
        <f>Sheet1!K525</f>
        <v/>
      </c>
      <c r="B525">
        <f>IF(ISNA(Sheet1!I525),NA(),Sheet1!$O$5-(Sheet1!I525/Sheet1!$O$6))</f>
        <v/>
      </c>
    </row>
    <row r="526">
      <c r="A526">
        <f>Sheet1!K526</f>
        <v/>
      </c>
      <c r="B526">
        <f>IF(ISNA(Sheet1!I526),NA(),Sheet1!$O$5-(Sheet1!I526/Sheet1!$O$6))</f>
        <v/>
      </c>
    </row>
    <row r="527">
      <c r="A527">
        <f>Sheet1!K527</f>
        <v/>
      </c>
      <c r="B527">
        <f>IF(ISNA(Sheet1!I527),NA(),Sheet1!$O$5-(Sheet1!I527/Sheet1!$O$6))</f>
        <v/>
      </c>
    </row>
    <row r="528">
      <c r="A528">
        <f>Sheet1!K528</f>
        <v/>
      </c>
      <c r="B528">
        <f>IF(ISNA(Sheet1!I528),NA(),Sheet1!$O$5-(Sheet1!I528/Sheet1!$O$6))</f>
        <v/>
      </c>
    </row>
    <row r="529">
      <c r="A529">
        <f>Sheet1!K529</f>
        <v/>
      </c>
      <c r="B529">
        <f>IF(ISNA(Sheet1!I529),NA(),Sheet1!$O$5-(Sheet1!I529/Sheet1!$O$6))</f>
        <v/>
      </c>
    </row>
    <row r="530">
      <c r="A530">
        <f>Sheet1!K530</f>
        <v/>
      </c>
      <c r="B530">
        <f>IF(ISNA(Sheet1!I530),NA(),Sheet1!$O$5-(Sheet1!I530/Sheet1!$O$6))</f>
        <v/>
      </c>
    </row>
    <row r="531">
      <c r="A531">
        <f>Sheet1!K531</f>
        <v/>
      </c>
      <c r="B531">
        <f>IF(ISNA(Sheet1!I531),NA(),Sheet1!$O$5-(Sheet1!I531/Sheet1!$O$6))</f>
        <v/>
      </c>
    </row>
    <row r="532">
      <c r="A532">
        <f>Sheet1!K532</f>
        <v/>
      </c>
      <c r="B532">
        <f>IF(ISNA(Sheet1!I532),NA(),Sheet1!$O$5-(Sheet1!I532/Sheet1!$O$6))</f>
        <v/>
      </c>
    </row>
    <row r="533">
      <c r="A533">
        <f>Sheet1!K533</f>
        <v/>
      </c>
      <c r="B533">
        <f>IF(ISNA(Sheet1!I533),NA(),Sheet1!$O$5-(Sheet1!I533/Sheet1!$O$6))</f>
        <v/>
      </c>
    </row>
    <row r="534">
      <c r="A534">
        <f>Sheet1!K534</f>
        <v/>
      </c>
      <c r="B534">
        <f>IF(ISNA(Sheet1!I534),NA(),Sheet1!$O$5-(Sheet1!I534/Sheet1!$O$6))</f>
        <v/>
      </c>
    </row>
    <row r="535">
      <c r="A535">
        <f>Sheet1!K535</f>
        <v/>
      </c>
      <c r="B535">
        <f>IF(ISNA(Sheet1!I535),NA(),Sheet1!$O$5-(Sheet1!I535/Sheet1!$O$6))</f>
        <v/>
      </c>
    </row>
    <row r="536">
      <c r="A536">
        <f>Sheet1!K536</f>
        <v/>
      </c>
      <c r="B536">
        <f>IF(ISNA(Sheet1!I536),NA(),Sheet1!$O$5-(Sheet1!I536/Sheet1!$O$6))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2026-08-06T16:14:00Z</dcterms:created>
  <dcterms:modified xsi:type="dcterms:W3CDTF">2026-08-10T08:00:43Z</dcterms:modified>
</cp:coreProperties>
</file>