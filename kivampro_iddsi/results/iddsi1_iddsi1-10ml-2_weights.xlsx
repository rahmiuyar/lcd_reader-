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iddsi1_iddsi1-10ml-2_weights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'Sheet1'!$B$2:$B$302</f>
            </numRef>
          </xVal>
          <yVal>
            <numRef>
              <f>'Sheet1'!$D$2:$D$302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iddsi1_iddsi1-10ml-2_weights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'Sheet1'!$I$2:$I$302</f>
            </numRef>
          </xVal>
          <yVal>
            <numRef>
              <f>'Sheet1'!$G$2:$G$302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iddsi1_iddsi1-10ml-2_weights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'Hacim'!$A$2:$A$302</f>
            </numRef>
          </xVal>
          <yVal>
            <numRef>
              <f>'Hacim'!$B$2:$B$302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N5" t="inlineStr">
        <is>
          <t>Siringa hacmi (mL)</t>
        </is>
      </c>
      <c r="O5" t="n">
        <v>10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N8" t="inlineStr">
        <is>
          <t>Baslangic zamani (s)</t>
        </is>
      </c>
      <c r="O8">
        <f>IFERROR(INDEX(B2:B302,MATCH(1,H2:H302,0)),0)</f>
        <v/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008</t>
        </is>
      </c>
      <c r="D15" t="n">
        <v>0.08</v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015</t>
        </is>
      </c>
      <c r="D16" t="n">
        <v>0.15</v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035</t>
        </is>
      </c>
      <c r="D17" t="n">
        <v>0.35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035</t>
        </is>
      </c>
      <c r="D18" t="n">
        <v>0.35</v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088</t>
        </is>
      </c>
      <c r="D19" t="n">
        <v>0.88</v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086</t>
        </is>
      </c>
      <c r="D20" t="n">
        <v>0.86</v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098</t>
        </is>
      </c>
      <c r="D21" t="n">
        <v>0.98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096</t>
        </is>
      </c>
      <c r="D22" t="n">
        <v>0.96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36</t>
        </is>
      </c>
      <c r="D23" t="n">
        <v>0.36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92</t>
        </is>
      </c>
      <c r="D24" t="n">
        <v>0.92</v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98</t>
        </is>
      </c>
      <c r="D25" t="n">
        <v>0.98</v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88</t>
        </is>
      </c>
      <c r="D26" t="n">
        <v>0.88</v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86</t>
        </is>
      </c>
      <c r="D27" t="n">
        <v>0.86</v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88</t>
        </is>
      </c>
      <c r="D28" t="n">
        <v>0.88</v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88</t>
        </is>
      </c>
      <c r="D29" t="n">
        <v>0.88</v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C30" t="inlineStr">
        <is>
          <t>96</t>
        </is>
      </c>
      <c r="D30" t="n">
        <v>0.96</v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08</t>
        </is>
      </c>
      <c r="D31" t="n">
        <v>0.08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89</t>
        </is>
      </c>
      <c r="D32" t="n">
        <v>0.89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05</t>
        </is>
      </c>
      <c r="D33" t="n">
        <v>0.05</v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89</t>
        </is>
      </c>
      <c r="D34" t="n">
        <v>0.89</v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26</t>
        </is>
      </c>
      <c r="D35" t="n">
        <v>0.26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90</t>
        </is>
      </c>
      <c r="D36" t="n">
        <v>0.9</v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66</t>
        </is>
      </c>
      <c r="D37" t="n">
        <v>0.66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8?1</t>
        </is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86</t>
        </is>
      </c>
      <c r="D39" t="n">
        <v>0.86</v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408</t>
        </is>
      </c>
      <c r="D40" t="n">
        <v>4.08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408</t>
        </is>
      </c>
      <c r="D41" t="n">
        <v>4.08</v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436</t>
        </is>
      </c>
      <c r="D42" t="n">
        <v>4.36</v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438</t>
        </is>
      </c>
      <c r="D43" t="n">
        <v>4.38</v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482</t>
        </is>
      </c>
      <c r="D44" t="n">
        <v>4.82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463</t>
        </is>
      </c>
      <c r="D45" t="n">
        <v>4.63</v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48?</t>
        </is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488</t>
        </is>
      </c>
      <c r="D47" t="n">
        <v>4.88</v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577</t>
        </is>
      </c>
      <c r="D48" t="n">
        <v>5.77</v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512</t>
        </is>
      </c>
      <c r="D49" t="n">
        <v>5.12</v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535</t>
        </is>
      </c>
      <c r="D50" t="n">
        <v>5.35</v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535</t>
        </is>
      </c>
      <c r="D51" t="n">
        <v>5.35</v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555</t>
        </is>
      </c>
      <c r="D52" t="n">
        <v>5.55</v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556</t>
        </is>
      </c>
      <c r="D53" t="n">
        <v>5.56</v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577</t>
        </is>
      </c>
      <c r="D54" t="n">
        <v>5.77</v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578</t>
        </is>
      </c>
      <c r="D55" t="n">
        <v>5.78</v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598</t>
        </is>
      </c>
      <c r="D56" t="n">
        <v>5.98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599</t>
        </is>
      </c>
      <c r="D57" t="n">
        <v>5.99</v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619</t>
        </is>
      </c>
      <c r="D58" t="n">
        <v>6.19</v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620</t>
        </is>
      </c>
      <c r="D59" t="n">
        <v>6.2</v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636</t>
        </is>
      </c>
      <c r="D60" t="n">
        <v>6.36</v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639</t>
        </is>
      </c>
      <c r="D61" t="n">
        <v>6.39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657</t>
        </is>
      </c>
      <c r="D62" t="n">
        <v>6.57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658</t>
        </is>
      </c>
      <c r="D63" t="n">
        <v>6.58</v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675</t>
        </is>
      </c>
      <c r="D64" t="n">
        <v>6.75</v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676</t>
        </is>
      </c>
      <c r="D65" t="n">
        <v>6.76</v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692</t>
        </is>
      </c>
      <c r="D66" t="n">
        <v>6.92</v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693</t>
        </is>
      </c>
      <c r="D67" t="n">
        <v>6.93</v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08</t>
        </is>
      </c>
      <c r="D68" t="n">
        <v>0.08</v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09</t>
        </is>
      </c>
      <c r="D69" t="n">
        <v>0.09</v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24</t>
        </is>
      </c>
      <c r="D70" t="n">
        <v>0.24</v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25</t>
        </is>
      </c>
      <c r="D71" t="n">
        <v>0.25</v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39</t>
        </is>
      </c>
      <c r="D72" t="n">
        <v>0.39</v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0</t>
        </is>
      </c>
      <c r="D73" t="n">
        <v>0</v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55</t>
        </is>
      </c>
      <c r="D74" t="n">
        <v>0.55</v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55</t>
        </is>
      </c>
      <c r="D75" t="n">
        <v>0.55</v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56</t>
        </is>
      </c>
      <c r="D76" t="n">
        <v>0.5600000000000001</v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75</t>
        </is>
      </c>
      <c r="D77" t="n">
        <v>0.75</v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76</t>
        </is>
      </c>
      <c r="D78" t="n">
        <v>0.76</v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77</t>
        </is>
      </c>
      <c r="D79" t="n">
        <v>0.77</v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96</t>
        </is>
      </c>
      <c r="D80" t="n">
        <v>0.96</v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96</t>
        </is>
      </c>
      <c r="D81" t="n">
        <v>0.96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98</t>
        </is>
      </c>
      <c r="D82" t="n">
        <v>0.98</v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8</t>
        </is>
      </c>
      <c r="D83" t="n">
        <v>0.08</v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85</t>
        </is>
      </c>
      <c r="D84" t="n">
        <v>0.85</v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86</t>
        </is>
      </c>
      <c r="D85" t="n">
        <v>0.86</v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632</t>
        </is>
      </c>
      <c r="D86" t="n">
        <v>6.32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833</t>
        </is>
      </c>
      <c r="D87" t="n">
        <v>8.33</v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83</t>
        </is>
      </c>
      <c r="D88" t="n">
        <v>0.83</v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66</t>
        </is>
      </c>
      <c r="D89" t="n">
        <v>0.66</v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69</t>
        </is>
      </c>
      <c r="D90" t="n">
        <v>0.6899999999999999</v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C91" t="inlineStr">
        <is>
          <t>650</t>
        </is>
      </c>
      <c r="D91" t="n">
        <v>6.5</v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65</t>
        </is>
      </c>
      <c r="D92" t="n">
        <v>0.65</v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C93" t="inlineStr">
        <is>
          <t>868</t>
        </is>
      </c>
      <c r="D93" t="n">
        <v>8.68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669</t>
        </is>
      </c>
      <c r="D94" t="n">
        <v>6.69</v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669</t>
        </is>
      </c>
      <c r="D95" t="n">
        <v>6.69</v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67</t>
        </is>
      </c>
      <c r="D96" t="n">
        <v>0.67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685</t>
        </is>
      </c>
      <c r="D97" t="n">
        <v>6.85</v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685</t>
        </is>
      </c>
      <c r="D98" t="n">
        <v>6.85</v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686</t>
        </is>
      </c>
      <c r="D99" t="n">
        <v>6.86</v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68</t>
        </is>
      </c>
      <c r="D100" t="n">
        <v>0.68</v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685</t>
        </is>
      </c>
      <c r="D101" t="n">
        <v>6.85</v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60</t>
        </is>
      </c>
      <c r="D102" t="n">
        <v>0.6</v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50</t>
        </is>
      </c>
      <c r="D103" t="n">
        <v>0.5</v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505</t>
        </is>
      </c>
      <c r="D104" t="n">
        <v>5.05</v>
      </c>
      <c r="E104">
        <f>IFERROR(MEDIAN(D84:D124),D104)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506</t>
        </is>
      </c>
      <c r="D105" t="n">
        <v>5.06</v>
      </c>
      <c r="E105">
        <f>IFERROR(MEDIAN(D85:D125),D105)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508</t>
        </is>
      </c>
      <c r="D106" t="n">
        <v>5.08</v>
      </c>
      <c r="E106">
        <f>IFERROR(MEDIAN(D86:D126),D106)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522</t>
        </is>
      </c>
      <c r="D107" t="n">
        <v>5.22</v>
      </c>
      <c r="E107">
        <f>IFERROR(MEDIAN(D87:D127),D107)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522</t>
        </is>
      </c>
      <c r="D108" t="n">
        <v>5.22</v>
      </c>
      <c r="E108">
        <f>IFERROR(MEDIAN(D88:D128),D108)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923</t>
        </is>
      </c>
      <c r="D109" t="n">
        <v>9.23</v>
      </c>
      <c r="E109">
        <f>IFERROR(MEDIAN(D89:D129),D109)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52</t>
        </is>
      </c>
      <c r="D110" t="n">
        <v>0.52</v>
      </c>
      <c r="E110">
        <f>IFERROR(MEDIAN(D90:D130),D110)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C111" t="inlineStr">
        <is>
          <t>525</t>
        </is>
      </c>
      <c r="D111" t="n">
        <v>5.25</v>
      </c>
      <c r="E111">
        <f>IFERROR(MEDIAN(D91:D131),D111)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C112" t="inlineStr">
        <is>
          <t>927</t>
        </is>
      </c>
      <c r="D112" t="n">
        <v>9.27</v>
      </c>
      <c r="E112">
        <f>IFERROR(MEDIAN(D92:D132),D112)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926</t>
        </is>
      </c>
      <c r="D113" t="n">
        <v>9.26</v>
      </c>
      <c r="E113">
        <f>IFERROR(MEDIAN(D93:D133),D113)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93</t>
        </is>
      </c>
      <c r="D114" t="n">
        <v>0.93</v>
      </c>
      <c r="E114">
        <f>IFERROR(MEDIAN(D94:D134),D114)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95</t>
        </is>
      </c>
      <c r="D115" t="n">
        <v>0.95</v>
      </c>
      <c r="E115">
        <f>IFERROR(MEDIAN(D95:D135),D115)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95</t>
        </is>
      </c>
      <c r="D116" t="n">
        <v>0.95</v>
      </c>
      <c r="E116">
        <f>IFERROR(MEDIAN(D96:D136),D116)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C117" t="inlineStr">
        <is>
          <t>95</t>
        </is>
      </c>
      <c r="D117" t="n">
        <v>0.95</v>
      </c>
      <c r="E117">
        <f>IFERROR(MEDIAN(D97:D137),D117)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C118" t="inlineStr">
        <is>
          <t>96</t>
        </is>
      </c>
      <c r="D118" t="n">
        <v>0.96</v>
      </c>
      <c r="E118">
        <f>IFERROR(MEDIAN(D98:D138),D118)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C119" t="inlineStr">
        <is>
          <t>97</t>
        </is>
      </c>
      <c r="D119" t="n">
        <v>0.97</v>
      </c>
      <c r="E119">
        <f>IFERROR(MEDIAN(D99:D139),D119)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C120" t="inlineStr">
        <is>
          <t>56</t>
        </is>
      </c>
      <c r="D120" t="n">
        <v>0.5600000000000001</v>
      </c>
      <c r="E120">
        <f>IFERROR(MEDIAN(D100:D140),D120)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C121" t="inlineStr">
        <is>
          <t>95</t>
        </is>
      </c>
      <c r="D121" t="n">
        <v>0.95</v>
      </c>
      <c r="E121">
        <f>IFERROR(MEDIAN(D101:D141),D121)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C122" t="inlineStr">
        <is>
          <t>55</t>
        </is>
      </c>
      <c r="D122" t="n">
        <v>0.55</v>
      </c>
      <c r="E122">
        <f>IFERROR(MEDIAN(D102:D142),D122)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C123" t="inlineStr">
        <is>
          <t>552</t>
        </is>
      </c>
      <c r="D123" t="n">
        <v>5.52</v>
      </c>
      <c r="E123">
        <f>IFERROR(MEDIAN(D103:D143),D123)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  <row r="124">
      <c r="A124" t="n">
        <v>366</v>
      </c>
      <c r="B124" t="n">
        <v>12.2</v>
      </c>
      <c r="C124" t="inlineStr">
        <is>
          <t>55</t>
        </is>
      </c>
      <c r="D124" t="n">
        <v>0.55</v>
      </c>
      <c r="E124">
        <f>IFERROR(MEDIAN(D104:D144),D124)</f>
        <v/>
      </c>
      <c r="F124">
        <f>IF(OR(NOT(ISNUMBER(D124)),ABS(D124-E124)&gt;$O$3),1,0)</f>
        <v/>
      </c>
      <c r="G124">
        <f>IF(F124=1,NA(),D124)</f>
        <v/>
      </c>
      <c r="H124">
        <f>IF(AND(ISNUMBER(D124),D124&gt;=$O$4),1,0)</f>
        <v/>
      </c>
      <c r="I124">
        <f>B124-$O$8</f>
        <v/>
      </c>
    </row>
    <row r="125">
      <c r="A125" t="n">
        <v>369</v>
      </c>
      <c r="B125" t="n">
        <v>12.3</v>
      </c>
      <c r="C125" t="inlineStr">
        <is>
          <t>557</t>
        </is>
      </c>
      <c r="D125" t="n">
        <v>5.57</v>
      </c>
      <c r="E125">
        <f>IFERROR(MEDIAN(D105:D145),D125)</f>
        <v/>
      </c>
      <c r="F125">
        <f>IF(OR(NOT(ISNUMBER(D125)),ABS(D125-E125)&gt;$O$3),1,0)</f>
        <v/>
      </c>
      <c r="G125">
        <f>IF(F125=1,NA(),D125)</f>
        <v/>
      </c>
      <c r="H125">
        <f>IF(AND(ISNUMBER(D125),D125&gt;=$O$4),1,0)</f>
        <v/>
      </c>
      <c r="I125">
        <f>B125-$O$8</f>
        <v/>
      </c>
    </row>
    <row r="126">
      <c r="A126" t="n">
        <v>372</v>
      </c>
      <c r="B126" t="n">
        <v>12.4</v>
      </c>
      <c r="C126" t="inlineStr">
        <is>
          <t>558</t>
        </is>
      </c>
      <c r="D126" t="n">
        <v>5.58</v>
      </c>
      <c r="E126">
        <f>IFERROR(MEDIAN(D106:D146),D126)</f>
        <v/>
      </c>
      <c r="F126">
        <f>IF(OR(NOT(ISNUMBER(D126)),ABS(D126-E126)&gt;$O$3),1,0)</f>
        <v/>
      </c>
      <c r="G126">
        <f>IF(F126=1,NA(),D126)</f>
        <v/>
      </c>
      <c r="H126">
        <f>IF(AND(ISNUMBER(D126),D126&gt;=$O$4),1,0)</f>
        <v/>
      </c>
      <c r="I126">
        <f>B126-$O$8</f>
        <v/>
      </c>
    </row>
    <row r="127">
      <c r="A127" t="n">
        <v>375</v>
      </c>
      <c r="B127" t="n">
        <v>12.5</v>
      </c>
      <c r="C127" t="inlineStr">
        <is>
          <t>560</t>
        </is>
      </c>
      <c r="D127" t="n">
        <v>5.6</v>
      </c>
      <c r="E127">
        <f>IFERROR(MEDIAN(D107:D147),D127)</f>
        <v/>
      </c>
      <c r="F127">
        <f>IF(OR(NOT(ISNUMBER(D127)),ABS(D127-E127)&gt;$O$3),1,0)</f>
        <v/>
      </c>
      <c r="G127">
        <f>IF(F127=1,NA(),D127)</f>
        <v/>
      </c>
      <c r="H127">
        <f>IF(AND(ISNUMBER(D127),D127&gt;=$O$4),1,0)</f>
        <v/>
      </c>
      <c r="I127">
        <f>B127-$O$8</f>
        <v/>
      </c>
    </row>
    <row r="128">
      <c r="A128" t="n">
        <v>378</v>
      </c>
      <c r="B128" t="n">
        <v>12.6</v>
      </c>
      <c r="C128" t="inlineStr">
        <is>
          <t>563</t>
        </is>
      </c>
      <c r="D128" t="n">
        <v>5.63</v>
      </c>
      <c r="E128">
        <f>IFERROR(MEDIAN(D108:D148),D128)</f>
        <v/>
      </c>
      <c r="F128">
        <f>IF(OR(NOT(ISNUMBER(D128)),ABS(D128-E128)&gt;$O$3),1,0)</f>
        <v/>
      </c>
      <c r="G128">
        <f>IF(F128=1,NA(),D128)</f>
        <v/>
      </c>
      <c r="H128">
        <f>IF(AND(ISNUMBER(D128),D128&gt;=$O$4),1,0)</f>
        <v/>
      </c>
      <c r="I128">
        <f>B128-$O$8</f>
        <v/>
      </c>
    </row>
    <row r="129">
      <c r="A129" t="n">
        <v>381</v>
      </c>
      <c r="B129" t="n">
        <v>12.7</v>
      </c>
      <c r="C129" t="inlineStr">
        <is>
          <t>56</t>
        </is>
      </c>
      <c r="D129" t="n">
        <v>0.5600000000000001</v>
      </c>
      <c r="E129">
        <f>IFERROR(MEDIAN(D109:D149),D129)</f>
        <v/>
      </c>
      <c r="F129">
        <f>IF(OR(NOT(ISNUMBER(D129)),ABS(D129-E129)&gt;$O$3),1,0)</f>
        <v/>
      </c>
      <c r="G129">
        <f>IF(F129=1,NA(),D129)</f>
        <v/>
      </c>
      <c r="H129">
        <f>IF(AND(ISNUMBER(D129),D129&gt;=$O$4),1,0)</f>
        <v/>
      </c>
      <c r="I129">
        <f>B129-$O$8</f>
        <v/>
      </c>
    </row>
    <row r="130">
      <c r="A130" t="n">
        <v>384</v>
      </c>
      <c r="B130" t="n">
        <v>12.8</v>
      </c>
      <c r="C130" t="inlineStr">
        <is>
          <t>566</t>
        </is>
      </c>
      <c r="D130" t="n">
        <v>5.66</v>
      </c>
      <c r="E130">
        <f>IFERROR(MEDIAN(D110:D150),D130)</f>
        <v/>
      </c>
      <c r="F130">
        <f>IF(OR(NOT(ISNUMBER(D130)),ABS(D130-E130)&gt;$O$3),1,0)</f>
        <v/>
      </c>
      <c r="G130">
        <f>IF(F130=1,NA(),D130)</f>
        <v/>
      </c>
      <c r="H130">
        <f>IF(AND(ISNUMBER(D130),D130&gt;=$O$4),1,0)</f>
        <v/>
      </c>
      <c r="I130">
        <f>B130-$O$8</f>
        <v/>
      </c>
    </row>
    <row r="131">
      <c r="A131" t="n">
        <v>387</v>
      </c>
      <c r="B131" t="n">
        <v>12.9</v>
      </c>
      <c r="C131" t="inlineStr">
        <is>
          <t>567</t>
        </is>
      </c>
      <c r="D131" t="n">
        <v>5.67</v>
      </c>
      <c r="E131">
        <f>IFERROR(MEDIAN(D111:D151),D131)</f>
        <v/>
      </c>
      <c r="F131">
        <f>IF(OR(NOT(ISNUMBER(D131)),ABS(D131-E131)&gt;$O$3),1,0)</f>
        <v/>
      </c>
      <c r="G131">
        <f>IF(F131=1,NA(),D131)</f>
        <v/>
      </c>
      <c r="H131">
        <f>IF(AND(ISNUMBER(D131),D131&gt;=$O$4),1,0)</f>
        <v/>
      </c>
      <c r="I131">
        <f>B131-$O$8</f>
        <v/>
      </c>
    </row>
    <row r="132">
      <c r="A132" t="n">
        <v>390</v>
      </c>
      <c r="B132" t="n">
        <v>13</v>
      </c>
      <c r="C132" t="inlineStr">
        <is>
          <t>569</t>
        </is>
      </c>
      <c r="D132" t="n">
        <v>5.69</v>
      </c>
      <c r="E132">
        <f>IFERROR(MEDIAN(D112:D152),D132)</f>
        <v/>
      </c>
      <c r="F132">
        <f>IF(OR(NOT(ISNUMBER(D132)),ABS(D132-E132)&gt;$O$3),1,0)</f>
        <v/>
      </c>
      <c r="G132">
        <f>IF(F132=1,NA(),D132)</f>
        <v/>
      </c>
      <c r="H132">
        <f>IF(AND(ISNUMBER(D132),D132&gt;=$O$4),1,0)</f>
        <v/>
      </c>
      <c r="I132">
        <f>B132-$O$8</f>
        <v/>
      </c>
    </row>
    <row r="133">
      <c r="A133" t="n">
        <v>393</v>
      </c>
      <c r="B133" t="n">
        <v>13.1</v>
      </c>
      <c r="C133" t="inlineStr">
        <is>
          <t>970</t>
        </is>
      </c>
      <c r="D133" t="n">
        <v>9.699999999999999</v>
      </c>
      <c r="E133">
        <f>IFERROR(MEDIAN(D113:D153),D133)</f>
        <v/>
      </c>
      <c r="F133">
        <f>IF(OR(NOT(ISNUMBER(D133)),ABS(D133-E133)&gt;$O$3),1,0)</f>
        <v/>
      </c>
      <c r="G133">
        <f>IF(F133=1,NA(),D133)</f>
        <v/>
      </c>
      <c r="H133">
        <f>IF(AND(ISNUMBER(D133),D133&gt;=$O$4),1,0)</f>
        <v/>
      </c>
      <c r="I133">
        <f>B133-$O$8</f>
        <v/>
      </c>
    </row>
    <row r="134">
      <c r="A134" t="n">
        <v>396</v>
      </c>
      <c r="B134" t="n">
        <v>13.2</v>
      </c>
      <c r="C134" t="inlineStr">
        <is>
          <t>972</t>
        </is>
      </c>
      <c r="D134" t="n">
        <v>9.720000000000001</v>
      </c>
      <c r="E134">
        <f>IFERROR(MEDIAN(D114:D154),D134)</f>
        <v/>
      </c>
      <c r="F134">
        <f>IF(OR(NOT(ISNUMBER(D134)),ABS(D134-E134)&gt;$O$3),1,0)</f>
        <v/>
      </c>
      <c r="G134">
        <f>IF(F134=1,NA(),D134)</f>
        <v/>
      </c>
      <c r="H134">
        <f>IF(AND(ISNUMBER(D134),D134&gt;=$O$4),1,0)</f>
        <v/>
      </c>
      <c r="I134">
        <f>B134-$O$8</f>
        <v/>
      </c>
    </row>
    <row r="135">
      <c r="A135" t="n">
        <v>399</v>
      </c>
      <c r="B135" t="n">
        <v>13.3</v>
      </c>
      <c r="C135" t="inlineStr">
        <is>
          <t>973</t>
        </is>
      </c>
      <c r="D135" t="n">
        <v>9.73</v>
      </c>
      <c r="E135">
        <f>IFERROR(MEDIAN(D115:D155),D135)</f>
        <v/>
      </c>
      <c r="F135">
        <f>IF(OR(NOT(ISNUMBER(D135)),ABS(D135-E135)&gt;$O$3),1,0)</f>
        <v/>
      </c>
      <c r="G135">
        <f>IF(F135=1,NA(),D135)</f>
        <v/>
      </c>
      <c r="H135">
        <f>IF(AND(ISNUMBER(D135),D135&gt;=$O$4),1,0)</f>
        <v/>
      </c>
      <c r="I135">
        <f>B135-$O$8</f>
        <v/>
      </c>
    </row>
    <row r="136">
      <c r="A136" t="n">
        <v>402</v>
      </c>
      <c r="B136" t="n">
        <v>13.4</v>
      </c>
      <c r="C136" t="inlineStr">
        <is>
          <t>97</t>
        </is>
      </c>
      <c r="D136" t="n">
        <v>0.97</v>
      </c>
      <c r="E136">
        <f>IFERROR(MEDIAN(D116:D156),D136)</f>
        <v/>
      </c>
      <c r="F136">
        <f>IF(OR(NOT(ISNUMBER(D136)),ABS(D136-E136)&gt;$O$3),1,0)</f>
        <v/>
      </c>
      <c r="G136">
        <f>IF(F136=1,NA(),D136)</f>
        <v/>
      </c>
      <c r="H136">
        <f>IF(AND(ISNUMBER(D136),D136&gt;=$O$4),1,0)</f>
        <v/>
      </c>
      <c r="I136">
        <f>B136-$O$8</f>
        <v/>
      </c>
    </row>
    <row r="137">
      <c r="A137" t="n">
        <v>405</v>
      </c>
      <c r="B137" t="n">
        <v>13.5</v>
      </c>
      <c r="C137" t="inlineStr">
        <is>
          <t>975</t>
        </is>
      </c>
      <c r="D137" t="n">
        <v>9.75</v>
      </c>
      <c r="E137">
        <f>IFERROR(MEDIAN(D117:D157),D137)</f>
        <v/>
      </c>
      <c r="F137">
        <f>IF(OR(NOT(ISNUMBER(D137)),ABS(D137-E137)&gt;$O$3),1,0)</f>
        <v/>
      </c>
      <c r="G137">
        <f>IF(F137=1,NA(),D137)</f>
        <v/>
      </c>
      <c r="H137">
        <f>IF(AND(ISNUMBER(D137),D137&gt;=$O$4),1,0)</f>
        <v/>
      </c>
      <c r="I137">
        <f>B137-$O$8</f>
        <v/>
      </c>
    </row>
    <row r="138">
      <c r="A138" t="n">
        <v>408</v>
      </c>
      <c r="B138" t="n">
        <v>13.6</v>
      </c>
      <c r="C138" t="inlineStr">
        <is>
          <t>976</t>
        </is>
      </c>
      <c r="D138" t="n">
        <v>9.76</v>
      </c>
      <c r="E138">
        <f>IFERROR(MEDIAN(D118:D158),D138)</f>
        <v/>
      </c>
      <c r="F138">
        <f>IF(OR(NOT(ISNUMBER(D138)),ABS(D138-E138)&gt;$O$3),1,0)</f>
        <v/>
      </c>
      <c r="G138">
        <f>IF(F138=1,NA(),D138)</f>
        <v/>
      </c>
      <c r="H138">
        <f>IF(AND(ISNUMBER(D138),D138&gt;=$O$4),1,0)</f>
        <v/>
      </c>
      <c r="I138">
        <f>B138-$O$8</f>
        <v/>
      </c>
    </row>
    <row r="139">
      <c r="A139" t="n">
        <v>411</v>
      </c>
      <c r="B139" t="n">
        <v>13.7</v>
      </c>
      <c r="C139" t="inlineStr">
        <is>
          <t>97?</t>
        </is>
      </c>
      <c r="E139">
        <f>IFERROR(MEDIAN(D119:D159),D139)</f>
        <v/>
      </c>
      <c r="F139">
        <f>IF(OR(NOT(ISNUMBER(D139)),ABS(D139-E139)&gt;$O$3),1,0)</f>
        <v/>
      </c>
      <c r="G139">
        <f>IF(F139=1,NA(),D139)</f>
        <v/>
      </c>
      <c r="H139">
        <f>IF(AND(ISNUMBER(D139),D139&gt;=$O$4),1,0)</f>
        <v/>
      </c>
      <c r="I139">
        <f>B139-$O$8</f>
        <v/>
      </c>
    </row>
    <row r="140">
      <c r="A140" t="n">
        <v>414</v>
      </c>
      <c r="B140" t="n">
        <v>13.8</v>
      </c>
      <c r="C140" t="inlineStr">
        <is>
          <t>978</t>
        </is>
      </c>
      <c r="D140" t="n">
        <v>9.779999999999999</v>
      </c>
      <c r="E140">
        <f>IFERROR(MEDIAN(D120:D160),D140)</f>
        <v/>
      </c>
      <c r="F140">
        <f>IF(OR(NOT(ISNUMBER(D140)),ABS(D140-E140)&gt;$O$3),1,0)</f>
        <v/>
      </c>
      <c r="G140">
        <f>IF(F140=1,NA(),D140)</f>
        <v/>
      </c>
      <c r="H140">
        <f>IF(AND(ISNUMBER(D140),D140&gt;=$O$4),1,0)</f>
        <v/>
      </c>
      <c r="I140">
        <f>B140-$O$8</f>
        <v/>
      </c>
    </row>
    <row r="141">
      <c r="A141" t="n">
        <v>417</v>
      </c>
      <c r="B141" t="n">
        <v>13.9</v>
      </c>
      <c r="C141" t="inlineStr">
        <is>
          <t>979</t>
        </is>
      </c>
      <c r="D141" t="n">
        <v>9.789999999999999</v>
      </c>
      <c r="E141">
        <f>IFERROR(MEDIAN(D121:D161),D141)</f>
        <v/>
      </c>
      <c r="F141">
        <f>IF(OR(NOT(ISNUMBER(D141)),ABS(D141-E141)&gt;$O$3),1,0)</f>
        <v/>
      </c>
      <c r="G141">
        <f>IF(F141=1,NA(),D141)</f>
        <v/>
      </c>
      <c r="H141">
        <f>IF(AND(ISNUMBER(D141),D141&gt;=$O$4),1,0)</f>
        <v/>
      </c>
      <c r="I141">
        <f>B141-$O$8</f>
        <v/>
      </c>
    </row>
    <row r="142">
      <c r="A142" t="n">
        <v>420</v>
      </c>
      <c r="B142" t="n">
        <v>14</v>
      </c>
      <c r="C142" t="inlineStr">
        <is>
          <t>980</t>
        </is>
      </c>
      <c r="D142" t="n">
        <v>9.800000000000001</v>
      </c>
      <c r="E142">
        <f>IFERROR(MEDIAN(D122:D162),D142)</f>
        <v/>
      </c>
      <c r="F142">
        <f>IF(OR(NOT(ISNUMBER(D142)),ABS(D142-E142)&gt;$O$3),1,0)</f>
        <v/>
      </c>
      <c r="G142">
        <f>IF(F142=1,NA(),D142)</f>
        <v/>
      </c>
      <c r="H142">
        <f>IF(AND(ISNUMBER(D142),D142&gt;=$O$4),1,0)</f>
        <v/>
      </c>
      <c r="I142">
        <f>B142-$O$8</f>
        <v/>
      </c>
    </row>
    <row r="143">
      <c r="A143" t="n">
        <v>423</v>
      </c>
      <c r="B143" t="n">
        <v>14.1</v>
      </c>
      <c r="C143" t="inlineStr">
        <is>
          <t>987</t>
        </is>
      </c>
      <c r="D143" t="n">
        <v>9.869999999999999</v>
      </c>
      <c r="E143">
        <f>IFERROR(MEDIAN(D123:D163),D143)</f>
        <v/>
      </c>
      <c r="F143">
        <f>IF(OR(NOT(ISNUMBER(D143)),ABS(D143-E143)&gt;$O$3),1,0)</f>
        <v/>
      </c>
      <c r="G143">
        <f>IF(F143=1,NA(),D143)</f>
        <v/>
      </c>
      <c r="H143">
        <f>IF(AND(ISNUMBER(D143),D143&gt;=$O$4),1,0)</f>
        <v/>
      </c>
      <c r="I143">
        <f>B143-$O$8</f>
        <v/>
      </c>
    </row>
    <row r="144">
      <c r="A144" t="n">
        <v>426</v>
      </c>
      <c r="B144" t="n">
        <v>14.2</v>
      </c>
      <c r="C144" t="inlineStr">
        <is>
          <t>987</t>
        </is>
      </c>
      <c r="D144" t="n">
        <v>9.869999999999999</v>
      </c>
      <c r="E144">
        <f>IFERROR(MEDIAN(D124:D164),D144)</f>
        <v/>
      </c>
      <c r="F144">
        <f>IF(OR(NOT(ISNUMBER(D144)),ABS(D144-E144)&gt;$O$3),1,0)</f>
        <v/>
      </c>
      <c r="G144">
        <f>IF(F144=1,NA(),D144)</f>
        <v/>
      </c>
      <c r="H144">
        <f>IF(AND(ISNUMBER(D144),D144&gt;=$O$4),1,0)</f>
        <v/>
      </c>
      <c r="I144">
        <f>B144-$O$8</f>
        <v/>
      </c>
    </row>
    <row r="145">
      <c r="A145" t="n">
        <v>429</v>
      </c>
      <c r="B145" t="n">
        <v>14.3</v>
      </c>
      <c r="C145" t="inlineStr">
        <is>
          <t>987</t>
        </is>
      </c>
      <c r="D145" t="n">
        <v>9.869999999999999</v>
      </c>
      <c r="E145">
        <f>IFERROR(MEDIAN(D125:D165),D145)</f>
        <v/>
      </c>
      <c r="F145">
        <f>IF(OR(NOT(ISNUMBER(D145)),ABS(D145-E145)&gt;$O$3),1,0)</f>
        <v/>
      </c>
      <c r="G145">
        <f>IF(F145=1,NA(),D145)</f>
        <v/>
      </c>
      <c r="H145">
        <f>IF(AND(ISNUMBER(D145),D145&gt;=$O$4),1,0)</f>
        <v/>
      </c>
      <c r="I145">
        <f>B145-$O$8</f>
        <v/>
      </c>
    </row>
    <row r="146">
      <c r="A146" t="n">
        <v>432</v>
      </c>
      <c r="B146" t="n">
        <v>14.4</v>
      </c>
      <c r="C146" t="inlineStr">
        <is>
          <t>987</t>
        </is>
      </c>
      <c r="D146" t="n">
        <v>9.869999999999999</v>
      </c>
      <c r="E146">
        <f>IFERROR(MEDIAN(D126:D166),D146)</f>
        <v/>
      </c>
      <c r="F146">
        <f>IF(OR(NOT(ISNUMBER(D146)),ABS(D146-E146)&gt;$O$3),1,0)</f>
        <v/>
      </c>
      <c r="G146">
        <f>IF(F146=1,NA(),D146)</f>
        <v/>
      </c>
      <c r="H146">
        <f>IF(AND(ISNUMBER(D146),D146&gt;=$O$4),1,0)</f>
        <v/>
      </c>
      <c r="I146">
        <f>B146-$O$8</f>
        <v/>
      </c>
    </row>
    <row r="147">
      <c r="A147" t="n">
        <v>435</v>
      </c>
      <c r="B147" t="n">
        <v>14.5</v>
      </c>
      <c r="C147" t="inlineStr">
        <is>
          <t>987</t>
        </is>
      </c>
      <c r="D147" t="n">
        <v>9.869999999999999</v>
      </c>
      <c r="E147">
        <f>IFERROR(MEDIAN(D127:D167),D147)</f>
        <v/>
      </c>
      <c r="F147">
        <f>IF(OR(NOT(ISNUMBER(D147)),ABS(D147-E147)&gt;$O$3),1,0)</f>
        <v/>
      </c>
      <c r="G147">
        <f>IF(F147=1,NA(),D147)</f>
        <v/>
      </c>
      <c r="H147">
        <f>IF(AND(ISNUMBER(D147),D147&gt;=$O$4),1,0)</f>
        <v/>
      </c>
      <c r="I147">
        <f>B147-$O$8</f>
        <v/>
      </c>
    </row>
    <row r="148">
      <c r="A148" t="n">
        <v>438</v>
      </c>
      <c r="B148" t="n">
        <v>14.6</v>
      </c>
      <c r="C148" t="inlineStr">
        <is>
          <t>98?</t>
        </is>
      </c>
      <c r="E148">
        <f>IFERROR(MEDIAN(D128:D168),D148)</f>
        <v/>
      </c>
      <c r="F148">
        <f>IF(OR(NOT(ISNUMBER(D148)),ABS(D148-E148)&gt;$O$3),1,0)</f>
        <v/>
      </c>
      <c r="G148">
        <f>IF(F148=1,NA(),D148)</f>
        <v/>
      </c>
      <c r="H148">
        <f>IF(AND(ISNUMBER(D148),D148&gt;=$O$4),1,0)</f>
        <v/>
      </c>
      <c r="I148">
        <f>B148-$O$8</f>
        <v/>
      </c>
    </row>
    <row r="149">
      <c r="A149" t="n">
        <v>441</v>
      </c>
      <c r="B149" t="n">
        <v>14.7</v>
      </c>
      <c r="C149" t="inlineStr">
        <is>
          <t>988</t>
        </is>
      </c>
      <c r="D149" t="n">
        <v>9.880000000000001</v>
      </c>
      <c r="E149">
        <f>IFERROR(MEDIAN(D129:D169),D149)</f>
        <v/>
      </c>
      <c r="F149">
        <f>IF(OR(NOT(ISNUMBER(D149)),ABS(D149-E149)&gt;$O$3),1,0)</f>
        <v/>
      </c>
      <c r="G149">
        <f>IF(F149=1,NA(),D149)</f>
        <v/>
      </c>
      <c r="H149">
        <f>IF(AND(ISNUMBER(D149),D149&gt;=$O$4),1,0)</f>
        <v/>
      </c>
      <c r="I149">
        <f>B149-$O$8</f>
        <v/>
      </c>
    </row>
    <row r="150">
      <c r="A150" t="n">
        <v>444</v>
      </c>
      <c r="B150" t="n">
        <v>14.8</v>
      </c>
      <c r="C150" t="inlineStr">
        <is>
          <t>988</t>
        </is>
      </c>
      <c r="D150" t="n">
        <v>9.880000000000001</v>
      </c>
      <c r="E150">
        <f>IFERROR(MEDIAN(D130:D170),D150)</f>
        <v/>
      </c>
      <c r="F150">
        <f>IF(OR(NOT(ISNUMBER(D150)),ABS(D150-E150)&gt;$O$3),1,0)</f>
        <v/>
      </c>
      <c r="G150">
        <f>IF(F150=1,NA(),D150)</f>
        <v/>
      </c>
      <c r="H150">
        <f>IF(AND(ISNUMBER(D150),D150&gt;=$O$4),1,0)</f>
        <v/>
      </c>
      <c r="I150">
        <f>B150-$O$8</f>
        <v/>
      </c>
    </row>
    <row r="151">
      <c r="A151" t="n">
        <v>447</v>
      </c>
      <c r="B151" t="n">
        <v>14.9</v>
      </c>
      <c r="C151" t="inlineStr">
        <is>
          <t>990</t>
        </is>
      </c>
      <c r="D151" t="n">
        <v>9.9</v>
      </c>
      <c r="E151">
        <f>IFERROR(MEDIAN(D131:D171),D151)</f>
        <v/>
      </c>
      <c r="F151">
        <f>IF(OR(NOT(ISNUMBER(D151)),ABS(D151-E151)&gt;$O$3),1,0)</f>
        <v/>
      </c>
      <c r="G151">
        <f>IF(F151=1,NA(),D151)</f>
        <v/>
      </c>
      <c r="H151">
        <f>IF(AND(ISNUMBER(D151),D151&gt;=$O$4),1,0)</f>
        <v/>
      </c>
      <c r="I151">
        <f>B151-$O$8</f>
        <v/>
      </c>
    </row>
    <row r="152">
      <c r="A152" t="n">
        <v>450</v>
      </c>
      <c r="B152" t="n">
        <v>15</v>
      </c>
      <c r="C152" t="inlineStr">
        <is>
          <t>996</t>
        </is>
      </c>
      <c r="D152" t="n">
        <v>9.960000000000001</v>
      </c>
      <c r="E152">
        <f>IFERROR(MEDIAN(D132:D172),D152)</f>
        <v/>
      </c>
      <c r="F152">
        <f>IF(OR(NOT(ISNUMBER(D152)),ABS(D152-E152)&gt;$O$3),1,0)</f>
        <v/>
      </c>
      <c r="G152">
        <f>IF(F152=1,NA(),D152)</f>
        <v/>
      </c>
      <c r="H152">
        <f>IF(AND(ISNUMBER(D152),D152&gt;=$O$4),1,0)</f>
        <v/>
      </c>
      <c r="I152">
        <f>B152-$O$8</f>
        <v/>
      </c>
    </row>
    <row r="153">
      <c r="A153" t="n">
        <v>453</v>
      </c>
      <c r="B153" t="n">
        <v>15.1</v>
      </c>
      <c r="C153" t="inlineStr">
        <is>
          <t>996</t>
        </is>
      </c>
      <c r="D153" t="n">
        <v>9.960000000000001</v>
      </c>
      <c r="E153">
        <f>IFERROR(MEDIAN(D133:D173),D153)</f>
        <v/>
      </c>
      <c r="F153">
        <f>IF(OR(NOT(ISNUMBER(D153)),ABS(D153-E153)&gt;$O$3),1,0)</f>
        <v/>
      </c>
      <c r="G153">
        <f>IF(F153=1,NA(),D153)</f>
        <v/>
      </c>
      <c r="H153">
        <f>IF(AND(ISNUMBER(D153),D153&gt;=$O$4),1,0)</f>
        <v/>
      </c>
      <c r="I153">
        <f>B153-$O$8</f>
        <v/>
      </c>
    </row>
    <row r="154">
      <c r="A154" t="n">
        <v>456</v>
      </c>
      <c r="B154" t="n">
        <v>15.2</v>
      </c>
      <c r="C154" t="inlineStr">
        <is>
          <t>993</t>
        </is>
      </c>
      <c r="D154" t="n">
        <v>9.93</v>
      </c>
      <c r="E154">
        <f>IFERROR(MEDIAN(D134:D174),D154)</f>
        <v/>
      </c>
      <c r="F154">
        <f>IF(OR(NOT(ISNUMBER(D154)),ABS(D154-E154)&gt;$O$3),1,0)</f>
        <v/>
      </c>
      <c r="G154">
        <f>IF(F154=1,NA(),D154)</f>
        <v/>
      </c>
      <c r="H154">
        <f>IF(AND(ISNUMBER(D154),D154&gt;=$O$4),1,0)</f>
        <v/>
      </c>
      <c r="I154">
        <f>B154-$O$8</f>
        <v/>
      </c>
    </row>
    <row r="155">
      <c r="A155" t="n">
        <v>459</v>
      </c>
      <c r="B155" t="n">
        <v>15.3</v>
      </c>
      <c r="C155" t="inlineStr">
        <is>
          <t>99</t>
        </is>
      </c>
      <c r="D155" t="n">
        <v>0.99</v>
      </c>
      <c r="E155">
        <f>IFERROR(MEDIAN(D135:D175),D155)</f>
        <v/>
      </c>
      <c r="F155">
        <f>IF(OR(NOT(ISNUMBER(D155)),ABS(D155-E155)&gt;$O$3),1,0)</f>
        <v/>
      </c>
      <c r="G155">
        <f>IF(F155=1,NA(),D155)</f>
        <v/>
      </c>
      <c r="H155">
        <f>IF(AND(ISNUMBER(D155),D155&gt;=$O$4),1,0)</f>
        <v/>
      </c>
      <c r="I155">
        <f>B155-$O$8</f>
        <v/>
      </c>
    </row>
    <row r="156">
      <c r="A156" t="n">
        <v>462</v>
      </c>
      <c r="B156" t="n">
        <v>15.4</v>
      </c>
      <c r="C156" t="inlineStr">
        <is>
          <t>998</t>
        </is>
      </c>
      <c r="D156" t="n">
        <v>9.98</v>
      </c>
      <c r="E156">
        <f>IFERROR(MEDIAN(D136:D176),D156)</f>
        <v/>
      </c>
      <c r="F156">
        <f>IF(OR(NOT(ISNUMBER(D156)),ABS(D156-E156)&gt;$O$3),1,0)</f>
        <v/>
      </c>
      <c r="G156">
        <f>IF(F156=1,NA(),D156)</f>
        <v/>
      </c>
      <c r="H156">
        <f>IF(AND(ISNUMBER(D156),D156&gt;=$O$4),1,0)</f>
        <v/>
      </c>
      <c r="I156">
        <f>B156-$O$8</f>
        <v/>
      </c>
    </row>
    <row r="157">
      <c r="A157" t="n">
        <v>465</v>
      </c>
      <c r="B157" t="n">
        <v>15.5</v>
      </c>
      <c r="C157" t="inlineStr">
        <is>
          <t>996</t>
        </is>
      </c>
      <c r="D157" t="n">
        <v>9.960000000000001</v>
      </c>
      <c r="E157">
        <f>IFERROR(MEDIAN(D137:D177),D157)</f>
        <v/>
      </c>
      <c r="F157">
        <f>IF(OR(NOT(ISNUMBER(D157)),ABS(D157-E157)&gt;$O$3),1,0)</f>
        <v/>
      </c>
      <c r="G157">
        <f>IF(F157=1,NA(),D157)</f>
        <v/>
      </c>
      <c r="H157">
        <f>IF(AND(ISNUMBER(D157),D157&gt;=$O$4),1,0)</f>
        <v/>
      </c>
      <c r="I157">
        <f>B157-$O$8</f>
        <v/>
      </c>
    </row>
    <row r="158">
      <c r="A158" t="n">
        <v>468</v>
      </c>
      <c r="B158" t="n">
        <v>15.6</v>
      </c>
      <c r="C158" t="inlineStr">
        <is>
          <t>996</t>
        </is>
      </c>
      <c r="D158" t="n">
        <v>9.960000000000001</v>
      </c>
      <c r="E158">
        <f>IFERROR(MEDIAN(D138:D178),D158)</f>
        <v/>
      </c>
      <c r="F158">
        <f>IF(OR(NOT(ISNUMBER(D158)),ABS(D158-E158)&gt;$O$3),1,0)</f>
        <v/>
      </c>
      <c r="G158">
        <f>IF(F158=1,NA(),D158)</f>
        <v/>
      </c>
      <c r="H158">
        <f>IF(AND(ISNUMBER(D158),D158&gt;=$O$4),1,0)</f>
        <v/>
      </c>
      <c r="I158">
        <f>B158-$O$8</f>
        <v/>
      </c>
    </row>
    <row r="159">
      <c r="A159" t="n">
        <v>471</v>
      </c>
      <c r="B159" t="n">
        <v>15.7</v>
      </c>
      <c r="C159" t="inlineStr">
        <is>
          <t>997</t>
        </is>
      </c>
      <c r="D159" t="n">
        <v>9.970000000000001</v>
      </c>
      <c r="E159">
        <f>IFERROR(MEDIAN(D139:D179),D159)</f>
        <v/>
      </c>
      <c r="F159">
        <f>IF(OR(NOT(ISNUMBER(D159)),ABS(D159-E159)&gt;$O$3),1,0)</f>
        <v/>
      </c>
      <c r="G159">
        <f>IF(F159=1,NA(),D159)</f>
        <v/>
      </c>
      <c r="H159">
        <f>IF(AND(ISNUMBER(D159),D159&gt;=$O$4),1,0)</f>
        <v/>
      </c>
      <c r="I159">
        <f>B159-$O$8</f>
        <v/>
      </c>
    </row>
    <row r="160">
      <c r="A160" t="n">
        <v>474</v>
      </c>
      <c r="B160" t="n">
        <v>15.8</v>
      </c>
      <c r="C160" t="inlineStr">
        <is>
          <t>998</t>
        </is>
      </c>
      <c r="D160" t="n">
        <v>9.98</v>
      </c>
      <c r="E160">
        <f>IFERROR(MEDIAN(D140:D180),D160)</f>
        <v/>
      </c>
      <c r="F160">
        <f>IF(OR(NOT(ISNUMBER(D160)),ABS(D160-E160)&gt;$O$3),1,0)</f>
        <v/>
      </c>
      <c r="G160">
        <f>IF(F160=1,NA(),D160)</f>
        <v/>
      </c>
      <c r="H160">
        <f>IF(AND(ISNUMBER(D160),D160&gt;=$O$4),1,0)</f>
        <v/>
      </c>
      <c r="I160">
        <f>B160-$O$8</f>
        <v/>
      </c>
    </row>
    <row r="161">
      <c r="A161" t="n">
        <v>477</v>
      </c>
      <c r="B161" t="n">
        <v>15.9</v>
      </c>
      <c r="C161" t="inlineStr">
        <is>
          <t>998</t>
        </is>
      </c>
      <c r="D161" t="n">
        <v>9.98</v>
      </c>
      <c r="E161">
        <f>IFERROR(MEDIAN(D141:D181),D161)</f>
        <v/>
      </c>
      <c r="F161">
        <f>IF(OR(NOT(ISNUMBER(D161)),ABS(D161-E161)&gt;$O$3),1,0)</f>
        <v/>
      </c>
      <c r="G161">
        <f>IF(F161=1,NA(),D161)</f>
        <v/>
      </c>
      <c r="H161">
        <f>IF(AND(ISNUMBER(D161),D161&gt;=$O$4),1,0)</f>
        <v/>
      </c>
      <c r="I161">
        <f>B161-$O$8</f>
        <v/>
      </c>
    </row>
    <row r="162">
      <c r="A162" t="n">
        <v>480</v>
      </c>
      <c r="B162" t="n">
        <v>16</v>
      </c>
      <c r="C162" t="inlineStr">
        <is>
          <t>998</t>
        </is>
      </c>
      <c r="D162" t="n">
        <v>9.98</v>
      </c>
      <c r="E162">
        <f>IFERROR(MEDIAN(D142:D182),D162)</f>
        <v/>
      </c>
      <c r="F162">
        <f>IF(OR(NOT(ISNUMBER(D162)),ABS(D162-E162)&gt;$O$3),1,0)</f>
        <v/>
      </c>
      <c r="G162">
        <f>IF(F162=1,NA(),D162)</f>
        <v/>
      </c>
      <c r="H162">
        <f>IF(AND(ISNUMBER(D162),D162&gt;=$O$4),1,0)</f>
        <v/>
      </c>
      <c r="I162">
        <f>B162-$O$8</f>
        <v/>
      </c>
    </row>
    <row r="163">
      <c r="A163" t="n">
        <v>483</v>
      </c>
      <c r="B163" t="n">
        <v>16.1</v>
      </c>
      <c r="C163" t="inlineStr">
        <is>
          <t>998</t>
        </is>
      </c>
      <c r="D163" t="n">
        <v>9.98</v>
      </c>
      <c r="E163">
        <f>IFERROR(MEDIAN(D143:D183),D163)</f>
        <v/>
      </c>
      <c r="F163">
        <f>IF(OR(NOT(ISNUMBER(D163)),ABS(D163-E163)&gt;$O$3),1,0)</f>
        <v/>
      </c>
      <c r="G163">
        <f>IF(F163=1,NA(),D163)</f>
        <v/>
      </c>
      <c r="H163">
        <f>IF(AND(ISNUMBER(D163),D163&gt;=$O$4),1,0)</f>
        <v/>
      </c>
      <c r="I163">
        <f>B163-$O$8</f>
        <v/>
      </c>
    </row>
    <row r="164">
      <c r="A164" t="n">
        <v>486</v>
      </c>
      <c r="B164" t="n">
        <v>16.2</v>
      </c>
      <c r="C164" t="inlineStr">
        <is>
          <t>998</t>
        </is>
      </c>
      <c r="D164" t="n">
        <v>9.98</v>
      </c>
      <c r="E164">
        <f>IFERROR(MEDIAN(D144:D184),D164)</f>
        <v/>
      </c>
      <c r="F164">
        <f>IF(OR(NOT(ISNUMBER(D164)),ABS(D164-E164)&gt;$O$3),1,0)</f>
        <v/>
      </c>
      <c r="G164">
        <f>IF(F164=1,NA(),D164)</f>
        <v/>
      </c>
      <c r="H164">
        <f>IF(AND(ISNUMBER(D164),D164&gt;=$O$4),1,0)</f>
        <v/>
      </c>
      <c r="I164">
        <f>B164-$O$8</f>
        <v/>
      </c>
    </row>
    <row r="165">
      <c r="A165" t="n">
        <v>489</v>
      </c>
      <c r="B165" t="n">
        <v>16.3</v>
      </c>
      <c r="C165" t="inlineStr">
        <is>
          <t>998</t>
        </is>
      </c>
      <c r="D165" t="n">
        <v>9.98</v>
      </c>
      <c r="E165">
        <f>IFERROR(MEDIAN(D145:D185),D165)</f>
        <v/>
      </c>
      <c r="F165">
        <f>IF(OR(NOT(ISNUMBER(D165)),ABS(D165-E165)&gt;$O$3),1,0)</f>
        <v/>
      </c>
      <c r="G165">
        <f>IF(F165=1,NA(),D165)</f>
        <v/>
      </c>
      <c r="H165">
        <f>IF(AND(ISNUMBER(D165),D165&gt;=$O$4),1,0)</f>
        <v/>
      </c>
      <c r="I165">
        <f>B165-$O$8</f>
        <v/>
      </c>
    </row>
    <row r="166">
      <c r="A166" t="n">
        <v>492</v>
      </c>
      <c r="B166" t="n">
        <v>16.4</v>
      </c>
      <c r="C166" t="inlineStr">
        <is>
          <t>998</t>
        </is>
      </c>
      <c r="D166" t="n">
        <v>9.98</v>
      </c>
      <c r="E166">
        <f>IFERROR(MEDIAN(D146:D186),D166)</f>
        <v/>
      </c>
      <c r="F166">
        <f>IF(OR(NOT(ISNUMBER(D166)),ABS(D166-E166)&gt;$O$3),1,0)</f>
        <v/>
      </c>
      <c r="G166">
        <f>IF(F166=1,NA(),D166)</f>
        <v/>
      </c>
      <c r="H166">
        <f>IF(AND(ISNUMBER(D166),D166&gt;=$O$4),1,0)</f>
        <v/>
      </c>
      <c r="I166">
        <f>B166-$O$8</f>
        <v/>
      </c>
    </row>
    <row r="167">
      <c r="A167" t="n">
        <v>495</v>
      </c>
      <c r="B167" t="n">
        <v>16.5</v>
      </c>
      <c r="C167" t="inlineStr">
        <is>
          <t>998</t>
        </is>
      </c>
      <c r="D167" t="n">
        <v>9.98</v>
      </c>
      <c r="E167">
        <f>IFERROR(MEDIAN(D147:D187),D167)</f>
        <v/>
      </c>
      <c r="F167">
        <f>IF(OR(NOT(ISNUMBER(D167)),ABS(D167-E167)&gt;$O$3),1,0)</f>
        <v/>
      </c>
      <c r="G167">
        <f>IF(F167=1,NA(),D167)</f>
        <v/>
      </c>
      <c r="H167">
        <f>IF(AND(ISNUMBER(D167),D167&gt;=$O$4),1,0)</f>
        <v/>
      </c>
      <c r="I167">
        <f>B167-$O$8</f>
        <v/>
      </c>
    </row>
    <row r="168">
      <c r="A168" t="n">
        <v>498</v>
      </c>
      <c r="B168" t="n">
        <v>16.6</v>
      </c>
      <c r="C168" t="inlineStr">
        <is>
          <t>998</t>
        </is>
      </c>
      <c r="D168" t="n">
        <v>9.98</v>
      </c>
      <c r="E168">
        <f>IFERROR(MEDIAN(D148:D188),D168)</f>
        <v/>
      </c>
      <c r="F168">
        <f>IF(OR(NOT(ISNUMBER(D168)),ABS(D168-E168)&gt;$O$3),1,0)</f>
        <v/>
      </c>
      <c r="G168">
        <f>IF(F168=1,NA(),D168)</f>
        <v/>
      </c>
      <c r="H168">
        <f>IF(AND(ISNUMBER(D168),D168&gt;=$O$4),1,0)</f>
        <v/>
      </c>
      <c r="I168">
        <f>B168-$O$8</f>
        <v/>
      </c>
    </row>
    <row r="169">
      <c r="A169" t="n">
        <v>501</v>
      </c>
      <c r="B169" t="n">
        <v>16.7</v>
      </c>
      <c r="C169" t="inlineStr">
        <is>
          <t>998</t>
        </is>
      </c>
      <c r="D169" t="n">
        <v>9.98</v>
      </c>
      <c r="E169">
        <f>IFERROR(MEDIAN(D149:D189),D169)</f>
        <v/>
      </c>
      <c r="F169">
        <f>IF(OR(NOT(ISNUMBER(D169)),ABS(D169-E169)&gt;$O$3),1,0)</f>
        <v/>
      </c>
      <c r="G169">
        <f>IF(F169=1,NA(),D169)</f>
        <v/>
      </c>
      <c r="H169">
        <f>IF(AND(ISNUMBER(D169),D169&gt;=$O$4),1,0)</f>
        <v/>
      </c>
      <c r="I169">
        <f>B169-$O$8</f>
        <v/>
      </c>
    </row>
    <row r="170">
      <c r="A170" t="n">
        <v>504</v>
      </c>
      <c r="B170" t="n">
        <v>16.8</v>
      </c>
      <c r="C170" t="inlineStr">
        <is>
          <t>998</t>
        </is>
      </c>
      <c r="D170" t="n">
        <v>9.98</v>
      </c>
      <c r="E170">
        <f>IFERROR(MEDIAN(D150:D190),D170)</f>
        <v/>
      </c>
      <c r="F170">
        <f>IF(OR(NOT(ISNUMBER(D170)),ABS(D170-E170)&gt;$O$3),1,0)</f>
        <v/>
      </c>
      <c r="G170">
        <f>IF(F170=1,NA(),D170)</f>
        <v/>
      </c>
      <c r="H170">
        <f>IF(AND(ISNUMBER(D170),D170&gt;=$O$4),1,0)</f>
        <v/>
      </c>
      <c r="I170">
        <f>B170-$O$8</f>
        <v/>
      </c>
    </row>
    <row r="171">
      <c r="A171" t="n">
        <v>507</v>
      </c>
      <c r="B171" t="n">
        <v>16.9</v>
      </c>
      <c r="C171" t="inlineStr">
        <is>
          <t>999</t>
        </is>
      </c>
      <c r="D171" t="n">
        <v>9.99</v>
      </c>
      <c r="E171">
        <f>IFERROR(MEDIAN(D151:D191),D171)</f>
        <v/>
      </c>
      <c r="F171">
        <f>IF(OR(NOT(ISNUMBER(D171)),ABS(D171-E171)&gt;$O$3),1,0)</f>
        <v/>
      </c>
      <c r="G171">
        <f>IF(F171=1,NA(),D171)</f>
        <v/>
      </c>
      <c r="H171">
        <f>IF(AND(ISNUMBER(D171),D171&gt;=$O$4),1,0)</f>
        <v/>
      </c>
      <c r="I171">
        <f>B171-$O$8</f>
        <v/>
      </c>
    </row>
    <row r="172">
      <c r="A172" t="n">
        <v>510</v>
      </c>
      <c r="B172" t="n">
        <v>17</v>
      </c>
      <c r="C172" t="inlineStr">
        <is>
          <t>999</t>
        </is>
      </c>
      <c r="D172" t="n">
        <v>9.99</v>
      </c>
      <c r="E172">
        <f>IFERROR(MEDIAN(D152:D192),D172)</f>
        <v/>
      </c>
      <c r="F172">
        <f>IF(OR(NOT(ISNUMBER(D172)),ABS(D172-E172)&gt;$O$3),1,0)</f>
        <v/>
      </c>
      <c r="G172">
        <f>IF(F172=1,NA(),D172)</f>
        <v/>
      </c>
      <c r="H172">
        <f>IF(AND(ISNUMBER(D172),D172&gt;=$O$4),1,0)</f>
        <v/>
      </c>
      <c r="I172">
        <f>B172-$O$8</f>
        <v/>
      </c>
    </row>
    <row r="173">
      <c r="A173" t="n">
        <v>513</v>
      </c>
      <c r="B173" t="n">
        <v>17.1</v>
      </c>
      <c r="C173" t="inlineStr">
        <is>
          <t>999</t>
        </is>
      </c>
      <c r="D173" t="n">
        <v>9.99</v>
      </c>
      <c r="E173">
        <f>IFERROR(MEDIAN(D153:D193),D173)</f>
        <v/>
      </c>
      <c r="F173">
        <f>IF(OR(NOT(ISNUMBER(D173)),ABS(D173-E173)&gt;$O$3),1,0)</f>
        <v/>
      </c>
      <c r="G173">
        <f>IF(F173=1,NA(),D173)</f>
        <v/>
      </c>
      <c r="H173">
        <f>IF(AND(ISNUMBER(D173),D173&gt;=$O$4),1,0)</f>
        <v/>
      </c>
      <c r="I173">
        <f>B173-$O$8</f>
        <v/>
      </c>
    </row>
    <row r="174">
      <c r="A174" t="n">
        <v>516</v>
      </c>
      <c r="B174" t="n">
        <v>17.2</v>
      </c>
      <c r="C174" t="inlineStr">
        <is>
          <t>999</t>
        </is>
      </c>
      <c r="D174" t="n">
        <v>9.99</v>
      </c>
      <c r="E174">
        <f>IFERROR(MEDIAN(D154:D194),D174)</f>
        <v/>
      </c>
      <c r="F174">
        <f>IF(OR(NOT(ISNUMBER(D174)),ABS(D174-E174)&gt;$O$3),1,0)</f>
        <v/>
      </c>
      <c r="G174">
        <f>IF(F174=1,NA(),D174)</f>
        <v/>
      </c>
      <c r="H174">
        <f>IF(AND(ISNUMBER(D174),D174&gt;=$O$4),1,0)</f>
        <v/>
      </c>
      <c r="I174">
        <f>B174-$O$8</f>
        <v/>
      </c>
    </row>
    <row r="175">
      <c r="A175" t="n">
        <v>519</v>
      </c>
      <c r="B175" t="n">
        <v>17.3</v>
      </c>
      <c r="C175" t="inlineStr">
        <is>
          <t>999</t>
        </is>
      </c>
      <c r="D175" t="n">
        <v>9.99</v>
      </c>
      <c r="E175">
        <f>IFERROR(MEDIAN(D155:D195),D175)</f>
        <v/>
      </c>
      <c r="F175">
        <f>IF(OR(NOT(ISNUMBER(D175)),ABS(D175-E175)&gt;$O$3),1,0)</f>
        <v/>
      </c>
      <c r="G175">
        <f>IF(F175=1,NA(),D175)</f>
        <v/>
      </c>
      <c r="H175">
        <f>IF(AND(ISNUMBER(D175),D175&gt;=$O$4),1,0)</f>
        <v/>
      </c>
      <c r="I175">
        <f>B175-$O$8</f>
        <v/>
      </c>
    </row>
    <row r="176">
      <c r="A176" t="n">
        <v>522</v>
      </c>
      <c r="B176" t="n">
        <v>17.4</v>
      </c>
      <c r="C176" t="inlineStr">
        <is>
          <t>999</t>
        </is>
      </c>
      <c r="D176" t="n">
        <v>9.99</v>
      </c>
      <c r="E176">
        <f>IFERROR(MEDIAN(D156:D196),D176)</f>
        <v/>
      </c>
      <c r="F176">
        <f>IF(OR(NOT(ISNUMBER(D176)),ABS(D176-E176)&gt;$O$3),1,0)</f>
        <v/>
      </c>
      <c r="G176">
        <f>IF(F176=1,NA(),D176)</f>
        <v/>
      </c>
      <c r="H176">
        <f>IF(AND(ISNUMBER(D176),D176&gt;=$O$4),1,0)</f>
        <v/>
      </c>
      <c r="I176">
        <f>B176-$O$8</f>
        <v/>
      </c>
    </row>
    <row r="177">
      <c r="A177" t="n">
        <v>525</v>
      </c>
      <c r="B177" t="n">
        <v>17.5</v>
      </c>
      <c r="C177" t="inlineStr">
        <is>
          <t>999</t>
        </is>
      </c>
      <c r="D177" t="n">
        <v>9.99</v>
      </c>
      <c r="E177">
        <f>IFERROR(MEDIAN(D157:D197),D177)</f>
        <v/>
      </c>
      <c r="F177">
        <f>IF(OR(NOT(ISNUMBER(D177)),ABS(D177-E177)&gt;$O$3),1,0)</f>
        <v/>
      </c>
      <c r="G177">
        <f>IF(F177=1,NA(),D177)</f>
        <v/>
      </c>
      <c r="H177">
        <f>IF(AND(ISNUMBER(D177),D177&gt;=$O$4),1,0)</f>
        <v/>
      </c>
      <c r="I177">
        <f>B177-$O$8</f>
        <v/>
      </c>
    </row>
    <row r="178">
      <c r="A178" t="n">
        <v>528</v>
      </c>
      <c r="B178" t="n">
        <v>17.6</v>
      </c>
      <c r="C178" t="inlineStr">
        <is>
          <t>999</t>
        </is>
      </c>
      <c r="D178" t="n">
        <v>9.99</v>
      </c>
      <c r="E178">
        <f>IFERROR(MEDIAN(D158:D198),D178)</f>
        <v/>
      </c>
      <c r="F178">
        <f>IF(OR(NOT(ISNUMBER(D178)),ABS(D178-E178)&gt;$O$3),1,0)</f>
        <v/>
      </c>
      <c r="G178">
        <f>IF(F178=1,NA(),D178)</f>
        <v/>
      </c>
      <c r="H178">
        <f>IF(AND(ISNUMBER(D178),D178&gt;=$O$4),1,0)</f>
        <v/>
      </c>
      <c r="I178">
        <f>B178-$O$8</f>
        <v/>
      </c>
    </row>
    <row r="179">
      <c r="A179" t="n">
        <v>531</v>
      </c>
      <c r="B179" t="n">
        <v>17.7</v>
      </c>
      <c r="C179" t="inlineStr">
        <is>
          <t>999</t>
        </is>
      </c>
      <c r="D179" t="n">
        <v>9.99</v>
      </c>
      <c r="E179">
        <f>IFERROR(MEDIAN(D159:D199),D179)</f>
        <v/>
      </c>
      <c r="F179">
        <f>IF(OR(NOT(ISNUMBER(D179)),ABS(D179-E179)&gt;$O$3),1,0)</f>
        <v/>
      </c>
      <c r="G179">
        <f>IF(F179=1,NA(),D179)</f>
        <v/>
      </c>
      <c r="H179">
        <f>IF(AND(ISNUMBER(D179),D179&gt;=$O$4),1,0)</f>
        <v/>
      </c>
      <c r="I179">
        <f>B179-$O$8</f>
        <v/>
      </c>
    </row>
    <row r="180">
      <c r="A180" t="n">
        <v>534</v>
      </c>
      <c r="B180" t="n">
        <v>17.8</v>
      </c>
      <c r="C180" t="inlineStr">
        <is>
          <t>999</t>
        </is>
      </c>
      <c r="D180" t="n">
        <v>9.99</v>
      </c>
      <c r="E180">
        <f>IFERROR(MEDIAN(D160:D200),D180)</f>
        <v/>
      </c>
      <c r="F180">
        <f>IF(OR(NOT(ISNUMBER(D180)),ABS(D180-E180)&gt;$O$3),1,0)</f>
        <v/>
      </c>
      <c r="G180">
        <f>IF(F180=1,NA(),D180)</f>
        <v/>
      </c>
      <c r="H180">
        <f>IF(AND(ISNUMBER(D180),D180&gt;=$O$4),1,0)</f>
        <v/>
      </c>
      <c r="I180">
        <f>B180-$O$8</f>
        <v/>
      </c>
    </row>
    <row r="181">
      <c r="A181" t="n">
        <v>537</v>
      </c>
      <c r="B181" t="n">
        <v>17.9</v>
      </c>
      <c r="C181" t="inlineStr">
        <is>
          <t>888</t>
        </is>
      </c>
      <c r="D181" t="n">
        <v>8.880000000000001</v>
      </c>
      <c r="E181">
        <f>IFERROR(MEDIAN(D161:D201),D181)</f>
        <v/>
      </c>
      <c r="F181">
        <f>IF(OR(NOT(ISNUMBER(D181)),ABS(D181-E181)&gt;$O$3),1,0)</f>
        <v/>
      </c>
      <c r="G181">
        <f>IF(F181=1,NA(),D181)</f>
        <v/>
      </c>
      <c r="H181">
        <f>IF(AND(ISNUMBER(D181),D181&gt;=$O$4),1,0)</f>
        <v/>
      </c>
      <c r="I181">
        <f>B181-$O$8</f>
        <v/>
      </c>
    </row>
    <row r="182">
      <c r="A182" t="n">
        <v>540</v>
      </c>
      <c r="B182" t="n">
        <v>18</v>
      </c>
      <c r="C182" t="inlineStr">
        <is>
          <t>888</t>
        </is>
      </c>
      <c r="D182" t="n">
        <v>8.880000000000001</v>
      </c>
      <c r="E182">
        <f>IFERROR(MEDIAN(D162:D202),D182)</f>
        <v/>
      </c>
      <c r="F182">
        <f>IF(OR(NOT(ISNUMBER(D182)),ABS(D182-E182)&gt;$O$3),1,0)</f>
        <v/>
      </c>
      <c r="G182">
        <f>IF(F182=1,NA(),D182)</f>
        <v/>
      </c>
      <c r="H182">
        <f>IF(AND(ISNUMBER(D182),D182&gt;=$O$4),1,0)</f>
        <v/>
      </c>
      <c r="I182">
        <f>B182-$O$8</f>
        <v/>
      </c>
    </row>
    <row r="183">
      <c r="A183" t="n">
        <v>543</v>
      </c>
      <c r="B183" t="n">
        <v>18.1</v>
      </c>
      <c r="C183" t="inlineStr">
        <is>
          <t>999</t>
        </is>
      </c>
      <c r="D183" t="n">
        <v>9.99</v>
      </c>
      <c r="E183">
        <f>IFERROR(MEDIAN(D163:D203),D183)</f>
        <v/>
      </c>
      <c r="F183">
        <f>IF(OR(NOT(ISNUMBER(D183)),ABS(D183-E183)&gt;$O$3),1,0)</f>
        <v/>
      </c>
      <c r="G183">
        <f>IF(F183=1,NA(),D183)</f>
        <v/>
      </c>
      <c r="H183">
        <f>IF(AND(ISNUMBER(D183),D183&gt;=$O$4),1,0)</f>
        <v/>
      </c>
      <c r="I183">
        <f>B183-$O$8</f>
        <v/>
      </c>
    </row>
    <row r="184">
      <c r="A184" t="n">
        <v>546</v>
      </c>
      <c r="B184" t="n">
        <v>18.2</v>
      </c>
      <c r="C184" t="inlineStr">
        <is>
          <t>999</t>
        </is>
      </c>
      <c r="D184" t="n">
        <v>9.99</v>
      </c>
      <c r="E184">
        <f>IFERROR(MEDIAN(D164:D204),D184)</f>
        <v/>
      </c>
      <c r="F184">
        <f>IF(OR(NOT(ISNUMBER(D184)),ABS(D184-E184)&gt;$O$3),1,0)</f>
        <v/>
      </c>
      <c r="G184">
        <f>IF(F184=1,NA(),D184)</f>
        <v/>
      </c>
      <c r="H184">
        <f>IF(AND(ISNUMBER(D184),D184&gt;=$O$4),1,0)</f>
        <v/>
      </c>
      <c r="I184">
        <f>B184-$O$8</f>
        <v/>
      </c>
    </row>
    <row r="185">
      <c r="A185" t="n">
        <v>549</v>
      </c>
      <c r="B185" t="n">
        <v>18.3</v>
      </c>
      <c r="C185" t="inlineStr">
        <is>
          <t>800</t>
        </is>
      </c>
      <c r="D185" t="n">
        <v>8</v>
      </c>
      <c r="E185">
        <f>IFERROR(MEDIAN(D165:D205),D185)</f>
        <v/>
      </c>
      <c r="F185">
        <f>IF(OR(NOT(ISNUMBER(D185)),ABS(D185-E185)&gt;$O$3),1,0)</f>
        <v/>
      </c>
      <c r="G185">
        <f>IF(F185=1,NA(),D185)</f>
        <v/>
      </c>
      <c r="H185">
        <f>IF(AND(ISNUMBER(D185),D185&gt;=$O$4),1,0)</f>
        <v/>
      </c>
      <c r="I185">
        <f>B185-$O$8</f>
        <v/>
      </c>
    </row>
    <row r="186">
      <c r="A186" t="n">
        <v>552</v>
      </c>
      <c r="B186" t="n">
        <v>18.4</v>
      </c>
      <c r="C186" t="inlineStr">
        <is>
          <t>1000</t>
        </is>
      </c>
      <c r="D186" t="n">
        <v>10</v>
      </c>
      <c r="E186">
        <f>IFERROR(MEDIAN(D166:D206),D186)</f>
        <v/>
      </c>
      <c r="F186">
        <f>IF(OR(NOT(ISNUMBER(D186)),ABS(D186-E186)&gt;$O$3),1,0)</f>
        <v/>
      </c>
      <c r="G186">
        <f>IF(F186=1,NA(),D186)</f>
        <v/>
      </c>
      <c r="H186">
        <f>IF(AND(ISNUMBER(D186),D186&gt;=$O$4),1,0)</f>
        <v/>
      </c>
      <c r="I186">
        <f>B186-$O$8</f>
        <v/>
      </c>
    </row>
    <row r="187">
      <c r="A187" t="n">
        <v>555</v>
      </c>
      <c r="B187" t="n">
        <v>18.5</v>
      </c>
      <c r="C187" t="inlineStr">
        <is>
          <t>000</t>
        </is>
      </c>
      <c r="D187" t="n">
        <v>0</v>
      </c>
      <c r="E187">
        <f>IFERROR(MEDIAN(D167:D207),D187)</f>
        <v/>
      </c>
      <c r="F187">
        <f>IF(OR(NOT(ISNUMBER(D187)),ABS(D187-E187)&gt;$O$3),1,0)</f>
        <v/>
      </c>
      <c r="G187">
        <f>IF(F187=1,NA(),D187)</f>
        <v/>
      </c>
      <c r="H187">
        <f>IF(AND(ISNUMBER(D187),D187&gt;=$O$4),1,0)</f>
        <v/>
      </c>
      <c r="I187">
        <f>B187-$O$8</f>
        <v/>
      </c>
    </row>
    <row r="188">
      <c r="A188" t="n">
        <v>558</v>
      </c>
      <c r="B188" t="n">
        <v>18.6</v>
      </c>
      <c r="C188" t="inlineStr">
        <is>
          <t>1000</t>
        </is>
      </c>
      <c r="D188" t="n">
        <v>10</v>
      </c>
      <c r="E188">
        <f>IFERROR(MEDIAN(D168:D208),D188)</f>
        <v/>
      </c>
      <c r="F188">
        <f>IF(OR(NOT(ISNUMBER(D188)),ABS(D188-E188)&gt;$O$3),1,0)</f>
        <v/>
      </c>
      <c r="G188">
        <f>IF(F188=1,NA(),D188)</f>
        <v/>
      </c>
      <c r="H188">
        <f>IF(AND(ISNUMBER(D188),D188&gt;=$O$4),1,0)</f>
        <v/>
      </c>
      <c r="I188">
        <f>B188-$O$8</f>
        <v/>
      </c>
    </row>
    <row r="189">
      <c r="A189" t="n">
        <v>561</v>
      </c>
      <c r="B189" t="n">
        <v>18.7</v>
      </c>
      <c r="C189" t="inlineStr">
        <is>
          <t>1000</t>
        </is>
      </c>
      <c r="D189" t="n">
        <v>10</v>
      </c>
      <c r="E189">
        <f>IFERROR(MEDIAN(D169:D209),D189)</f>
        <v/>
      </c>
      <c r="F189">
        <f>IF(OR(NOT(ISNUMBER(D189)),ABS(D189-E189)&gt;$O$3),1,0)</f>
        <v/>
      </c>
      <c r="G189">
        <f>IF(F189=1,NA(),D189)</f>
        <v/>
      </c>
      <c r="H189">
        <f>IF(AND(ISNUMBER(D189),D189&gt;=$O$4),1,0)</f>
        <v/>
      </c>
      <c r="I189">
        <f>B189-$O$8</f>
        <v/>
      </c>
    </row>
    <row r="190">
      <c r="A190" t="n">
        <v>564</v>
      </c>
      <c r="B190" t="n">
        <v>18.8</v>
      </c>
      <c r="C190" t="inlineStr">
        <is>
          <t>1000</t>
        </is>
      </c>
      <c r="D190" t="n">
        <v>10</v>
      </c>
      <c r="E190">
        <f>IFERROR(MEDIAN(D170:D210),D190)</f>
        <v/>
      </c>
      <c r="F190">
        <f>IF(OR(NOT(ISNUMBER(D190)),ABS(D190-E190)&gt;$O$3),1,0)</f>
        <v/>
      </c>
      <c r="G190">
        <f>IF(F190=1,NA(),D190)</f>
        <v/>
      </c>
      <c r="H190">
        <f>IF(AND(ISNUMBER(D190),D190&gt;=$O$4),1,0)</f>
        <v/>
      </c>
      <c r="I190">
        <f>B190-$O$8</f>
        <v/>
      </c>
    </row>
    <row r="191">
      <c r="A191" t="n">
        <v>567</v>
      </c>
      <c r="B191" t="n">
        <v>18.9</v>
      </c>
      <c r="C191" t="inlineStr">
        <is>
          <t>1000</t>
        </is>
      </c>
      <c r="D191" t="n">
        <v>10</v>
      </c>
      <c r="E191">
        <f>IFERROR(MEDIAN(D171:D211),D191)</f>
        <v/>
      </c>
      <c r="F191">
        <f>IF(OR(NOT(ISNUMBER(D191)),ABS(D191-E191)&gt;$O$3),1,0)</f>
        <v/>
      </c>
      <c r="G191">
        <f>IF(F191=1,NA(),D191)</f>
        <v/>
      </c>
      <c r="H191">
        <f>IF(AND(ISNUMBER(D191),D191&gt;=$O$4),1,0)</f>
        <v/>
      </c>
      <c r="I191">
        <f>B191-$O$8</f>
        <v/>
      </c>
    </row>
    <row r="192">
      <c r="A192" t="n">
        <v>570</v>
      </c>
      <c r="B192" t="n">
        <v>19</v>
      </c>
      <c r="C192" t="inlineStr">
        <is>
          <t>1000</t>
        </is>
      </c>
      <c r="D192" t="n">
        <v>10</v>
      </c>
      <c r="E192">
        <f>IFERROR(MEDIAN(D172:D212),D192)</f>
        <v/>
      </c>
      <c r="F192">
        <f>IF(OR(NOT(ISNUMBER(D192)),ABS(D192-E192)&gt;$O$3),1,0)</f>
        <v/>
      </c>
      <c r="G192">
        <f>IF(F192=1,NA(),D192)</f>
        <v/>
      </c>
      <c r="H192">
        <f>IF(AND(ISNUMBER(D192),D192&gt;=$O$4),1,0)</f>
        <v/>
      </c>
      <c r="I192">
        <f>B192-$O$8</f>
        <v/>
      </c>
    </row>
    <row r="193">
      <c r="A193" t="n">
        <v>573</v>
      </c>
      <c r="B193" t="n">
        <v>19.1</v>
      </c>
      <c r="C193" t="inlineStr">
        <is>
          <t>1000</t>
        </is>
      </c>
      <c r="D193" t="n">
        <v>10</v>
      </c>
      <c r="E193">
        <f>IFERROR(MEDIAN(D173:D213),D193)</f>
        <v/>
      </c>
      <c r="F193">
        <f>IF(OR(NOT(ISNUMBER(D193)),ABS(D193-E193)&gt;$O$3),1,0)</f>
        <v/>
      </c>
      <c r="G193">
        <f>IF(F193=1,NA(),D193)</f>
        <v/>
      </c>
      <c r="H193">
        <f>IF(AND(ISNUMBER(D193),D193&gt;=$O$4),1,0)</f>
        <v/>
      </c>
      <c r="I193">
        <f>B193-$O$8</f>
        <v/>
      </c>
    </row>
    <row r="194">
      <c r="A194" t="n">
        <v>576</v>
      </c>
      <c r="B194" t="n">
        <v>19.2</v>
      </c>
      <c r="C194" t="inlineStr">
        <is>
          <t>000</t>
        </is>
      </c>
      <c r="D194" t="n">
        <v>0</v>
      </c>
      <c r="E194">
        <f>IFERROR(MEDIAN(D174:D214),D194)</f>
        <v/>
      </c>
      <c r="F194">
        <f>IF(OR(NOT(ISNUMBER(D194)),ABS(D194-E194)&gt;$O$3),1,0)</f>
        <v/>
      </c>
      <c r="G194">
        <f>IF(F194=1,NA(),D194)</f>
        <v/>
      </c>
      <c r="H194">
        <f>IF(AND(ISNUMBER(D194),D194&gt;=$O$4),1,0)</f>
        <v/>
      </c>
      <c r="I194">
        <f>B194-$O$8</f>
        <v/>
      </c>
    </row>
    <row r="195">
      <c r="A195" t="n">
        <v>579</v>
      </c>
      <c r="B195" t="n">
        <v>19.3</v>
      </c>
      <c r="C195" t="inlineStr">
        <is>
          <t>1000</t>
        </is>
      </c>
      <c r="D195" t="n">
        <v>10</v>
      </c>
      <c r="E195">
        <f>IFERROR(MEDIAN(D175:D215),D195)</f>
        <v/>
      </c>
      <c r="F195">
        <f>IF(OR(NOT(ISNUMBER(D195)),ABS(D195-E195)&gt;$O$3),1,0)</f>
        <v/>
      </c>
      <c r="G195">
        <f>IF(F195=1,NA(),D195)</f>
        <v/>
      </c>
      <c r="H195">
        <f>IF(AND(ISNUMBER(D195),D195&gt;=$O$4),1,0)</f>
        <v/>
      </c>
      <c r="I195">
        <f>B195-$O$8</f>
        <v/>
      </c>
    </row>
    <row r="196">
      <c r="A196" t="n">
        <v>582</v>
      </c>
      <c r="B196" t="n">
        <v>19.4</v>
      </c>
      <c r="C196" t="inlineStr">
        <is>
          <t>1000</t>
        </is>
      </c>
      <c r="D196" t="n">
        <v>10</v>
      </c>
      <c r="E196">
        <f>IFERROR(MEDIAN(D176:D216),D196)</f>
        <v/>
      </c>
      <c r="F196">
        <f>IF(OR(NOT(ISNUMBER(D196)),ABS(D196-E196)&gt;$O$3),1,0)</f>
        <v/>
      </c>
      <c r="G196">
        <f>IF(F196=1,NA(),D196)</f>
        <v/>
      </c>
      <c r="H196">
        <f>IF(AND(ISNUMBER(D196),D196&gt;=$O$4),1,0)</f>
        <v/>
      </c>
      <c r="I196">
        <f>B196-$O$8</f>
        <v/>
      </c>
    </row>
    <row r="197">
      <c r="A197" t="n">
        <v>585</v>
      </c>
      <c r="B197" t="n">
        <v>19.5</v>
      </c>
      <c r="C197" t="inlineStr">
        <is>
          <t>1000</t>
        </is>
      </c>
      <c r="D197" t="n">
        <v>10</v>
      </c>
      <c r="E197">
        <f>IFERROR(MEDIAN(D177:D217),D197)</f>
        <v/>
      </c>
      <c r="F197">
        <f>IF(OR(NOT(ISNUMBER(D197)),ABS(D197-E197)&gt;$O$3),1,0)</f>
        <v/>
      </c>
      <c r="G197">
        <f>IF(F197=1,NA(),D197)</f>
        <v/>
      </c>
      <c r="H197">
        <f>IF(AND(ISNUMBER(D197),D197&gt;=$O$4),1,0)</f>
        <v/>
      </c>
      <c r="I197">
        <f>B197-$O$8</f>
        <v/>
      </c>
    </row>
    <row r="198">
      <c r="A198" t="n">
        <v>588</v>
      </c>
      <c r="B198" t="n">
        <v>19.6</v>
      </c>
      <c r="C198" t="inlineStr">
        <is>
          <t>1000</t>
        </is>
      </c>
      <c r="D198" t="n">
        <v>10</v>
      </c>
      <c r="E198">
        <f>IFERROR(MEDIAN(D178:D218),D198)</f>
        <v/>
      </c>
      <c r="F198">
        <f>IF(OR(NOT(ISNUMBER(D198)),ABS(D198-E198)&gt;$O$3),1,0)</f>
        <v/>
      </c>
      <c r="G198">
        <f>IF(F198=1,NA(),D198)</f>
        <v/>
      </c>
      <c r="H198">
        <f>IF(AND(ISNUMBER(D198),D198&gt;=$O$4),1,0)</f>
        <v/>
      </c>
      <c r="I198">
        <f>B198-$O$8</f>
        <v/>
      </c>
    </row>
    <row r="199">
      <c r="A199" t="n">
        <v>591</v>
      </c>
      <c r="B199" t="n">
        <v>19.7</v>
      </c>
      <c r="C199" t="inlineStr">
        <is>
          <t>1000</t>
        </is>
      </c>
      <c r="D199" t="n">
        <v>10</v>
      </c>
      <c r="E199">
        <f>IFERROR(MEDIAN(D179:D219),D199)</f>
        <v/>
      </c>
      <c r="F199">
        <f>IF(OR(NOT(ISNUMBER(D199)),ABS(D199-E199)&gt;$O$3),1,0)</f>
        <v/>
      </c>
      <c r="G199">
        <f>IF(F199=1,NA(),D199)</f>
        <v/>
      </c>
      <c r="H199">
        <f>IF(AND(ISNUMBER(D199),D199&gt;=$O$4),1,0)</f>
        <v/>
      </c>
      <c r="I199">
        <f>B199-$O$8</f>
        <v/>
      </c>
    </row>
    <row r="200">
      <c r="A200" t="n">
        <v>594</v>
      </c>
      <c r="B200" t="n">
        <v>19.8</v>
      </c>
      <c r="C200" t="inlineStr">
        <is>
          <t>1000</t>
        </is>
      </c>
      <c r="D200" t="n">
        <v>10</v>
      </c>
      <c r="E200">
        <f>IFERROR(MEDIAN(D180:D220),D200)</f>
        <v/>
      </c>
      <c r="F200">
        <f>IF(OR(NOT(ISNUMBER(D200)),ABS(D200-E200)&gt;$O$3),1,0)</f>
        <v/>
      </c>
      <c r="G200">
        <f>IF(F200=1,NA(),D200)</f>
        <v/>
      </c>
      <c r="H200">
        <f>IF(AND(ISNUMBER(D200),D200&gt;=$O$4),1,0)</f>
        <v/>
      </c>
      <c r="I200">
        <f>B200-$O$8</f>
        <v/>
      </c>
    </row>
    <row r="201">
      <c r="A201" t="n">
        <v>597</v>
      </c>
      <c r="B201" t="n">
        <v>19.9</v>
      </c>
      <c r="C201" t="inlineStr">
        <is>
          <t>1000</t>
        </is>
      </c>
      <c r="D201" t="n">
        <v>10</v>
      </c>
      <c r="E201">
        <f>IFERROR(MEDIAN(D181:D221),D201)</f>
        <v/>
      </c>
      <c r="F201">
        <f>IF(OR(NOT(ISNUMBER(D201)),ABS(D201-E201)&gt;$O$3),1,0)</f>
        <v/>
      </c>
      <c r="G201">
        <f>IF(F201=1,NA(),D201)</f>
        <v/>
      </c>
      <c r="H201">
        <f>IF(AND(ISNUMBER(D201),D201&gt;=$O$4),1,0)</f>
        <v/>
      </c>
      <c r="I201">
        <f>B201-$O$8</f>
        <v/>
      </c>
    </row>
    <row r="202">
      <c r="A202" t="n">
        <v>600</v>
      </c>
      <c r="B202" t="n">
        <v>20</v>
      </c>
      <c r="C202" t="inlineStr">
        <is>
          <t>1000</t>
        </is>
      </c>
      <c r="D202" t="n">
        <v>10</v>
      </c>
      <c r="E202">
        <f>IFERROR(MEDIAN(D182:D222),D202)</f>
        <v/>
      </c>
      <c r="F202">
        <f>IF(OR(NOT(ISNUMBER(D202)),ABS(D202-E202)&gt;$O$3),1,0)</f>
        <v/>
      </c>
      <c r="G202">
        <f>IF(F202=1,NA(),D202)</f>
        <v/>
      </c>
      <c r="H202">
        <f>IF(AND(ISNUMBER(D202),D202&gt;=$O$4),1,0)</f>
        <v/>
      </c>
      <c r="I202">
        <f>B202-$O$8</f>
        <v/>
      </c>
    </row>
    <row r="203">
      <c r="A203" t="n">
        <v>603</v>
      </c>
      <c r="B203" t="n">
        <v>20.1</v>
      </c>
      <c r="C203" t="inlineStr">
        <is>
          <t>1000</t>
        </is>
      </c>
      <c r="D203" t="n">
        <v>10</v>
      </c>
      <c r="E203">
        <f>IFERROR(MEDIAN(D183:D223),D203)</f>
        <v/>
      </c>
      <c r="F203">
        <f>IF(OR(NOT(ISNUMBER(D203)),ABS(D203-E203)&gt;$O$3),1,0)</f>
        <v/>
      </c>
      <c r="G203">
        <f>IF(F203=1,NA(),D203)</f>
        <v/>
      </c>
      <c r="H203">
        <f>IF(AND(ISNUMBER(D203),D203&gt;=$O$4),1,0)</f>
        <v/>
      </c>
      <c r="I203">
        <f>B203-$O$8</f>
        <v/>
      </c>
    </row>
    <row r="204">
      <c r="A204" t="n">
        <v>606</v>
      </c>
      <c r="B204" t="n">
        <v>20.2</v>
      </c>
      <c r="C204" t="inlineStr">
        <is>
          <t>1000</t>
        </is>
      </c>
      <c r="D204" t="n">
        <v>10</v>
      </c>
      <c r="E204">
        <f>IFERROR(MEDIAN(D184:D224),D204)</f>
        <v/>
      </c>
      <c r="F204">
        <f>IF(OR(NOT(ISNUMBER(D204)),ABS(D204-E204)&gt;$O$3),1,0)</f>
        <v/>
      </c>
      <c r="G204">
        <f>IF(F204=1,NA(),D204)</f>
        <v/>
      </c>
      <c r="H204">
        <f>IF(AND(ISNUMBER(D204),D204&gt;=$O$4),1,0)</f>
        <v/>
      </c>
      <c r="I204">
        <f>B204-$O$8</f>
        <v/>
      </c>
    </row>
    <row r="205">
      <c r="A205" t="n">
        <v>609</v>
      </c>
      <c r="B205" t="n">
        <v>20.3</v>
      </c>
      <c r="C205" t="inlineStr">
        <is>
          <t>1000</t>
        </is>
      </c>
      <c r="D205" t="n">
        <v>10</v>
      </c>
      <c r="E205">
        <f>IFERROR(MEDIAN(D185:D225),D205)</f>
        <v/>
      </c>
      <c r="F205">
        <f>IF(OR(NOT(ISNUMBER(D205)),ABS(D205-E205)&gt;$O$3),1,0)</f>
        <v/>
      </c>
      <c r="G205">
        <f>IF(F205=1,NA(),D205)</f>
        <v/>
      </c>
      <c r="H205">
        <f>IF(AND(ISNUMBER(D205),D205&gt;=$O$4),1,0)</f>
        <v/>
      </c>
      <c r="I205">
        <f>B205-$O$8</f>
        <v/>
      </c>
    </row>
    <row r="206">
      <c r="A206" t="n">
        <v>612</v>
      </c>
      <c r="B206" t="n">
        <v>20.4</v>
      </c>
      <c r="C206" t="inlineStr">
        <is>
          <t>000</t>
        </is>
      </c>
      <c r="D206" t="n">
        <v>0</v>
      </c>
      <c r="E206">
        <f>IFERROR(MEDIAN(D186:D226),D206)</f>
        <v/>
      </c>
      <c r="F206">
        <f>IF(OR(NOT(ISNUMBER(D206)),ABS(D206-E206)&gt;$O$3),1,0)</f>
        <v/>
      </c>
      <c r="G206">
        <f>IF(F206=1,NA(),D206)</f>
        <v/>
      </c>
      <c r="H206">
        <f>IF(AND(ISNUMBER(D206),D206&gt;=$O$4),1,0)</f>
        <v/>
      </c>
      <c r="I206">
        <f>B206-$O$8</f>
        <v/>
      </c>
    </row>
    <row r="207">
      <c r="A207" t="n">
        <v>615</v>
      </c>
      <c r="B207" t="n">
        <v>20.5</v>
      </c>
      <c r="C207" t="inlineStr">
        <is>
          <t>1000</t>
        </is>
      </c>
      <c r="D207" t="n">
        <v>10</v>
      </c>
      <c r="E207">
        <f>IFERROR(MEDIAN(D187:D227),D207)</f>
        <v/>
      </c>
      <c r="F207">
        <f>IF(OR(NOT(ISNUMBER(D207)),ABS(D207-E207)&gt;$O$3),1,0)</f>
        <v/>
      </c>
      <c r="G207">
        <f>IF(F207=1,NA(),D207)</f>
        <v/>
      </c>
      <c r="H207">
        <f>IF(AND(ISNUMBER(D207),D207&gt;=$O$4),1,0)</f>
        <v/>
      </c>
      <c r="I207">
        <f>B207-$O$8</f>
        <v/>
      </c>
    </row>
    <row r="208">
      <c r="A208" t="n">
        <v>618</v>
      </c>
      <c r="B208" t="n">
        <v>20.6</v>
      </c>
      <c r="C208" t="inlineStr">
        <is>
          <t>899</t>
        </is>
      </c>
      <c r="D208" t="n">
        <v>8.99</v>
      </c>
      <c r="E208">
        <f>IFERROR(MEDIAN(D188:D228),D208)</f>
        <v/>
      </c>
      <c r="F208">
        <f>IF(OR(NOT(ISNUMBER(D208)),ABS(D208-E208)&gt;$O$3),1,0)</f>
        <v/>
      </c>
      <c r="G208">
        <f>IF(F208=1,NA(),D208)</f>
        <v/>
      </c>
      <c r="H208">
        <f>IF(AND(ISNUMBER(D208),D208&gt;=$O$4),1,0)</f>
        <v/>
      </c>
      <c r="I208">
        <f>B208-$O$8</f>
        <v/>
      </c>
    </row>
    <row r="209">
      <c r="A209" t="n">
        <v>621</v>
      </c>
      <c r="B209" t="n">
        <v>20.7</v>
      </c>
      <c r="C209" t="inlineStr">
        <is>
          <t>999</t>
        </is>
      </c>
      <c r="D209" t="n">
        <v>9.99</v>
      </c>
      <c r="E209">
        <f>IFERROR(MEDIAN(D189:D229),D209)</f>
        <v/>
      </c>
      <c r="F209">
        <f>IF(OR(NOT(ISNUMBER(D209)),ABS(D209-E209)&gt;$O$3),1,0)</f>
        <v/>
      </c>
      <c r="G209">
        <f>IF(F209=1,NA(),D209)</f>
        <v/>
      </c>
      <c r="H209">
        <f>IF(AND(ISNUMBER(D209),D209&gt;=$O$4),1,0)</f>
        <v/>
      </c>
      <c r="I209">
        <f>B209-$O$8</f>
        <v/>
      </c>
    </row>
    <row r="210">
      <c r="A210" t="n">
        <v>624</v>
      </c>
      <c r="B210" t="n">
        <v>20.8</v>
      </c>
      <c r="C210" t="inlineStr">
        <is>
          <t>999</t>
        </is>
      </c>
      <c r="D210" t="n">
        <v>9.99</v>
      </c>
      <c r="E210">
        <f>IFERROR(MEDIAN(D190:D230),D210)</f>
        <v/>
      </c>
      <c r="F210">
        <f>IF(OR(NOT(ISNUMBER(D210)),ABS(D210-E210)&gt;$O$3),1,0)</f>
        <v/>
      </c>
      <c r="G210">
        <f>IF(F210=1,NA(),D210)</f>
        <v/>
      </c>
      <c r="H210">
        <f>IF(AND(ISNUMBER(D210),D210&gt;=$O$4),1,0)</f>
        <v/>
      </c>
      <c r="I210">
        <f>B210-$O$8</f>
        <v/>
      </c>
    </row>
    <row r="211">
      <c r="A211" t="n">
        <v>627</v>
      </c>
      <c r="B211" t="n">
        <v>20.9</v>
      </c>
      <c r="C211" t="inlineStr">
        <is>
          <t>999</t>
        </is>
      </c>
      <c r="D211" t="n">
        <v>9.99</v>
      </c>
      <c r="E211">
        <f>IFERROR(MEDIAN(D191:D231),D211)</f>
        <v/>
      </c>
      <c r="F211">
        <f>IF(OR(NOT(ISNUMBER(D211)),ABS(D211-E211)&gt;$O$3),1,0)</f>
        <v/>
      </c>
      <c r="G211">
        <f>IF(F211=1,NA(),D211)</f>
        <v/>
      </c>
      <c r="H211">
        <f>IF(AND(ISNUMBER(D211),D211&gt;=$O$4),1,0)</f>
        <v/>
      </c>
      <c r="I211">
        <f>B211-$O$8</f>
        <v/>
      </c>
    </row>
    <row r="212">
      <c r="A212" t="n">
        <v>630</v>
      </c>
      <c r="B212" t="n">
        <v>21</v>
      </c>
      <c r="C212" t="inlineStr">
        <is>
          <t>999</t>
        </is>
      </c>
      <c r="D212" t="n">
        <v>9.99</v>
      </c>
      <c r="E212">
        <f>IFERROR(MEDIAN(D192:D232),D212)</f>
        <v/>
      </c>
      <c r="F212">
        <f>IF(OR(NOT(ISNUMBER(D212)),ABS(D212-E212)&gt;$O$3),1,0)</f>
        <v/>
      </c>
      <c r="G212">
        <f>IF(F212=1,NA(),D212)</f>
        <v/>
      </c>
      <c r="H212">
        <f>IF(AND(ISNUMBER(D212),D212&gt;=$O$4),1,0)</f>
        <v/>
      </c>
      <c r="I212">
        <f>B212-$O$8</f>
        <v/>
      </c>
    </row>
    <row r="213">
      <c r="A213" t="n">
        <v>633</v>
      </c>
      <c r="B213" t="n">
        <v>21.1</v>
      </c>
      <c r="C213" t="inlineStr">
        <is>
          <t>999</t>
        </is>
      </c>
      <c r="D213" t="n">
        <v>9.99</v>
      </c>
      <c r="E213">
        <f>IFERROR(MEDIAN(D193:D233),D213)</f>
        <v/>
      </c>
      <c r="F213">
        <f>IF(OR(NOT(ISNUMBER(D213)),ABS(D213-E213)&gt;$O$3),1,0)</f>
        <v/>
      </c>
      <c r="G213">
        <f>IF(F213=1,NA(),D213)</f>
        <v/>
      </c>
      <c r="H213">
        <f>IF(AND(ISNUMBER(D213),D213&gt;=$O$4),1,0)</f>
        <v/>
      </c>
      <c r="I213">
        <f>B213-$O$8</f>
        <v/>
      </c>
    </row>
    <row r="214">
      <c r="A214" t="n">
        <v>636</v>
      </c>
      <c r="B214" t="n">
        <v>21.2</v>
      </c>
      <c r="C214" t="inlineStr">
        <is>
          <t>999</t>
        </is>
      </c>
      <c r="D214" t="n">
        <v>9.99</v>
      </c>
      <c r="E214">
        <f>IFERROR(MEDIAN(D194:D234),D214)</f>
        <v/>
      </c>
      <c r="F214">
        <f>IF(OR(NOT(ISNUMBER(D214)),ABS(D214-E214)&gt;$O$3),1,0)</f>
        <v/>
      </c>
      <c r="G214">
        <f>IF(F214=1,NA(),D214)</f>
        <v/>
      </c>
      <c r="H214">
        <f>IF(AND(ISNUMBER(D214),D214&gt;=$O$4),1,0)</f>
        <v/>
      </c>
      <c r="I214">
        <f>B214-$O$8</f>
        <v/>
      </c>
    </row>
    <row r="215">
      <c r="A215" t="n">
        <v>639</v>
      </c>
      <c r="B215" t="n">
        <v>21.3</v>
      </c>
      <c r="C215" t="inlineStr">
        <is>
          <t>999</t>
        </is>
      </c>
      <c r="D215" t="n">
        <v>9.99</v>
      </c>
      <c r="E215">
        <f>IFERROR(MEDIAN(D195:D235),D215)</f>
        <v/>
      </c>
      <c r="F215">
        <f>IF(OR(NOT(ISNUMBER(D215)),ABS(D215-E215)&gt;$O$3),1,0)</f>
        <v/>
      </c>
      <c r="G215">
        <f>IF(F215=1,NA(),D215)</f>
        <v/>
      </c>
      <c r="H215">
        <f>IF(AND(ISNUMBER(D215),D215&gt;=$O$4),1,0)</f>
        <v/>
      </c>
      <c r="I215">
        <f>B215-$O$8</f>
        <v/>
      </c>
    </row>
    <row r="216">
      <c r="A216" t="n">
        <v>642</v>
      </c>
      <c r="B216" t="n">
        <v>21.4</v>
      </c>
      <c r="C216" t="inlineStr">
        <is>
          <t>999</t>
        </is>
      </c>
      <c r="D216" t="n">
        <v>9.99</v>
      </c>
      <c r="E216">
        <f>IFERROR(MEDIAN(D196:D236),D216)</f>
        <v/>
      </c>
      <c r="F216">
        <f>IF(OR(NOT(ISNUMBER(D216)),ABS(D216-E216)&gt;$O$3),1,0)</f>
        <v/>
      </c>
      <c r="G216">
        <f>IF(F216=1,NA(),D216)</f>
        <v/>
      </c>
      <c r="H216">
        <f>IF(AND(ISNUMBER(D216),D216&gt;=$O$4),1,0)</f>
        <v/>
      </c>
      <c r="I216">
        <f>B216-$O$8</f>
        <v/>
      </c>
    </row>
    <row r="217">
      <c r="A217" t="n">
        <v>645</v>
      </c>
      <c r="B217" t="n">
        <v>21.5</v>
      </c>
      <c r="C217" t="inlineStr">
        <is>
          <t>999</t>
        </is>
      </c>
      <c r="D217" t="n">
        <v>9.99</v>
      </c>
      <c r="E217">
        <f>IFERROR(MEDIAN(D197:D237),D217)</f>
        <v/>
      </c>
      <c r="F217">
        <f>IF(OR(NOT(ISNUMBER(D217)),ABS(D217-E217)&gt;$O$3),1,0)</f>
        <v/>
      </c>
      <c r="G217">
        <f>IF(F217=1,NA(),D217)</f>
        <v/>
      </c>
      <c r="H217">
        <f>IF(AND(ISNUMBER(D217),D217&gt;=$O$4),1,0)</f>
        <v/>
      </c>
      <c r="I217">
        <f>B217-$O$8</f>
        <v/>
      </c>
    </row>
    <row r="218">
      <c r="A218" t="n">
        <v>648</v>
      </c>
      <c r="B218" t="n">
        <v>21.6</v>
      </c>
      <c r="C218" t="inlineStr">
        <is>
          <t>999</t>
        </is>
      </c>
      <c r="D218" t="n">
        <v>9.99</v>
      </c>
      <c r="E218">
        <f>IFERROR(MEDIAN(D198:D238),D218)</f>
        <v/>
      </c>
      <c r="F218">
        <f>IF(OR(NOT(ISNUMBER(D218)),ABS(D218-E218)&gt;$O$3),1,0)</f>
        <v/>
      </c>
      <c r="G218">
        <f>IF(F218=1,NA(),D218)</f>
        <v/>
      </c>
      <c r="H218">
        <f>IF(AND(ISNUMBER(D218),D218&gt;=$O$4),1,0)</f>
        <v/>
      </c>
      <c r="I218">
        <f>B218-$O$8</f>
        <v/>
      </c>
    </row>
    <row r="219">
      <c r="A219" t="n">
        <v>651</v>
      </c>
      <c r="B219" t="n">
        <v>21.7</v>
      </c>
      <c r="C219" t="inlineStr">
        <is>
          <t>999</t>
        </is>
      </c>
      <c r="D219" t="n">
        <v>9.99</v>
      </c>
      <c r="E219">
        <f>IFERROR(MEDIAN(D199:D239),D219)</f>
        <v/>
      </c>
      <c r="F219">
        <f>IF(OR(NOT(ISNUMBER(D219)),ABS(D219-E219)&gt;$O$3),1,0)</f>
        <v/>
      </c>
      <c r="G219">
        <f>IF(F219=1,NA(),D219)</f>
        <v/>
      </c>
      <c r="H219">
        <f>IF(AND(ISNUMBER(D219),D219&gt;=$O$4),1,0)</f>
        <v/>
      </c>
      <c r="I219">
        <f>B219-$O$8</f>
        <v/>
      </c>
    </row>
    <row r="220">
      <c r="A220" t="n">
        <v>654</v>
      </c>
      <c r="B220" t="n">
        <v>21.8</v>
      </c>
      <c r="C220" t="inlineStr">
        <is>
          <t>999</t>
        </is>
      </c>
      <c r="D220" t="n">
        <v>9.99</v>
      </c>
      <c r="E220">
        <f>IFERROR(MEDIAN(D200:D240),D220)</f>
        <v/>
      </c>
      <c r="F220">
        <f>IF(OR(NOT(ISNUMBER(D220)),ABS(D220-E220)&gt;$O$3),1,0)</f>
        <v/>
      </c>
      <c r="G220">
        <f>IF(F220=1,NA(),D220)</f>
        <v/>
      </c>
      <c r="H220">
        <f>IF(AND(ISNUMBER(D220),D220&gt;=$O$4),1,0)</f>
        <v/>
      </c>
      <c r="I220">
        <f>B220-$O$8</f>
        <v/>
      </c>
    </row>
    <row r="221">
      <c r="A221" t="n">
        <v>657</v>
      </c>
      <c r="B221" t="n">
        <v>21.9</v>
      </c>
      <c r="C221" t="inlineStr">
        <is>
          <t>999</t>
        </is>
      </c>
      <c r="D221" t="n">
        <v>9.99</v>
      </c>
      <c r="E221">
        <f>IFERROR(MEDIAN(D201:D241),D221)</f>
        <v/>
      </c>
      <c r="F221">
        <f>IF(OR(NOT(ISNUMBER(D221)),ABS(D221-E221)&gt;$O$3),1,0)</f>
        <v/>
      </c>
      <c r="G221">
        <f>IF(F221=1,NA(),D221)</f>
        <v/>
      </c>
      <c r="H221">
        <f>IF(AND(ISNUMBER(D221),D221&gt;=$O$4),1,0)</f>
        <v/>
      </c>
      <c r="I221">
        <f>B221-$O$8</f>
        <v/>
      </c>
    </row>
    <row r="222">
      <c r="A222" t="n">
        <v>660</v>
      </c>
      <c r="B222" t="n">
        <v>22</v>
      </c>
      <c r="C222" t="inlineStr">
        <is>
          <t>999</t>
        </is>
      </c>
      <c r="D222" t="n">
        <v>9.99</v>
      </c>
      <c r="E222">
        <f>IFERROR(MEDIAN(D202:D242),D222)</f>
        <v/>
      </c>
      <c r="F222">
        <f>IF(OR(NOT(ISNUMBER(D222)),ABS(D222-E222)&gt;$O$3),1,0)</f>
        <v/>
      </c>
      <c r="G222">
        <f>IF(F222=1,NA(),D222)</f>
        <v/>
      </c>
      <c r="H222">
        <f>IF(AND(ISNUMBER(D222),D222&gt;=$O$4),1,0)</f>
        <v/>
      </c>
      <c r="I222">
        <f>B222-$O$8</f>
        <v/>
      </c>
    </row>
    <row r="223">
      <c r="A223" t="n">
        <v>663</v>
      </c>
      <c r="B223" t="n">
        <v>22.1</v>
      </c>
      <c r="C223" t="inlineStr">
        <is>
          <t>999</t>
        </is>
      </c>
      <c r="D223" t="n">
        <v>9.99</v>
      </c>
      <c r="E223">
        <f>IFERROR(MEDIAN(D203:D243),D223)</f>
        <v/>
      </c>
      <c r="F223">
        <f>IF(OR(NOT(ISNUMBER(D223)),ABS(D223-E223)&gt;$O$3),1,0)</f>
        <v/>
      </c>
      <c r="G223">
        <f>IF(F223=1,NA(),D223)</f>
        <v/>
      </c>
      <c r="H223">
        <f>IF(AND(ISNUMBER(D223),D223&gt;=$O$4),1,0)</f>
        <v/>
      </c>
      <c r="I223">
        <f>B223-$O$8</f>
        <v/>
      </c>
    </row>
    <row r="224">
      <c r="A224" t="n">
        <v>666</v>
      </c>
      <c r="B224" t="n">
        <v>22.2</v>
      </c>
      <c r="C224" t="inlineStr">
        <is>
          <t>999</t>
        </is>
      </c>
      <c r="D224" t="n">
        <v>9.99</v>
      </c>
      <c r="E224">
        <f>IFERROR(MEDIAN(D204:D244),D224)</f>
        <v/>
      </c>
      <c r="F224">
        <f>IF(OR(NOT(ISNUMBER(D224)),ABS(D224-E224)&gt;$O$3),1,0)</f>
        <v/>
      </c>
      <c r="G224">
        <f>IF(F224=1,NA(),D224)</f>
        <v/>
      </c>
      <c r="H224">
        <f>IF(AND(ISNUMBER(D224),D224&gt;=$O$4),1,0)</f>
        <v/>
      </c>
      <c r="I224">
        <f>B224-$O$8</f>
        <v/>
      </c>
    </row>
    <row r="225">
      <c r="A225" t="n">
        <v>669</v>
      </c>
      <c r="B225" t="n">
        <v>22.3</v>
      </c>
      <c r="C225" t="inlineStr">
        <is>
          <t>999</t>
        </is>
      </c>
      <c r="D225" t="n">
        <v>9.99</v>
      </c>
      <c r="E225">
        <f>IFERROR(MEDIAN(D205:D245),D225)</f>
        <v/>
      </c>
      <c r="F225">
        <f>IF(OR(NOT(ISNUMBER(D225)),ABS(D225-E225)&gt;$O$3),1,0)</f>
        <v/>
      </c>
      <c r="G225">
        <f>IF(F225=1,NA(),D225)</f>
        <v/>
      </c>
      <c r="H225">
        <f>IF(AND(ISNUMBER(D225),D225&gt;=$O$4),1,0)</f>
        <v/>
      </c>
      <c r="I225">
        <f>B225-$O$8</f>
        <v/>
      </c>
    </row>
    <row r="226">
      <c r="A226" t="n">
        <v>672</v>
      </c>
      <c r="B226" t="n">
        <v>22.4</v>
      </c>
      <c r="C226" t="inlineStr">
        <is>
          <t>999</t>
        </is>
      </c>
      <c r="D226" t="n">
        <v>9.99</v>
      </c>
      <c r="E226">
        <f>IFERROR(MEDIAN(D206:D246),D226)</f>
        <v/>
      </c>
      <c r="F226">
        <f>IF(OR(NOT(ISNUMBER(D226)),ABS(D226-E226)&gt;$O$3),1,0)</f>
        <v/>
      </c>
      <c r="G226">
        <f>IF(F226=1,NA(),D226)</f>
        <v/>
      </c>
      <c r="H226">
        <f>IF(AND(ISNUMBER(D226),D226&gt;=$O$4),1,0)</f>
        <v/>
      </c>
      <c r="I226">
        <f>B226-$O$8</f>
        <v/>
      </c>
    </row>
    <row r="227">
      <c r="A227" t="n">
        <v>675</v>
      </c>
      <c r="B227" t="n">
        <v>22.5</v>
      </c>
      <c r="C227" t="inlineStr">
        <is>
          <t>999</t>
        </is>
      </c>
      <c r="D227" t="n">
        <v>9.99</v>
      </c>
      <c r="E227">
        <f>IFERROR(MEDIAN(D207:D247),D227)</f>
        <v/>
      </c>
      <c r="F227">
        <f>IF(OR(NOT(ISNUMBER(D227)),ABS(D227-E227)&gt;$O$3),1,0)</f>
        <v/>
      </c>
      <c r="G227">
        <f>IF(F227=1,NA(),D227)</f>
        <v/>
      </c>
      <c r="H227">
        <f>IF(AND(ISNUMBER(D227),D227&gt;=$O$4),1,0)</f>
        <v/>
      </c>
      <c r="I227">
        <f>B227-$O$8</f>
        <v/>
      </c>
    </row>
    <row r="228">
      <c r="A228" t="n">
        <v>678</v>
      </c>
      <c r="B228" t="n">
        <v>22.6</v>
      </c>
      <c r="C228" t="inlineStr">
        <is>
          <t>999</t>
        </is>
      </c>
      <c r="D228" t="n">
        <v>9.99</v>
      </c>
      <c r="E228">
        <f>IFERROR(MEDIAN(D208:D248),D228)</f>
        <v/>
      </c>
      <c r="F228">
        <f>IF(OR(NOT(ISNUMBER(D228)),ABS(D228-E228)&gt;$O$3),1,0)</f>
        <v/>
      </c>
      <c r="G228">
        <f>IF(F228=1,NA(),D228)</f>
        <v/>
      </c>
      <c r="H228">
        <f>IF(AND(ISNUMBER(D228),D228&gt;=$O$4),1,0)</f>
        <v/>
      </c>
      <c r="I228">
        <f>B228-$O$8</f>
        <v/>
      </c>
    </row>
    <row r="229">
      <c r="A229" t="n">
        <v>681</v>
      </c>
      <c r="B229" t="n">
        <v>22.7</v>
      </c>
      <c r="C229" t="inlineStr">
        <is>
          <t>999</t>
        </is>
      </c>
      <c r="D229" t="n">
        <v>9.99</v>
      </c>
      <c r="E229">
        <f>IFERROR(MEDIAN(D209:D249),D229)</f>
        <v/>
      </c>
      <c r="F229">
        <f>IF(OR(NOT(ISNUMBER(D229)),ABS(D229-E229)&gt;$O$3),1,0)</f>
        <v/>
      </c>
      <c r="G229">
        <f>IF(F229=1,NA(),D229)</f>
        <v/>
      </c>
      <c r="H229">
        <f>IF(AND(ISNUMBER(D229),D229&gt;=$O$4),1,0)</f>
        <v/>
      </c>
      <c r="I229">
        <f>B229-$O$8</f>
        <v/>
      </c>
    </row>
    <row r="230">
      <c r="A230" t="n">
        <v>684</v>
      </c>
      <c r="B230" t="n">
        <v>22.8</v>
      </c>
      <c r="C230" t="inlineStr">
        <is>
          <t>999</t>
        </is>
      </c>
      <c r="D230" t="n">
        <v>9.99</v>
      </c>
      <c r="E230">
        <f>IFERROR(MEDIAN(D210:D250),D230)</f>
        <v/>
      </c>
      <c r="F230">
        <f>IF(OR(NOT(ISNUMBER(D230)),ABS(D230-E230)&gt;$O$3),1,0)</f>
        <v/>
      </c>
      <c r="G230">
        <f>IF(F230=1,NA(),D230)</f>
        <v/>
      </c>
      <c r="H230">
        <f>IF(AND(ISNUMBER(D230),D230&gt;=$O$4),1,0)</f>
        <v/>
      </c>
      <c r="I230">
        <f>B230-$O$8</f>
        <v/>
      </c>
    </row>
    <row r="231">
      <c r="A231" t="n">
        <v>687</v>
      </c>
      <c r="B231" t="n">
        <v>22.9</v>
      </c>
      <c r="C231" t="inlineStr">
        <is>
          <t>999</t>
        </is>
      </c>
      <c r="D231" t="n">
        <v>9.99</v>
      </c>
      <c r="E231">
        <f>IFERROR(MEDIAN(D211:D251),D231)</f>
        <v/>
      </c>
      <c r="F231">
        <f>IF(OR(NOT(ISNUMBER(D231)),ABS(D231-E231)&gt;$O$3),1,0)</f>
        <v/>
      </c>
      <c r="G231">
        <f>IF(F231=1,NA(),D231)</f>
        <v/>
      </c>
      <c r="H231">
        <f>IF(AND(ISNUMBER(D231),D231&gt;=$O$4),1,0)</f>
        <v/>
      </c>
      <c r="I231">
        <f>B231-$O$8</f>
        <v/>
      </c>
    </row>
    <row r="232">
      <c r="A232" t="n">
        <v>690</v>
      </c>
      <c r="B232" t="n">
        <v>23</v>
      </c>
      <c r="C232" t="inlineStr">
        <is>
          <t>999</t>
        </is>
      </c>
      <c r="D232" t="n">
        <v>9.99</v>
      </c>
      <c r="E232">
        <f>IFERROR(MEDIAN(D212:D252),D232)</f>
        <v/>
      </c>
      <c r="F232">
        <f>IF(OR(NOT(ISNUMBER(D232)),ABS(D232-E232)&gt;$O$3),1,0)</f>
        <v/>
      </c>
      <c r="G232">
        <f>IF(F232=1,NA(),D232)</f>
        <v/>
      </c>
      <c r="H232">
        <f>IF(AND(ISNUMBER(D232),D232&gt;=$O$4),1,0)</f>
        <v/>
      </c>
      <c r="I232">
        <f>B232-$O$8</f>
        <v/>
      </c>
    </row>
    <row r="233">
      <c r="A233" t="n">
        <v>693</v>
      </c>
      <c r="B233" t="n">
        <v>23.1</v>
      </c>
      <c r="C233" t="inlineStr">
        <is>
          <t>999</t>
        </is>
      </c>
      <c r="D233" t="n">
        <v>9.99</v>
      </c>
      <c r="E233">
        <f>IFERROR(MEDIAN(D213:D253),D233)</f>
        <v/>
      </c>
      <c r="F233">
        <f>IF(OR(NOT(ISNUMBER(D233)),ABS(D233-E233)&gt;$O$3),1,0)</f>
        <v/>
      </c>
      <c r="G233">
        <f>IF(F233=1,NA(),D233)</f>
        <v/>
      </c>
      <c r="H233">
        <f>IF(AND(ISNUMBER(D233),D233&gt;=$O$4),1,0)</f>
        <v/>
      </c>
      <c r="I233">
        <f>B233-$O$8</f>
        <v/>
      </c>
    </row>
    <row r="234">
      <c r="A234" t="n">
        <v>696</v>
      </c>
      <c r="B234" t="n">
        <v>23.2</v>
      </c>
      <c r="C234" t="inlineStr">
        <is>
          <t>999</t>
        </is>
      </c>
      <c r="D234" t="n">
        <v>9.99</v>
      </c>
      <c r="E234">
        <f>IFERROR(MEDIAN(D214:D254),D234)</f>
        <v/>
      </c>
      <c r="F234">
        <f>IF(OR(NOT(ISNUMBER(D234)),ABS(D234-E234)&gt;$O$3),1,0)</f>
        <v/>
      </c>
      <c r="G234">
        <f>IF(F234=1,NA(),D234)</f>
        <v/>
      </c>
      <c r="H234">
        <f>IF(AND(ISNUMBER(D234),D234&gt;=$O$4),1,0)</f>
        <v/>
      </c>
      <c r="I234">
        <f>B234-$O$8</f>
        <v/>
      </c>
    </row>
    <row r="235">
      <c r="A235" t="n">
        <v>699</v>
      </c>
      <c r="B235" t="n">
        <v>23.3</v>
      </c>
      <c r="C235" t="inlineStr">
        <is>
          <t>000</t>
        </is>
      </c>
      <c r="D235" t="n">
        <v>0</v>
      </c>
      <c r="E235">
        <f>IFERROR(MEDIAN(D215:D255),D235)</f>
        <v/>
      </c>
      <c r="F235">
        <f>IF(OR(NOT(ISNUMBER(D235)),ABS(D235-E235)&gt;$O$3),1,0)</f>
        <v/>
      </c>
      <c r="G235">
        <f>IF(F235=1,NA(),D235)</f>
        <v/>
      </c>
      <c r="H235">
        <f>IF(AND(ISNUMBER(D235),D235&gt;=$O$4),1,0)</f>
        <v/>
      </c>
      <c r="I235">
        <f>B235-$O$8</f>
        <v/>
      </c>
    </row>
    <row r="236">
      <c r="A236" t="n">
        <v>702</v>
      </c>
      <c r="B236" t="n">
        <v>23.4</v>
      </c>
      <c r="C236" t="inlineStr">
        <is>
          <t>000</t>
        </is>
      </c>
      <c r="D236" t="n">
        <v>0</v>
      </c>
      <c r="E236">
        <f>IFERROR(MEDIAN(D216:D256),D236)</f>
        <v/>
      </c>
      <c r="F236">
        <f>IF(OR(NOT(ISNUMBER(D236)),ABS(D236-E236)&gt;$O$3),1,0)</f>
        <v/>
      </c>
      <c r="G236">
        <f>IF(F236=1,NA(),D236)</f>
        <v/>
      </c>
      <c r="H236">
        <f>IF(AND(ISNUMBER(D236),D236&gt;=$O$4),1,0)</f>
        <v/>
      </c>
      <c r="I236">
        <f>B236-$O$8</f>
        <v/>
      </c>
    </row>
    <row r="237">
      <c r="A237" t="n">
        <v>705</v>
      </c>
      <c r="B237" t="n">
        <v>23.5</v>
      </c>
      <c r="C237" t="inlineStr">
        <is>
          <t>1000</t>
        </is>
      </c>
      <c r="D237" t="n">
        <v>10</v>
      </c>
      <c r="E237">
        <f>IFERROR(MEDIAN(D217:D257),D237)</f>
        <v/>
      </c>
      <c r="F237">
        <f>IF(OR(NOT(ISNUMBER(D237)),ABS(D237-E237)&gt;$O$3),1,0)</f>
        <v/>
      </c>
      <c r="G237">
        <f>IF(F237=1,NA(),D237)</f>
        <v/>
      </c>
      <c r="H237">
        <f>IF(AND(ISNUMBER(D237),D237&gt;=$O$4),1,0)</f>
        <v/>
      </c>
      <c r="I237">
        <f>B237-$O$8</f>
        <v/>
      </c>
    </row>
    <row r="238">
      <c r="A238" t="n">
        <v>708</v>
      </c>
      <c r="B238" t="n">
        <v>23.6</v>
      </c>
      <c r="C238" t="inlineStr">
        <is>
          <t>000</t>
        </is>
      </c>
      <c r="D238" t="n">
        <v>0</v>
      </c>
      <c r="E238">
        <f>IFERROR(MEDIAN(D218:D258),D238)</f>
        <v/>
      </c>
      <c r="F238">
        <f>IF(OR(NOT(ISNUMBER(D238)),ABS(D238-E238)&gt;$O$3),1,0)</f>
        <v/>
      </c>
      <c r="G238">
        <f>IF(F238=1,NA(),D238)</f>
        <v/>
      </c>
      <c r="H238">
        <f>IF(AND(ISNUMBER(D238),D238&gt;=$O$4),1,0)</f>
        <v/>
      </c>
      <c r="I238">
        <f>B238-$O$8</f>
        <v/>
      </c>
    </row>
    <row r="239">
      <c r="A239" t="n">
        <v>711</v>
      </c>
      <c r="B239" t="n">
        <v>23.7</v>
      </c>
      <c r="C239" t="inlineStr">
        <is>
          <t>1000</t>
        </is>
      </c>
      <c r="D239" t="n">
        <v>10</v>
      </c>
      <c r="E239">
        <f>IFERROR(MEDIAN(D219:D259),D239)</f>
        <v/>
      </c>
      <c r="F239">
        <f>IF(OR(NOT(ISNUMBER(D239)),ABS(D239-E239)&gt;$O$3),1,0)</f>
        <v/>
      </c>
      <c r="G239">
        <f>IF(F239=1,NA(),D239)</f>
        <v/>
      </c>
      <c r="H239">
        <f>IF(AND(ISNUMBER(D239),D239&gt;=$O$4),1,0)</f>
        <v/>
      </c>
      <c r="I239">
        <f>B239-$O$8</f>
        <v/>
      </c>
    </row>
    <row r="240">
      <c r="A240" t="n">
        <v>714</v>
      </c>
      <c r="B240" t="n">
        <v>23.8</v>
      </c>
      <c r="C240" t="inlineStr">
        <is>
          <t>1000</t>
        </is>
      </c>
      <c r="D240" t="n">
        <v>10</v>
      </c>
      <c r="E240">
        <f>IFERROR(MEDIAN(D220:D260),D240)</f>
        <v/>
      </c>
      <c r="F240">
        <f>IF(OR(NOT(ISNUMBER(D240)),ABS(D240-E240)&gt;$O$3),1,0)</f>
        <v/>
      </c>
      <c r="G240">
        <f>IF(F240=1,NA(),D240)</f>
        <v/>
      </c>
      <c r="H240">
        <f>IF(AND(ISNUMBER(D240),D240&gt;=$O$4),1,0)</f>
        <v/>
      </c>
      <c r="I240">
        <f>B240-$O$8</f>
        <v/>
      </c>
    </row>
    <row r="241">
      <c r="A241" t="n">
        <v>717</v>
      </c>
      <c r="B241" t="n">
        <v>23.9</v>
      </c>
      <c r="C241" t="inlineStr">
        <is>
          <t>1000</t>
        </is>
      </c>
      <c r="D241" t="n">
        <v>10</v>
      </c>
      <c r="E241">
        <f>IFERROR(MEDIAN(D221:D261),D241)</f>
        <v/>
      </c>
      <c r="F241">
        <f>IF(OR(NOT(ISNUMBER(D241)),ABS(D241-E241)&gt;$O$3),1,0)</f>
        <v/>
      </c>
      <c r="G241">
        <f>IF(F241=1,NA(),D241)</f>
        <v/>
      </c>
      <c r="H241">
        <f>IF(AND(ISNUMBER(D241),D241&gt;=$O$4),1,0)</f>
        <v/>
      </c>
      <c r="I241">
        <f>B241-$O$8</f>
        <v/>
      </c>
    </row>
    <row r="242">
      <c r="A242" t="n">
        <v>720</v>
      </c>
      <c r="B242" t="n">
        <v>24</v>
      </c>
      <c r="C242" t="inlineStr">
        <is>
          <t>1003</t>
        </is>
      </c>
      <c r="D242" t="n">
        <v>10.03</v>
      </c>
      <c r="E242">
        <f>IFERROR(MEDIAN(D222:D262),D242)</f>
        <v/>
      </c>
      <c r="F242">
        <f>IF(OR(NOT(ISNUMBER(D242)),ABS(D242-E242)&gt;$O$3),1,0)</f>
        <v/>
      </c>
      <c r="G242">
        <f>IF(F242=1,NA(),D242)</f>
        <v/>
      </c>
      <c r="H242">
        <f>IF(AND(ISNUMBER(D242),D242&gt;=$O$4),1,0)</f>
        <v/>
      </c>
      <c r="I242">
        <f>B242-$O$8</f>
        <v/>
      </c>
    </row>
    <row r="243">
      <c r="A243" t="n">
        <v>723</v>
      </c>
      <c r="B243" t="n">
        <v>24.1</v>
      </c>
      <c r="C243" t="inlineStr">
        <is>
          <t>1003</t>
        </is>
      </c>
      <c r="D243" t="n">
        <v>10.03</v>
      </c>
      <c r="E243">
        <f>IFERROR(MEDIAN(D223:D263),D243)</f>
        <v/>
      </c>
      <c r="F243">
        <f>IF(OR(NOT(ISNUMBER(D243)),ABS(D243-E243)&gt;$O$3),1,0)</f>
        <v/>
      </c>
      <c r="G243">
        <f>IF(F243=1,NA(),D243)</f>
        <v/>
      </c>
      <c r="H243">
        <f>IF(AND(ISNUMBER(D243),D243&gt;=$O$4),1,0)</f>
        <v/>
      </c>
      <c r="I243">
        <f>B243-$O$8</f>
        <v/>
      </c>
    </row>
    <row r="244">
      <c r="A244" t="n">
        <v>726</v>
      </c>
      <c r="B244" t="n">
        <v>24.2</v>
      </c>
      <c r="C244" t="inlineStr">
        <is>
          <t>1003</t>
        </is>
      </c>
      <c r="D244" t="n">
        <v>10.03</v>
      </c>
      <c r="E244">
        <f>IFERROR(MEDIAN(D224:D264),D244)</f>
        <v/>
      </c>
      <c r="F244">
        <f>IF(OR(NOT(ISNUMBER(D244)),ABS(D244-E244)&gt;$O$3),1,0)</f>
        <v/>
      </c>
      <c r="G244">
        <f>IF(F244=1,NA(),D244)</f>
        <v/>
      </c>
      <c r="H244">
        <f>IF(AND(ISNUMBER(D244),D244&gt;=$O$4),1,0)</f>
        <v/>
      </c>
      <c r="I244">
        <f>B244-$O$8</f>
        <v/>
      </c>
    </row>
    <row r="245">
      <c r="A245" t="n">
        <v>729</v>
      </c>
      <c r="B245" t="n">
        <v>24.3</v>
      </c>
      <c r="C245" t="inlineStr">
        <is>
          <t>1003</t>
        </is>
      </c>
      <c r="D245" t="n">
        <v>10.03</v>
      </c>
      <c r="E245">
        <f>IFERROR(MEDIAN(D225:D265),D245)</f>
        <v/>
      </c>
      <c r="F245">
        <f>IF(OR(NOT(ISNUMBER(D245)),ABS(D245-E245)&gt;$O$3),1,0)</f>
        <v/>
      </c>
      <c r="G245">
        <f>IF(F245=1,NA(),D245)</f>
        <v/>
      </c>
      <c r="H245">
        <f>IF(AND(ISNUMBER(D245),D245&gt;=$O$4),1,0)</f>
        <v/>
      </c>
      <c r="I245">
        <f>B245-$O$8</f>
        <v/>
      </c>
    </row>
    <row r="246">
      <c r="A246" t="n">
        <v>732</v>
      </c>
      <c r="B246" t="n">
        <v>24.4</v>
      </c>
      <c r="C246" t="inlineStr">
        <is>
          <t>004</t>
        </is>
      </c>
      <c r="D246" t="n">
        <v>0.04</v>
      </c>
      <c r="E246">
        <f>IFERROR(MEDIAN(D226:D266),D246)</f>
        <v/>
      </c>
      <c r="F246">
        <f>IF(OR(NOT(ISNUMBER(D246)),ABS(D246-E246)&gt;$O$3),1,0)</f>
        <v/>
      </c>
      <c r="G246">
        <f>IF(F246=1,NA(),D246)</f>
        <v/>
      </c>
      <c r="H246">
        <f>IF(AND(ISNUMBER(D246),D246&gt;=$O$4),1,0)</f>
        <v/>
      </c>
      <c r="I246">
        <f>B246-$O$8</f>
        <v/>
      </c>
    </row>
    <row r="247">
      <c r="A247" t="n">
        <v>735</v>
      </c>
      <c r="B247" t="n">
        <v>24.5</v>
      </c>
      <c r="C247" t="inlineStr">
        <is>
          <t>1004</t>
        </is>
      </c>
      <c r="D247" t="n">
        <v>10.04</v>
      </c>
      <c r="E247">
        <f>IFERROR(MEDIAN(D227:D267),D247)</f>
        <v/>
      </c>
      <c r="F247">
        <f>IF(OR(NOT(ISNUMBER(D247)),ABS(D247-E247)&gt;$O$3),1,0)</f>
        <v/>
      </c>
      <c r="G247">
        <f>IF(F247=1,NA(),D247)</f>
        <v/>
      </c>
      <c r="H247">
        <f>IF(AND(ISNUMBER(D247),D247&gt;=$O$4),1,0)</f>
        <v/>
      </c>
      <c r="I247">
        <f>B247-$O$8</f>
        <v/>
      </c>
    </row>
    <row r="248">
      <c r="A248" t="n">
        <v>738</v>
      </c>
      <c r="B248" t="n">
        <v>24.6</v>
      </c>
      <c r="C248" t="inlineStr">
        <is>
          <t>100</t>
        </is>
      </c>
      <c r="D248" t="n">
        <v>1</v>
      </c>
      <c r="E248">
        <f>IFERROR(MEDIAN(D228:D268),D248)</f>
        <v/>
      </c>
      <c r="F248">
        <f>IF(OR(NOT(ISNUMBER(D248)),ABS(D248-E248)&gt;$O$3),1,0)</f>
        <v/>
      </c>
      <c r="G248">
        <f>IF(F248=1,NA(),D248)</f>
        <v/>
      </c>
      <c r="H248">
        <f>IF(AND(ISNUMBER(D248),D248&gt;=$O$4),1,0)</f>
        <v/>
      </c>
      <c r="I248">
        <f>B248-$O$8</f>
        <v/>
      </c>
    </row>
    <row r="249">
      <c r="A249" t="n">
        <v>741</v>
      </c>
      <c r="B249" t="n">
        <v>24.7</v>
      </c>
      <c r="C249" t="inlineStr">
        <is>
          <t>100</t>
        </is>
      </c>
      <c r="D249" t="n">
        <v>1</v>
      </c>
      <c r="E249">
        <f>IFERROR(MEDIAN(D229:D269),D249)</f>
        <v/>
      </c>
      <c r="F249">
        <f>IF(OR(NOT(ISNUMBER(D249)),ABS(D249-E249)&gt;$O$3),1,0)</f>
        <v/>
      </c>
      <c r="G249">
        <f>IF(F249=1,NA(),D249)</f>
        <v/>
      </c>
      <c r="H249">
        <f>IF(AND(ISNUMBER(D249),D249&gt;=$O$4),1,0)</f>
        <v/>
      </c>
      <c r="I249">
        <f>B249-$O$8</f>
        <v/>
      </c>
    </row>
    <row r="250">
      <c r="A250" t="n">
        <v>744</v>
      </c>
      <c r="B250" t="n">
        <v>24.8</v>
      </c>
      <c r="C250" t="inlineStr">
        <is>
          <t>100</t>
        </is>
      </c>
      <c r="D250" t="n">
        <v>1</v>
      </c>
      <c r="E250">
        <f>IFERROR(MEDIAN(D230:D270),D250)</f>
        <v/>
      </c>
      <c r="F250">
        <f>IF(OR(NOT(ISNUMBER(D250)),ABS(D250-E250)&gt;$O$3),1,0)</f>
        <v/>
      </c>
      <c r="G250">
        <f>IF(F250=1,NA(),D250)</f>
        <v/>
      </c>
      <c r="H250">
        <f>IF(AND(ISNUMBER(D250),D250&gt;=$O$4),1,0)</f>
        <v/>
      </c>
      <c r="I250">
        <f>B250-$O$8</f>
        <v/>
      </c>
    </row>
    <row r="251">
      <c r="A251" t="n">
        <v>747</v>
      </c>
      <c r="B251" t="n">
        <v>24.9</v>
      </c>
      <c r="C251" t="inlineStr">
        <is>
          <t>00</t>
        </is>
      </c>
      <c r="D251" t="n">
        <v>0</v>
      </c>
      <c r="E251">
        <f>IFERROR(MEDIAN(D231:D271),D251)</f>
        <v/>
      </c>
      <c r="F251">
        <f>IF(OR(NOT(ISNUMBER(D251)),ABS(D251-E251)&gt;$O$3),1,0)</f>
        <v/>
      </c>
      <c r="G251">
        <f>IF(F251=1,NA(),D251)</f>
        <v/>
      </c>
      <c r="H251">
        <f>IF(AND(ISNUMBER(D251),D251&gt;=$O$4),1,0)</f>
        <v/>
      </c>
      <c r="I251">
        <f>B251-$O$8</f>
        <v/>
      </c>
    </row>
    <row r="252">
      <c r="A252" t="n">
        <v>750</v>
      </c>
      <c r="B252" t="n">
        <v>25</v>
      </c>
      <c r="C252" t="inlineStr">
        <is>
          <t>00</t>
        </is>
      </c>
      <c r="D252" t="n">
        <v>0</v>
      </c>
      <c r="E252">
        <f>IFERROR(MEDIAN(D232:D272),D252)</f>
        <v/>
      </c>
      <c r="F252">
        <f>IF(OR(NOT(ISNUMBER(D252)),ABS(D252-E252)&gt;$O$3),1,0)</f>
        <v/>
      </c>
      <c r="G252">
        <f>IF(F252=1,NA(),D252)</f>
        <v/>
      </c>
      <c r="H252">
        <f>IF(AND(ISNUMBER(D252),D252&gt;=$O$4),1,0)</f>
        <v/>
      </c>
      <c r="I252">
        <f>B252-$O$8</f>
        <v/>
      </c>
    </row>
    <row r="253">
      <c r="A253" t="n">
        <v>753</v>
      </c>
      <c r="B253" t="n">
        <v>25.1</v>
      </c>
      <c r="C253" t="inlineStr">
        <is>
          <t>004</t>
        </is>
      </c>
      <c r="D253" t="n">
        <v>0.04</v>
      </c>
      <c r="E253">
        <f>IFERROR(MEDIAN(D233:D273),D253)</f>
        <v/>
      </c>
      <c r="F253">
        <f>IF(OR(NOT(ISNUMBER(D253)),ABS(D253-E253)&gt;$O$3),1,0)</f>
        <v/>
      </c>
      <c r="G253">
        <f>IF(F253=1,NA(),D253)</f>
        <v/>
      </c>
      <c r="H253">
        <f>IF(AND(ISNUMBER(D253),D253&gt;=$O$4),1,0)</f>
        <v/>
      </c>
      <c r="I253">
        <f>B253-$O$8</f>
        <v/>
      </c>
    </row>
    <row r="254">
      <c r="A254" t="n">
        <v>756</v>
      </c>
      <c r="B254" t="n">
        <v>25.2</v>
      </c>
      <c r="C254" t="inlineStr">
        <is>
          <t>004</t>
        </is>
      </c>
      <c r="D254" t="n">
        <v>0.04</v>
      </c>
      <c r="E254">
        <f>IFERROR(MEDIAN(D234:D274),D254)</f>
        <v/>
      </c>
      <c r="F254">
        <f>IF(OR(NOT(ISNUMBER(D254)),ABS(D254-E254)&gt;$O$3),1,0)</f>
        <v/>
      </c>
      <c r="G254">
        <f>IF(F254=1,NA(),D254)</f>
        <v/>
      </c>
      <c r="H254">
        <f>IF(AND(ISNUMBER(D254),D254&gt;=$O$4),1,0)</f>
        <v/>
      </c>
      <c r="I254">
        <f>B254-$O$8</f>
        <v/>
      </c>
    </row>
    <row r="255">
      <c r="A255" t="n">
        <v>759</v>
      </c>
      <c r="B255" t="n">
        <v>25.3</v>
      </c>
      <c r="C255" t="inlineStr">
        <is>
          <t>1004</t>
        </is>
      </c>
      <c r="D255" t="n">
        <v>10.04</v>
      </c>
      <c r="E255">
        <f>IFERROR(MEDIAN(D235:D275),D255)</f>
        <v/>
      </c>
      <c r="F255">
        <f>IF(OR(NOT(ISNUMBER(D255)),ABS(D255-E255)&gt;$O$3),1,0)</f>
        <v/>
      </c>
      <c r="G255">
        <f>IF(F255=1,NA(),D255)</f>
        <v/>
      </c>
      <c r="H255">
        <f>IF(AND(ISNUMBER(D255),D255&gt;=$O$4),1,0)</f>
        <v/>
      </c>
      <c r="I255">
        <f>B255-$O$8</f>
        <v/>
      </c>
    </row>
    <row r="256">
      <c r="A256" t="n">
        <v>762</v>
      </c>
      <c r="B256" t="n">
        <v>25.4</v>
      </c>
      <c r="C256" t="inlineStr">
        <is>
          <t>1004</t>
        </is>
      </c>
      <c r="D256" t="n">
        <v>10.04</v>
      </c>
      <c r="E256">
        <f>IFERROR(MEDIAN(D236:D276),D256)</f>
        <v/>
      </c>
      <c r="F256">
        <f>IF(OR(NOT(ISNUMBER(D256)),ABS(D256-E256)&gt;$O$3),1,0)</f>
        <v/>
      </c>
      <c r="G256">
        <f>IF(F256=1,NA(),D256)</f>
        <v/>
      </c>
      <c r="H256">
        <f>IF(AND(ISNUMBER(D256),D256&gt;=$O$4),1,0)</f>
        <v/>
      </c>
      <c r="I256">
        <f>B256-$O$8</f>
        <v/>
      </c>
    </row>
    <row r="257">
      <c r="A257" t="n">
        <v>765</v>
      </c>
      <c r="B257" t="n">
        <v>25.5</v>
      </c>
      <c r="C257" t="inlineStr">
        <is>
          <t>00</t>
        </is>
      </c>
      <c r="D257" t="n">
        <v>0</v>
      </c>
      <c r="E257">
        <f>IFERROR(MEDIAN(D237:D277),D257)</f>
        <v/>
      </c>
      <c r="F257">
        <f>IF(OR(NOT(ISNUMBER(D257)),ABS(D257-E257)&gt;$O$3),1,0)</f>
        <v/>
      </c>
      <c r="G257">
        <f>IF(F257=1,NA(),D257)</f>
        <v/>
      </c>
      <c r="H257">
        <f>IF(AND(ISNUMBER(D257),D257&gt;=$O$4),1,0)</f>
        <v/>
      </c>
      <c r="I257">
        <f>B257-$O$8</f>
        <v/>
      </c>
    </row>
    <row r="258">
      <c r="A258" t="n">
        <v>768</v>
      </c>
      <c r="B258" t="n">
        <v>25.6</v>
      </c>
      <c r="C258" t="inlineStr">
        <is>
          <t>00</t>
        </is>
      </c>
      <c r="D258" t="n">
        <v>0</v>
      </c>
      <c r="E258">
        <f>IFERROR(MEDIAN(D238:D278),D258)</f>
        <v/>
      </c>
      <c r="F258">
        <f>IF(OR(NOT(ISNUMBER(D258)),ABS(D258-E258)&gt;$O$3),1,0)</f>
        <v/>
      </c>
      <c r="G258">
        <f>IF(F258=1,NA(),D258)</f>
        <v/>
      </c>
      <c r="H258">
        <f>IF(AND(ISNUMBER(D258),D258&gt;=$O$4),1,0)</f>
        <v/>
      </c>
      <c r="I258">
        <f>B258-$O$8</f>
        <v/>
      </c>
    </row>
    <row r="259">
      <c r="A259" t="n">
        <v>771</v>
      </c>
      <c r="B259" t="n">
        <v>25.7</v>
      </c>
      <c r="C259" t="inlineStr">
        <is>
          <t>00</t>
        </is>
      </c>
      <c r="D259" t="n">
        <v>0</v>
      </c>
      <c r="E259">
        <f>IFERROR(MEDIAN(D239:D279),D259)</f>
        <v/>
      </c>
      <c r="F259">
        <f>IF(OR(NOT(ISNUMBER(D259)),ABS(D259-E259)&gt;$O$3),1,0)</f>
        <v/>
      </c>
      <c r="G259">
        <f>IF(F259=1,NA(),D259)</f>
        <v/>
      </c>
      <c r="H259">
        <f>IF(AND(ISNUMBER(D259),D259&gt;=$O$4),1,0)</f>
        <v/>
      </c>
      <c r="I259">
        <f>B259-$O$8</f>
        <v/>
      </c>
    </row>
    <row r="260">
      <c r="A260" t="n">
        <v>774</v>
      </c>
      <c r="B260" t="n">
        <v>25.8</v>
      </c>
      <c r="C260" t="inlineStr">
        <is>
          <t>00</t>
        </is>
      </c>
      <c r="D260" t="n">
        <v>0</v>
      </c>
      <c r="E260">
        <f>IFERROR(MEDIAN(D240:D280),D260)</f>
        <v/>
      </c>
      <c r="F260">
        <f>IF(OR(NOT(ISNUMBER(D260)),ABS(D260-E260)&gt;$O$3),1,0)</f>
        <v/>
      </c>
      <c r="G260">
        <f>IF(F260=1,NA(),D260)</f>
        <v/>
      </c>
      <c r="H260">
        <f>IF(AND(ISNUMBER(D260),D260&gt;=$O$4),1,0)</f>
        <v/>
      </c>
      <c r="I260">
        <f>B260-$O$8</f>
        <v/>
      </c>
    </row>
    <row r="261">
      <c r="A261" t="n">
        <v>777</v>
      </c>
      <c r="B261" t="n">
        <v>25.9</v>
      </c>
      <c r="C261" t="inlineStr">
        <is>
          <t>00</t>
        </is>
      </c>
      <c r="D261" t="n">
        <v>0</v>
      </c>
      <c r="E261">
        <f>IFERROR(MEDIAN(D241:D281),D261)</f>
        <v/>
      </c>
      <c r="F261">
        <f>IF(OR(NOT(ISNUMBER(D261)),ABS(D261-E261)&gt;$O$3),1,0)</f>
        <v/>
      </c>
      <c r="G261">
        <f>IF(F261=1,NA(),D261)</f>
        <v/>
      </c>
      <c r="H261">
        <f>IF(AND(ISNUMBER(D261),D261&gt;=$O$4),1,0)</f>
        <v/>
      </c>
      <c r="I261">
        <f>B261-$O$8</f>
        <v/>
      </c>
    </row>
    <row r="262">
      <c r="A262" t="n">
        <v>780</v>
      </c>
      <c r="B262" t="n">
        <v>26</v>
      </c>
      <c r="C262" t="inlineStr">
        <is>
          <t>00</t>
        </is>
      </c>
      <c r="D262" t="n">
        <v>0</v>
      </c>
      <c r="E262">
        <f>IFERROR(MEDIAN(D242:D282),D262)</f>
        <v/>
      </c>
      <c r="F262">
        <f>IF(OR(NOT(ISNUMBER(D262)),ABS(D262-E262)&gt;$O$3),1,0)</f>
        <v/>
      </c>
      <c r="G262">
        <f>IF(F262=1,NA(),D262)</f>
        <v/>
      </c>
      <c r="H262">
        <f>IF(AND(ISNUMBER(D262),D262&gt;=$O$4),1,0)</f>
        <v/>
      </c>
      <c r="I262">
        <f>B262-$O$8</f>
        <v/>
      </c>
    </row>
    <row r="263">
      <c r="A263" t="n">
        <v>783</v>
      </c>
      <c r="B263" t="n">
        <v>26.1</v>
      </c>
      <c r="C263" t="inlineStr">
        <is>
          <t>00</t>
        </is>
      </c>
      <c r="D263" t="n">
        <v>0</v>
      </c>
      <c r="E263">
        <f>IFERROR(MEDIAN(D243:D283),D263)</f>
        <v/>
      </c>
      <c r="F263">
        <f>IF(OR(NOT(ISNUMBER(D263)),ABS(D263-E263)&gt;$O$3),1,0)</f>
        <v/>
      </c>
      <c r="G263">
        <f>IF(F263=1,NA(),D263)</f>
        <v/>
      </c>
      <c r="H263">
        <f>IF(AND(ISNUMBER(D263),D263&gt;=$O$4),1,0)</f>
        <v/>
      </c>
      <c r="I263">
        <f>B263-$O$8</f>
        <v/>
      </c>
    </row>
    <row r="264">
      <c r="A264" t="n">
        <v>786</v>
      </c>
      <c r="B264" t="n">
        <v>26.2</v>
      </c>
      <c r="C264" t="inlineStr">
        <is>
          <t>00</t>
        </is>
      </c>
      <c r="D264" t="n">
        <v>0</v>
      </c>
      <c r="E264">
        <f>IFERROR(MEDIAN(D244:D284),D264)</f>
        <v/>
      </c>
      <c r="F264">
        <f>IF(OR(NOT(ISNUMBER(D264)),ABS(D264-E264)&gt;$O$3),1,0)</f>
        <v/>
      </c>
      <c r="G264">
        <f>IF(F264=1,NA(),D264)</f>
        <v/>
      </c>
      <c r="H264">
        <f>IF(AND(ISNUMBER(D264),D264&gt;=$O$4),1,0)</f>
        <v/>
      </c>
      <c r="I264">
        <f>B264-$O$8</f>
        <v/>
      </c>
    </row>
    <row r="265">
      <c r="A265" t="n">
        <v>789</v>
      </c>
      <c r="B265" t="n">
        <v>26.3</v>
      </c>
      <c r="C265" t="inlineStr">
        <is>
          <t>00</t>
        </is>
      </c>
      <c r="D265" t="n">
        <v>0</v>
      </c>
      <c r="E265">
        <f>IFERROR(MEDIAN(D245:D285),D265)</f>
        <v/>
      </c>
      <c r="F265">
        <f>IF(OR(NOT(ISNUMBER(D265)),ABS(D265-E265)&gt;$O$3),1,0)</f>
        <v/>
      </c>
      <c r="G265">
        <f>IF(F265=1,NA(),D265)</f>
        <v/>
      </c>
      <c r="H265">
        <f>IF(AND(ISNUMBER(D265),D265&gt;=$O$4),1,0)</f>
        <v/>
      </c>
      <c r="I265">
        <f>B265-$O$8</f>
        <v/>
      </c>
    </row>
    <row r="266">
      <c r="A266" t="n">
        <v>792</v>
      </c>
      <c r="B266" t="n">
        <v>26.4</v>
      </c>
      <c r="C266" t="inlineStr">
        <is>
          <t>00</t>
        </is>
      </c>
      <c r="D266" t="n">
        <v>0</v>
      </c>
      <c r="E266">
        <f>IFERROR(MEDIAN(D246:D286),D266)</f>
        <v/>
      </c>
      <c r="F266">
        <f>IF(OR(NOT(ISNUMBER(D266)),ABS(D266-E266)&gt;$O$3),1,0)</f>
        <v/>
      </c>
      <c r="G266">
        <f>IF(F266=1,NA(),D266)</f>
        <v/>
      </c>
      <c r="H266">
        <f>IF(AND(ISNUMBER(D266),D266&gt;=$O$4),1,0)</f>
        <v/>
      </c>
      <c r="I266">
        <f>B266-$O$8</f>
        <v/>
      </c>
    </row>
    <row r="267">
      <c r="A267" t="n">
        <v>795</v>
      </c>
      <c r="B267" t="n">
        <v>26.5</v>
      </c>
      <c r="C267" t="inlineStr">
        <is>
          <t>00</t>
        </is>
      </c>
      <c r="D267" t="n">
        <v>0</v>
      </c>
      <c r="E267">
        <f>IFERROR(MEDIAN(D247:D287),D267)</f>
        <v/>
      </c>
      <c r="F267">
        <f>IF(OR(NOT(ISNUMBER(D267)),ABS(D267-E267)&gt;$O$3),1,0)</f>
        <v/>
      </c>
      <c r="G267">
        <f>IF(F267=1,NA(),D267)</f>
        <v/>
      </c>
      <c r="H267">
        <f>IF(AND(ISNUMBER(D267),D267&gt;=$O$4),1,0)</f>
        <v/>
      </c>
      <c r="I267">
        <f>B267-$O$8</f>
        <v/>
      </c>
    </row>
    <row r="268">
      <c r="A268" t="n">
        <v>798</v>
      </c>
      <c r="B268" t="n">
        <v>26.6</v>
      </c>
      <c r="C268" t="inlineStr">
        <is>
          <t>003</t>
        </is>
      </c>
      <c r="D268" t="n">
        <v>0.03</v>
      </c>
      <c r="E268">
        <f>IFERROR(MEDIAN(D248:D288),D268)</f>
        <v/>
      </c>
      <c r="F268">
        <f>IF(OR(NOT(ISNUMBER(D268)),ABS(D268-E268)&gt;$O$3),1,0)</f>
        <v/>
      </c>
      <c r="G268">
        <f>IF(F268=1,NA(),D268)</f>
        <v/>
      </c>
      <c r="H268">
        <f>IF(AND(ISNUMBER(D268),D268&gt;=$O$4),1,0)</f>
        <v/>
      </c>
      <c r="I268">
        <f>B268-$O$8</f>
        <v/>
      </c>
    </row>
    <row r="269">
      <c r="A269" t="n">
        <v>801</v>
      </c>
      <c r="B269" t="n">
        <v>26.7</v>
      </c>
      <c r="C269" t="inlineStr">
        <is>
          <t>003</t>
        </is>
      </c>
      <c r="D269" t="n">
        <v>0.03</v>
      </c>
      <c r="E269">
        <f>IFERROR(MEDIAN(D249:D289),D269)</f>
        <v/>
      </c>
      <c r="F269">
        <f>IF(OR(NOT(ISNUMBER(D269)),ABS(D269-E269)&gt;$O$3),1,0)</f>
        <v/>
      </c>
      <c r="G269">
        <f>IF(F269=1,NA(),D269)</f>
        <v/>
      </c>
      <c r="H269">
        <f>IF(AND(ISNUMBER(D269),D269&gt;=$O$4),1,0)</f>
        <v/>
      </c>
      <c r="I269">
        <f>B269-$O$8</f>
        <v/>
      </c>
    </row>
    <row r="270">
      <c r="A270" t="n">
        <v>804</v>
      </c>
      <c r="B270" t="n">
        <v>26.8</v>
      </c>
      <c r="C270" t="inlineStr">
        <is>
          <t>003</t>
        </is>
      </c>
      <c r="D270" t="n">
        <v>0.03</v>
      </c>
      <c r="E270">
        <f>IFERROR(MEDIAN(D250:D290),D270)</f>
        <v/>
      </c>
      <c r="F270">
        <f>IF(OR(NOT(ISNUMBER(D270)),ABS(D270-E270)&gt;$O$3),1,0)</f>
        <v/>
      </c>
      <c r="G270">
        <f>IF(F270=1,NA(),D270)</f>
        <v/>
      </c>
      <c r="H270">
        <f>IF(AND(ISNUMBER(D270),D270&gt;=$O$4),1,0)</f>
        <v/>
      </c>
      <c r="I270">
        <f>B270-$O$8</f>
        <v/>
      </c>
    </row>
    <row r="271">
      <c r="A271" t="n">
        <v>807</v>
      </c>
      <c r="B271" t="n">
        <v>26.9</v>
      </c>
      <c r="C271" t="inlineStr">
        <is>
          <t>003</t>
        </is>
      </c>
      <c r="D271" t="n">
        <v>0.03</v>
      </c>
      <c r="E271">
        <f>IFERROR(MEDIAN(D251:D291),D271)</f>
        <v/>
      </c>
      <c r="F271">
        <f>IF(OR(NOT(ISNUMBER(D271)),ABS(D271-E271)&gt;$O$3),1,0)</f>
        <v/>
      </c>
      <c r="G271">
        <f>IF(F271=1,NA(),D271)</f>
        <v/>
      </c>
      <c r="H271">
        <f>IF(AND(ISNUMBER(D271),D271&gt;=$O$4),1,0)</f>
        <v/>
      </c>
      <c r="I271">
        <f>B271-$O$8</f>
        <v/>
      </c>
    </row>
    <row r="272">
      <c r="A272" t="n">
        <v>810</v>
      </c>
      <c r="B272" t="n">
        <v>27</v>
      </c>
      <c r="C272" t="inlineStr">
        <is>
          <t>003</t>
        </is>
      </c>
      <c r="D272" t="n">
        <v>0.03</v>
      </c>
      <c r="E272">
        <f>IFERROR(MEDIAN(D252:D292),D272)</f>
        <v/>
      </c>
      <c r="F272">
        <f>IF(OR(NOT(ISNUMBER(D272)),ABS(D272-E272)&gt;$O$3),1,0)</f>
        <v/>
      </c>
      <c r="G272">
        <f>IF(F272=1,NA(),D272)</f>
        <v/>
      </c>
      <c r="H272">
        <f>IF(AND(ISNUMBER(D272),D272&gt;=$O$4),1,0)</f>
        <v/>
      </c>
      <c r="I272">
        <f>B272-$O$8</f>
        <v/>
      </c>
    </row>
    <row r="273">
      <c r="A273" t="n">
        <v>813</v>
      </c>
      <c r="B273" t="n">
        <v>27.1</v>
      </c>
      <c r="C273" t="inlineStr">
        <is>
          <t>003</t>
        </is>
      </c>
      <c r="D273" t="n">
        <v>0.03</v>
      </c>
      <c r="E273">
        <f>IFERROR(MEDIAN(D253:D293),D273)</f>
        <v/>
      </c>
      <c r="F273">
        <f>IF(OR(NOT(ISNUMBER(D273)),ABS(D273-E273)&gt;$O$3),1,0)</f>
        <v/>
      </c>
      <c r="G273">
        <f>IF(F273=1,NA(),D273)</f>
        <v/>
      </c>
      <c r="H273">
        <f>IF(AND(ISNUMBER(D273),D273&gt;=$O$4),1,0)</f>
        <v/>
      </c>
      <c r="I273">
        <f>B273-$O$8</f>
        <v/>
      </c>
    </row>
    <row r="274">
      <c r="A274" t="n">
        <v>816</v>
      </c>
      <c r="B274" t="n">
        <v>27.2</v>
      </c>
      <c r="C274" t="inlineStr">
        <is>
          <t>003</t>
        </is>
      </c>
      <c r="D274" t="n">
        <v>0.03</v>
      </c>
      <c r="E274">
        <f>IFERROR(MEDIAN(D254:D294),D274)</f>
        <v/>
      </c>
      <c r="F274">
        <f>IF(OR(NOT(ISNUMBER(D274)),ABS(D274-E274)&gt;$O$3),1,0)</f>
        <v/>
      </c>
      <c r="G274">
        <f>IF(F274=1,NA(),D274)</f>
        <v/>
      </c>
      <c r="H274">
        <f>IF(AND(ISNUMBER(D274),D274&gt;=$O$4),1,0)</f>
        <v/>
      </c>
      <c r="I274">
        <f>B274-$O$8</f>
        <v/>
      </c>
    </row>
    <row r="275">
      <c r="A275" t="n">
        <v>819</v>
      </c>
      <c r="B275" t="n">
        <v>27.3</v>
      </c>
      <c r="C275" t="inlineStr">
        <is>
          <t>003</t>
        </is>
      </c>
      <c r="D275" t="n">
        <v>0.03</v>
      </c>
      <c r="E275">
        <f>IFERROR(MEDIAN(D255:D295),D275)</f>
        <v/>
      </c>
      <c r="F275">
        <f>IF(OR(NOT(ISNUMBER(D275)),ABS(D275-E275)&gt;$O$3),1,0)</f>
        <v/>
      </c>
      <c r="G275">
        <f>IF(F275=1,NA(),D275)</f>
        <v/>
      </c>
      <c r="H275">
        <f>IF(AND(ISNUMBER(D275),D275&gt;=$O$4),1,0)</f>
        <v/>
      </c>
      <c r="I275">
        <f>B275-$O$8</f>
        <v/>
      </c>
    </row>
    <row r="276">
      <c r="A276" t="n">
        <v>822</v>
      </c>
      <c r="B276" t="n">
        <v>27.4</v>
      </c>
      <c r="C276" t="inlineStr">
        <is>
          <t>003</t>
        </is>
      </c>
      <c r="D276" t="n">
        <v>0.03</v>
      </c>
      <c r="E276">
        <f>IFERROR(MEDIAN(D256:D296),D276)</f>
        <v/>
      </c>
      <c r="F276">
        <f>IF(OR(NOT(ISNUMBER(D276)),ABS(D276-E276)&gt;$O$3),1,0)</f>
        <v/>
      </c>
      <c r="G276">
        <f>IF(F276=1,NA(),D276)</f>
        <v/>
      </c>
      <c r="H276">
        <f>IF(AND(ISNUMBER(D276),D276&gt;=$O$4),1,0)</f>
        <v/>
      </c>
      <c r="I276">
        <f>B276-$O$8</f>
        <v/>
      </c>
    </row>
    <row r="277">
      <c r="A277" t="n">
        <v>825</v>
      </c>
      <c r="B277" t="n">
        <v>27.5</v>
      </c>
      <c r="C277" t="inlineStr">
        <is>
          <t>003</t>
        </is>
      </c>
      <c r="D277" t="n">
        <v>0.03</v>
      </c>
      <c r="E277">
        <f>IFERROR(MEDIAN(D257:D297),D277)</f>
        <v/>
      </c>
      <c r="F277">
        <f>IF(OR(NOT(ISNUMBER(D277)),ABS(D277-E277)&gt;$O$3),1,0)</f>
        <v/>
      </c>
      <c r="G277">
        <f>IF(F277=1,NA(),D277)</f>
        <v/>
      </c>
      <c r="H277">
        <f>IF(AND(ISNUMBER(D277),D277&gt;=$O$4),1,0)</f>
        <v/>
      </c>
      <c r="I277">
        <f>B277-$O$8</f>
        <v/>
      </c>
    </row>
    <row r="278">
      <c r="A278" t="n">
        <v>828</v>
      </c>
      <c r="B278" t="n">
        <v>27.6</v>
      </c>
      <c r="C278" t="inlineStr">
        <is>
          <t>003</t>
        </is>
      </c>
      <c r="D278" t="n">
        <v>0.03</v>
      </c>
      <c r="E278">
        <f>IFERROR(MEDIAN(D258:D298),D278)</f>
        <v/>
      </c>
      <c r="F278">
        <f>IF(OR(NOT(ISNUMBER(D278)),ABS(D278-E278)&gt;$O$3),1,0)</f>
        <v/>
      </c>
      <c r="G278">
        <f>IF(F278=1,NA(),D278)</f>
        <v/>
      </c>
      <c r="H278">
        <f>IF(AND(ISNUMBER(D278),D278&gt;=$O$4),1,0)</f>
        <v/>
      </c>
      <c r="I278">
        <f>B278-$O$8</f>
        <v/>
      </c>
    </row>
    <row r="279">
      <c r="A279" t="n">
        <v>831</v>
      </c>
      <c r="B279" t="n">
        <v>27.7</v>
      </c>
      <c r="C279" t="inlineStr">
        <is>
          <t>003</t>
        </is>
      </c>
      <c r="D279" t="n">
        <v>0.03</v>
      </c>
      <c r="E279">
        <f>IFERROR(MEDIAN(D259:D299),D279)</f>
        <v/>
      </c>
      <c r="F279">
        <f>IF(OR(NOT(ISNUMBER(D279)),ABS(D279-E279)&gt;$O$3),1,0)</f>
        <v/>
      </c>
      <c r="G279">
        <f>IF(F279=1,NA(),D279)</f>
        <v/>
      </c>
      <c r="H279">
        <f>IF(AND(ISNUMBER(D279),D279&gt;=$O$4),1,0)</f>
        <v/>
      </c>
      <c r="I279">
        <f>B279-$O$8</f>
        <v/>
      </c>
    </row>
    <row r="280">
      <c r="A280" t="n">
        <v>834</v>
      </c>
      <c r="B280" t="n">
        <v>27.8</v>
      </c>
      <c r="C280" t="inlineStr">
        <is>
          <t>003</t>
        </is>
      </c>
      <c r="D280" t="n">
        <v>0.03</v>
      </c>
      <c r="E280">
        <f>IFERROR(MEDIAN(D260:D300),D280)</f>
        <v/>
      </c>
      <c r="F280">
        <f>IF(OR(NOT(ISNUMBER(D280)),ABS(D280-E280)&gt;$O$3),1,0)</f>
        <v/>
      </c>
      <c r="G280">
        <f>IF(F280=1,NA(),D280)</f>
        <v/>
      </c>
      <c r="H280">
        <f>IF(AND(ISNUMBER(D280),D280&gt;=$O$4),1,0)</f>
        <v/>
      </c>
      <c r="I280">
        <f>B280-$O$8</f>
        <v/>
      </c>
    </row>
    <row r="281">
      <c r="A281" t="n">
        <v>837</v>
      </c>
      <c r="B281" t="n">
        <v>27.9</v>
      </c>
      <c r="C281" t="inlineStr">
        <is>
          <t>003</t>
        </is>
      </c>
      <c r="D281" t="n">
        <v>0.03</v>
      </c>
      <c r="E281">
        <f>IFERROR(MEDIAN(D261:D301),D281)</f>
        <v/>
      </c>
      <c r="F281">
        <f>IF(OR(NOT(ISNUMBER(D281)),ABS(D281-E281)&gt;$O$3),1,0)</f>
        <v/>
      </c>
      <c r="G281">
        <f>IF(F281=1,NA(),D281)</f>
        <v/>
      </c>
      <c r="H281">
        <f>IF(AND(ISNUMBER(D281),D281&gt;=$O$4),1,0)</f>
        <v/>
      </c>
      <c r="I281">
        <f>B281-$O$8</f>
        <v/>
      </c>
    </row>
    <row r="282">
      <c r="A282" t="n">
        <v>840</v>
      </c>
      <c r="B282" t="n">
        <v>28</v>
      </c>
      <c r="C282" t="inlineStr">
        <is>
          <t>003</t>
        </is>
      </c>
      <c r="D282" t="n">
        <v>0.03</v>
      </c>
      <c r="E282">
        <f>IFERROR(MEDIAN(D262:D302),D282)</f>
        <v/>
      </c>
      <c r="F282">
        <f>IF(OR(NOT(ISNUMBER(D282)),ABS(D282-E282)&gt;$O$3),1,0)</f>
        <v/>
      </c>
      <c r="G282">
        <f>IF(F282=1,NA(),D282)</f>
        <v/>
      </c>
      <c r="H282">
        <f>IF(AND(ISNUMBER(D282),D282&gt;=$O$4),1,0)</f>
        <v/>
      </c>
      <c r="I282">
        <f>B282-$O$8</f>
        <v/>
      </c>
    </row>
    <row r="283">
      <c r="A283" t="n">
        <v>843</v>
      </c>
      <c r="B283" t="n">
        <v>28.1</v>
      </c>
      <c r="C283" t="inlineStr">
        <is>
          <t>003</t>
        </is>
      </c>
      <c r="D283" t="n">
        <v>0.03</v>
      </c>
      <c r="E283">
        <f>IFERROR(MEDIAN(D263:D302),D283)</f>
        <v/>
      </c>
      <c r="F283">
        <f>IF(OR(NOT(ISNUMBER(D283)),ABS(D283-E283)&gt;$O$3),1,0)</f>
        <v/>
      </c>
      <c r="G283">
        <f>IF(F283=1,NA(),D283)</f>
        <v/>
      </c>
      <c r="H283">
        <f>IF(AND(ISNUMBER(D283),D283&gt;=$O$4),1,0)</f>
        <v/>
      </c>
      <c r="I283">
        <f>B283-$O$8</f>
        <v/>
      </c>
    </row>
    <row r="284">
      <c r="A284" t="n">
        <v>846</v>
      </c>
      <c r="B284" t="n">
        <v>28.2</v>
      </c>
      <c r="C284" t="inlineStr">
        <is>
          <t>003</t>
        </is>
      </c>
      <c r="D284" t="n">
        <v>0.03</v>
      </c>
      <c r="E284">
        <f>IFERROR(MEDIAN(D264:D302),D284)</f>
        <v/>
      </c>
      <c r="F284">
        <f>IF(OR(NOT(ISNUMBER(D284)),ABS(D284-E284)&gt;$O$3),1,0)</f>
        <v/>
      </c>
      <c r="G284">
        <f>IF(F284=1,NA(),D284)</f>
        <v/>
      </c>
      <c r="H284">
        <f>IF(AND(ISNUMBER(D284),D284&gt;=$O$4),1,0)</f>
        <v/>
      </c>
      <c r="I284">
        <f>B284-$O$8</f>
        <v/>
      </c>
    </row>
    <row r="285">
      <c r="A285" t="n">
        <v>849</v>
      </c>
      <c r="B285" t="n">
        <v>28.3</v>
      </c>
      <c r="C285" t="inlineStr">
        <is>
          <t>003</t>
        </is>
      </c>
      <c r="D285" t="n">
        <v>0.03</v>
      </c>
      <c r="E285">
        <f>IFERROR(MEDIAN(D265:D302),D285)</f>
        <v/>
      </c>
      <c r="F285">
        <f>IF(OR(NOT(ISNUMBER(D285)),ABS(D285-E285)&gt;$O$3),1,0)</f>
        <v/>
      </c>
      <c r="G285">
        <f>IF(F285=1,NA(),D285)</f>
        <v/>
      </c>
      <c r="H285">
        <f>IF(AND(ISNUMBER(D285),D285&gt;=$O$4),1,0)</f>
        <v/>
      </c>
      <c r="I285">
        <f>B285-$O$8</f>
        <v/>
      </c>
    </row>
    <row r="286">
      <c r="A286" t="n">
        <v>852</v>
      </c>
      <c r="B286" t="n">
        <v>28.4</v>
      </c>
      <c r="C286" t="inlineStr">
        <is>
          <t>003</t>
        </is>
      </c>
      <c r="D286" t="n">
        <v>0.03</v>
      </c>
      <c r="E286">
        <f>IFERROR(MEDIAN(D266:D302),D286)</f>
        <v/>
      </c>
      <c r="F286">
        <f>IF(OR(NOT(ISNUMBER(D286)),ABS(D286-E286)&gt;$O$3),1,0)</f>
        <v/>
      </c>
      <c r="G286">
        <f>IF(F286=1,NA(),D286)</f>
        <v/>
      </c>
      <c r="H286">
        <f>IF(AND(ISNUMBER(D286),D286&gt;=$O$4),1,0)</f>
        <v/>
      </c>
      <c r="I286">
        <f>B286-$O$8</f>
        <v/>
      </c>
    </row>
    <row r="287">
      <c r="A287" t="n">
        <v>855</v>
      </c>
      <c r="B287" t="n">
        <v>28.5</v>
      </c>
      <c r="C287" t="inlineStr">
        <is>
          <t>003</t>
        </is>
      </c>
      <c r="D287" t="n">
        <v>0.03</v>
      </c>
      <c r="E287">
        <f>IFERROR(MEDIAN(D267:D302),D287)</f>
        <v/>
      </c>
      <c r="F287">
        <f>IF(OR(NOT(ISNUMBER(D287)),ABS(D287-E287)&gt;$O$3),1,0)</f>
        <v/>
      </c>
      <c r="G287">
        <f>IF(F287=1,NA(),D287)</f>
        <v/>
      </c>
      <c r="H287">
        <f>IF(AND(ISNUMBER(D287),D287&gt;=$O$4),1,0)</f>
        <v/>
      </c>
      <c r="I287">
        <f>B287-$O$8</f>
        <v/>
      </c>
    </row>
    <row r="288">
      <c r="A288" t="n">
        <v>858</v>
      </c>
      <c r="B288" t="n">
        <v>28.6</v>
      </c>
      <c r="C288" t="inlineStr">
        <is>
          <t>003</t>
        </is>
      </c>
      <c r="D288" t="n">
        <v>0.03</v>
      </c>
      <c r="E288">
        <f>IFERROR(MEDIAN(D268:D302),D288)</f>
        <v/>
      </c>
      <c r="F288">
        <f>IF(OR(NOT(ISNUMBER(D288)),ABS(D288-E288)&gt;$O$3),1,0)</f>
        <v/>
      </c>
      <c r="G288">
        <f>IF(F288=1,NA(),D288)</f>
        <v/>
      </c>
      <c r="H288">
        <f>IF(AND(ISNUMBER(D288),D288&gt;=$O$4),1,0)</f>
        <v/>
      </c>
      <c r="I288">
        <f>B288-$O$8</f>
        <v/>
      </c>
    </row>
    <row r="289">
      <c r="A289" t="n">
        <v>861</v>
      </c>
      <c r="B289" t="n">
        <v>28.7</v>
      </c>
      <c r="C289" t="inlineStr">
        <is>
          <t>003</t>
        </is>
      </c>
      <c r="D289" t="n">
        <v>0.03</v>
      </c>
      <c r="E289">
        <f>IFERROR(MEDIAN(D269:D302),D289)</f>
        <v/>
      </c>
      <c r="F289">
        <f>IF(OR(NOT(ISNUMBER(D289)),ABS(D289-E289)&gt;$O$3),1,0)</f>
        <v/>
      </c>
      <c r="G289">
        <f>IF(F289=1,NA(),D289)</f>
        <v/>
      </c>
      <c r="H289">
        <f>IF(AND(ISNUMBER(D289),D289&gt;=$O$4),1,0)</f>
        <v/>
      </c>
      <c r="I289">
        <f>B289-$O$8</f>
        <v/>
      </c>
    </row>
    <row r="290">
      <c r="A290" t="n">
        <v>864</v>
      </c>
      <c r="B290" t="n">
        <v>28.8</v>
      </c>
      <c r="C290" t="inlineStr">
        <is>
          <t>003</t>
        </is>
      </c>
      <c r="D290" t="n">
        <v>0.03</v>
      </c>
      <c r="E290">
        <f>IFERROR(MEDIAN(D270:D302),D290)</f>
        <v/>
      </c>
      <c r="F290">
        <f>IF(OR(NOT(ISNUMBER(D290)),ABS(D290-E290)&gt;$O$3),1,0)</f>
        <v/>
      </c>
      <c r="G290">
        <f>IF(F290=1,NA(),D290)</f>
        <v/>
      </c>
      <c r="H290">
        <f>IF(AND(ISNUMBER(D290),D290&gt;=$O$4),1,0)</f>
        <v/>
      </c>
      <c r="I290">
        <f>B290-$O$8</f>
        <v/>
      </c>
    </row>
    <row r="291">
      <c r="A291" t="n">
        <v>867</v>
      </c>
      <c r="B291" t="n">
        <v>28.9</v>
      </c>
      <c r="C291" t="inlineStr">
        <is>
          <t>003</t>
        </is>
      </c>
      <c r="D291" t="n">
        <v>0.03</v>
      </c>
      <c r="E291">
        <f>IFERROR(MEDIAN(D271:D302),D291)</f>
        <v/>
      </c>
      <c r="F291">
        <f>IF(OR(NOT(ISNUMBER(D291)),ABS(D291-E291)&gt;$O$3),1,0)</f>
        <v/>
      </c>
      <c r="G291">
        <f>IF(F291=1,NA(),D291)</f>
        <v/>
      </c>
      <c r="H291">
        <f>IF(AND(ISNUMBER(D291),D291&gt;=$O$4),1,0)</f>
        <v/>
      </c>
      <c r="I291">
        <f>B291-$O$8</f>
        <v/>
      </c>
    </row>
    <row r="292">
      <c r="A292" t="n">
        <v>870</v>
      </c>
      <c r="B292" t="n">
        <v>29</v>
      </c>
      <c r="C292" t="inlineStr">
        <is>
          <t>003</t>
        </is>
      </c>
      <c r="D292" t="n">
        <v>0.03</v>
      </c>
      <c r="E292">
        <f>IFERROR(MEDIAN(D272:D302),D292)</f>
        <v/>
      </c>
      <c r="F292">
        <f>IF(OR(NOT(ISNUMBER(D292)),ABS(D292-E292)&gt;$O$3),1,0)</f>
        <v/>
      </c>
      <c r="G292">
        <f>IF(F292=1,NA(),D292)</f>
        <v/>
      </c>
      <c r="H292">
        <f>IF(AND(ISNUMBER(D292),D292&gt;=$O$4),1,0)</f>
        <v/>
      </c>
      <c r="I292">
        <f>B292-$O$8</f>
        <v/>
      </c>
    </row>
    <row r="293">
      <c r="A293" t="n">
        <v>873</v>
      </c>
      <c r="B293" t="n">
        <v>29.1</v>
      </c>
      <c r="C293" t="inlineStr">
        <is>
          <t>003</t>
        </is>
      </c>
      <c r="D293" t="n">
        <v>0.03</v>
      </c>
      <c r="E293">
        <f>IFERROR(MEDIAN(D273:D302),D293)</f>
        <v/>
      </c>
      <c r="F293">
        <f>IF(OR(NOT(ISNUMBER(D293)),ABS(D293-E293)&gt;$O$3),1,0)</f>
        <v/>
      </c>
      <c r="G293">
        <f>IF(F293=1,NA(),D293)</f>
        <v/>
      </c>
      <c r="H293">
        <f>IF(AND(ISNUMBER(D293),D293&gt;=$O$4),1,0)</f>
        <v/>
      </c>
      <c r="I293">
        <f>B293-$O$8</f>
        <v/>
      </c>
    </row>
    <row r="294">
      <c r="A294" t="n">
        <v>876</v>
      </c>
      <c r="B294" t="n">
        <v>29.2</v>
      </c>
      <c r="C294" t="inlineStr">
        <is>
          <t>003</t>
        </is>
      </c>
      <c r="D294" t="n">
        <v>0.03</v>
      </c>
      <c r="E294">
        <f>IFERROR(MEDIAN(D274:D302),D294)</f>
        <v/>
      </c>
      <c r="F294">
        <f>IF(OR(NOT(ISNUMBER(D294)),ABS(D294-E294)&gt;$O$3),1,0)</f>
        <v/>
      </c>
      <c r="G294">
        <f>IF(F294=1,NA(),D294)</f>
        <v/>
      </c>
      <c r="H294">
        <f>IF(AND(ISNUMBER(D294),D294&gt;=$O$4),1,0)</f>
        <v/>
      </c>
      <c r="I294">
        <f>B294-$O$8</f>
        <v/>
      </c>
    </row>
    <row r="295">
      <c r="A295" t="n">
        <v>879</v>
      </c>
      <c r="B295" t="n">
        <v>29.3</v>
      </c>
      <c r="C295" t="inlineStr">
        <is>
          <t>003</t>
        </is>
      </c>
      <c r="D295" t="n">
        <v>0.03</v>
      </c>
      <c r="E295">
        <f>IFERROR(MEDIAN(D275:D302),D295)</f>
        <v/>
      </c>
      <c r="F295">
        <f>IF(OR(NOT(ISNUMBER(D295)),ABS(D295-E295)&gt;$O$3),1,0)</f>
        <v/>
      </c>
      <c r="G295">
        <f>IF(F295=1,NA(),D295)</f>
        <v/>
      </c>
      <c r="H295">
        <f>IF(AND(ISNUMBER(D295),D295&gt;=$O$4),1,0)</f>
        <v/>
      </c>
      <c r="I295">
        <f>B295-$O$8</f>
        <v/>
      </c>
    </row>
    <row r="296">
      <c r="A296" t="n">
        <v>882</v>
      </c>
      <c r="B296" t="n">
        <v>29.4</v>
      </c>
      <c r="C296" t="inlineStr">
        <is>
          <t>003</t>
        </is>
      </c>
      <c r="D296" t="n">
        <v>0.03</v>
      </c>
      <c r="E296">
        <f>IFERROR(MEDIAN(D276:D302),D296)</f>
        <v/>
      </c>
      <c r="F296">
        <f>IF(OR(NOT(ISNUMBER(D296)),ABS(D296-E296)&gt;$O$3),1,0)</f>
        <v/>
      </c>
      <c r="G296">
        <f>IF(F296=1,NA(),D296)</f>
        <v/>
      </c>
      <c r="H296">
        <f>IF(AND(ISNUMBER(D296),D296&gt;=$O$4),1,0)</f>
        <v/>
      </c>
      <c r="I296">
        <f>B296-$O$8</f>
        <v/>
      </c>
    </row>
    <row r="297">
      <c r="A297" t="n">
        <v>885</v>
      </c>
      <c r="B297" t="n">
        <v>29.5</v>
      </c>
      <c r="C297" t="inlineStr">
        <is>
          <t>003</t>
        </is>
      </c>
      <c r="D297" t="n">
        <v>0.03</v>
      </c>
      <c r="E297">
        <f>IFERROR(MEDIAN(D277:D302),D297)</f>
        <v/>
      </c>
      <c r="F297">
        <f>IF(OR(NOT(ISNUMBER(D297)),ABS(D297-E297)&gt;$O$3),1,0)</f>
        <v/>
      </c>
      <c r="G297">
        <f>IF(F297=1,NA(),D297)</f>
        <v/>
      </c>
      <c r="H297">
        <f>IF(AND(ISNUMBER(D297),D297&gt;=$O$4),1,0)</f>
        <v/>
      </c>
      <c r="I297">
        <f>B297-$O$8</f>
        <v/>
      </c>
    </row>
    <row r="298">
      <c r="A298" t="n">
        <v>888</v>
      </c>
      <c r="B298" t="n">
        <v>29.6</v>
      </c>
      <c r="C298" t="inlineStr">
        <is>
          <t>003</t>
        </is>
      </c>
      <c r="D298" t="n">
        <v>0.03</v>
      </c>
      <c r="E298">
        <f>IFERROR(MEDIAN(D278:D302),D298)</f>
        <v/>
      </c>
      <c r="F298">
        <f>IF(OR(NOT(ISNUMBER(D298)),ABS(D298-E298)&gt;$O$3),1,0)</f>
        <v/>
      </c>
      <c r="G298">
        <f>IF(F298=1,NA(),D298)</f>
        <v/>
      </c>
      <c r="H298">
        <f>IF(AND(ISNUMBER(D298),D298&gt;=$O$4),1,0)</f>
        <v/>
      </c>
      <c r="I298">
        <f>B298-$O$8</f>
        <v/>
      </c>
    </row>
    <row r="299">
      <c r="A299" t="n">
        <v>891</v>
      </c>
      <c r="B299" t="n">
        <v>29.7</v>
      </c>
      <c r="C299" t="inlineStr">
        <is>
          <t>003</t>
        </is>
      </c>
      <c r="D299" t="n">
        <v>0.03</v>
      </c>
      <c r="E299">
        <f>IFERROR(MEDIAN(D279:D302),D299)</f>
        <v/>
      </c>
      <c r="F299">
        <f>IF(OR(NOT(ISNUMBER(D299)),ABS(D299-E299)&gt;$O$3),1,0)</f>
        <v/>
      </c>
      <c r="G299">
        <f>IF(F299=1,NA(),D299)</f>
        <v/>
      </c>
      <c r="H299">
        <f>IF(AND(ISNUMBER(D299),D299&gt;=$O$4),1,0)</f>
        <v/>
      </c>
      <c r="I299">
        <f>B299-$O$8</f>
        <v/>
      </c>
    </row>
    <row r="300">
      <c r="A300" t="n">
        <v>894</v>
      </c>
      <c r="B300" t="n">
        <v>29.8</v>
      </c>
      <c r="C300" t="inlineStr">
        <is>
          <t>003</t>
        </is>
      </c>
      <c r="D300" t="n">
        <v>0.03</v>
      </c>
      <c r="E300">
        <f>IFERROR(MEDIAN(D280:D302),D300)</f>
        <v/>
      </c>
      <c r="F300">
        <f>IF(OR(NOT(ISNUMBER(D300)),ABS(D300-E300)&gt;$O$3),1,0)</f>
        <v/>
      </c>
      <c r="G300">
        <f>IF(F300=1,NA(),D300)</f>
        <v/>
      </c>
      <c r="H300">
        <f>IF(AND(ISNUMBER(D300),D300&gt;=$O$4),1,0)</f>
        <v/>
      </c>
      <c r="I300">
        <f>B300-$O$8</f>
        <v/>
      </c>
    </row>
    <row r="301">
      <c r="A301" t="n">
        <v>897</v>
      </c>
      <c r="B301" t="n">
        <v>29.9</v>
      </c>
      <c r="C301" t="inlineStr">
        <is>
          <t>003</t>
        </is>
      </c>
      <c r="D301" t="n">
        <v>0.03</v>
      </c>
      <c r="E301">
        <f>IFERROR(MEDIAN(D281:D302),D301)</f>
        <v/>
      </c>
      <c r="F301">
        <f>IF(OR(NOT(ISNUMBER(D301)),ABS(D301-E301)&gt;$O$3),1,0)</f>
        <v/>
      </c>
      <c r="G301">
        <f>IF(F301=1,NA(),D301)</f>
        <v/>
      </c>
      <c r="H301">
        <f>IF(AND(ISNUMBER(D301),D301&gt;=$O$4),1,0)</f>
        <v/>
      </c>
      <c r="I301">
        <f>B301-$O$8</f>
        <v/>
      </c>
    </row>
    <row r="302">
      <c r="A302" t="n">
        <v>900</v>
      </c>
      <c r="B302" t="n">
        <v>30</v>
      </c>
      <c r="C302" t="inlineStr">
        <is>
          <t>003</t>
        </is>
      </c>
      <c r="D302" t="n">
        <v>0.03</v>
      </c>
      <c r="E302">
        <f>IFERROR(MEDIAN(D282:D302),D302)</f>
        <v/>
      </c>
      <c r="F302">
        <f>IF(OR(NOT(ISNUMBER(D302)),ABS(D302-E302)&gt;$O$3),1,0)</f>
        <v/>
      </c>
      <c r="G302">
        <f>IF(F302=1,NA(),D302)</f>
        <v/>
      </c>
      <c r="H302">
        <f>IF(AND(ISNUMBER(D302),D302&gt;=$O$4),1,0)</f>
        <v/>
      </c>
      <c r="I302">
        <f>B302-$O$8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  <row r="124">
      <c r="A124">
        <f>Sheet1!I124</f>
        <v/>
      </c>
      <c r="B124">
        <f>IF(ISNA(Sheet1!G124),NA(),Sheet1!$O$5-(Sheet1!G124/Sheet1!$O$6))</f>
        <v/>
      </c>
    </row>
    <row r="125">
      <c r="A125">
        <f>Sheet1!I125</f>
        <v/>
      </c>
      <c r="B125">
        <f>IF(ISNA(Sheet1!G125),NA(),Sheet1!$O$5-(Sheet1!G125/Sheet1!$O$6))</f>
        <v/>
      </c>
    </row>
    <row r="126">
      <c r="A126">
        <f>Sheet1!I126</f>
        <v/>
      </c>
      <c r="B126">
        <f>IF(ISNA(Sheet1!G126),NA(),Sheet1!$O$5-(Sheet1!G126/Sheet1!$O$6))</f>
        <v/>
      </c>
    </row>
    <row r="127">
      <c r="A127">
        <f>Sheet1!I127</f>
        <v/>
      </c>
      <c r="B127">
        <f>IF(ISNA(Sheet1!G127),NA(),Sheet1!$O$5-(Sheet1!G127/Sheet1!$O$6))</f>
        <v/>
      </c>
    </row>
    <row r="128">
      <c r="A128">
        <f>Sheet1!I128</f>
        <v/>
      </c>
      <c r="B128">
        <f>IF(ISNA(Sheet1!G128),NA(),Sheet1!$O$5-(Sheet1!G128/Sheet1!$O$6))</f>
        <v/>
      </c>
    </row>
    <row r="129">
      <c r="A129">
        <f>Sheet1!I129</f>
        <v/>
      </c>
      <c r="B129">
        <f>IF(ISNA(Sheet1!G129),NA(),Sheet1!$O$5-(Sheet1!G129/Sheet1!$O$6))</f>
        <v/>
      </c>
    </row>
    <row r="130">
      <c r="A130">
        <f>Sheet1!I130</f>
        <v/>
      </c>
      <c r="B130">
        <f>IF(ISNA(Sheet1!G130),NA(),Sheet1!$O$5-(Sheet1!G130/Sheet1!$O$6))</f>
        <v/>
      </c>
    </row>
    <row r="131">
      <c r="A131">
        <f>Sheet1!I131</f>
        <v/>
      </c>
      <c r="B131">
        <f>IF(ISNA(Sheet1!G131),NA(),Sheet1!$O$5-(Sheet1!G131/Sheet1!$O$6))</f>
        <v/>
      </c>
    </row>
    <row r="132">
      <c r="A132">
        <f>Sheet1!I132</f>
        <v/>
      </c>
      <c r="B132">
        <f>IF(ISNA(Sheet1!G132),NA(),Sheet1!$O$5-(Sheet1!G132/Sheet1!$O$6))</f>
        <v/>
      </c>
    </row>
    <row r="133">
      <c r="A133">
        <f>Sheet1!I133</f>
        <v/>
      </c>
      <c r="B133">
        <f>IF(ISNA(Sheet1!G133),NA(),Sheet1!$O$5-(Sheet1!G133/Sheet1!$O$6))</f>
        <v/>
      </c>
    </row>
    <row r="134">
      <c r="A134">
        <f>Sheet1!I134</f>
        <v/>
      </c>
      <c r="B134">
        <f>IF(ISNA(Sheet1!G134),NA(),Sheet1!$O$5-(Sheet1!G134/Sheet1!$O$6))</f>
        <v/>
      </c>
    </row>
    <row r="135">
      <c r="A135">
        <f>Sheet1!I135</f>
        <v/>
      </c>
      <c r="B135">
        <f>IF(ISNA(Sheet1!G135),NA(),Sheet1!$O$5-(Sheet1!G135/Sheet1!$O$6))</f>
        <v/>
      </c>
    </row>
    <row r="136">
      <c r="A136">
        <f>Sheet1!I136</f>
        <v/>
      </c>
      <c r="B136">
        <f>IF(ISNA(Sheet1!G136),NA(),Sheet1!$O$5-(Sheet1!G136/Sheet1!$O$6))</f>
        <v/>
      </c>
    </row>
    <row r="137">
      <c r="A137">
        <f>Sheet1!I137</f>
        <v/>
      </c>
      <c r="B137">
        <f>IF(ISNA(Sheet1!G137),NA(),Sheet1!$O$5-(Sheet1!G137/Sheet1!$O$6))</f>
        <v/>
      </c>
    </row>
    <row r="138">
      <c r="A138">
        <f>Sheet1!I138</f>
        <v/>
      </c>
      <c r="B138">
        <f>IF(ISNA(Sheet1!G138),NA(),Sheet1!$O$5-(Sheet1!G138/Sheet1!$O$6))</f>
        <v/>
      </c>
    </row>
    <row r="139">
      <c r="A139">
        <f>Sheet1!I139</f>
        <v/>
      </c>
      <c r="B139">
        <f>IF(ISNA(Sheet1!G139),NA(),Sheet1!$O$5-(Sheet1!G139/Sheet1!$O$6))</f>
        <v/>
      </c>
    </row>
    <row r="140">
      <c r="A140">
        <f>Sheet1!I140</f>
        <v/>
      </c>
      <c r="B140">
        <f>IF(ISNA(Sheet1!G140),NA(),Sheet1!$O$5-(Sheet1!G140/Sheet1!$O$6))</f>
        <v/>
      </c>
    </row>
    <row r="141">
      <c r="A141">
        <f>Sheet1!I141</f>
        <v/>
      </c>
      <c r="B141">
        <f>IF(ISNA(Sheet1!G141),NA(),Sheet1!$O$5-(Sheet1!G141/Sheet1!$O$6))</f>
        <v/>
      </c>
    </row>
    <row r="142">
      <c r="A142">
        <f>Sheet1!I142</f>
        <v/>
      </c>
      <c r="B142">
        <f>IF(ISNA(Sheet1!G142),NA(),Sheet1!$O$5-(Sheet1!G142/Sheet1!$O$6))</f>
        <v/>
      </c>
    </row>
    <row r="143">
      <c r="A143">
        <f>Sheet1!I143</f>
        <v/>
      </c>
      <c r="B143">
        <f>IF(ISNA(Sheet1!G143),NA(),Sheet1!$O$5-(Sheet1!G143/Sheet1!$O$6))</f>
        <v/>
      </c>
    </row>
    <row r="144">
      <c r="A144">
        <f>Sheet1!I144</f>
        <v/>
      </c>
      <c r="B144">
        <f>IF(ISNA(Sheet1!G144),NA(),Sheet1!$O$5-(Sheet1!G144/Sheet1!$O$6))</f>
        <v/>
      </c>
    </row>
    <row r="145">
      <c r="A145">
        <f>Sheet1!I145</f>
        <v/>
      </c>
      <c r="B145">
        <f>IF(ISNA(Sheet1!G145),NA(),Sheet1!$O$5-(Sheet1!G145/Sheet1!$O$6))</f>
        <v/>
      </c>
    </row>
    <row r="146">
      <c r="A146">
        <f>Sheet1!I146</f>
        <v/>
      </c>
      <c r="B146">
        <f>IF(ISNA(Sheet1!G146),NA(),Sheet1!$O$5-(Sheet1!G146/Sheet1!$O$6))</f>
        <v/>
      </c>
    </row>
    <row r="147">
      <c r="A147">
        <f>Sheet1!I147</f>
        <v/>
      </c>
      <c r="B147">
        <f>IF(ISNA(Sheet1!G147),NA(),Sheet1!$O$5-(Sheet1!G147/Sheet1!$O$6))</f>
        <v/>
      </c>
    </row>
    <row r="148">
      <c r="A148">
        <f>Sheet1!I148</f>
        <v/>
      </c>
      <c r="B148">
        <f>IF(ISNA(Sheet1!G148),NA(),Sheet1!$O$5-(Sheet1!G148/Sheet1!$O$6))</f>
        <v/>
      </c>
    </row>
    <row r="149">
      <c r="A149">
        <f>Sheet1!I149</f>
        <v/>
      </c>
      <c r="B149">
        <f>IF(ISNA(Sheet1!G149),NA(),Sheet1!$O$5-(Sheet1!G149/Sheet1!$O$6))</f>
        <v/>
      </c>
    </row>
    <row r="150">
      <c r="A150">
        <f>Sheet1!I150</f>
        <v/>
      </c>
      <c r="B150">
        <f>IF(ISNA(Sheet1!G150),NA(),Sheet1!$O$5-(Sheet1!G150/Sheet1!$O$6))</f>
        <v/>
      </c>
    </row>
    <row r="151">
      <c r="A151">
        <f>Sheet1!I151</f>
        <v/>
      </c>
      <c r="B151">
        <f>IF(ISNA(Sheet1!G151),NA(),Sheet1!$O$5-(Sheet1!G151/Sheet1!$O$6))</f>
        <v/>
      </c>
    </row>
    <row r="152">
      <c r="A152">
        <f>Sheet1!I152</f>
        <v/>
      </c>
      <c r="B152">
        <f>IF(ISNA(Sheet1!G152),NA(),Sheet1!$O$5-(Sheet1!G152/Sheet1!$O$6))</f>
        <v/>
      </c>
    </row>
    <row r="153">
      <c r="A153">
        <f>Sheet1!I153</f>
        <v/>
      </c>
      <c r="B153">
        <f>IF(ISNA(Sheet1!G153),NA(),Sheet1!$O$5-(Sheet1!G153/Sheet1!$O$6))</f>
        <v/>
      </c>
    </row>
    <row r="154">
      <c r="A154">
        <f>Sheet1!I154</f>
        <v/>
      </c>
      <c r="B154">
        <f>IF(ISNA(Sheet1!G154),NA(),Sheet1!$O$5-(Sheet1!G154/Sheet1!$O$6))</f>
        <v/>
      </c>
    </row>
    <row r="155">
      <c r="A155">
        <f>Sheet1!I155</f>
        <v/>
      </c>
      <c r="B155">
        <f>IF(ISNA(Sheet1!G155),NA(),Sheet1!$O$5-(Sheet1!G155/Sheet1!$O$6))</f>
        <v/>
      </c>
    </row>
    <row r="156">
      <c r="A156">
        <f>Sheet1!I156</f>
        <v/>
      </c>
      <c r="B156">
        <f>IF(ISNA(Sheet1!G156),NA(),Sheet1!$O$5-(Sheet1!G156/Sheet1!$O$6))</f>
        <v/>
      </c>
    </row>
    <row r="157">
      <c r="A157">
        <f>Sheet1!I157</f>
        <v/>
      </c>
      <c r="B157">
        <f>IF(ISNA(Sheet1!G157),NA(),Sheet1!$O$5-(Sheet1!G157/Sheet1!$O$6))</f>
        <v/>
      </c>
    </row>
    <row r="158">
      <c r="A158">
        <f>Sheet1!I158</f>
        <v/>
      </c>
      <c r="B158">
        <f>IF(ISNA(Sheet1!G158),NA(),Sheet1!$O$5-(Sheet1!G158/Sheet1!$O$6))</f>
        <v/>
      </c>
    </row>
    <row r="159">
      <c r="A159">
        <f>Sheet1!I159</f>
        <v/>
      </c>
      <c r="B159">
        <f>IF(ISNA(Sheet1!G159),NA(),Sheet1!$O$5-(Sheet1!G159/Sheet1!$O$6))</f>
        <v/>
      </c>
    </row>
    <row r="160">
      <c r="A160">
        <f>Sheet1!I160</f>
        <v/>
      </c>
      <c r="B160">
        <f>IF(ISNA(Sheet1!G160),NA(),Sheet1!$O$5-(Sheet1!G160/Sheet1!$O$6))</f>
        <v/>
      </c>
    </row>
    <row r="161">
      <c r="A161">
        <f>Sheet1!I161</f>
        <v/>
      </c>
      <c r="B161">
        <f>IF(ISNA(Sheet1!G161),NA(),Sheet1!$O$5-(Sheet1!G161/Sheet1!$O$6))</f>
        <v/>
      </c>
    </row>
    <row r="162">
      <c r="A162">
        <f>Sheet1!I162</f>
        <v/>
      </c>
      <c r="B162">
        <f>IF(ISNA(Sheet1!G162),NA(),Sheet1!$O$5-(Sheet1!G162/Sheet1!$O$6))</f>
        <v/>
      </c>
    </row>
    <row r="163">
      <c r="A163">
        <f>Sheet1!I163</f>
        <v/>
      </c>
      <c r="B163">
        <f>IF(ISNA(Sheet1!G163),NA(),Sheet1!$O$5-(Sheet1!G163/Sheet1!$O$6))</f>
        <v/>
      </c>
    </row>
    <row r="164">
      <c r="A164">
        <f>Sheet1!I164</f>
        <v/>
      </c>
      <c r="B164">
        <f>IF(ISNA(Sheet1!G164),NA(),Sheet1!$O$5-(Sheet1!G164/Sheet1!$O$6))</f>
        <v/>
      </c>
    </row>
    <row r="165">
      <c r="A165">
        <f>Sheet1!I165</f>
        <v/>
      </c>
      <c r="B165">
        <f>IF(ISNA(Sheet1!G165),NA(),Sheet1!$O$5-(Sheet1!G165/Sheet1!$O$6))</f>
        <v/>
      </c>
    </row>
    <row r="166">
      <c r="A166">
        <f>Sheet1!I166</f>
        <v/>
      </c>
      <c r="B166">
        <f>IF(ISNA(Sheet1!G166),NA(),Sheet1!$O$5-(Sheet1!G166/Sheet1!$O$6))</f>
        <v/>
      </c>
    </row>
    <row r="167">
      <c r="A167">
        <f>Sheet1!I167</f>
        <v/>
      </c>
      <c r="B167">
        <f>IF(ISNA(Sheet1!G167),NA(),Sheet1!$O$5-(Sheet1!G167/Sheet1!$O$6))</f>
        <v/>
      </c>
    </row>
    <row r="168">
      <c r="A168">
        <f>Sheet1!I168</f>
        <v/>
      </c>
      <c r="B168">
        <f>IF(ISNA(Sheet1!G168),NA(),Sheet1!$O$5-(Sheet1!G168/Sheet1!$O$6))</f>
        <v/>
      </c>
    </row>
    <row r="169">
      <c r="A169">
        <f>Sheet1!I169</f>
        <v/>
      </c>
      <c r="B169">
        <f>IF(ISNA(Sheet1!G169),NA(),Sheet1!$O$5-(Sheet1!G169/Sheet1!$O$6))</f>
        <v/>
      </c>
    </row>
    <row r="170">
      <c r="A170">
        <f>Sheet1!I170</f>
        <v/>
      </c>
      <c r="B170">
        <f>IF(ISNA(Sheet1!G170),NA(),Sheet1!$O$5-(Sheet1!G170/Sheet1!$O$6))</f>
        <v/>
      </c>
    </row>
    <row r="171">
      <c r="A171">
        <f>Sheet1!I171</f>
        <v/>
      </c>
      <c r="B171">
        <f>IF(ISNA(Sheet1!G171),NA(),Sheet1!$O$5-(Sheet1!G171/Sheet1!$O$6))</f>
        <v/>
      </c>
    </row>
    <row r="172">
      <c r="A172">
        <f>Sheet1!I172</f>
        <v/>
      </c>
      <c r="B172">
        <f>IF(ISNA(Sheet1!G172),NA(),Sheet1!$O$5-(Sheet1!G172/Sheet1!$O$6))</f>
        <v/>
      </c>
    </row>
    <row r="173">
      <c r="A173">
        <f>Sheet1!I173</f>
        <v/>
      </c>
      <c r="B173">
        <f>IF(ISNA(Sheet1!G173),NA(),Sheet1!$O$5-(Sheet1!G173/Sheet1!$O$6))</f>
        <v/>
      </c>
    </row>
    <row r="174">
      <c r="A174">
        <f>Sheet1!I174</f>
        <v/>
      </c>
      <c r="B174">
        <f>IF(ISNA(Sheet1!G174),NA(),Sheet1!$O$5-(Sheet1!G174/Sheet1!$O$6))</f>
        <v/>
      </c>
    </row>
    <row r="175">
      <c r="A175">
        <f>Sheet1!I175</f>
        <v/>
      </c>
      <c r="B175">
        <f>IF(ISNA(Sheet1!G175),NA(),Sheet1!$O$5-(Sheet1!G175/Sheet1!$O$6))</f>
        <v/>
      </c>
    </row>
    <row r="176">
      <c r="A176">
        <f>Sheet1!I176</f>
        <v/>
      </c>
      <c r="B176">
        <f>IF(ISNA(Sheet1!G176),NA(),Sheet1!$O$5-(Sheet1!G176/Sheet1!$O$6))</f>
        <v/>
      </c>
    </row>
    <row r="177">
      <c r="A177">
        <f>Sheet1!I177</f>
        <v/>
      </c>
      <c r="B177">
        <f>IF(ISNA(Sheet1!G177),NA(),Sheet1!$O$5-(Sheet1!G177/Sheet1!$O$6))</f>
        <v/>
      </c>
    </row>
    <row r="178">
      <c r="A178">
        <f>Sheet1!I178</f>
        <v/>
      </c>
      <c r="B178">
        <f>IF(ISNA(Sheet1!G178),NA(),Sheet1!$O$5-(Sheet1!G178/Sheet1!$O$6))</f>
        <v/>
      </c>
    </row>
    <row r="179">
      <c r="A179">
        <f>Sheet1!I179</f>
        <v/>
      </c>
      <c r="B179">
        <f>IF(ISNA(Sheet1!G179),NA(),Sheet1!$O$5-(Sheet1!G179/Sheet1!$O$6))</f>
        <v/>
      </c>
    </row>
    <row r="180">
      <c r="A180">
        <f>Sheet1!I180</f>
        <v/>
      </c>
      <c r="B180">
        <f>IF(ISNA(Sheet1!G180),NA(),Sheet1!$O$5-(Sheet1!G180/Sheet1!$O$6))</f>
        <v/>
      </c>
    </row>
    <row r="181">
      <c r="A181">
        <f>Sheet1!I181</f>
        <v/>
      </c>
      <c r="B181">
        <f>IF(ISNA(Sheet1!G181),NA(),Sheet1!$O$5-(Sheet1!G181/Sheet1!$O$6))</f>
        <v/>
      </c>
    </row>
    <row r="182">
      <c r="A182">
        <f>Sheet1!I182</f>
        <v/>
      </c>
      <c r="B182">
        <f>IF(ISNA(Sheet1!G182),NA(),Sheet1!$O$5-(Sheet1!G182/Sheet1!$O$6))</f>
        <v/>
      </c>
    </row>
    <row r="183">
      <c r="A183">
        <f>Sheet1!I183</f>
        <v/>
      </c>
      <c r="B183">
        <f>IF(ISNA(Sheet1!G183),NA(),Sheet1!$O$5-(Sheet1!G183/Sheet1!$O$6))</f>
        <v/>
      </c>
    </row>
    <row r="184">
      <c r="A184">
        <f>Sheet1!I184</f>
        <v/>
      </c>
      <c r="B184">
        <f>IF(ISNA(Sheet1!G184),NA(),Sheet1!$O$5-(Sheet1!G184/Sheet1!$O$6))</f>
        <v/>
      </c>
    </row>
    <row r="185">
      <c r="A185">
        <f>Sheet1!I185</f>
        <v/>
      </c>
      <c r="B185">
        <f>IF(ISNA(Sheet1!G185),NA(),Sheet1!$O$5-(Sheet1!G185/Sheet1!$O$6))</f>
        <v/>
      </c>
    </row>
    <row r="186">
      <c r="A186">
        <f>Sheet1!I186</f>
        <v/>
      </c>
      <c r="B186">
        <f>IF(ISNA(Sheet1!G186),NA(),Sheet1!$O$5-(Sheet1!G186/Sheet1!$O$6))</f>
        <v/>
      </c>
    </row>
    <row r="187">
      <c r="A187">
        <f>Sheet1!I187</f>
        <v/>
      </c>
      <c r="B187">
        <f>IF(ISNA(Sheet1!G187),NA(),Sheet1!$O$5-(Sheet1!G187/Sheet1!$O$6))</f>
        <v/>
      </c>
    </row>
    <row r="188">
      <c r="A188">
        <f>Sheet1!I188</f>
        <v/>
      </c>
      <c r="B188">
        <f>IF(ISNA(Sheet1!G188),NA(),Sheet1!$O$5-(Sheet1!G188/Sheet1!$O$6))</f>
        <v/>
      </c>
    </row>
    <row r="189">
      <c r="A189">
        <f>Sheet1!I189</f>
        <v/>
      </c>
      <c r="B189">
        <f>IF(ISNA(Sheet1!G189),NA(),Sheet1!$O$5-(Sheet1!G189/Sheet1!$O$6))</f>
        <v/>
      </c>
    </row>
    <row r="190">
      <c r="A190">
        <f>Sheet1!I190</f>
        <v/>
      </c>
      <c r="B190">
        <f>IF(ISNA(Sheet1!G190),NA(),Sheet1!$O$5-(Sheet1!G190/Sheet1!$O$6))</f>
        <v/>
      </c>
    </row>
    <row r="191">
      <c r="A191">
        <f>Sheet1!I191</f>
        <v/>
      </c>
      <c r="B191">
        <f>IF(ISNA(Sheet1!G191),NA(),Sheet1!$O$5-(Sheet1!G191/Sheet1!$O$6))</f>
        <v/>
      </c>
    </row>
    <row r="192">
      <c r="A192">
        <f>Sheet1!I192</f>
        <v/>
      </c>
      <c r="B192">
        <f>IF(ISNA(Sheet1!G192),NA(),Sheet1!$O$5-(Sheet1!G192/Sheet1!$O$6))</f>
        <v/>
      </c>
    </row>
    <row r="193">
      <c r="A193">
        <f>Sheet1!I193</f>
        <v/>
      </c>
      <c r="B193">
        <f>IF(ISNA(Sheet1!G193),NA(),Sheet1!$O$5-(Sheet1!G193/Sheet1!$O$6))</f>
        <v/>
      </c>
    </row>
    <row r="194">
      <c r="A194">
        <f>Sheet1!I194</f>
        <v/>
      </c>
      <c r="B194">
        <f>IF(ISNA(Sheet1!G194),NA(),Sheet1!$O$5-(Sheet1!G194/Sheet1!$O$6))</f>
        <v/>
      </c>
    </row>
    <row r="195">
      <c r="A195">
        <f>Sheet1!I195</f>
        <v/>
      </c>
      <c r="B195">
        <f>IF(ISNA(Sheet1!G195),NA(),Sheet1!$O$5-(Sheet1!G195/Sheet1!$O$6))</f>
        <v/>
      </c>
    </row>
    <row r="196">
      <c r="A196">
        <f>Sheet1!I196</f>
        <v/>
      </c>
      <c r="B196">
        <f>IF(ISNA(Sheet1!G196),NA(),Sheet1!$O$5-(Sheet1!G196/Sheet1!$O$6))</f>
        <v/>
      </c>
    </row>
    <row r="197">
      <c r="A197">
        <f>Sheet1!I197</f>
        <v/>
      </c>
      <c r="B197">
        <f>IF(ISNA(Sheet1!G197),NA(),Sheet1!$O$5-(Sheet1!G197/Sheet1!$O$6))</f>
        <v/>
      </c>
    </row>
    <row r="198">
      <c r="A198">
        <f>Sheet1!I198</f>
        <v/>
      </c>
      <c r="B198">
        <f>IF(ISNA(Sheet1!G198),NA(),Sheet1!$O$5-(Sheet1!G198/Sheet1!$O$6))</f>
        <v/>
      </c>
    </row>
    <row r="199">
      <c r="A199">
        <f>Sheet1!I199</f>
        <v/>
      </c>
      <c r="B199">
        <f>IF(ISNA(Sheet1!G199),NA(),Sheet1!$O$5-(Sheet1!G199/Sheet1!$O$6))</f>
        <v/>
      </c>
    </row>
    <row r="200">
      <c r="A200">
        <f>Sheet1!I200</f>
        <v/>
      </c>
      <c r="B200">
        <f>IF(ISNA(Sheet1!G200),NA(),Sheet1!$O$5-(Sheet1!G200/Sheet1!$O$6))</f>
        <v/>
      </c>
    </row>
    <row r="201">
      <c r="A201">
        <f>Sheet1!I201</f>
        <v/>
      </c>
      <c r="B201">
        <f>IF(ISNA(Sheet1!G201),NA(),Sheet1!$O$5-(Sheet1!G201/Sheet1!$O$6))</f>
        <v/>
      </c>
    </row>
    <row r="202">
      <c r="A202">
        <f>Sheet1!I202</f>
        <v/>
      </c>
      <c r="B202">
        <f>IF(ISNA(Sheet1!G202),NA(),Sheet1!$O$5-(Sheet1!G202/Sheet1!$O$6))</f>
        <v/>
      </c>
    </row>
    <row r="203">
      <c r="A203">
        <f>Sheet1!I203</f>
        <v/>
      </c>
      <c r="B203">
        <f>IF(ISNA(Sheet1!G203),NA(),Sheet1!$O$5-(Sheet1!G203/Sheet1!$O$6))</f>
        <v/>
      </c>
    </row>
    <row r="204">
      <c r="A204">
        <f>Sheet1!I204</f>
        <v/>
      </c>
      <c r="B204">
        <f>IF(ISNA(Sheet1!G204),NA(),Sheet1!$O$5-(Sheet1!G204/Sheet1!$O$6))</f>
        <v/>
      </c>
    </row>
    <row r="205">
      <c r="A205">
        <f>Sheet1!I205</f>
        <v/>
      </c>
      <c r="B205">
        <f>IF(ISNA(Sheet1!G205),NA(),Sheet1!$O$5-(Sheet1!G205/Sheet1!$O$6))</f>
        <v/>
      </c>
    </row>
    <row r="206">
      <c r="A206">
        <f>Sheet1!I206</f>
        <v/>
      </c>
      <c r="B206">
        <f>IF(ISNA(Sheet1!G206),NA(),Sheet1!$O$5-(Sheet1!G206/Sheet1!$O$6))</f>
        <v/>
      </c>
    </row>
    <row r="207">
      <c r="A207">
        <f>Sheet1!I207</f>
        <v/>
      </c>
      <c r="B207">
        <f>IF(ISNA(Sheet1!G207),NA(),Sheet1!$O$5-(Sheet1!G207/Sheet1!$O$6))</f>
        <v/>
      </c>
    </row>
    <row r="208">
      <c r="A208">
        <f>Sheet1!I208</f>
        <v/>
      </c>
      <c r="B208">
        <f>IF(ISNA(Sheet1!G208),NA(),Sheet1!$O$5-(Sheet1!G208/Sheet1!$O$6))</f>
        <v/>
      </c>
    </row>
    <row r="209">
      <c r="A209">
        <f>Sheet1!I209</f>
        <v/>
      </c>
      <c r="B209">
        <f>IF(ISNA(Sheet1!G209),NA(),Sheet1!$O$5-(Sheet1!G209/Sheet1!$O$6))</f>
        <v/>
      </c>
    </row>
    <row r="210">
      <c r="A210">
        <f>Sheet1!I210</f>
        <v/>
      </c>
      <c r="B210">
        <f>IF(ISNA(Sheet1!G210),NA(),Sheet1!$O$5-(Sheet1!G210/Sheet1!$O$6))</f>
        <v/>
      </c>
    </row>
    <row r="211">
      <c r="A211">
        <f>Sheet1!I211</f>
        <v/>
      </c>
      <c r="B211">
        <f>IF(ISNA(Sheet1!G211),NA(),Sheet1!$O$5-(Sheet1!G211/Sheet1!$O$6))</f>
        <v/>
      </c>
    </row>
    <row r="212">
      <c r="A212">
        <f>Sheet1!I212</f>
        <v/>
      </c>
      <c r="B212">
        <f>IF(ISNA(Sheet1!G212),NA(),Sheet1!$O$5-(Sheet1!G212/Sheet1!$O$6))</f>
        <v/>
      </c>
    </row>
    <row r="213">
      <c r="A213">
        <f>Sheet1!I213</f>
        <v/>
      </c>
      <c r="B213">
        <f>IF(ISNA(Sheet1!G213),NA(),Sheet1!$O$5-(Sheet1!G213/Sheet1!$O$6))</f>
        <v/>
      </c>
    </row>
    <row r="214">
      <c r="A214">
        <f>Sheet1!I214</f>
        <v/>
      </c>
      <c r="B214">
        <f>IF(ISNA(Sheet1!G214),NA(),Sheet1!$O$5-(Sheet1!G214/Sheet1!$O$6))</f>
        <v/>
      </c>
    </row>
    <row r="215">
      <c r="A215">
        <f>Sheet1!I215</f>
        <v/>
      </c>
      <c r="B215">
        <f>IF(ISNA(Sheet1!G215),NA(),Sheet1!$O$5-(Sheet1!G215/Sheet1!$O$6))</f>
        <v/>
      </c>
    </row>
    <row r="216">
      <c r="A216">
        <f>Sheet1!I216</f>
        <v/>
      </c>
      <c r="B216">
        <f>IF(ISNA(Sheet1!G216),NA(),Sheet1!$O$5-(Sheet1!G216/Sheet1!$O$6))</f>
        <v/>
      </c>
    </row>
    <row r="217">
      <c r="A217">
        <f>Sheet1!I217</f>
        <v/>
      </c>
      <c r="B217">
        <f>IF(ISNA(Sheet1!G217),NA(),Sheet1!$O$5-(Sheet1!G217/Sheet1!$O$6))</f>
        <v/>
      </c>
    </row>
    <row r="218">
      <c r="A218">
        <f>Sheet1!I218</f>
        <v/>
      </c>
      <c r="B218">
        <f>IF(ISNA(Sheet1!G218),NA(),Sheet1!$O$5-(Sheet1!G218/Sheet1!$O$6))</f>
        <v/>
      </c>
    </row>
    <row r="219">
      <c r="A219">
        <f>Sheet1!I219</f>
        <v/>
      </c>
      <c r="B219">
        <f>IF(ISNA(Sheet1!G219),NA(),Sheet1!$O$5-(Sheet1!G219/Sheet1!$O$6))</f>
        <v/>
      </c>
    </row>
    <row r="220">
      <c r="A220">
        <f>Sheet1!I220</f>
        <v/>
      </c>
      <c r="B220">
        <f>IF(ISNA(Sheet1!G220),NA(),Sheet1!$O$5-(Sheet1!G220/Sheet1!$O$6))</f>
        <v/>
      </c>
    </row>
    <row r="221">
      <c r="A221">
        <f>Sheet1!I221</f>
        <v/>
      </c>
      <c r="B221">
        <f>IF(ISNA(Sheet1!G221),NA(),Sheet1!$O$5-(Sheet1!G221/Sheet1!$O$6))</f>
        <v/>
      </c>
    </row>
    <row r="222">
      <c r="A222">
        <f>Sheet1!I222</f>
        <v/>
      </c>
      <c r="B222">
        <f>IF(ISNA(Sheet1!G222),NA(),Sheet1!$O$5-(Sheet1!G222/Sheet1!$O$6))</f>
        <v/>
      </c>
    </row>
    <row r="223">
      <c r="A223">
        <f>Sheet1!I223</f>
        <v/>
      </c>
      <c r="B223">
        <f>IF(ISNA(Sheet1!G223),NA(),Sheet1!$O$5-(Sheet1!G223/Sheet1!$O$6))</f>
        <v/>
      </c>
    </row>
    <row r="224">
      <c r="A224">
        <f>Sheet1!I224</f>
        <v/>
      </c>
      <c r="B224">
        <f>IF(ISNA(Sheet1!G224),NA(),Sheet1!$O$5-(Sheet1!G224/Sheet1!$O$6))</f>
        <v/>
      </c>
    </row>
    <row r="225">
      <c r="A225">
        <f>Sheet1!I225</f>
        <v/>
      </c>
      <c r="B225">
        <f>IF(ISNA(Sheet1!G225),NA(),Sheet1!$O$5-(Sheet1!G225/Sheet1!$O$6))</f>
        <v/>
      </c>
    </row>
    <row r="226">
      <c r="A226">
        <f>Sheet1!I226</f>
        <v/>
      </c>
      <c r="B226">
        <f>IF(ISNA(Sheet1!G226),NA(),Sheet1!$O$5-(Sheet1!G226/Sheet1!$O$6))</f>
        <v/>
      </c>
    </row>
    <row r="227">
      <c r="A227">
        <f>Sheet1!I227</f>
        <v/>
      </c>
      <c r="B227">
        <f>IF(ISNA(Sheet1!G227),NA(),Sheet1!$O$5-(Sheet1!G227/Sheet1!$O$6))</f>
        <v/>
      </c>
    </row>
    <row r="228">
      <c r="A228">
        <f>Sheet1!I228</f>
        <v/>
      </c>
      <c r="B228">
        <f>IF(ISNA(Sheet1!G228),NA(),Sheet1!$O$5-(Sheet1!G228/Sheet1!$O$6))</f>
        <v/>
      </c>
    </row>
    <row r="229">
      <c r="A229">
        <f>Sheet1!I229</f>
        <v/>
      </c>
      <c r="B229">
        <f>IF(ISNA(Sheet1!G229),NA(),Sheet1!$O$5-(Sheet1!G229/Sheet1!$O$6))</f>
        <v/>
      </c>
    </row>
    <row r="230">
      <c r="A230">
        <f>Sheet1!I230</f>
        <v/>
      </c>
      <c r="B230">
        <f>IF(ISNA(Sheet1!G230),NA(),Sheet1!$O$5-(Sheet1!G230/Sheet1!$O$6))</f>
        <v/>
      </c>
    </row>
    <row r="231">
      <c r="A231">
        <f>Sheet1!I231</f>
        <v/>
      </c>
      <c r="B231">
        <f>IF(ISNA(Sheet1!G231),NA(),Sheet1!$O$5-(Sheet1!G231/Sheet1!$O$6))</f>
        <v/>
      </c>
    </row>
    <row r="232">
      <c r="A232">
        <f>Sheet1!I232</f>
        <v/>
      </c>
      <c r="B232">
        <f>IF(ISNA(Sheet1!G232),NA(),Sheet1!$O$5-(Sheet1!G232/Sheet1!$O$6))</f>
        <v/>
      </c>
    </row>
    <row r="233">
      <c r="A233">
        <f>Sheet1!I233</f>
        <v/>
      </c>
      <c r="B233">
        <f>IF(ISNA(Sheet1!G233),NA(),Sheet1!$O$5-(Sheet1!G233/Sheet1!$O$6))</f>
        <v/>
      </c>
    </row>
    <row r="234">
      <c r="A234">
        <f>Sheet1!I234</f>
        <v/>
      </c>
      <c r="B234">
        <f>IF(ISNA(Sheet1!G234),NA(),Sheet1!$O$5-(Sheet1!G234/Sheet1!$O$6))</f>
        <v/>
      </c>
    </row>
    <row r="235">
      <c r="A235">
        <f>Sheet1!I235</f>
        <v/>
      </c>
      <c r="B235">
        <f>IF(ISNA(Sheet1!G235),NA(),Sheet1!$O$5-(Sheet1!G235/Sheet1!$O$6))</f>
        <v/>
      </c>
    </row>
    <row r="236">
      <c r="A236">
        <f>Sheet1!I236</f>
        <v/>
      </c>
      <c r="B236">
        <f>IF(ISNA(Sheet1!G236),NA(),Sheet1!$O$5-(Sheet1!G236/Sheet1!$O$6))</f>
        <v/>
      </c>
    </row>
    <row r="237">
      <c r="A237">
        <f>Sheet1!I237</f>
        <v/>
      </c>
      <c r="B237">
        <f>IF(ISNA(Sheet1!G237),NA(),Sheet1!$O$5-(Sheet1!G237/Sheet1!$O$6))</f>
        <v/>
      </c>
    </row>
    <row r="238">
      <c r="A238">
        <f>Sheet1!I238</f>
        <v/>
      </c>
      <c r="B238">
        <f>IF(ISNA(Sheet1!G238),NA(),Sheet1!$O$5-(Sheet1!G238/Sheet1!$O$6))</f>
        <v/>
      </c>
    </row>
    <row r="239">
      <c r="A239">
        <f>Sheet1!I239</f>
        <v/>
      </c>
      <c r="B239">
        <f>IF(ISNA(Sheet1!G239),NA(),Sheet1!$O$5-(Sheet1!G239/Sheet1!$O$6))</f>
        <v/>
      </c>
    </row>
    <row r="240">
      <c r="A240">
        <f>Sheet1!I240</f>
        <v/>
      </c>
      <c r="B240">
        <f>IF(ISNA(Sheet1!G240),NA(),Sheet1!$O$5-(Sheet1!G240/Sheet1!$O$6))</f>
        <v/>
      </c>
    </row>
    <row r="241">
      <c r="A241">
        <f>Sheet1!I241</f>
        <v/>
      </c>
      <c r="B241">
        <f>IF(ISNA(Sheet1!G241),NA(),Sheet1!$O$5-(Sheet1!G241/Sheet1!$O$6))</f>
        <v/>
      </c>
    </row>
    <row r="242">
      <c r="A242">
        <f>Sheet1!I242</f>
        <v/>
      </c>
      <c r="B242">
        <f>IF(ISNA(Sheet1!G242),NA(),Sheet1!$O$5-(Sheet1!G242/Sheet1!$O$6))</f>
        <v/>
      </c>
    </row>
    <row r="243">
      <c r="A243">
        <f>Sheet1!I243</f>
        <v/>
      </c>
      <c r="B243">
        <f>IF(ISNA(Sheet1!G243),NA(),Sheet1!$O$5-(Sheet1!G243/Sheet1!$O$6))</f>
        <v/>
      </c>
    </row>
    <row r="244">
      <c r="A244">
        <f>Sheet1!I244</f>
        <v/>
      </c>
      <c r="B244">
        <f>IF(ISNA(Sheet1!G244),NA(),Sheet1!$O$5-(Sheet1!G244/Sheet1!$O$6))</f>
        <v/>
      </c>
    </row>
    <row r="245">
      <c r="A245">
        <f>Sheet1!I245</f>
        <v/>
      </c>
      <c r="B245">
        <f>IF(ISNA(Sheet1!G245),NA(),Sheet1!$O$5-(Sheet1!G245/Sheet1!$O$6))</f>
        <v/>
      </c>
    </row>
    <row r="246">
      <c r="A246">
        <f>Sheet1!I246</f>
        <v/>
      </c>
      <c r="B246">
        <f>IF(ISNA(Sheet1!G246),NA(),Sheet1!$O$5-(Sheet1!G246/Sheet1!$O$6))</f>
        <v/>
      </c>
    </row>
    <row r="247">
      <c r="A247">
        <f>Sheet1!I247</f>
        <v/>
      </c>
      <c r="B247">
        <f>IF(ISNA(Sheet1!G247),NA(),Sheet1!$O$5-(Sheet1!G247/Sheet1!$O$6))</f>
        <v/>
      </c>
    </row>
    <row r="248">
      <c r="A248">
        <f>Sheet1!I248</f>
        <v/>
      </c>
      <c r="B248">
        <f>IF(ISNA(Sheet1!G248),NA(),Sheet1!$O$5-(Sheet1!G248/Sheet1!$O$6))</f>
        <v/>
      </c>
    </row>
    <row r="249">
      <c r="A249">
        <f>Sheet1!I249</f>
        <v/>
      </c>
      <c r="B249">
        <f>IF(ISNA(Sheet1!G249),NA(),Sheet1!$O$5-(Sheet1!G249/Sheet1!$O$6))</f>
        <v/>
      </c>
    </row>
    <row r="250">
      <c r="A250">
        <f>Sheet1!I250</f>
        <v/>
      </c>
      <c r="B250">
        <f>IF(ISNA(Sheet1!G250),NA(),Sheet1!$O$5-(Sheet1!G250/Sheet1!$O$6))</f>
        <v/>
      </c>
    </row>
    <row r="251">
      <c r="A251">
        <f>Sheet1!I251</f>
        <v/>
      </c>
      <c r="B251">
        <f>IF(ISNA(Sheet1!G251),NA(),Sheet1!$O$5-(Sheet1!G251/Sheet1!$O$6))</f>
        <v/>
      </c>
    </row>
    <row r="252">
      <c r="A252">
        <f>Sheet1!I252</f>
        <v/>
      </c>
      <c r="B252">
        <f>IF(ISNA(Sheet1!G252),NA(),Sheet1!$O$5-(Sheet1!G252/Sheet1!$O$6))</f>
        <v/>
      </c>
    </row>
    <row r="253">
      <c r="A253">
        <f>Sheet1!I253</f>
        <v/>
      </c>
      <c r="B253">
        <f>IF(ISNA(Sheet1!G253),NA(),Sheet1!$O$5-(Sheet1!G253/Sheet1!$O$6))</f>
        <v/>
      </c>
    </row>
    <row r="254">
      <c r="A254">
        <f>Sheet1!I254</f>
        <v/>
      </c>
      <c r="B254">
        <f>IF(ISNA(Sheet1!G254),NA(),Sheet1!$O$5-(Sheet1!G254/Sheet1!$O$6))</f>
        <v/>
      </c>
    </row>
    <row r="255">
      <c r="A255">
        <f>Sheet1!I255</f>
        <v/>
      </c>
      <c r="B255">
        <f>IF(ISNA(Sheet1!G255),NA(),Sheet1!$O$5-(Sheet1!G255/Sheet1!$O$6))</f>
        <v/>
      </c>
    </row>
    <row r="256">
      <c r="A256">
        <f>Sheet1!I256</f>
        <v/>
      </c>
      <c r="B256">
        <f>IF(ISNA(Sheet1!G256),NA(),Sheet1!$O$5-(Sheet1!G256/Sheet1!$O$6))</f>
        <v/>
      </c>
    </row>
    <row r="257">
      <c r="A257">
        <f>Sheet1!I257</f>
        <v/>
      </c>
      <c r="B257">
        <f>IF(ISNA(Sheet1!G257),NA(),Sheet1!$O$5-(Sheet1!G257/Sheet1!$O$6))</f>
        <v/>
      </c>
    </row>
    <row r="258">
      <c r="A258">
        <f>Sheet1!I258</f>
        <v/>
      </c>
      <c r="B258">
        <f>IF(ISNA(Sheet1!G258),NA(),Sheet1!$O$5-(Sheet1!G258/Sheet1!$O$6))</f>
        <v/>
      </c>
    </row>
    <row r="259">
      <c r="A259">
        <f>Sheet1!I259</f>
        <v/>
      </c>
      <c r="B259">
        <f>IF(ISNA(Sheet1!G259),NA(),Sheet1!$O$5-(Sheet1!G259/Sheet1!$O$6))</f>
        <v/>
      </c>
    </row>
    <row r="260">
      <c r="A260">
        <f>Sheet1!I260</f>
        <v/>
      </c>
      <c r="B260">
        <f>IF(ISNA(Sheet1!G260),NA(),Sheet1!$O$5-(Sheet1!G260/Sheet1!$O$6))</f>
        <v/>
      </c>
    </row>
    <row r="261">
      <c r="A261">
        <f>Sheet1!I261</f>
        <v/>
      </c>
      <c r="B261">
        <f>IF(ISNA(Sheet1!G261),NA(),Sheet1!$O$5-(Sheet1!G261/Sheet1!$O$6))</f>
        <v/>
      </c>
    </row>
    <row r="262">
      <c r="A262">
        <f>Sheet1!I262</f>
        <v/>
      </c>
      <c r="B262">
        <f>IF(ISNA(Sheet1!G262),NA(),Sheet1!$O$5-(Sheet1!G262/Sheet1!$O$6))</f>
        <v/>
      </c>
    </row>
    <row r="263">
      <c r="A263">
        <f>Sheet1!I263</f>
        <v/>
      </c>
      <c r="B263">
        <f>IF(ISNA(Sheet1!G263),NA(),Sheet1!$O$5-(Sheet1!G263/Sheet1!$O$6))</f>
        <v/>
      </c>
    </row>
    <row r="264">
      <c r="A264">
        <f>Sheet1!I264</f>
        <v/>
      </c>
      <c r="B264">
        <f>IF(ISNA(Sheet1!G264),NA(),Sheet1!$O$5-(Sheet1!G264/Sheet1!$O$6))</f>
        <v/>
      </c>
    </row>
    <row r="265">
      <c r="A265">
        <f>Sheet1!I265</f>
        <v/>
      </c>
      <c r="B265">
        <f>IF(ISNA(Sheet1!G265),NA(),Sheet1!$O$5-(Sheet1!G265/Sheet1!$O$6))</f>
        <v/>
      </c>
    </row>
    <row r="266">
      <c r="A266">
        <f>Sheet1!I266</f>
        <v/>
      </c>
      <c r="B266">
        <f>IF(ISNA(Sheet1!G266),NA(),Sheet1!$O$5-(Sheet1!G266/Sheet1!$O$6))</f>
        <v/>
      </c>
    </row>
    <row r="267">
      <c r="A267">
        <f>Sheet1!I267</f>
        <v/>
      </c>
      <c r="B267">
        <f>IF(ISNA(Sheet1!G267),NA(),Sheet1!$O$5-(Sheet1!G267/Sheet1!$O$6))</f>
        <v/>
      </c>
    </row>
    <row r="268">
      <c r="A268">
        <f>Sheet1!I268</f>
        <v/>
      </c>
      <c r="B268">
        <f>IF(ISNA(Sheet1!G268),NA(),Sheet1!$O$5-(Sheet1!G268/Sheet1!$O$6))</f>
        <v/>
      </c>
    </row>
    <row r="269">
      <c r="A269">
        <f>Sheet1!I269</f>
        <v/>
      </c>
      <c r="B269">
        <f>IF(ISNA(Sheet1!G269),NA(),Sheet1!$O$5-(Sheet1!G269/Sheet1!$O$6))</f>
        <v/>
      </c>
    </row>
    <row r="270">
      <c r="A270">
        <f>Sheet1!I270</f>
        <v/>
      </c>
      <c r="B270">
        <f>IF(ISNA(Sheet1!G270),NA(),Sheet1!$O$5-(Sheet1!G270/Sheet1!$O$6))</f>
        <v/>
      </c>
    </row>
    <row r="271">
      <c r="A271">
        <f>Sheet1!I271</f>
        <v/>
      </c>
      <c r="B271">
        <f>IF(ISNA(Sheet1!G271),NA(),Sheet1!$O$5-(Sheet1!G271/Sheet1!$O$6))</f>
        <v/>
      </c>
    </row>
    <row r="272">
      <c r="A272">
        <f>Sheet1!I272</f>
        <v/>
      </c>
      <c r="B272">
        <f>IF(ISNA(Sheet1!G272),NA(),Sheet1!$O$5-(Sheet1!G272/Sheet1!$O$6))</f>
        <v/>
      </c>
    </row>
    <row r="273">
      <c r="A273">
        <f>Sheet1!I273</f>
        <v/>
      </c>
      <c r="B273">
        <f>IF(ISNA(Sheet1!G273),NA(),Sheet1!$O$5-(Sheet1!G273/Sheet1!$O$6))</f>
        <v/>
      </c>
    </row>
    <row r="274">
      <c r="A274">
        <f>Sheet1!I274</f>
        <v/>
      </c>
      <c r="B274">
        <f>IF(ISNA(Sheet1!G274),NA(),Sheet1!$O$5-(Sheet1!G274/Sheet1!$O$6))</f>
        <v/>
      </c>
    </row>
    <row r="275">
      <c r="A275">
        <f>Sheet1!I275</f>
        <v/>
      </c>
      <c r="B275">
        <f>IF(ISNA(Sheet1!G275),NA(),Sheet1!$O$5-(Sheet1!G275/Sheet1!$O$6))</f>
        <v/>
      </c>
    </row>
    <row r="276">
      <c r="A276">
        <f>Sheet1!I276</f>
        <v/>
      </c>
      <c r="B276">
        <f>IF(ISNA(Sheet1!G276),NA(),Sheet1!$O$5-(Sheet1!G276/Sheet1!$O$6))</f>
        <v/>
      </c>
    </row>
    <row r="277">
      <c r="A277">
        <f>Sheet1!I277</f>
        <v/>
      </c>
      <c r="B277">
        <f>IF(ISNA(Sheet1!G277),NA(),Sheet1!$O$5-(Sheet1!G277/Sheet1!$O$6))</f>
        <v/>
      </c>
    </row>
    <row r="278">
      <c r="A278">
        <f>Sheet1!I278</f>
        <v/>
      </c>
      <c r="B278">
        <f>IF(ISNA(Sheet1!G278),NA(),Sheet1!$O$5-(Sheet1!G278/Sheet1!$O$6))</f>
        <v/>
      </c>
    </row>
    <row r="279">
      <c r="A279">
        <f>Sheet1!I279</f>
        <v/>
      </c>
      <c r="B279">
        <f>IF(ISNA(Sheet1!G279),NA(),Sheet1!$O$5-(Sheet1!G279/Sheet1!$O$6))</f>
        <v/>
      </c>
    </row>
    <row r="280">
      <c r="A280">
        <f>Sheet1!I280</f>
        <v/>
      </c>
      <c r="B280">
        <f>IF(ISNA(Sheet1!G280),NA(),Sheet1!$O$5-(Sheet1!G280/Sheet1!$O$6))</f>
        <v/>
      </c>
    </row>
    <row r="281">
      <c r="A281">
        <f>Sheet1!I281</f>
        <v/>
      </c>
      <c r="B281">
        <f>IF(ISNA(Sheet1!G281),NA(),Sheet1!$O$5-(Sheet1!G281/Sheet1!$O$6))</f>
        <v/>
      </c>
    </row>
    <row r="282">
      <c r="A282">
        <f>Sheet1!I282</f>
        <v/>
      </c>
      <c r="B282">
        <f>IF(ISNA(Sheet1!G282),NA(),Sheet1!$O$5-(Sheet1!G282/Sheet1!$O$6))</f>
        <v/>
      </c>
    </row>
    <row r="283">
      <c r="A283">
        <f>Sheet1!I283</f>
        <v/>
      </c>
      <c r="B283">
        <f>IF(ISNA(Sheet1!G283),NA(),Sheet1!$O$5-(Sheet1!G283/Sheet1!$O$6))</f>
        <v/>
      </c>
    </row>
    <row r="284">
      <c r="A284">
        <f>Sheet1!I284</f>
        <v/>
      </c>
      <c r="B284">
        <f>IF(ISNA(Sheet1!G284),NA(),Sheet1!$O$5-(Sheet1!G284/Sheet1!$O$6))</f>
        <v/>
      </c>
    </row>
    <row r="285">
      <c r="A285">
        <f>Sheet1!I285</f>
        <v/>
      </c>
      <c r="B285">
        <f>IF(ISNA(Sheet1!G285),NA(),Sheet1!$O$5-(Sheet1!G285/Sheet1!$O$6))</f>
        <v/>
      </c>
    </row>
    <row r="286">
      <c r="A286">
        <f>Sheet1!I286</f>
        <v/>
      </c>
      <c r="B286">
        <f>IF(ISNA(Sheet1!G286),NA(),Sheet1!$O$5-(Sheet1!G286/Sheet1!$O$6))</f>
        <v/>
      </c>
    </row>
    <row r="287">
      <c r="A287">
        <f>Sheet1!I287</f>
        <v/>
      </c>
      <c r="B287">
        <f>IF(ISNA(Sheet1!G287),NA(),Sheet1!$O$5-(Sheet1!G287/Sheet1!$O$6))</f>
        <v/>
      </c>
    </row>
    <row r="288">
      <c r="A288">
        <f>Sheet1!I288</f>
        <v/>
      </c>
      <c r="B288">
        <f>IF(ISNA(Sheet1!G288),NA(),Sheet1!$O$5-(Sheet1!G288/Sheet1!$O$6))</f>
        <v/>
      </c>
    </row>
    <row r="289">
      <c r="A289">
        <f>Sheet1!I289</f>
        <v/>
      </c>
      <c r="B289">
        <f>IF(ISNA(Sheet1!G289),NA(),Sheet1!$O$5-(Sheet1!G289/Sheet1!$O$6))</f>
        <v/>
      </c>
    </row>
    <row r="290">
      <c r="A290">
        <f>Sheet1!I290</f>
        <v/>
      </c>
      <c r="B290">
        <f>IF(ISNA(Sheet1!G290),NA(),Sheet1!$O$5-(Sheet1!G290/Sheet1!$O$6))</f>
        <v/>
      </c>
    </row>
    <row r="291">
      <c r="A291">
        <f>Sheet1!I291</f>
        <v/>
      </c>
      <c r="B291">
        <f>IF(ISNA(Sheet1!G291),NA(),Sheet1!$O$5-(Sheet1!G291/Sheet1!$O$6))</f>
        <v/>
      </c>
    </row>
    <row r="292">
      <c r="A292">
        <f>Sheet1!I292</f>
        <v/>
      </c>
      <c r="B292">
        <f>IF(ISNA(Sheet1!G292),NA(),Sheet1!$O$5-(Sheet1!G292/Sheet1!$O$6))</f>
        <v/>
      </c>
    </row>
    <row r="293">
      <c r="A293">
        <f>Sheet1!I293</f>
        <v/>
      </c>
      <c r="B293">
        <f>IF(ISNA(Sheet1!G293),NA(),Sheet1!$O$5-(Sheet1!G293/Sheet1!$O$6))</f>
        <v/>
      </c>
    </row>
    <row r="294">
      <c r="A294">
        <f>Sheet1!I294</f>
        <v/>
      </c>
      <c r="B294">
        <f>IF(ISNA(Sheet1!G294),NA(),Sheet1!$O$5-(Sheet1!G294/Sheet1!$O$6))</f>
        <v/>
      </c>
    </row>
    <row r="295">
      <c r="A295">
        <f>Sheet1!I295</f>
        <v/>
      </c>
      <c r="B295">
        <f>IF(ISNA(Sheet1!G295),NA(),Sheet1!$O$5-(Sheet1!G295/Sheet1!$O$6))</f>
        <v/>
      </c>
    </row>
    <row r="296">
      <c r="A296">
        <f>Sheet1!I296</f>
        <v/>
      </c>
      <c r="B296">
        <f>IF(ISNA(Sheet1!G296),NA(),Sheet1!$O$5-(Sheet1!G296/Sheet1!$O$6))</f>
        <v/>
      </c>
    </row>
    <row r="297">
      <c r="A297">
        <f>Sheet1!I297</f>
        <v/>
      </c>
      <c r="B297">
        <f>IF(ISNA(Sheet1!G297),NA(),Sheet1!$O$5-(Sheet1!G297/Sheet1!$O$6))</f>
        <v/>
      </c>
    </row>
    <row r="298">
      <c r="A298">
        <f>Sheet1!I298</f>
        <v/>
      </c>
      <c r="B298">
        <f>IF(ISNA(Sheet1!G298),NA(),Sheet1!$O$5-(Sheet1!G298/Sheet1!$O$6))</f>
        <v/>
      </c>
    </row>
    <row r="299">
      <c r="A299">
        <f>Sheet1!I299</f>
        <v/>
      </c>
      <c r="B299">
        <f>IF(ISNA(Sheet1!G299),NA(),Sheet1!$O$5-(Sheet1!G299/Sheet1!$O$6))</f>
        <v/>
      </c>
    </row>
    <row r="300">
      <c r="A300">
        <f>Sheet1!I300</f>
        <v/>
      </c>
      <c r="B300">
        <f>IF(ISNA(Sheet1!G300),NA(),Sheet1!$O$5-(Sheet1!G300/Sheet1!$O$6))</f>
        <v/>
      </c>
    </row>
    <row r="301">
      <c r="A301">
        <f>Sheet1!I301</f>
        <v/>
      </c>
      <c r="B301">
        <f>IF(ISNA(Sheet1!G301),NA(),Sheet1!$O$5-(Sheet1!G301/Sheet1!$O$6))</f>
        <v/>
      </c>
    </row>
    <row r="302">
      <c r="A302">
        <f>Sheet1!I302</f>
        <v/>
      </c>
      <c r="B302">
        <f>IF(ISNA(Sheet1!G302),NA(),Sheet1!$O$5-(Sheet1!G302/Sheet1!$O$6))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2026-08-06T16:12:28Z</dcterms:created>
  <dcterms:modified xsi:type="dcterms:W3CDTF">2026-08-12T11:58:48Z</dcterms:modified>
</cp:coreProperties>
</file>