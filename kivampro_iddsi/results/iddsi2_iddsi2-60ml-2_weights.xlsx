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Haci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iddsi2_iddsi2-60ml-2_weights - weight vs time</a:t>
            </a:r>
          </a:p>
        </rich>
      </tx>
    </title>
    <plotArea>
      <scatterChart>
        <ser>
          <idx val="0"/>
          <order val="0"/>
          <tx>
            <strRef>
              <f>'Sheet1'!D1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xVal>
            <numRef>
              <f>'Sheet1'!$B$2:$B$319</f>
            </numRef>
          </xVal>
          <yVal>
            <numRef>
              <f>'Sheet1'!$D$2:$D$319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iddsi2_iddsi2-60ml-2_weights - kept weight vs corrected time</a:t>
            </a:r>
          </a:p>
        </rich>
      </tx>
    </title>
    <plotArea>
      <scatterChart>
        <ser>
          <idx val="0"/>
          <order val="0"/>
          <tx>
            <strRef>
              <f>'Sheet1'!G1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D62728"/>
              </a:solidFill>
              <a:ln>
                <a:solidFill>
                  <a:srgbClr val="D62728"/>
                </a:solidFill>
                <a:prstDash val="solid"/>
              </a:ln>
            </spPr>
          </marker>
          <xVal>
            <numRef>
              <f>'Sheet1'!$I$2:$I$319</f>
            </numRef>
          </xVal>
          <yVal>
            <numRef>
              <f>'Sheet1'!$G$2:$G$319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since dispense start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iddsi2_iddsi2-60ml-2_weights - remaining syringe volume vs time</a:t>
            </a:r>
          </a:p>
        </rich>
      </tx>
    </title>
    <plotArea>
      <scatterChart>
        <ser>
          <idx val="0"/>
          <order val="0"/>
          <tx>
            <strRef>
              <f>'Hacim'!B1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2CA02C"/>
              </a:solidFill>
              <a:ln>
                <a:solidFill>
                  <a:srgbClr val="2CA02C"/>
                </a:solidFill>
                <a:prstDash val="solid"/>
              </a:ln>
            </spPr>
          </marker>
          <xVal>
            <numRef>
              <f>'Hacim'!$A$2:$A$319</f>
            </numRef>
          </xVal>
          <yVal>
            <numRef>
              <f>'Hacim'!$B$2:$B$319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since dispense start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remaining volume (mL)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16</col>
      <colOff>0</colOff>
      <row>1</row>
      <rowOff>0</rowOff>
    </from>
    <ext cx="86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frame_no</t>
        </is>
      </c>
      <c r="B1" t="inlineStr">
        <is>
          <t>timestamp_sec</t>
        </is>
      </c>
      <c r="C1" t="inlineStr">
        <is>
          <t>raw_digits</t>
        </is>
      </c>
      <c r="D1" t="inlineStr">
        <is>
          <t>weight</t>
        </is>
      </c>
      <c r="E1" s="1" t="inlineStr">
        <is>
          <t>local_median_g</t>
        </is>
      </c>
      <c r="F1" s="1" t="inlineStr">
        <is>
          <t>excluded</t>
        </is>
      </c>
      <c r="G1" s="1" t="inlineStr">
        <is>
          <t>weight_kept_g</t>
        </is>
      </c>
      <c r="H1" s="1" t="inlineStr">
        <is>
          <t>is_started</t>
        </is>
      </c>
      <c r="I1" s="1" t="inlineStr">
        <is>
          <t>time_corrected_s</t>
        </is>
      </c>
      <c r="J1" s="1" t="n"/>
      <c r="K1" s="1" t="n"/>
      <c r="N1" s="1" t="inlineStr">
        <is>
          <t>Parametreler</t>
        </is>
      </c>
    </row>
    <row r="2">
      <c r="A2" t="n">
        <v>0</v>
      </c>
      <c r="B2" t="n">
        <v>0</v>
      </c>
      <c r="C2" t="inlineStr">
        <is>
          <t>07?</t>
        </is>
      </c>
      <c r="E2">
        <f>IFERROR(MEDIAN(D2:D22),D2)</f>
        <v/>
      </c>
      <c r="F2">
        <f>IF(OR(NOT(ISNUMBER(D2)),ABS(D2-E2)&gt;$O$3),1,0)</f>
        <v/>
      </c>
      <c r="G2">
        <f>IF(F2=1,NA(),D2)</f>
        <v/>
      </c>
      <c r="H2">
        <f>IF(AND(ISNUMBER(D2),D2&gt;=$O$4),1,0)</f>
        <v/>
      </c>
      <c r="I2">
        <f>B2-$O$8</f>
        <v/>
      </c>
      <c r="N2" t="inlineStr">
        <is>
          <t>Medyan penceresi (satir, her yonde)</t>
        </is>
      </c>
      <c r="O2" t="n">
        <v>20</v>
      </c>
    </row>
    <row r="3">
      <c r="A3" t="n">
        <v>3</v>
      </c>
      <c r="B3" t="n">
        <v>0.1</v>
      </c>
      <c r="C3" t="inlineStr">
        <is>
          <t>?00</t>
        </is>
      </c>
      <c r="E3">
        <f>IFERROR(MEDIAN(D2:D23),D3)</f>
        <v/>
      </c>
      <c r="F3">
        <f>IF(OR(NOT(ISNUMBER(D3)),ABS(D3-E3)&gt;$O$3),1,0)</f>
        <v/>
      </c>
      <c r="G3">
        <f>IF(F3=1,NA(),D3)</f>
        <v/>
      </c>
      <c r="H3">
        <f>IF(AND(ISNUMBER(D3),D3&gt;=$O$4),1,0)</f>
        <v/>
      </c>
      <c r="I3">
        <f>B3-$O$8</f>
        <v/>
      </c>
      <c r="N3" t="inlineStr">
        <is>
          <t>Disleme toleransi (g)</t>
        </is>
      </c>
      <c r="O3" t="n">
        <v>0.15</v>
      </c>
    </row>
    <row r="4">
      <c r="A4" t="n">
        <v>6</v>
      </c>
      <c r="B4" t="n">
        <v>0.2</v>
      </c>
      <c r="C4" t="inlineStr">
        <is>
          <t>?00</t>
        </is>
      </c>
      <c r="E4">
        <f>IFERROR(MEDIAN(D2:D24),D4)</f>
        <v/>
      </c>
      <c r="F4">
        <f>IF(OR(NOT(ISNUMBER(D4)),ABS(D4-E4)&gt;$O$3),1,0)</f>
        <v/>
      </c>
      <c r="G4">
        <f>IF(F4=1,NA(),D4)</f>
        <v/>
      </c>
      <c r="H4">
        <f>IF(AND(ISNUMBER(D4),D4&gt;=$O$4),1,0)</f>
        <v/>
      </c>
      <c r="I4">
        <f>B4-$O$8</f>
        <v/>
      </c>
      <c r="N4" t="inlineStr">
        <is>
          <t>Baslangic esigi (g)</t>
        </is>
      </c>
      <c r="O4" t="n">
        <v>0.05</v>
      </c>
    </row>
    <row r="5">
      <c r="A5" t="n">
        <v>9</v>
      </c>
      <c r="B5" t="n">
        <v>0.3</v>
      </c>
      <c r="C5" t="inlineStr">
        <is>
          <t>?00</t>
        </is>
      </c>
      <c r="E5">
        <f>IFERROR(MEDIAN(D2:D25),D5)</f>
        <v/>
      </c>
      <c r="F5">
        <f>IF(OR(NOT(ISNUMBER(D5)),ABS(D5-E5)&gt;$O$3),1,0)</f>
        <v/>
      </c>
      <c r="G5">
        <f>IF(F5=1,NA(),D5)</f>
        <v/>
      </c>
      <c r="H5">
        <f>IF(AND(ISNUMBER(D5),D5&gt;=$O$4),1,0)</f>
        <v/>
      </c>
      <c r="I5">
        <f>B5-$O$8</f>
        <v/>
      </c>
      <c r="N5" t="inlineStr">
        <is>
          <t>Siringa hacmi (mL)</t>
        </is>
      </c>
      <c r="O5" t="n">
        <v>60</v>
      </c>
    </row>
    <row r="6">
      <c r="A6" t="n">
        <v>12</v>
      </c>
      <c r="B6" t="n">
        <v>0.4</v>
      </c>
      <c r="C6" t="inlineStr">
        <is>
          <t>?00</t>
        </is>
      </c>
      <c r="E6">
        <f>IFERROR(MEDIAN(D2:D26),D6)</f>
        <v/>
      </c>
      <c r="F6">
        <f>IF(OR(NOT(ISNUMBER(D6)),ABS(D6-E6)&gt;$O$3),1,0)</f>
        <v/>
      </c>
      <c r="G6">
        <f>IF(F6=1,NA(),D6)</f>
        <v/>
      </c>
      <c r="H6">
        <f>IF(AND(ISNUMBER(D6),D6&gt;=$O$4),1,0)</f>
        <v/>
      </c>
      <c r="I6">
        <f>B6-$O$8</f>
        <v/>
      </c>
      <c r="N6" t="inlineStr">
        <is>
          <t>Yogunluk (g/mL)</t>
        </is>
      </c>
      <c r="O6" t="n">
        <v>1</v>
      </c>
    </row>
    <row r="7">
      <c r="A7" t="n">
        <v>15</v>
      </c>
      <c r="B7" t="n">
        <v>0.5</v>
      </c>
      <c r="C7" t="inlineStr">
        <is>
          <t>?00</t>
        </is>
      </c>
      <c r="E7">
        <f>IFERROR(MEDIAN(D2:D27),D7)</f>
        <v/>
      </c>
      <c r="F7">
        <f>IF(OR(NOT(ISNUMBER(D7)),ABS(D7-E7)&gt;$O$3),1,0)</f>
        <v/>
      </c>
      <c r="G7">
        <f>IF(F7=1,NA(),D7)</f>
        <v/>
      </c>
      <c r="H7">
        <f>IF(AND(ISNUMBER(D7),D7&gt;=$O$4),1,0)</f>
        <v/>
      </c>
      <c r="I7">
        <f>B7-$O$8</f>
        <v/>
      </c>
    </row>
    <row r="8">
      <c r="A8" t="n">
        <v>18</v>
      </c>
      <c r="B8" t="n">
        <v>0.6</v>
      </c>
      <c r="C8" t="inlineStr">
        <is>
          <t>?00</t>
        </is>
      </c>
      <c r="E8">
        <f>IFERROR(MEDIAN(D2:D28),D8)</f>
        <v/>
      </c>
      <c r="F8">
        <f>IF(OR(NOT(ISNUMBER(D8)),ABS(D8-E8)&gt;$O$3),1,0)</f>
        <v/>
      </c>
      <c r="G8">
        <f>IF(F8=1,NA(),D8)</f>
        <v/>
      </c>
      <c r="H8">
        <f>IF(AND(ISNUMBER(D8),D8&gt;=$O$4),1,0)</f>
        <v/>
      </c>
      <c r="I8">
        <f>B8-$O$8</f>
        <v/>
      </c>
      <c r="N8" t="inlineStr">
        <is>
          <t>Baslangic zamani (s)</t>
        </is>
      </c>
      <c r="O8">
        <f>IFERROR(INDEX(B2:B319,MATCH(1,H2:H319,0)),0)</f>
        <v/>
      </c>
    </row>
    <row r="9">
      <c r="A9" t="n">
        <v>21</v>
      </c>
      <c r="B9" t="n">
        <v>0.7</v>
      </c>
      <c r="C9" t="inlineStr">
        <is>
          <t>?00</t>
        </is>
      </c>
      <c r="E9">
        <f>IFERROR(MEDIAN(D2:D29),D9)</f>
        <v/>
      </c>
      <c r="F9">
        <f>IF(OR(NOT(ISNUMBER(D9)),ABS(D9-E9)&gt;$O$3),1,0)</f>
        <v/>
      </c>
      <c r="G9">
        <f>IF(F9=1,NA(),D9)</f>
        <v/>
      </c>
      <c r="H9">
        <f>IF(AND(ISNUMBER(D9),D9&gt;=$O$4),1,0)</f>
        <v/>
      </c>
      <c r="I9">
        <f>B9-$O$8</f>
        <v/>
      </c>
    </row>
    <row r="10">
      <c r="A10" t="n">
        <v>24</v>
      </c>
      <c r="B10" t="n">
        <v>0.8</v>
      </c>
      <c r="C10" t="inlineStr">
        <is>
          <t>?00</t>
        </is>
      </c>
      <c r="E10">
        <f>IFERROR(MEDIAN(D2:D30),D10)</f>
        <v/>
      </c>
      <c r="F10">
        <f>IF(OR(NOT(ISNUMBER(D10)),ABS(D10-E10)&gt;$O$3),1,0)</f>
        <v/>
      </c>
      <c r="G10">
        <f>IF(F10=1,NA(),D10)</f>
        <v/>
      </c>
      <c r="H10">
        <f>IF(AND(ISNUMBER(D10),D10&gt;=$O$4),1,0)</f>
        <v/>
      </c>
      <c r="I10">
        <f>B10-$O$8</f>
        <v/>
      </c>
    </row>
    <row r="11">
      <c r="A11" t="n">
        <v>27</v>
      </c>
      <c r="B11" t="n">
        <v>0.9</v>
      </c>
      <c r="C11" t="inlineStr">
        <is>
          <t>?00</t>
        </is>
      </c>
      <c r="E11">
        <f>IFERROR(MEDIAN(D2:D31),D11)</f>
        <v/>
      </c>
      <c r="F11">
        <f>IF(OR(NOT(ISNUMBER(D11)),ABS(D11-E11)&gt;$O$3),1,0)</f>
        <v/>
      </c>
      <c r="G11">
        <f>IF(F11=1,NA(),D11)</f>
        <v/>
      </c>
      <c r="H11">
        <f>IF(AND(ISNUMBER(D11),D11&gt;=$O$4),1,0)</f>
        <v/>
      </c>
      <c r="I11">
        <f>B11-$O$8</f>
        <v/>
      </c>
    </row>
    <row r="12">
      <c r="A12" t="n">
        <v>30</v>
      </c>
      <c r="B12" t="n">
        <v>1</v>
      </c>
      <c r="C12" t="inlineStr">
        <is>
          <t>?00</t>
        </is>
      </c>
      <c r="E12">
        <f>IFERROR(MEDIAN(D2:D32),D12)</f>
        <v/>
      </c>
      <c r="F12">
        <f>IF(OR(NOT(ISNUMBER(D12)),ABS(D12-E12)&gt;$O$3),1,0)</f>
        <v/>
      </c>
      <c r="G12">
        <f>IF(F12=1,NA(),D12)</f>
        <v/>
      </c>
      <c r="H12">
        <f>IF(AND(ISNUMBER(D12),D12&gt;=$O$4),1,0)</f>
        <v/>
      </c>
      <c r="I12">
        <f>B12-$O$8</f>
        <v/>
      </c>
    </row>
    <row r="13">
      <c r="A13" t="n">
        <v>33</v>
      </c>
      <c r="B13" t="n">
        <v>1.1</v>
      </c>
      <c r="C13" t="inlineStr">
        <is>
          <t>?00</t>
        </is>
      </c>
      <c r="E13">
        <f>IFERROR(MEDIAN(D2:D33),D13)</f>
        <v/>
      </c>
      <c r="F13">
        <f>IF(OR(NOT(ISNUMBER(D13)),ABS(D13-E13)&gt;$O$3),1,0)</f>
        <v/>
      </c>
      <c r="G13">
        <f>IF(F13=1,NA(),D13)</f>
        <v/>
      </c>
      <c r="H13">
        <f>IF(AND(ISNUMBER(D13),D13&gt;=$O$4),1,0)</f>
        <v/>
      </c>
      <c r="I13">
        <f>B13-$O$8</f>
        <v/>
      </c>
    </row>
    <row r="14">
      <c r="A14" t="n">
        <v>36</v>
      </c>
      <c r="B14" t="n">
        <v>1.2</v>
      </c>
      <c r="C14" t="inlineStr">
        <is>
          <t>?00</t>
        </is>
      </c>
      <c r="E14">
        <f>IFERROR(MEDIAN(D2:D34),D14)</f>
        <v/>
      </c>
      <c r="F14">
        <f>IF(OR(NOT(ISNUMBER(D14)),ABS(D14-E14)&gt;$O$3),1,0)</f>
        <v/>
      </c>
      <c r="G14">
        <f>IF(F14=1,NA(),D14)</f>
        <v/>
      </c>
      <c r="H14">
        <f>IF(AND(ISNUMBER(D14),D14&gt;=$O$4),1,0)</f>
        <v/>
      </c>
      <c r="I14">
        <f>B14-$O$8</f>
        <v/>
      </c>
    </row>
    <row r="15">
      <c r="A15" t="n">
        <v>39</v>
      </c>
      <c r="B15" t="n">
        <v>1.3</v>
      </c>
      <c r="C15" t="inlineStr">
        <is>
          <t>?00</t>
        </is>
      </c>
      <c r="E15">
        <f>IFERROR(MEDIAN(D2:D35),D15)</f>
        <v/>
      </c>
      <c r="F15">
        <f>IF(OR(NOT(ISNUMBER(D15)),ABS(D15-E15)&gt;$O$3),1,0)</f>
        <v/>
      </c>
      <c r="G15">
        <f>IF(F15=1,NA(),D15)</f>
        <v/>
      </c>
      <c r="H15">
        <f>IF(AND(ISNUMBER(D15),D15&gt;=$O$4),1,0)</f>
        <v/>
      </c>
      <c r="I15">
        <f>B15-$O$8</f>
        <v/>
      </c>
    </row>
    <row r="16">
      <c r="A16" t="n">
        <v>42</v>
      </c>
      <c r="B16" t="n">
        <v>1.4</v>
      </c>
      <c r="C16" t="inlineStr">
        <is>
          <t>?00</t>
        </is>
      </c>
      <c r="E16">
        <f>IFERROR(MEDIAN(D2:D36),D16)</f>
        <v/>
      </c>
      <c r="F16">
        <f>IF(OR(NOT(ISNUMBER(D16)),ABS(D16-E16)&gt;$O$3),1,0)</f>
        <v/>
      </c>
      <c r="G16">
        <f>IF(F16=1,NA(),D16)</f>
        <v/>
      </c>
      <c r="H16">
        <f>IF(AND(ISNUMBER(D16),D16&gt;=$O$4),1,0)</f>
        <v/>
      </c>
      <c r="I16">
        <f>B16-$O$8</f>
        <v/>
      </c>
    </row>
    <row r="17">
      <c r="A17" t="n">
        <v>45</v>
      </c>
      <c r="B17" t="n">
        <v>1.5</v>
      </c>
      <c r="C17" t="inlineStr">
        <is>
          <t>?00</t>
        </is>
      </c>
      <c r="E17">
        <f>IFERROR(MEDIAN(D2:D37),D17)</f>
        <v/>
      </c>
      <c r="F17">
        <f>IF(OR(NOT(ISNUMBER(D17)),ABS(D17-E17)&gt;$O$3),1,0)</f>
        <v/>
      </c>
      <c r="G17">
        <f>IF(F17=1,NA(),D17)</f>
        <v/>
      </c>
      <c r="H17">
        <f>IF(AND(ISNUMBER(D17),D17&gt;=$O$4),1,0)</f>
        <v/>
      </c>
      <c r="I17">
        <f>B17-$O$8</f>
        <v/>
      </c>
    </row>
    <row r="18">
      <c r="A18" t="n">
        <v>48</v>
      </c>
      <c r="B18" t="n">
        <v>1.6</v>
      </c>
      <c r="C18" t="inlineStr">
        <is>
          <t>???</t>
        </is>
      </c>
      <c r="E18">
        <f>IFERROR(MEDIAN(D2:D38),D18)</f>
        <v/>
      </c>
      <c r="F18">
        <f>IF(OR(NOT(ISNUMBER(D18)),ABS(D18-E18)&gt;$O$3),1,0)</f>
        <v/>
      </c>
      <c r="G18">
        <f>IF(F18=1,NA(),D18)</f>
        <v/>
      </c>
      <c r="H18">
        <f>IF(AND(ISNUMBER(D18),D18&gt;=$O$4),1,0)</f>
        <v/>
      </c>
      <c r="I18">
        <f>B18-$O$8</f>
        <v/>
      </c>
    </row>
    <row r="19">
      <c r="A19" t="n">
        <v>51</v>
      </c>
      <c r="B19" t="n">
        <v>1.7</v>
      </c>
      <c r="C19" t="inlineStr">
        <is>
          <t>?5?</t>
        </is>
      </c>
      <c r="E19">
        <f>IFERROR(MEDIAN(D2:D39),D19)</f>
        <v/>
      </c>
      <c r="F19">
        <f>IF(OR(NOT(ISNUMBER(D19)),ABS(D19-E19)&gt;$O$3),1,0)</f>
        <v/>
      </c>
      <c r="G19">
        <f>IF(F19=1,NA(),D19)</f>
        <v/>
      </c>
      <c r="H19">
        <f>IF(AND(ISNUMBER(D19),D19&gt;=$O$4),1,0)</f>
        <v/>
      </c>
      <c r="I19">
        <f>B19-$O$8</f>
        <v/>
      </c>
    </row>
    <row r="20">
      <c r="A20" t="n">
        <v>54</v>
      </c>
      <c r="B20" t="n">
        <v>1.8</v>
      </c>
      <c r="C20" t="inlineStr">
        <is>
          <t>?57</t>
        </is>
      </c>
      <c r="E20">
        <f>IFERROR(MEDIAN(D2:D40),D20)</f>
        <v/>
      </c>
      <c r="F20">
        <f>IF(OR(NOT(ISNUMBER(D20)),ABS(D20-E20)&gt;$O$3),1,0)</f>
        <v/>
      </c>
      <c r="G20">
        <f>IF(F20=1,NA(),D20)</f>
        <v/>
      </c>
      <c r="H20">
        <f>IF(AND(ISNUMBER(D20),D20&gt;=$O$4),1,0)</f>
        <v/>
      </c>
      <c r="I20">
        <f>B20-$O$8</f>
        <v/>
      </c>
    </row>
    <row r="21">
      <c r="A21" t="n">
        <v>57</v>
      </c>
      <c r="B21" t="n">
        <v>1.9</v>
      </c>
      <c r="C21" t="inlineStr">
        <is>
          <t>113?</t>
        </is>
      </c>
      <c r="E21">
        <f>IFERROR(MEDIAN(D2:D41),D21)</f>
        <v/>
      </c>
      <c r="F21">
        <f>IF(OR(NOT(ISNUMBER(D21)),ABS(D21-E21)&gt;$O$3),1,0)</f>
        <v/>
      </c>
      <c r="G21">
        <f>IF(F21=1,NA(),D21)</f>
        <v/>
      </c>
      <c r="H21">
        <f>IF(AND(ISNUMBER(D21),D21&gt;=$O$4),1,0)</f>
        <v/>
      </c>
      <c r="I21">
        <f>B21-$O$8</f>
        <v/>
      </c>
    </row>
    <row r="22">
      <c r="A22" t="n">
        <v>60</v>
      </c>
      <c r="B22" t="n">
        <v>2</v>
      </c>
      <c r="C22" t="inlineStr">
        <is>
          <t>1163</t>
        </is>
      </c>
      <c r="D22" t="n">
        <v>11.63</v>
      </c>
      <c r="E22">
        <f>IFERROR(MEDIAN(D2:D42),D22)</f>
        <v/>
      </c>
      <c r="F22">
        <f>IF(OR(NOT(ISNUMBER(D22)),ABS(D22-E22)&gt;$O$3),1,0)</f>
        <v/>
      </c>
      <c r="G22">
        <f>IF(F22=1,NA(),D22)</f>
        <v/>
      </c>
      <c r="H22">
        <f>IF(AND(ISNUMBER(D22),D22&gt;=$O$4),1,0)</f>
        <v/>
      </c>
      <c r="I22">
        <f>B22-$O$8</f>
        <v/>
      </c>
    </row>
    <row r="23">
      <c r="A23" t="n">
        <v>63</v>
      </c>
      <c r="B23" t="n">
        <v>2.1</v>
      </c>
      <c r="C23" t="inlineStr">
        <is>
          <t>44</t>
        </is>
      </c>
      <c r="D23" t="n">
        <v>0.44</v>
      </c>
      <c r="E23">
        <f>IFERROR(MEDIAN(D3:D43),D23)</f>
        <v/>
      </c>
      <c r="F23">
        <f>IF(OR(NOT(ISNUMBER(D23)),ABS(D23-E23)&gt;$O$3),1,0)</f>
        <v/>
      </c>
      <c r="G23">
        <f>IF(F23=1,NA(),D23)</f>
        <v/>
      </c>
      <c r="H23">
        <f>IF(AND(ISNUMBER(D23),D23&gt;=$O$4),1,0)</f>
        <v/>
      </c>
      <c r="I23">
        <f>B23-$O$8</f>
        <v/>
      </c>
    </row>
    <row r="24">
      <c r="A24" t="n">
        <v>66</v>
      </c>
      <c r="B24" t="n">
        <v>2.2</v>
      </c>
      <c r="C24" t="inlineStr">
        <is>
          <t>?2</t>
        </is>
      </c>
      <c r="E24">
        <f>IFERROR(MEDIAN(D4:D44),D24)</f>
        <v/>
      </c>
      <c r="F24">
        <f>IF(OR(NOT(ISNUMBER(D24)),ABS(D24-E24)&gt;$O$3),1,0)</f>
        <v/>
      </c>
      <c r="G24">
        <f>IF(F24=1,NA(),D24)</f>
        <v/>
      </c>
      <c r="H24">
        <f>IF(AND(ISNUMBER(D24),D24&gt;=$O$4),1,0)</f>
        <v/>
      </c>
      <c r="I24">
        <f>B24-$O$8</f>
        <v/>
      </c>
    </row>
    <row r="25">
      <c r="A25" t="n">
        <v>69</v>
      </c>
      <c r="B25" t="n">
        <v>2.3</v>
      </c>
      <c r="C25" t="inlineStr">
        <is>
          <t>96</t>
        </is>
      </c>
      <c r="D25" t="n">
        <v>0.96</v>
      </c>
      <c r="E25">
        <f>IFERROR(MEDIAN(D5:D45),D25)</f>
        <v/>
      </c>
      <c r="F25">
        <f>IF(OR(NOT(ISNUMBER(D25)),ABS(D25-E25)&gt;$O$3),1,0)</f>
        <v/>
      </c>
      <c r="G25">
        <f>IF(F25=1,NA(),D25)</f>
        <v/>
      </c>
      <c r="H25">
        <f>IF(AND(ISNUMBER(D25),D25&gt;=$O$4),1,0)</f>
        <v/>
      </c>
      <c r="I25">
        <f>B25-$O$8</f>
        <v/>
      </c>
    </row>
    <row r="26">
      <c r="A26" t="n">
        <v>72</v>
      </c>
      <c r="B26" t="n">
        <v>2.4</v>
      </c>
      <c r="C26" t="inlineStr">
        <is>
          <t>72</t>
        </is>
      </c>
      <c r="D26" t="n">
        <v>0.72</v>
      </c>
      <c r="E26">
        <f>IFERROR(MEDIAN(D6:D46),D26)</f>
        <v/>
      </c>
      <c r="F26">
        <f>IF(OR(NOT(ISNUMBER(D26)),ABS(D26-E26)&gt;$O$3),1,0)</f>
        <v/>
      </c>
      <c r="G26">
        <f>IF(F26=1,NA(),D26)</f>
        <v/>
      </c>
      <c r="H26">
        <f>IF(AND(ISNUMBER(D26),D26&gt;=$O$4),1,0)</f>
        <v/>
      </c>
      <c r="I26">
        <f>B26-$O$8</f>
        <v/>
      </c>
    </row>
    <row r="27">
      <c r="A27" t="n">
        <v>75</v>
      </c>
      <c r="B27" t="n">
        <v>2.5</v>
      </c>
      <c r="C27" t="inlineStr">
        <is>
          <t>153</t>
        </is>
      </c>
      <c r="D27" t="n">
        <v>1.53</v>
      </c>
      <c r="E27">
        <f>IFERROR(MEDIAN(D7:D47),D27)</f>
        <v/>
      </c>
      <c r="F27">
        <f>IF(OR(NOT(ISNUMBER(D27)),ABS(D27-E27)&gt;$O$3),1,0)</f>
        <v/>
      </c>
      <c r="G27">
        <f>IF(F27=1,NA(),D27)</f>
        <v/>
      </c>
      <c r="H27">
        <f>IF(AND(ISNUMBER(D27),D27&gt;=$O$4),1,0)</f>
        <v/>
      </c>
      <c r="I27">
        <f>B27-$O$8</f>
        <v/>
      </c>
    </row>
    <row r="28">
      <c r="A28" t="n">
        <v>78</v>
      </c>
      <c r="B28" t="n">
        <v>2.6</v>
      </c>
      <c r="C28" t="inlineStr">
        <is>
          <t>?56</t>
        </is>
      </c>
      <c r="E28">
        <f>IFERROR(MEDIAN(D8:D48),D28)</f>
        <v/>
      </c>
      <c r="F28">
        <f>IF(OR(NOT(ISNUMBER(D28)),ABS(D28-E28)&gt;$O$3),1,0)</f>
        <v/>
      </c>
      <c r="G28">
        <f>IF(F28=1,NA(),D28)</f>
        <v/>
      </c>
      <c r="H28">
        <f>IF(AND(ISNUMBER(D28),D28&gt;=$O$4),1,0)</f>
        <v/>
      </c>
      <c r="I28">
        <f>B28-$O$8</f>
        <v/>
      </c>
    </row>
    <row r="29">
      <c r="A29" t="n">
        <v>81</v>
      </c>
      <c r="B29" t="n">
        <v>2.7</v>
      </c>
      <c r="C29" t="inlineStr">
        <is>
          <t>145</t>
        </is>
      </c>
      <c r="D29" t="n">
        <v>1.45</v>
      </c>
      <c r="E29">
        <f>IFERROR(MEDIAN(D9:D49),D29)</f>
        <v/>
      </c>
      <c r="F29">
        <f>IF(OR(NOT(ISNUMBER(D29)),ABS(D29-E29)&gt;$O$3),1,0)</f>
        <v/>
      </c>
      <c r="G29">
        <f>IF(F29=1,NA(),D29)</f>
        <v/>
      </c>
      <c r="H29">
        <f>IF(AND(ISNUMBER(D29),D29&gt;=$O$4),1,0)</f>
        <v/>
      </c>
      <c r="I29">
        <f>B29-$O$8</f>
        <v/>
      </c>
    </row>
    <row r="30">
      <c r="A30" t="n">
        <v>84</v>
      </c>
      <c r="B30" t="n">
        <v>2.8</v>
      </c>
      <c r="C30" t="inlineStr">
        <is>
          <t>?30</t>
        </is>
      </c>
      <c r="E30">
        <f>IFERROR(MEDIAN(D10:D50),D30)</f>
        <v/>
      </c>
      <c r="F30">
        <f>IF(OR(NOT(ISNUMBER(D30)),ABS(D30-E30)&gt;$O$3),1,0)</f>
        <v/>
      </c>
      <c r="G30">
        <f>IF(F30=1,NA(),D30)</f>
        <v/>
      </c>
      <c r="H30">
        <f>IF(AND(ISNUMBER(D30),D30&gt;=$O$4),1,0)</f>
        <v/>
      </c>
      <c r="I30">
        <f>B30-$O$8</f>
        <v/>
      </c>
    </row>
    <row r="31">
      <c r="A31" t="n">
        <v>87</v>
      </c>
      <c r="B31" t="n">
        <v>2.9</v>
      </c>
      <c r="C31" t="inlineStr">
        <is>
          <t>114</t>
        </is>
      </c>
      <c r="D31" t="n">
        <v>1.14</v>
      </c>
      <c r="E31">
        <f>IFERROR(MEDIAN(D11:D51),D31)</f>
        <v/>
      </c>
      <c r="F31">
        <f>IF(OR(NOT(ISNUMBER(D31)),ABS(D31-E31)&gt;$O$3),1,0)</f>
        <v/>
      </c>
      <c r="G31">
        <f>IF(F31=1,NA(),D31)</f>
        <v/>
      </c>
      <c r="H31">
        <f>IF(AND(ISNUMBER(D31),D31&gt;=$O$4),1,0)</f>
        <v/>
      </c>
      <c r="I31">
        <f>B31-$O$8</f>
        <v/>
      </c>
    </row>
    <row r="32">
      <c r="A32" t="n">
        <v>90</v>
      </c>
      <c r="B32" t="n">
        <v>3</v>
      </c>
      <c r="C32" t="inlineStr">
        <is>
          <t>96</t>
        </is>
      </c>
      <c r="D32" t="n">
        <v>0.96</v>
      </c>
      <c r="E32">
        <f>IFERROR(MEDIAN(D12:D52),D32)</f>
        <v/>
      </c>
      <c r="F32">
        <f>IF(OR(NOT(ISNUMBER(D32)),ABS(D32-E32)&gt;$O$3),1,0)</f>
        <v/>
      </c>
      <c r="G32">
        <f>IF(F32=1,NA(),D32)</f>
        <v/>
      </c>
      <c r="H32">
        <f>IF(AND(ISNUMBER(D32),D32&gt;=$O$4),1,0)</f>
        <v/>
      </c>
      <c r="I32">
        <f>B32-$O$8</f>
        <v/>
      </c>
    </row>
    <row r="33">
      <c r="A33" t="n">
        <v>93</v>
      </c>
      <c r="B33" t="n">
        <v>3.1</v>
      </c>
      <c r="C33" t="inlineStr">
        <is>
          <t>?52</t>
        </is>
      </c>
      <c r="E33">
        <f>IFERROR(MEDIAN(D13:D53),D33)</f>
        <v/>
      </c>
      <c r="F33">
        <f>IF(OR(NOT(ISNUMBER(D33)),ABS(D33-E33)&gt;$O$3),1,0)</f>
        <v/>
      </c>
      <c r="G33">
        <f>IF(F33=1,NA(),D33)</f>
        <v/>
      </c>
      <c r="H33">
        <f>IF(AND(ISNUMBER(D33),D33&gt;=$O$4),1,0)</f>
        <v/>
      </c>
      <c r="I33">
        <f>B33-$O$8</f>
        <v/>
      </c>
    </row>
    <row r="34">
      <c r="A34" t="n">
        <v>96</v>
      </c>
      <c r="B34" t="n">
        <v>3.2</v>
      </c>
      <c r="C34" t="inlineStr">
        <is>
          <t>464</t>
        </is>
      </c>
      <c r="D34" t="n">
        <v>4.64</v>
      </c>
      <c r="E34">
        <f>IFERROR(MEDIAN(D14:D54),D34)</f>
        <v/>
      </c>
      <c r="F34">
        <f>IF(OR(NOT(ISNUMBER(D34)),ABS(D34-E34)&gt;$O$3),1,0)</f>
        <v/>
      </c>
      <c r="G34">
        <f>IF(F34=1,NA(),D34)</f>
        <v/>
      </c>
      <c r="H34">
        <f>IF(AND(ISNUMBER(D34),D34&gt;=$O$4),1,0)</f>
        <v/>
      </c>
      <c r="I34">
        <f>B34-$O$8</f>
        <v/>
      </c>
    </row>
    <row r="35">
      <c r="A35" t="n">
        <v>99</v>
      </c>
      <c r="B35" t="n">
        <v>3.3</v>
      </c>
      <c r="C35" t="inlineStr">
        <is>
          <t>144</t>
        </is>
      </c>
      <c r="D35" t="n">
        <v>1.44</v>
      </c>
      <c r="E35">
        <f>IFERROR(MEDIAN(D15:D55),D35)</f>
        <v/>
      </c>
      <c r="F35">
        <f>IF(OR(NOT(ISNUMBER(D35)),ABS(D35-E35)&gt;$O$3),1,0)</f>
        <v/>
      </c>
      <c r="G35">
        <f>IF(F35=1,NA(),D35)</f>
        <v/>
      </c>
      <c r="H35">
        <f>IF(AND(ISNUMBER(D35),D35&gt;=$O$4),1,0)</f>
        <v/>
      </c>
      <c r="I35">
        <f>B35-$O$8</f>
        <v/>
      </c>
    </row>
    <row r="36">
      <c r="A36" t="n">
        <v>102</v>
      </c>
      <c r="B36" t="n">
        <v>3.4</v>
      </c>
      <c r="C36" t="inlineStr">
        <is>
          <t>?24</t>
        </is>
      </c>
      <c r="E36">
        <f>IFERROR(MEDIAN(D16:D56),D36)</f>
        <v/>
      </c>
      <c r="F36">
        <f>IF(OR(NOT(ISNUMBER(D36)),ABS(D36-E36)&gt;$O$3),1,0)</f>
        <v/>
      </c>
      <c r="G36">
        <f>IF(F36=1,NA(),D36)</f>
        <v/>
      </c>
      <c r="H36">
        <f>IF(AND(ISNUMBER(D36),D36&gt;=$O$4),1,0)</f>
        <v/>
      </c>
      <c r="I36">
        <f>B36-$O$8</f>
        <v/>
      </c>
    </row>
    <row r="37">
      <c r="A37" t="n">
        <v>105</v>
      </c>
      <c r="B37" t="n">
        <v>3.5</v>
      </c>
      <c r="C37" t="inlineStr">
        <is>
          <t>102</t>
        </is>
      </c>
      <c r="D37" t="n">
        <v>1.02</v>
      </c>
      <c r="E37">
        <f>IFERROR(MEDIAN(D17:D57),D37)</f>
        <v/>
      </c>
      <c r="F37">
        <f>IF(OR(NOT(ISNUMBER(D37)),ABS(D37-E37)&gt;$O$3),1,0)</f>
        <v/>
      </c>
      <c r="G37">
        <f>IF(F37=1,NA(),D37)</f>
        <v/>
      </c>
      <c r="H37">
        <f>IF(AND(ISNUMBER(D37),D37&gt;=$O$4),1,0)</f>
        <v/>
      </c>
      <c r="I37">
        <f>B37-$O$8</f>
        <v/>
      </c>
    </row>
    <row r="38">
      <c r="A38" t="n">
        <v>108</v>
      </c>
      <c r="B38" t="n">
        <v>3.6</v>
      </c>
      <c r="C38" t="inlineStr">
        <is>
          <t>16</t>
        </is>
      </c>
      <c r="D38" t="n">
        <v>0.16</v>
      </c>
      <c r="E38">
        <f>IFERROR(MEDIAN(D18:D58),D38)</f>
        <v/>
      </c>
      <c r="F38">
        <f>IF(OR(NOT(ISNUMBER(D38)),ABS(D38-E38)&gt;$O$3),1,0)</f>
        <v/>
      </c>
      <c r="G38">
        <f>IF(F38=1,NA(),D38)</f>
        <v/>
      </c>
      <c r="H38">
        <f>IF(AND(ISNUMBER(D38),D38&gt;=$O$4),1,0)</f>
        <v/>
      </c>
      <c r="I38">
        <f>B38-$O$8</f>
        <v/>
      </c>
    </row>
    <row r="39">
      <c r="A39" t="n">
        <v>111</v>
      </c>
      <c r="B39" t="n">
        <v>3.7</v>
      </c>
      <c r="C39" t="inlineStr">
        <is>
          <t>156</t>
        </is>
      </c>
      <c r="D39" t="n">
        <v>1.56</v>
      </c>
      <c r="E39">
        <f>IFERROR(MEDIAN(D19:D59),D39)</f>
        <v/>
      </c>
      <c r="F39">
        <f>IF(OR(NOT(ISNUMBER(D39)),ABS(D39-E39)&gt;$O$3),1,0)</f>
        <v/>
      </c>
      <c r="G39">
        <f>IF(F39=1,NA(),D39)</f>
        <v/>
      </c>
      <c r="H39">
        <f>IF(AND(ISNUMBER(D39),D39&gt;=$O$4),1,0)</f>
        <v/>
      </c>
      <c r="I39">
        <f>B39-$O$8</f>
        <v/>
      </c>
    </row>
    <row r="40">
      <c r="A40" t="n">
        <v>114</v>
      </c>
      <c r="B40" t="n">
        <v>3.8</v>
      </c>
      <c r="C40" t="inlineStr">
        <is>
          <t>?34</t>
        </is>
      </c>
      <c r="E40">
        <f>IFERROR(MEDIAN(D20:D60),D40)</f>
        <v/>
      </c>
      <c r="F40">
        <f>IF(OR(NOT(ISNUMBER(D40)),ABS(D40-E40)&gt;$O$3),1,0)</f>
        <v/>
      </c>
      <c r="G40">
        <f>IF(F40=1,NA(),D40)</f>
        <v/>
      </c>
      <c r="H40">
        <f>IF(AND(ISNUMBER(D40),D40&gt;=$O$4),1,0)</f>
        <v/>
      </c>
      <c r="I40">
        <f>B40-$O$8</f>
        <v/>
      </c>
    </row>
    <row r="41">
      <c r="A41" t="n">
        <v>117</v>
      </c>
      <c r="B41" t="n">
        <v>3.9</v>
      </c>
      <c r="C41" t="inlineStr">
        <is>
          <t>?05</t>
        </is>
      </c>
      <c r="E41">
        <f>IFERROR(MEDIAN(D21:D61),D41)</f>
        <v/>
      </c>
      <c r="F41">
        <f>IF(OR(NOT(ISNUMBER(D41)),ABS(D41-E41)&gt;$O$3),1,0)</f>
        <v/>
      </c>
      <c r="G41">
        <f>IF(F41=1,NA(),D41)</f>
        <v/>
      </c>
      <c r="H41">
        <f>IF(AND(ISNUMBER(D41),D41&gt;=$O$4),1,0)</f>
        <v/>
      </c>
      <c r="I41">
        <f>B41-$O$8</f>
        <v/>
      </c>
    </row>
    <row r="42">
      <c r="A42" t="n">
        <v>120</v>
      </c>
      <c r="B42" t="n">
        <v>4</v>
      </c>
      <c r="C42" t="inlineStr">
        <is>
          <t>?84</t>
        </is>
      </c>
      <c r="E42">
        <f>IFERROR(MEDIAN(D22:D62),D42)</f>
        <v/>
      </c>
      <c r="F42">
        <f>IF(OR(NOT(ISNUMBER(D42)),ABS(D42-E42)&gt;$O$3),1,0)</f>
        <v/>
      </c>
      <c r="G42">
        <f>IF(F42=1,NA(),D42)</f>
        <v/>
      </c>
      <c r="H42">
        <f>IF(AND(ISNUMBER(D42),D42&gt;=$O$4),1,0)</f>
        <v/>
      </c>
      <c r="I42">
        <f>B42-$O$8</f>
        <v/>
      </c>
    </row>
    <row r="43">
      <c r="A43" t="n">
        <v>123</v>
      </c>
      <c r="B43" t="n">
        <v>4.1</v>
      </c>
      <c r="C43" t="inlineStr">
        <is>
          <t>?5</t>
        </is>
      </c>
      <c r="E43">
        <f>IFERROR(MEDIAN(D23:D63),D43)</f>
        <v/>
      </c>
      <c r="F43">
        <f>IF(OR(NOT(ISNUMBER(D43)),ABS(D43-E43)&gt;$O$3),1,0)</f>
        <v/>
      </c>
      <c r="G43">
        <f>IF(F43=1,NA(),D43)</f>
        <v/>
      </c>
      <c r="H43">
        <f>IF(AND(ISNUMBER(D43),D43&gt;=$O$4),1,0)</f>
        <v/>
      </c>
      <c r="I43">
        <f>B43-$O$8</f>
        <v/>
      </c>
    </row>
    <row r="44">
      <c r="A44" t="n">
        <v>126</v>
      </c>
      <c r="B44" t="n">
        <v>4.2</v>
      </c>
      <c r="C44" t="inlineStr">
        <is>
          <t>?30</t>
        </is>
      </c>
      <c r="E44">
        <f>IFERROR(MEDIAN(D24:D64),D44)</f>
        <v/>
      </c>
      <c r="F44">
        <f>IF(OR(NOT(ISNUMBER(D44)),ABS(D44-E44)&gt;$O$3),1,0)</f>
        <v/>
      </c>
      <c r="G44">
        <f>IF(F44=1,NA(),D44)</f>
        <v/>
      </c>
      <c r="H44">
        <f>IF(AND(ISNUMBER(D44),D44&gt;=$O$4),1,0)</f>
        <v/>
      </c>
      <c r="I44">
        <f>B44-$O$8</f>
        <v/>
      </c>
    </row>
    <row r="45">
      <c r="A45" t="n">
        <v>129</v>
      </c>
      <c r="B45" t="n">
        <v>4.3</v>
      </c>
      <c r="C45" t="inlineStr">
        <is>
          <t>2?52</t>
        </is>
      </c>
      <c r="E45">
        <f>IFERROR(MEDIAN(D25:D65),D45)</f>
        <v/>
      </c>
      <c r="F45">
        <f>IF(OR(NOT(ISNUMBER(D45)),ABS(D45-E45)&gt;$O$3),1,0)</f>
        <v/>
      </c>
      <c r="G45">
        <f>IF(F45=1,NA(),D45)</f>
        <v/>
      </c>
      <c r="H45">
        <f>IF(AND(ISNUMBER(D45),D45&gt;=$O$4),1,0)</f>
        <v/>
      </c>
      <c r="I45">
        <f>B45-$O$8</f>
        <v/>
      </c>
    </row>
    <row r="46">
      <c r="A46" t="n">
        <v>132</v>
      </c>
      <c r="B46" t="n">
        <v>4.4</v>
      </c>
      <c r="C46" t="inlineStr">
        <is>
          <t>2?73</t>
        </is>
      </c>
      <c r="E46">
        <f>IFERROR(MEDIAN(D26:D66),D46)</f>
        <v/>
      </c>
      <c r="F46">
        <f>IF(OR(NOT(ISNUMBER(D46)),ABS(D46-E46)&gt;$O$3),1,0)</f>
        <v/>
      </c>
      <c r="G46">
        <f>IF(F46=1,NA(),D46)</f>
        <v/>
      </c>
      <c r="H46">
        <f>IF(AND(ISNUMBER(D46),D46&gt;=$O$4),1,0)</f>
        <v/>
      </c>
      <c r="I46">
        <f>B46-$O$8</f>
        <v/>
      </c>
    </row>
    <row r="47">
      <c r="A47" t="n">
        <v>135</v>
      </c>
      <c r="B47" t="n">
        <v>4.5</v>
      </c>
      <c r="C47" t="inlineStr">
        <is>
          <t>21144</t>
        </is>
      </c>
      <c r="D47" t="n">
        <v>211.44</v>
      </c>
      <c r="E47">
        <f>IFERROR(MEDIAN(D27:D67),D47)</f>
        <v/>
      </c>
      <c r="F47">
        <f>IF(OR(NOT(ISNUMBER(D47)),ABS(D47-E47)&gt;$O$3),1,0)</f>
        <v/>
      </c>
      <c r="G47">
        <f>IF(F47=1,NA(),D47)</f>
        <v/>
      </c>
      <c r="H47">
        <f>IF(AND(ISNUMBER(D47),D47&gt;=$O$4),1,0)</f>
        <v/>
      </c>
      <c r="I47">
        <f>B47-$O$8</f>
        <v/>
      </c>
    </row>
    <row r="48">
      <c r="A48" t="n">
        <v>138</v>
      </c>
      <c r="B48" t="n">
        <v>4.6</v>
      </c>
      <c r="C48" t="inlineStr">
        <is>
          <t>213</t>
        </is>
      </c>
      <c r="D48" t="n">
        <v>2.13</v>
      </c>
      <c r="E48">
        <f>IFERROR(MEDIAN(D28:D68),D48)</f>
        <v/>
      </c>
      <c r="F48">
        <f>IF(OR(NOT(ISNUMBER(D48)),ABS(D48-E48)&gt;$O$3),1,0)</f>
        <v/>
      </c>
      <c r="G48">
        <f>IF(F48=1,NA(),D48)</f>
        <v/>
      </c>
      <c r="H48">
        <f>IF(AND(ISNUMBER(D48),D48&gt;=$O$4),1,0)</f>
        <v/>
      </c>
      <c r="I48">
        <f>B48-$O$8</f>
        <v/>
      </c>
    </row>
    <row r="49">
      <c r="A49" t="n">
        <v>141</v>
      </c>
      <c r="B49" t="n">
        <v>4.7</v>
      </c>
      <c r="C49" t="inlineStr">
        <is>
          <t>253</t>
        </is>
      </c>
      <c r="D49" t="n">
        <v>2.53</v>
      </c>
      <c r="E49">
        <f>IFERROR(MEDIAN(D29:D69),D49)</f>
        <v/>
      </c>
      <c r="F49">
        <f>IF(OR(NOT(ISNUMBER(D49)),ABS(D49-E49)&gt;$O$3),1,0)</f>
        <v/>
      </c>
      <c r="G49">
        <f>IF(F49=1,NA(),D49)</f>
        <v/>
      </c>
      <c r="H49">
        <f>IF(AND(ISNUMBER(D49),D49&gt;=$O$4),1,0)</f>
        <v/>
      </c>
      <c r="I49">
        <f>B49-$O$8</f>
        <v/>
      </c>
    </row>
    <row r="50">
      <c r="A50" t="n">
        <v>144</v>
      </c>
      <c r="B50" t="n">
        <v>4.8</v>
      </c>
      <c r="C50" t="inlineStr">
        <is>
          <t>215?</t>
        </is>
      </c>
      <c r="E50">
        <f>IFERROR(MEDIAN(D30:D70),D50)</f>
        <v/>
      </c>
      <c r="F50">
        <f>IF(OR(NOT(ISNUMBER(D50)),ABS(D50-E50)&gt;$O$3),1,0)</f>
        <v/>
      </c>
      <c r="G50">
        <f>IF(F50=1,NA(),D50)</f>
        <v/>
      </c>
      <c r="H50">
        <f>IF(AND(ISNUMBER(D50),D50&gt;=$O$4),1,0)</f>
        <v/>
      </c>
      <c r="I50">
        <f>B50-$O$8</f>
        <v/>
      </c>
    </row>
    <row r="51">
      <c r="A51" t="n">
        <v>147</v>
      </c>
      <c r="B51" t="n">
        <v>4.9</v>
      </c>
      <c r="C51" t="inlineStr">
        <is>
          <t>2415</t>
        </is>
      </c>
      <c r="D51" t="n">
        <v>24.15</v>
      </c>
      <c r="E51">
        <f>IFERROR(MEDIAN(D31:D71),D51)</f>
        <v/>
      </c>
      <c r="F51">
        <f>IF(OR(NOT(ISNUMBER(D51)),ABS(D51-E51)&gt;$O$3),1,0)</f>
        <v/>
      </c>
      <c r="G51">
        <f>IF(F51=1,NA(),D51)</f>
        <v/>
      </c>
      <c r="H51">
        <f>IF(AND(ISNUMBER(D51),D51&gt;=$O$4),1,0)</f>
        <v/>
      </c>
      <c r="I51">
        <f>B51-$O$8</f>
        <v/>
      </c>
    </row>
    <row r="52">
      <c r="A52" t="n">
        <v>150</v>
      </c>
      <c r="B52" t="n">
        <v>5</v>
      </c>
      <c r="C52" t="inlineStr">
        <is>
          <t>2485</t>
        </is>
      </c>
      <c r="D52" t="n">
        <v>24.85</v>
      </c>
      <c r="E52">
        <f>IFERROR(MEDIAN(D32:D72),D52)</f>
        <v/>
      </c>
      <c r="F52">
        <f>IF(OR(NOT(ISNUMBER(D52)),ABS(D52-E52)&gt;$O$3),1,0)</f>
        <v/>
      </c>
      <c r="G52">
        <f>IF(F52=1,NA(),D52)</f>
        <v/>
      </c>
      <c r="H52">
        <f>IF(AND(ISNUMBER(D52),D52&gt;=$O$4),1,0)</f>
        <v/>
      </c>
      <c r="I52">
        <f>B52-$O$8</f>
        <v/>
      </c>
    </row>
    <row r="53">
      <c r="A53" t="n">
        <v>153</v>
      </c>
      <c r="B53" t="n">
        <v>5.1</v>
      </c>
      <c r="C53" t="inlineStr">
        <is>
          <t>2?52</t>
        </is>
      </c>
      <c r="E53">
        <f>IFERROR(MEDIAN(D33:D73),D53)</f>
        <v/>
      </c>
      <c r="F53">
        <f>IF(OR(NOT(ISNUMBER(D53)),ABS(D53-E53)&gt;$O$3),1,0)</f>
        <v/>
      </c>
      <c r="G53">
        <f>IF(F53=1,NA(),D53)</f>
        <v/>
      </c>
      <c r="H53">
        <f>IF(AND(ISNUMBER(D53),D53&gt;=$O$4),1,0)</f>
        <v/>
      </c>
      <c r="I53">
        <f>B53-$O$8</f>
        <v/>
      </c>
    </row>
    <row r="54">
      <c r="A54" t="n">
        <v>156</v>
      </c>
      <c r="B54" t="n">
        <v>5.2</v>
      </c>
      <c r="C54" t="inlineStr">
        <is>
          <t>2?17</t>
        </is>
      </c>
      <c r="E54">
        <f>IFERROR(MEDIAN(D34:D74),D54)</f>
        <v/>
      </c>
      <c r="F54">
        <f>IF(OR(NOT(ISNUMBER(D54)),ABS(D54-E54)&gt;$O$3),1,0)</f>
        <v/>
      </c>
      <c r="G54">
        <f>IF(F54=1,NA(),D54)</f>
        <v/>
      </c>
      <c r="H54">
        <f>IF(AND(ISNUMBER(D54),D54&gt;=$O$4),1,0)</f>
        <v/>
      </c>
      <c r="I54">
        <f>B54-$O$8</f>
        <v/>
      </c>
    </row>
    <row r="55">
      <c r="A55" t="n">
        <v>159</v>
      </c>
      <c r="B55" t="n">
        <v>5.3</v>
      </c>
      <c r="C55" t="inlineStr">
        <is>
          <t>2?52</t>
        </is>
      </c>
      <c r="E55">
        <f>IFERROR(MEDIAN(D35:D75),D55)</f>
        <v/>
      </c>
      <c r="F55">
        <f>IF(OR(NOT(ISNUMBER(D55)),ABS(D55-E55)&gt;$O$3),1,0)</f>
        <v/>
      </c>
      <c r="G55">
        <f>IF(F55=1,NA(),D55)</f>
        <v/>
      </c>
      <c r="H55">
        <f>IF(AND(ISNUMBER(D55),D55&gt;=$O$4),1,0)</f>
        <v/>
      </c>
      <c r="I55">
        <f>B55-$O$8</f>
        <v/>
      </c>
    </row>
    <row r="56">
      <c r="A56" t="n">
        <v>162</v>
      </c>
      <c r="B56" t="n">
        <v>5.4</v>
      </c>
      <c r="C56" t="inlineStr">
        <is>
          <t>2147</t>
        </is>
      </c>
      <c r="D56" t="n">
        <v>21.47</v>
      </c>
      <c r="E56">
        <f>IFERROR(MEDIAN(D36:D76),D56)</f>
        <v/>
      </c>
      <c r="F56">
        <f>IF(OR(NOT(ISNUMBER(D56)),ABS(D56-E56)&gt;$O$3),1,0)</f>
        <v/>
      </c>
      <c r="G56">
        <f>IF(F56=1,NA(),D56)</f>
        <v/>
      </c>
      <c r="H56">
        <f>IF(AND(ISNUMBER(D56),D56&gt;=$O$4),1,0)</f>
        <v/>
      </c>
      <c r="I56">
        <f>B56-$O$8</f>
        <v/>
      </c>
    </row>
    <row r="57">
      <c r="A57" t="n">
        <v>165</v>
      </c>
      <c r="B57" t="n">
        <v>5.5</v>
      </c>
      <c r="C57" t="inlineStr">
        <is>
          <t>2?1?</t>
        </is>
      </c>
      <c r="E57">
        <f>IFERROR(MEDIAN(D37:D77),D57)</f>
        <v/>
      </c>
      <c r="F57">
        <f>IF(OR(NOT(ISNUMBER(D57)),ABS(D57-E57)&gt;$O$3),1,0)</f>
        <v/>
      </c>
      <c r="G57">
        <f>IF(F57=1,NA(),D57)</f>
        <v/>
      </c>
      <c r="H57">
        <f>IF(AND(ISNUMBER(D57),D57&gt;=$O$4),1,0)</f>
        <v/>
      </c>
      <c r="I57">
        <f>B57-$O$8</f>
        <v/>
      </c>
    </row>
    <row r="58">
      <c r="A58" t="n">
        <v>168</v>
      </c>
      <c r="B58" t="n">
        <v>5.6</v>
      </c>
      <c r="C58" t="inlineStr">
        <is>
          <t>2?74</t>
        </is>
      </c>
      <c r="E58">
        <f>IFERROR(MEDIAN(D38:D78),D58)</f>
        <v/>
      </c>
      <c r="F58">
        <f>IF(OR(NOT(ISNUMBER(D58)),ABS(D58-E58)&gt;$O$3),1,0)</f>
        <v/>
      </c>
      <c r="G58">
        <f>IF(F58=1,NA(),D58)</f>
        <v/>
      </c>
      <c r="H58">
        <f>IF(AND(ISNUMBER(D58),D58&gt;=$O$4),1,0)</f>
        <v/>
      </c>
      <c r="I58">
        <f>B58-$O$8</f>
        <v/>
      </c>
    </row>
    <row r="59">
      <c r="A59" t="n">
        <v>171</v>
      </c>
      <c r="B59" t="n">
        <v>5.7</v>
      </c>
      <c r="C59" t="inlineStr">
        <is>
          <t>2?37</t>
        </is>
      </c>
      <c r="E59">
        <f>IFERROR(MEDIAN(D39:D79),D59)</f>
        <v/>
      </c>
      <c r="F59">
        <f>IF(OR(NOT(ISNUMBER(D59)),ABS(D59-E59)&gt;$O$3),1,0)</f>
        <v/>
      </c>
      <c r="G59">
        <f>IF(F59=1,NA(),D59)</f>
        <v/>
      </c>
      <c r="H59">
        <f>IF(AND(ISNUMBER(D59),D59&gt;=$O$4),1,0)</f>
        <v/>
      </c>
      <c r="I59">
        <f>B59-$O$8</f>
        <v/>
      </c>
    </row>
    <row r="60">
      <c r="A60" t="n">
        <v>174</v>
      </c>
      <c r="B60" t="n">
        <v>5.8</v>
      </c>
      <c r="C60" t="inlineStr">
        <is>
          <t>296</t>
        </is>
      </c>
      <c r="D60" t="n">
        <v>2.96</v>
      </c>
      <c r="E60">
        <f>IFERROR(MEDIAN(D40:D80),D60)</f>
        <v/>
      </c>
      <c r="F60">
        <f>IF(OR(NOT(ISNUMBER(D60)),ABS(D60-E60)&gt;$O$3),1,0)</f>
        <v/>
      </c>
      <c r="G60">
        <f>IF(F60=1,NA(),D60)</f>
        <v/>
      </c>
      <c r="H60">
        <f>IF(AND(ISNUMBER(D60),D60&gt;=$O$4),1,0)</f>
        <v/>
      </c>
      <c r="I60">
        <f>B60-$O$8</f>
        <v/>
      </c>
    </row>
    <row r="61">
      <c r="A61" t="n">
        <v>177</v>
      </c>
      <c r="B61" t="n">
        <v>5.9</v>
      </c>
      <c r="C61" t="inlineStr">
        <is>
          <t>3?55</t>
        </is>
      </c>
      <c r="E61">
        <f>IFERROR(MEDIAN(D41:D81),D61)</f>
        <v/>
      </c>
      <c r="F61">
        <f>IF(OR(NOT(ISNUMBER(D61)),ABS(D61-E61)&gt;$O$3),1,0)</f>
        <v/>
      </c>
      <c r="G61">
        <f>IF(F61=1,NA(),D61)</f>
        <v/>
      </c>
      <c r="H61">
        <f>IF(AND(ISNUMBER(D61),D61&gt;=$O$4),1,0)</f>
        <v/>
      </c>
      <c r="I61">
        <f>B61-$O$8</f>
        <v/>
      </c>
    </row>
    <row r="62">
      <c r="A62" t="n">
        <v>180</v>
      </c>
      <c r="B62" t="n">
        <v>6</v>
      </c>
      <c r="C62" t="inlineStr">
        <is>
          <t>3?1?5</t>
        </is>
      </c>
      <c r="E62">
        <f>IFERROR(MEDIAN(D42:D82),D62)</f>
        <v/>
      </c>
      <c r="F62">
        <f>IF(OR(NOT(ISNUMBER(D62)),ABS(D62-E62)&gt;$O$3),1,0)</f>
        <v/>
      </c>
      <c r="G62">
        <f>IF(F62=1,NA(),D62)</f>
        <v/>
      </c>
      <c r="H62">
        <f>IF(AND(ISNUMBER(D62),D62&gt;=$O$4),1,0)</f>
        <v/>
      </c>
      <c r="I62">
        <f>B62-$O$8</f>
        <v/>
      </c>
    </row>
    <row r="63">
      <c r="A63" t="n">
        <v>183</v>
      </c>
      <c r="B63" t="n">
        <v>6.1</v>
      </c>
      <c r="C63" t="inlineStr">
        <is>
          <t>3?75</t>
        </is>
      </c>
      <c r="E63">
        <f>IFERROR(MEDIAN(D43:D83),D63)</f>
        <v/>
      </c>
      <c r="F63">
        <f>IF(OR(NOT(ISNUMBER(D63)),ABS(D63-E63)&gt;$O$3),1,0)</f>
        <v/>
      </c>
      <c r="G63">
        <f>IF(F63=1,NA(),D63)</f>
        <v/>
      </c>
      <c r="H63">
        <f>IF(AND(ISNUMBER(D63),D63&gt;=$O$4),1,0)</f>
        <v/>
      </c>
      <c r="I63">
        <f>B63-$O$8</f>
        <v/>
      </c>
    </row>
    <row r="64">
      <c r="A64" t="n">
        <v>186</v>
      </c>
      <c r="B64" t="n">
        <v>6.2</v>
      </c>
      <c r="C64" t="inlineStr">
        <is>
          <t>3237</t>
        </is>
      </c>
      <c r="D64" t="n">
        <v>32.37</v>
      </c>
      <c r="E64">
        <f>IFERROR(MEDIAN(D44:D84),D64)</f>
        <v/>
      </c>
      <c r="F64">
        <f>IF(OR(NOT(ISNUMBER(D64)),ABS(D64-E64)&gt;$O$3),1,0)</f>
        <v/>
      </c>
      <c r="G64">
        <f>IF(F64=1,NA(),D64)</f>
        <v/>
      </c>
      <c r="H64">
        <f>IF(AND(ISNUMBER(D64),D64&gt;=$O$4),1,0)</f>
        <v/>
      </c>
      <c r="I64">
        <f>B64-$O$8</f>
        <v/>
      </c>
    </row>
    <row r="65">
      <c r="A65" t="n">
        <v>189</v>
      </c>
      <c r="B65" t="n">
        <v>6.3</v>
      </c>
      <c r="C65" t="inlineStr">
        <is>
          <t>3295</t>
        </is>
      </c>
      <c r="D65" t="n">
        <v>32.95</v>
      </c>
      <c r="E65">
        <f>IFERROR(MEDIAN(D45:D85),D65)</f>
        <v/>
      </c>
      <c r="F65">
        <f>IF(OR(NOT(ISNUMBER(D65)),ABS(D65-E65)&gt;$O$3),1,0)</f>
        <v/>
      </c>
      <c r="G65">
        <f>IF(F65=1,NA(),D65)</f>
        <v/>
      </c>
      <c r="H65">
        <f>IF(AND(ISNUMBER(D65),D65&gt;=$O$4),1,0)</f>
        <v/>
      </c>
      <c r="I65">
        <f>B65-$O$8</f>
        <v/>
      </c>
    </row>
    <row r="66">
      <c r="A66" t="n">
        <v>192</v>
      </c>
      <c r="B66" t="n">
        <v>6.4</v>
      </c>
      <c r="C66" t="inlineStr">
        <is>
          <t>35?</t>
        </is>
      </c>
      <c r="E66">
        <f>IFERROR(MEDIAN(D46:D86),D66)</f>
        <v/>
      </c>
      <c r="F66">
        <f>IF(OR(NOT(ISNUMBER(D66)),ABS(D66-E66)&gt;$O$3),1,0)</f>
        <v/>
      </c>
      <c r="G66">
        <f>IF(F66=1,NA(),D66)</f>
        <v/>
      </c>
      <c r="H66">
        <f>IF(AND(ISNUMBER(D66),D66&gt;=$O$4),1,0)</f>
        <v/>
      </c>
      <c r="I66">
        <f>B66-$O$8</f>
        <v/>
      </c>
    </row>
    <row r="67">
      <c r="A67" t="n">
        <v>195</v>
      </c>
      <c r="B67" t="n">
        <v>6.5</v>
      </c>
      <c r="C67" t="inlineStr">
        <is>
          <t>306</t>
        </is>
      </c>
      <c r="D67" t="n">
        <v>3.06</v>
      </c>
      <c r="E67">
        <f>IFERROR(MEDIAN(D47:D87),D67)</f>
        <v/>
      </c>
      <c r="F67">
        <f>IF(OR(NOT(ISNUMBER(D67)),ABS(D67-E67)&gt;$O$3),1,0)</f>
        <v/>
      </c>
      <c r="G67">
        <f>IF(F67=1,NA(),D67)</f>
        <v/>
      </c>
      <c r="H67">
        <f>IF(AND(ISNUMBER(D67),D67&gt;=$O$4),1,0)</f>
        <v/>
      </c>
      <c r="I67">
        <f>B67-$O$8</f>
        <v/>
      </c>
    </row>
    <row r="68">
      <c r="A68" t="n">
        <v>198</v>
      </c>
      <c r="B68" t="n">
        <v>6.6</v>
      </c>
      <c r="C68" t="inlineStr">
        <is>
          <t>3?60</t>
        </is>
      </c>
      <c r="E68">
        <f>IFERROR(MEDIAN(D48:D88),D68)</f>
        <v/>
      </c>
      <c r="F68">
        <f>IF(OR(NOT(ISNUMBER(D68)),ABS(D68-E68)&gt;$O$3),1,0)</f>
        <v/>
      </c>
      <c r="G68">
        <f>IF(F68=1,NA(),D68)</f>
        <v/>
      </c>
      <c r="H68">
        <f>IF(AND(ISNUMBER(D68),D68&gt;=$O$4),1,0)</f>
        <v/>
      </c>
      <c r="I68">
        <f>B68-$O$8</f>
        <v/>
      </c>
    </row>
    <row r="69">
      <c r="A69" t="n">
        <v>201</v>
      </c>
      <c r="B69" t="n">
        <v>6.7</v>
      </c>
      <c r="C69" t="inlineStr">
        <is>
          <t>3?14</t>
        </is>
      </c>
      <c r="E69">
        <f>IFERROR(MEDIAN(D49:D89),D69)</f>
        <v/>
      </c>
      <c r="F69">
        <f>IF(OR(NOT(ISNUMBER(D69)),ABS(D69-E69)&gt;$O$3),1,0)</f>
        <v/>
      </c>
      <c r="G69">
        <f>IF(F69=1,NA(),D69)</f>
        <v/>
      </c>
      <c r="H69">
        <f>IF(AND(ISNUMBER(D69),D69&gt;=$O$4),1,0)</f>
        <v/>
      </c>
      <c r="I69">
        <f>B69-$O$8</f>
        <v/>
      </c>
    </row>
    <row r="70">
      <c r="A70" t="n">
        <v>204</v>
      </c>
      <c r="B70" t="n">
        <v>6.8</v>
      </c>
      <c r="C70" t="inlineStr">
        <is>
          <t>357</t>
        </is>
      </c>
      <c r="D70" t="n">
        <v>3.57</v>
      </c>
      <c r="E70">
        <f>IFERROR(MEDIAN(D50:D90),D70)</f>
        <v/>
      </c>
      <c r="F70">
        <f>IF(OR(NOT(ISNUMBER(D70)),ABS(D70-E70)&gt;$O$3),1,0)</f>
        <v/>
      </c>
      <c r="G70">
        <f>IF(F70=1,NA(),D70)</f>
        <v/>
      </c>
      <c r="H70">
        <f>IF(AND(ISNUMBER(D70),D70&gt;=$O$4),1,0)</f>
        <v/>
      </c>
      <c r="I70">
        <f>B70-$O$8</f>
        <v/>
      </c>
    </row>
    <row r="71">
      <c r="A71" t="n">
        <v>207</v>
      </c>
      <c r="B71" t="n">
        <v>6.9</v>
      </c>
      <c r="C71" t="inlineStr">
        <is>
          <t>3?15</t>
        </is>
      </c>
      <c r="E71">
        <f>IFERROR(MEDIAN(D51:D91),D71)</f>
        <v/>
      </c>
      <c r="F71">
        <f>IF(OR(NOT(ISNUMBER(D71)),ABS(D71-E71)&gt;$O$3),1,0)</f>
        <v/>
      </c>
      <c r="G71">
        <f>IF(F71=1,NA(),D71)</f>
        <v/>
      </c>
      <c r="H71">
        <f>IF(AND(ISNUMBER(D71),D71&gt;=$O$4),1,0)</f>
        <v/>
      </c>
      <c r="I71">
        <f>B71-$O$8</f>
        <v/>
      </c>
    </row>
    <row r="72">
      <c r="A72" t="n">
        <v>210</v>
      </c>
      <c r="B72" t="n">
        <v>7</v>
      </c>
      <c r="C72" t="inlineStr">
        <is>
          <t>357?</t>
        </is>
      </c>
      <c r="E72">
        <f>IFERROR(MEDIAN(D52:D92),D72)</f>
        <v/>
      </c>
      <c r="F72">
        <f>IF(OR(NOT(ISNUMBER(D72)),ABS(D72-E72)&gt;$O$3),1,0)</f>
        <v/>
      </c>
      <c r="G72">
        <f>IF(F72=1,NA(),D72)</f>
        <v/>
      </c>
      <c r="H72">
        <f>IF(AND(ISNUMBER(D72),D72&gt;=$O$4),1,0)</f>
        <v/>
      </c>
      <c r="I72">
        <f>B72-$O$8</f>
        <v/>
      </c>
    </row>
    <row r="73">
      <c r="A73" t="n">
        <v>213</v>
      </c>
      <c r="B73" t="n">
        <v>7.1</v>
      </c>
      <c r="C73" t="inlineStr">
        <is>
          <t>3???</t>
        </is>
      </c>
      <c r="E73">
        <f>IFERROR(MEDIAN(D53:D93),D73)</f>
        <v/>
      </c>
      <c r="F73">
        <f>IF(OR(NOT(ISNUMBER(D73)),ABS(D73-E73)&gt;$O$3),1,0)</f>
        <v/>
      </c>
      <c r="G73">
        <f>IF(F73=1,NA(),D73)</f>
        <v/>
      </c>
      <c r="H73">
        <f>IF(AND(ISNUMBER(D73),D73&gt;=$O$4),1,0)</f>
        <v/>
      </c>
      <c r="I73">
        <f>B73-$O$8</f>
        <v/>
      </c>
    </row>
    <row r="74">
      <c r="A74" t="n">
        <v>216</v>
      </c>
      <c r="B74" t="n">
        <v>7.2</v>
      </c>
      <c r="C74" t="inlineStr">
        <is>
          <t>3?72</t>
        </is>
      </c>
      <c r="E74">
        <f>IFERROR(MEDIAN(D54:D94),D74)</f>
        <v/>
      </c>
      <c r="F74">
        <f>IF(OR(NOT(ISNUMBER(D74)),ABS(D74-E74)&gt;$O$3),1,0)</f>
        <v/>
      </c>
      <c r="G74">
        <f>IF(F74=1,NA(),D74)</f>
        <v/>
      </c>
      <c r="H74">
        <f>IF(AND(ISNUMBER(D74),D74&gt;=$O$4),1,0)</f>
        <v/>
      </c>
      <c r="I74">
        <f>B74-$O$8</f>
        <v/>
      </c>
    </row>
    <row r="75">
      <c r="A75" t="n">
        <v>219</v>
      </c>
      <c r="B75" t="n">
        <v>7.3</v>
      </c>
      <c r="C75" t="inlineStr">
        <is>
          <t>3???</t>
        </is>
      </c>
      <c r="E75">
        <f>IFERROR(MEDIAN(D55:D95),D75)</f>
        <v/>
      </c>
      <c r="F75">
        <f>IF(OR(NOT(ISNUMBER(D75)),ABS(D75-E75)&gt;$O$3),1,0)</f>
        <v/>
      </c>
      <c r="G75">
        <f>IF(F75=1,NA(),D75)</f>
        <v/>
      </c>
      <c r="H75">
        <f>IF(AND(ISNUMBER(D75),D75&gt;=$O$4),1,0)</f>
        <v/>
      </c>
      <c r="I75">
        <f>B75-$O$8</f>
        <v/>
      </c>
    </row>
    <row r="76">
      <c r="A76" t="n">
        <v>222</v>
      </c>
      <c r="B76" t="n">
        <v>7.4</v>
      </c>
      <c r="C76" t="inlineStr">
        <is>
          <t>3?7?</t>
        </is>
      </c>
      <c r="E76">
        <f>IFERROR(MEDIAN(D56:D96),D76)</f>
        <v/>
      </c>
      <c r="F76">
        <f>IF(OR(NOT(ISNUMBER(D76)),ABS(D76-E76)&gt;$O$3),1,0)</f>
        <v/>
      </c>
      <c r="G76">
        <f>IF(F76=1,NA(),D76)</f>
        <v/>
      </c>
      <c r="H76">
        <f>IF(AND(ISNUMBER(D76),D76&gt;=$O$4),1,0)</f>
        <v/>
      </c>
      <c r="I76">
        <f>B76-$O$8</f>
        <v/>
      </c>
    </row>
    <row r="77">
      <c r="A77" t="n">
        <v>225</v>
      </c>
      <c r="B77" t="n">
        <v>7.5</v>
      </c>
      <c r="C77" t="inlineStr">
        <is>
          <t>3?15</t>
        </is>
      </c>
      <c r="E77">
        <f>IFERROR(MEDIAN(D57:D97),D77)</f>
        <v/>
      </c>
      <c r="F77">
        <f>IF(OR(NOT(ISNUMBER(D77)),ABS(D77-E77)&gt;$O$3),1,0)</f>
        <v/>
      </c>
      <c r="G77">
        <f>IF(F77=1,NA(),D77)</f>
        <v/>
      </c>
      <c r="H77">
        <f>IF(AND(ISNUMBER(D77),D77&gt;=$O$4),1,0)</f>
        <v/>
      </c>
      <c r="I77">
        <f>B77-$O$8</f>
        <v/>
      </c>
    </row>
    <row r="78">
      <c r="A78" t="n">
        <v>228</v>
      </c>
      <c r="B78" t="n">
        <v>7.6</v>
      </c>
      <c r="C78" t="inlineStr">
        <is>
          <t>357</t>
        </is>
      </c>
      <c r="D78" t="n">
        <v>3.57</v>
      </c>
      <c r="E78">
        <f>IFERROR(MEDIAN(D58:D98),D78)</f>
        <v/>
      </c>
      <c r="F78">
        <f>IF(OR(NOT(ISNUMBER(D78)),ABS(D78-E78)&gt;$O$3),1,0)</f>
        <v/>
      </c>
      <c r="G78">
        <f>IF(F78=1,NA(),D78)</f>
        <v/>
      </c>
      <c r="H78">
        <f>IF(AND(ISNUMBER(D78),D78&gt;=$O$4),1,0)</f>
        <v/>
      </c>
      <c r="I78">
        <f>B78-$O$8</f>
        <v/>
      </c>
    </row>
    <row r="79">
      <c r="A79" t="n">
        <v>231</v>
      </c>
      <c r="B79" t="n">
        <v>7.7</v>
      </c>
      <c r="C79" t="inlineStr">
        <is>
          <t>414</t>
        </is>
      </c>
      <c r="D79" t="n">
        <v>4.14</v>
      </c>
      <c r="E79">
        <f>IFERROR(MEDIAN(D59:D99),D79)</f>
        <v/>
      </c>
      <c r="F79">
        <f>IF(OR(NOT(ISNUMBER(D79)),ABS(D79-E79)&gt;$O$3),1,0)</f>
        <v/>
      </c>
      <c r="G79">
        <f>IF(F79=1,NA(),D79)</f>
        <v/>
      </c>
      <c r="H79">
        <f>IF(AND(ISNUMBER(D79),D79&gt;=$O$4),1,0)</f>
        <v/>
      </c>
      <c r="I79">
        <f>B79-$O$8</f>
        <v/>
      </c>
    </row>
    <row r="80">
      <c r="A80" t="n">
        <v>234</v>
      </c>
      <c r="B80" t="n">
        <v>7.8</v>
      </c>
      <c r="C80" t="inlineStr">
        <is>
          <t>450</t>
        </is>
      </c>
      <c r="D80" t="n">
        <v>4.5</v>
      </c>
      <c r="E80">
        <f>IFERROR(MEDIAN(D60:D100),D80)</f>
        <v/>
      </c>
      <c r="F80">
        <f>IF(OR(NOT(ISNUMBER(D80)),ABS(D80-E80)&gt;$O$3),1,0)</f>
        <v/>
      </c>
      <c r="G80">
        <f>IF(F80=1,NA(),D80)</f>
        <v/>
      </c>
      <c r="H80">
        <f>IF(AND(ISNUMBER(D80),D80&gt;=$O$4),1,0)</f>
        <v/>
      </c>
      <c r="I80">
        <f>B80-$O$8</f>
        <v/>
      </c>
    </row>
    <row r="81">
      <c r="A81" t="n">
        <v>237</v>
      </c>
      <c r="B81" t="n">
        <v>7.9</v>
      </c>
      <c r="C81" t="inlineStr">
        <is>
          <t>4?106</t>
        </is>
      </c>
      <c r="E81">
        <f>IFERROR(MEDIAN(D61:D101),D81)</f>
        <v/>
      </c>
      <c r="F81">
        <f>IF(OR(NOT(ISNUMBER(D81)),ABS(D81-E81)&gt;$O$3),1,0)</f>
        <v/>
      </c>
      <c r="G81">
        <f>IF(F81=1,NA(),D81)</f>
        <v/>
      </c>
      <c r="H81">
        <f>IF(AND(ISNUMBER(D81),D81&gt;=$O$4),1,0)</f>
        <v/>
      </c>
      <c r="I81">
        <f>B81-$O$8</f>
        <v/>
      </c>
    </row>
    <row r="82">
      <c r="A82" t="n">
        <v>240</v>
      </c>
      <c r="B82" t="n">
        <v>8</v>
      </c>
      <c r="C82" t="inlineStr">
        <is>
          <t>415?</t>
        </is>
      </c>
      <c r="E82">
        <f>IFERROR(MEDIAN(D62:D102),D82)</f>
        <v/>
      </c>
      <c r="F82">
        <f>IF(OR(NOT(ISNUMBER(D82)),ABS(D82-E82)&gt;$O$3),1,0)</f>
        <v/>
      </c>
      <c r="G82">
        <f>IF(F82=1,NA(),D82)</f>
        <v/>
      </c>
      <c r="H82">
        <f>IF(AND(ISNUMBER(D82),D82&gt;=$O$4),1,0)</f>
        <v/>
      </c>
      <c r="I82">
        <f>B82-$O$8</f>
        <v/>
      </c>
    </row>
    <row r="83">
      <c r="A83" t="n">
        <v>243</v>
      </c>
      <c r="B83" t="n">
        <v>8.1</v>
      </c>
      <c r="C83" t="inlineStr">
        <is>
          <t>496</t>
        </is>
      </c>
      <c r="D83" t="n">
        <v>4.96</v>
      </c>
      <c r="E83">
        <f>IFERROR(MEDIAN(D63:D103),D83)</f>
        <v/>
      </c>
      <c r="F83">
        <f>IF(OR(NOT(ISNUMBER(D83)),ABS(D83-E83)&gt;$O$3),1,0)</f>
        <v/>
      </c>
      <c r="G83">
        <f>IF(F83=1,NA(),D83)</f>
        <v/>
      </c>
      <c r="H83">
        <f>IF(AND(ISNUMBER(D83),D83&gt;=$O$4),1,0)</f>
        <v/>
      </c>
      <c r="I83">
        <f>B83-$O$8</f>
        <v/>
      </c>
    </row>
    <row r="84">
      <c r="A84" t="n">
        <v>246</v>
      </c>
      <c r="B84" t="n">
        <v>8.199999999999999</v>
      </c>
      <c r="C84" t="inlineStr">
        <is>
          <t>44</t>
        </is>
      </c>
      <c r="D84" t="n">
        <v>0.44</v>
      </c>
      <c r="E84">
        <f>IFERROR(MEDIAN(D64:D104),D84)</f>
        <v/>
      </c>
      <c r="F84">
        <f>IF(OR(NOT(ISNUMBER(D84)),ABS(D84-E84)&gt;$O$3),1,0)</f>
        <v/>
      </c>
      <c r="G84">
        <f>IF(F84=1,NA(),D84)</f>
        <v/>
      </c>
      <c r="H84">
        <f>IF(AND(ISNUMBER(D84),D84&gt;=$O$4),1,0)</f>
        <v/>
      </c>
      <c r="I84">
        <f>B84-$O$8</f>
        <v/>
      </c>
    </row>
    <row r="85">
      <c r="A85" t="n">
        <v>249</v>
      </c>
      <c r="B85" t="n">
        <v>8.300000000000001</v>
      </c>
      <c r="C85" t="inlineStr">
        <is>
          <t>4296</t>
        </is>
      </c>
      <c r="D85" t="n">
        <v>42.96</v>
      </c>
      <c r="E85">
        <f>IFERROR(MEDIAN(D65:D105),D85)</f>
        <v/>
      </c>
      <c r="F85">
        <f>IF(OR(NOT(ISNUMBER(D85)),ABS(D85-E85)&gt;$O$3),1,0)</f>
        <v/>
      </c>
      <c r="G85">
        <f>IF(F85=1,NA(),D85)</f>
        <v/>
      </c>
      <c r="H85">
        <f>IF(AND(ISNUMBER(D85),D85&gt;=$O$4),1,0)</f>
        <v/>
      </c>
      <c r="I85">
        <f>B85-$O$8</f>
        <v/>
      </c>
    </row>
    <row r="86">
      <c r="A86" t="n">
        <v>252</v>
      </c>
      <c r="B86" t="n">
        <v>8.4</v>
      </c>
      <c r="C86" t="inlineStr">
        <is>
          <t>430</t>
        </is>
      </c>
      <c r="D86" t="n">
        <v>4.3</v>
      </c>
      <c r="E86">
        <f>IFERROR(MEDIAN(D66:D106),D86)</f>
        <v/>
      </c>
      <c r="F86">
        <f>IF(OR(NOT(ISNUMBER(D86)),ABS(D86-E86)&gt;$O$3),1,0)</f>
        <v/>
      </c>
      <c r="G86">
        <f>IF(F86=1,NA(),D86)</f>
        <v/>
      </c>
      <c r="H86">
        <f>IF(AND(ISNUMBER(D86),D86&gt;=$O$4),1,0)</f>
        <v/>
      </c>
      <c r="I86">
        <f>B86-$O$8</f>
        <v/>
      </c>
    </row>
    <row r="87">
      <c r="A87" t="n">
        <v>255</v>
      </c>
      <c r="B87" t="n">
        <v>8.5</v>
      </c>
      <c r="C87" t="inlineStr">
        <is>
          <t>475</t>
        </is>
      </c>
      <c r="D87" t="n">
        <v>4.75</v>
      </c>
      <c r="E87">
        <f>IFERROR(MEDIAN(D67:D107),D87)</f>
        <v/>
      </c>
      <c r="F87">
        <f>IF(OR(NOT(ISNUMBER(D87)),ABS(D87-E87)&gt;$O$3),1,0)</f>
        <v/>
      </c>
      <c r="G87">
        <f>IF(F87=1,NA(),D87)</f>
        <v/>
      </c>
      <c r="H87">
        <f>IF(AND(ISNUMBER(D87),D87&gt;=$O$4),1,0)</f>
        <v/>
      </c>
      <c r="I87">
        <f>B87-$O$8</f>
        <v/>
      </c>
    </row>
    <row r="88">
      <c r="A88" t="n">
        <v>258</v>
      </c>
      <c r="B88" t="n">
        <v>8.6</v>
      </c>
      <c r="C88" t="inlineStr">
        <is>
          <t>415</t>
        </is>
      </c>
      <c r="D88" t="n">
        <v>4.15</v>
      </c>
      <c r="E88">
        <f>IFERROR(MEDIAN(D68:D108),D88)</f>
        <v/>
      </c>
      <c r="F88">
        <f>IF(OR(NOT(ISNUMBER(D88)),ABS(D88-E88)&gt;$O$3),1,0)</f>
        <v/>
      </c>
      <c r="G88">
        <f>IF(F88=1,NA(),D88)</f>
        <v/>
      </c>
      <c r="H88">
        <f>IF(AND(ISNUMBER(D88),D88&gt;=$O$4),1,0)</f>
        <v/>
      </c>
      <c r="I88">
        <f>B88-$O$8</f>
        <v/>
      </c>
    </row>
    <row r="89">
      <c r="A89" t="n">
        <v>261</v>
      </c>
      <c r="B89" t="n">
        <v>8.699999999999999</v>
      </c>
      <c r="C89" t="inlineStr">
        <is>
          <t>464</t>
        </is>
      </c>
      <c r="D89" t="n">
        <v>4.64</v>
      </c>
      <c r="E89">
        <f>IFERROR(MEDIAN(D69:D109),D89)</f>
        <v/>
      </c>
      <c r="F89">
        <f>IF(OR(NOT(ISNUMBER(D89)),ABS(D89-E89)&gt;$O$3),1,0)</f>
        <v/>
      </c>
      <c r="G89">
        <f>IF(F89=1,NA(),D89)</f>
        <v/>
      </c>
      <c r="H89">
        <f>IF(AND(ISNUMBER(D89),D89&gt;=$O$4),1,0)</f>
        <v/>
      </c>
      <c r="I89">
        <f>B89-$O$8</f>
        <v/>
      </c>
    </row>
    <row r="90">
      <c r="A90" t="n">
        <v>264</v>
      </c>
      <c r="B90" t="n">
        <v>8.800000000000001</v>
      </c>
      <c r="C90" t="inlineStr">
        <is>
          <t>4?57</t>
        </is>
      </c>
      <c r="E90">
        <f>IFERROR(MEDIAN(D70:D110),D90)</f>
        <v/>
      </c>
      <c r="F90">
        <f>IF(OR(NOT(ISNUMBER(D90)),ABS(D90-E90)&gt;$O$3),1,0)</f>
        <v/>
      </c>
      <c r="G90">
        <f>IF(F90=1,NA(),D90)</f>
        <v/>
      </c>
      <c r="H90">
        <f>IF(AND(ISNUMBER(D90),D90&gt;=$O$4),1,0)</f>
        <v/>
      </c>
      <c r="I90">
        <f>B90-$O$8</f>
        <v/>
      </c>
    </row>
    <row r="91">
      <c r="A91" t="n">
        <v>267</v>
      </c>
      <c r="B91" t="n">
        <v>8.9</v>
      </c>
      <c r="C91" t="inlineStr">
        <is>
          <t>?50</t>
        </is>
      </c>
      <c r="E91">
        <f>IFERROR(MEDIAN(D71:D111),D91)</f>
        <v/>
      </c>
      <c r="F91">
        <f>IF(OR(NOT(ISNUMBER(D91)),ABS(D91-E91)&gt;$O$3),1,0)</f>
        <v/>
      </c>
      <c r="G91">
        <f>IF(F91=1,NA(),D91)</f>
        <v/>
      </c>
      <c r="H91">
        <f>IF(AND(ISNUMBER(D91),D91&gt;=$O$4),1,0)</f>
        <v/>
      </c>
      <c r="I91">
        <f>B91-$O$8</f>
        <v/>
      </c>
    </row>
    <row r="92">
      <c r="A92" t="n">
        <v>270</v>
      </c>
      <c r="B92" t="n">
        <v>9</v>
      </c>
      <c r="C92" t="inlineStr">
        <is>
          <t>4?52</t>
        </is>
      </c>
      <c r="E92">
        <f>IFERROR(MEDIAN(D72:D112),D92)</f>
        <v/>
      </c>
      <c r="F92">
        <f>IF(OR(NOT(ISNUMBER(D92)),ABS(D92-E92)&gt;$O$3),1,0)</f>
        <v/>
      </c>
      <c r="G92">
        <f>IF(F92=1,NA(),D92)</f>
        <v/>
      </c>
      <c r="H92">
        <f>IF(AND(ISNUMBER(D92),D92&gt;=$O$4),1,0)</f>
        <v/>
      </c>
      <c r="I92">
        <f>B92-$O$8</f>
        <v/>
      </c>
    </row>
    <row r="93">
      <c r="A93" t="n">
        <v>273</v>
      </c>
      <c r="B93" t="n">
        <v>9.1</v>
      </c>
      <c r="C93" t="inlineStr">
        <is>
          <t>4?33</t>
        </is>
      </c>
      <c r="E93">
        <f>IFERROR(MEDIAN(D73:D113),D93)</f>
        <v/>
      </c>
      <c r="F93">
        <f>IF(OR(NOT(ISNUMBER(D93)),ABS(D93-E93)&gt;$O$3),1,0)</f>
        <v/>
      </c>
      <c r="G93">
        <f>IF(F93=1,NA(),D93)</f>
        <v/>
      </c>
      <c r="H93">
        <f>IF(AND(ISNUMBER(D93),D93&gt;=$O$4),1,0)</f>
        <v/>
      </c>
      <c r="I93">
        <f>B93-$O$8</f>
        <v/>
      </c>
    </row>
    <row r="94">
      <c r="A94" t="n">
        <v>276</v>
      </c>
      <c r="B94" t="n">
        <v>9.199999999999999</v>
      </c>
      <c r="C94" t="inlineStr">
        <is>
          <t>4?73</t>
        </is>
      </c>
      <c r="E94">
        <f>IFERROR(MEDIAN(D74:D114),D94)</f>
        <v/>
      </c>
      <c r="F94">
        <f>IF(OR(NOT(ISNUMBER(D94)),ABS(D94-E94)&gt;$O$3),1,0)</f>
        <v/>
      </c>
      <c r="G94">
        <f>IF(F94=1,NA(),D94)</f>
        <v/>
      </c>
      <c r="H94">
        <f>IF(AND(ISNUMBER(D94),D94&gt;=$O$4),1,0)</f>
        <v/>
      </c>
      <c r="I94">
        <f>B94-$O$8</f>
        <v/>
      </c>
    </row>
    <row r="95">
      <c r="A95" t="n">
        <v>279</v>
      </c>
      <c r="B95" t="n">
        <v>9.300000000000001</v>
      </c>
      <c r="C95" t="inlineStr">
        <is>
          <t>4?12</t>
        </is>
      </c>
      <c r="E95">
        <f>IFERROR(MEDIAN(D75:D115),D95)</f>
        <v/>
      </c>
      <c r="F95">
        <f>IF(OR(NOT(ISNUMBER(D95)),ABS(D95-E95)&gt;$O$3),1,0)</f>
        <v/>
      </c>
      <c r="G95">
        <f>IF(F95=1,NA(),D95)</f>
        <v/>
      </c>
      <c r="H95">
        <f>IF(AND(ISNUMBER(D95),D95&gt;=$O$4),1,0)</f>
        <v/>
      </c>
      <c r="I95">
        <f>B95-$O$8</f>
        <v/>
      </c>
    </row>
    <row r="96">
      <c r="A96" t="n">
        <v>282</v>
      </c>
      <c r="B96" t="n">
        <v>9.4</v>
      </c>
      <c r="C96" t="inlineStr">
        <is>
          <t>415?</t>
        </is>
      </c>
      <c r="E96">
        <f>IFERROR(MEDIAN(D76:D116),D96)</f>
        <v/>
      </c>
      <c r="F96">
        <f>IF(OR(NOT(ISNUMBER(D96)),ABS(D96-E96)&gt;$O$3),1,0)</f>
        <v/>
      </c>
      <c r="G96">
        <f>IF(F96=1,NA(),D96)</f>
        <v/>
      </c>
      <c r="H96">
        <f>IF(AND(ISNUMBER(D96),D96&gt;=$O$4),1,0)</f>
        <v/>
      </c>
      <c r="I96">
        <f>B96-$O$8</f>
        <v/>
      </c>
    </row>
    <row r="97">
      <c r="A97" t="n">
        <v>285</v>
      </c>
      <c r="B97" t="n">
        <v>9.5</v>
      </c>
      <c r="C97" t="inlineStr">
        <is>
          <t>4196</t>
        </is>
      </c>
      <c r="D97" t="n">
        <v>41.96</v>
      </c>
      <c r="E97">
        <f>IFERROR(MEDIAN(D77:D117),D97)</f>
        <v/>
      </c>
      <c r="F97">
        <f>IF(OR(NOT(ISNUMBER(D97)),ABS(D97-E97)&gt;$O$3),1,0)</f>
        <v/>
      </c>
      <c r="G97">
        <f>IF(F97=1,NA(),D97)</f>
        <v/>
      </c>
      <c r="H97">
        <f>IF(AND(ISNUMBER(D97),D97&gt;=$O$4),1,0)</f>
        <v/>
      </c>
      <c r="I97">
        <f>B97-$O$8</f>
        <v/>
      </c>
    </row>
    <row r="98">
      <c r="A98" t="n">
        <v>288</v>
      </c>
      <c r="B98" t="n">
        <v>9.6</v>
      </c>
      <c r="C98" t="inlineStr">
        <is>
          <t>??4</t>
        </is>
      </c>
      <c r="E98">
        <f>IFERROR(MEDIAN(D78:D118),D98)</f>
        <v/>
      </c>
      <c r="F98">
        <f>IF(OR(NOT(ISNUMBER(D98)),ABS(D98-E98)&gt;$O$3),1,0)</f>
        <v/>
      </c>
      <c r="G98">
        <f>IF(F98=1,NA(),D98)</f>
        <v/>
      </c>
      <c r="H98">
        <f>IF(AND(ISNUMBER(D98),D98&gt;=$O$4),1,0)</f>
        <v/>
      </c>
      <c r="I98">
        <f>B98-$O$8</f>
        <v/>
      </c>
    </row>
    <row r="99">
      <c r="A99" t="n">
        <v>291</v>
      </c>
      <c r="B99" t="n">
        <v>9.699999999999999</v>
      </c>
      <c r="C99" t="inlineStr">
        <is>
          <t>4?50</t>
        </is>
      </c>
      <c r="E99">
        <f>IFERROR(MEDIAN(D79:D119),D99)</f>
        <v/>
      </c>
      <c r="F99">
        <f>IF(OR(NOT(ISNUMBER(D99)),ABS(D99-E99)&gt;$O$3),1,0)</f>
        <v/>
      </c>
      <c r="G99">
        <f>IF(F99=1,NA(),D99)</f>
        <v/>
      </c>
      <c r="H99">
        <f>IF(AND(ISNUMBER(D99),D99&gt;=$O$4),1,0)</f>
        <v/>
      </c>
      <c r="I99">
        <f>B99-$O$8</f>
        <v/>
      </c>
    </row>
    <row r="100">
      <c r="A100" t="n">
        <v>294</v>
      </c>
      <c r="B100" t="n">
        <v>9.800000000000001</v>
      </c>
      <c r="C100" t="inlineStr">
        <is>
          <t>4?95</t>
        </is>
      </c>
      <c r="E100">
        <f>IFERROR(MEDIAN(D80:D120),D100)</f>
        <v/>
      </c>
      <c r="F100">
        <f>IF(OR(NOT(ISNUMBER(D100)),ABS(D100-E100)&gt;$O$3),1,0)</f>
        <v/>
      </c>
      <c r="G100">
        <f>IF(F100=1,NA(),D100)</f>
        <v/>
      </c>
      <c r="H100">
        <f>IF(AND(ISNUMBER(D100),D100&gt;=$O$4),1,0)</f>
        <v/>
      </c>
      <c r="I100">
        <f>B100-$O$8</f>
        <v/>
      </c>
    </row>
    <row r="101">
      <c r="A101" t="n">
        <v>297</v>
      </c>
      <c r="B101" t="n">
        <v>9.9</v>
      </c>
      <c r="C101" t="inlineStr">
        <is>
          <t>4?30</t>
        </is>
      </c>
      <c r="E101">
        <f>IFERROR(MEDIAN(D81:D121),D101)</f>
        <v/>
      </c>
      <c r="F101">
        <f>IF(OR(NOT(ISNUMBER(D101)),ABS(D101-E101)&gt;$O$3),1,0)</f>
        <v/>
      </c>
      <c r="G101">
        <f>IF(F101=1,NA(),D101)</f>
        <v/>
      </c>
      <c r="H101">
        <f>IF(AND(ISNUMBER(D101),D101&gt;=$O$4),1,0)</f>
        <v/>
      </c>
      <c r="I101">
        <f>B101-$O$8</f>
        <v/>
      </c>
    </row>
    <row r="102">
      <c r="A102" t="n">
        <v>300</v>
      </c>
      <c r="B102" t="n">
        <v>10</v>
      </c>
      <c r="C102" t="inlineStr">
        <is>
          <t>453</t>
        </is>
      </c>
      <c r="D102" t="n">
        <v>4.53</v>
      </c>
      <c r="E102">
        <f>IFERROR(MEDIAN(D82:D122),D102)</f>
        <v/>
      </c>
      <c r="F102">
        <f>IF(OR(NOT(ISNUMBER(D102)),ABS(D102-E102)&gt;$O$3),1,0)</f>
        <v/>
      </c>
      <c r="G102">
        <f>IF(F102=1,NA(),D102)</f>
        <v/>
      </c>
      <c r="H102">
        <f>IF(AND(ISNUMBER(D102),D102&gt;=$O$4),1,0)</f>
        <v/>
      </c>
      <c r="I102">
        <f>B102-$O$8</f>
        <v/>
      </c>
    </row>
    <row r="103">
      <c r="A103" t="n">
        <v>303</v>
      </c>
      <c r="B103" t="n">
        <v>10.1</v>
      </c>
      <c r="C103" t="inlineStr">
        <is>
          <t>457</t>
        </is>
      </c>
      <c r="D103" t="n">
        <v>4.57</v>
      </c>
      <c r="E103">
        <f>IFERROR(MEDIAN(D83:D123),D103)</f>
        <v/>
      </c>
      <c r="F103">
        <f>IF(OR(NOT(ISNUMBER(D103)),ABS(D103-E103)&gt;$O$3),1,0)</f>
        <v/>
      </c>
      <c r="G103">
        <f>IF(F103=1,NA(),D103)</f>
        <v/>
      </c>
      <c r="H103">
        <f>IF(AND(ISNUMBER(D103),D103&gt;=$O$4),1,0)</f>
        <v/>
      </c>
      <c r="I103">
        <f>B103-$O$8</f>
        <v/>
      </c>
    </row>
    <row r="104">
      <c r="A104" t="n">
        <v>306</v>
      </c>
      <c r="B104" t="n">
        <v>10.2</v>
      </c>
      <c r="C104" t="inlineStr">
        <is>
          <t>5?30</t>
        </is>
      </c>
      <c r="E104">
        <f>IFERROR(MEDIAN(D84:D124),D104)</f>
        <v/>
      </c>
      <c r="F104">
        <f>IF(OR(NOT(ISNUMBER(D104)),ABS(D104-E104)&gt;$O$3),1,0)</f>
        <v/>
      </c>
      <c r="G104">
        <f>IF(F104=1,NA(),D104)</f>
        <v/>
      </c>
      <c r="H104">
        <f>IF(AND(ISNUMBER(D104),D104&gt;=$O$4),1,0)</f>
        <v/>
      </c>
      <c r="I104">
        <f>B104-$O$8</f>
        <v/>
      </c>
    </row>
    <row r="105">
      <c r="A105" t="n">
        <v>309</v>
      </c>
      <c r="B105" t="n">
        <v>10.3</v>
      </c>
      <c r="C105" t="inlineStr">
        <is>
          <t>5?53</t>
        </is>
      </c>
      <c r="E105">
        <f>IFERROR(MEDIAN(D85:D125),D105)</f>
        <v/>
      </c>
      <c r="F105">
        <f>IF(OR(NOT(ISNUMBER(D105)),ABS(D105-E105)&gt;$O$3),1,0)</f>
        <v/>
      </c>
      <c r="G105">
        <f>IF(F105=1,NA(),D105)</f>
        <v/>
      </c>
      <c r="H105">
        <f>IF(AND(ISNUMBER(D105),D105&gt;=$O$4),1,0)</f>
        <v/>
      </c>
      <c r="I105">
        <f>B105-$O$8</f>
        <v/>
      </c>
    </row>
    <row r="106">
      <c r="A106" t="n">
        <v>312</v>
      </c>
      <c r="B106" t="n">
        <v>10.4</v>
      </c>
      <c r="C106" t="inlineStr">
        <is>
          <t>5?95</t>
        </is>
      </c>
      <c r="E106">
        <f>IFERROR(MEDIAN(D86:D126),D106)</f>
        <v/>
      </c>
      <c r="F106">
        <f>IF(OR(NOT(ISNUMBER(D106)),ABS(D106-E106)&gt;$O$3),1,0)</f>
        <v/>
      </c>
      <c r="G106">
        <f>IF(F106=1,NA(),D106)</f>
        <v/>
      </c>
      <c r="H106">
        <f>IF(AND(ISNUMBER(D106),D106&gt;=$O$4),1,0)</f>
        <v/>
      </c>
      <c r="I106">
        <f>B106-$O$8</f>
        <v/>
      </c>
    </row>
    <row r="107">
      <c r="A107" t="n">
        <v>315</v>
      </c>
      <c r="B107" t="n">
        <v>10.5</v>
      </c>
      <c r="C107" t="inlineStr">
        <is>
          <t>5?1?5</t>
        </is>
      </c>
      <c r="E107">
        <f>IFERROR(MEDIAN(D87:D127),D107)</f>
        <v/>
      </c>
      <c r="F107">
        <f>IF(OR(NOT(ISNUMBER(D107)),ABS(D107-E107)&gt;$O$3),1,0)</f>
        <v/>
      </c>
      <c r="G107">
        <f>IF(F107=1,NA(),D107)</f>
        <v/>
      </c>
      <c r="H107">
        <f>IF(AND(ISNUMBER(D107),D107&gt;=$O$4),1,0)</f>
        <v/>
      </c>
      <c r="I107">
        <f>B107-$O$8</f>
        <v/>
      </c>
    </row>
    <row r="108">
      <c r="A108" t="n">
        <v>318</v>
      </c>
      <c r="B108" t="n">
        <v>10.6</v>
      </c>
      <c r="C108" t="inlineStr">
        <is>
          <t>5156</t>
        </is>
      </c>
      <c r="D108" t="n">
        <v>51.56</v>
      </c>
      <c r="E108">
        <f>IFERROR(MEDIAN(D88:D128),D108)</f>
        <v/>
      </c>
      <c r="F108">
        <f>IF(OR(NOT(ISNUMBER(D108)),ABS(D108-E108)&gt;$O$3),1,0)</f>
        <v/>
      </c>
      <c r="G108">
        <f>IF(F108=1,NA(),D108)</f>
        <v/>
      </c>
      <c r="H108">
        <f>IF(AND(ISNUMBER(D108),D108&gt;=$O$4),1,0)</f>
        <v/>
      </c>
      <c r="I108">
        <f>B108-$O$8</f>
        <v/>
      </c>
    </row>
    <row r="109">
      <c r="A109" t="n">
        <v>321</v>
      </c>
      <c r="B109" t="n">
        <v>10.7</v>
      </c>
      <c r="C109" t="inlineStr">
        <is>
          <t>5?185</t>
        </is>
      </c>
      <c r="E109">
        <f>IFERROR(MEDIAN(D89:D129),D109)</f>
        <v/>
      </c>
      <c r="F109">
        <f>IF(OR(NOT(ISNUMBER(D109)),ABS(D109-E109)&gt;$O$3),1,0)</f>
        <v/>
      </c>
      <c r="G109">
        <f>IF(F109=1,NA(),D109)</f>
        <v/>
      </c>
      <c r="H109">
        <f>IF(AND(ISNUMBER(D109),D109&gt;=$O$4),1,0)</f>
        <v/>
      </c>
      <c r="I109">
        <f>B109-$O$8</f>
        <v/>
      </c>
    </row>
    <row r="110">
      <c r="A110" t="n">
        <v>324</v>
      </c>
      <c r="B110" t="n">
        <v>10.8</v>
      </c>
      <c r="C110" t="inlineStr">
        <is>
          <t>5216</t>
        </is>
      </c>
      <c r="D110" t="n">
        <v>52.16</v>
      </c>
      <c r="E110">
        <f>IFERROR(MEDIAN(D90:D130),D110)</f>
        <v/>
      </c>
      <c r="F110">
        <f>IF(OR(NOT(ISNUMBER(D110)),ABS(D110-E110)&gt;$O$3),1,0)</f>
        <v/>
      </c>
      <c r="G110">
        <f>IF(F110=1,NA(),D110)</f>
        <v/>
      </c>
      <c r="H110">
        <f>IF(AND(ISNUMBER(D110),D110&gt;=$O$4),1,0)</f>
        <v/>
      </c>
      <c r="I110">
        <f>B110-$O$8</f>
        <v/>
      </c>
    </row>
    <row r="111">
      <c r="A111" t="n">
        <v>327</v>
      </c>
      <c r="B111" t="n">
        <v>10.9</v>
      </c>
      <c r="C111" t="inlineStr">
        <is>
          <t>5246</t>
        </is>
      </c>
      <c r="D111" t="n">
        <v>52.46</v>
      </c>
      <c r="E111">
        <f>IFERROR(MEDIAN(D91:D131),D111)</f>
        <v/>
      </c>
      <c r="F111">
        <f>IF(OR(NOT(ISNUMBER(D111)),ABS(D111-E111)&gt;$O$3),1,0)</f>
        <v/>
      </c>
      <c r="G111">
        <f>IF(F111=1,NA(),D111)</f>
        <v/>
      </c>
      <c r="H111">
        <f>IF(AND(ISNUMBER(D111),D111&gt;=$O$4),1,0)</f>
        <v/>
      </c>
      <c r="I111">
        <f>B111-$O$8</f>
        <v/>
      </c>
    </row>
    <row r="112">
      <c r="A112" t="n">
        <v>330</v>
      </c>
      <c r="B112" t="n">
        <v>11</v>
      </c>
      <c r="C112" t="inlineStr">
        <is>
          <t>?77</t>
        </is>
      </c>
      <c r="E112">
        <f>IFERROR(MEDIAN(D92:D132),D112)</f>
        <v/>
      </c>
      <c r="F112">
        <f>IF(OR(NOT(ISNUMBER(D112)),ABS(D112-E112)&gt;$O$3),1,0)</f>
        <v/>
      </c>
      <c r="G112">
        <f>IF(F112=1,NA(),D112)</f>
        <v/>
      </c>
      <c r="H112">
        <f>IF(AND(ISNUMBER(D112),D112&gt;=$O$4),1,0)</f>
        <v/>
      </c>
      <c r="I112">
        <f>B112-$O$8</f>
        <v/>
      </c>
    </row>
    <row r="113">
      <c r="A113" t="n">
        <v>333</v>
      </c>
      <c r="B113" t="n">
        <v>11.1</v>
      </c>
      <c r="C113" t="inlineStr">
        <is>
          <t>5?06</t>
        </is>
      </c>
      <c r="E113">
        <f>IFERROR(MEDIAN(D93:D133),D113)</f>
        <v/>
      </c>
      <c r="F113">
        <f>IF(OR(NOT(ISNUMBER(D113)),ABS(D113-E113)&gt;$O$3),1,0)</f>
        <v/>
      </c>
      <c r="G113">
        <f>IF(F113=1,NA(),D113)</f>
        <v/>
      </c>
      <c r="H113">
        <f>IF(AND(ISNUMBER(D113),D113&gt;=$O$4),1,0)</f>
        <v/>
      </c>
      <c r="I113">
        <f>B113-$O$8</f>
        <v/>
      </c>
    </row>
    <row r="114">
      <c r="A114" t="n">
        <v>336</v>
      </c>
      <c r="B114" t="n">
        <v>11.2</v>
      </c>
      <c r="C114" t="inlineStr">
        <is>
          <t>534</t>
        </is>
      </c>
      <c r="D114" t="n">
        <v>5.34</v>
      </c>
      <c r="E114">
        <f>IFERROR(MEDIAN(D94:D134),D114)</f>
        <v/>
      </c>
      <c r="F114">
        <f>IF(OR(NOT(ISNUMBER(D114)),ABS(D114-E114)&gt;$O$3),1,0)</f>
        <v/>
      </c>
      <c r="G114">
        <f>IF(F114=1,NA(),D114)</f>
        <v/>
      </c>
      <c r="H114">
        <f>IF(AND(ISNUMBER(D114),D114&gt;=$O$4),1,0)</f>
        <v/>
      </c>
      <c r="I114">
        <f>B114-$O$8</f>
        <v/>
      </c>
    </row>
    <row r="115">
      <c r="A115" t="n">
        <v>339</v>
      </c>
      <c r="B115" t="n">
        <v>11.3</v>
      </c>
      <c r="C115" t="inlineStr">
        <is>
          <t>552</t>
        </is>
      </c>
      <c r="D115" t="n">
        <v>5.52</v>
      </c>
      <c r="E115">
        <f>IFERROR(MEDIAN(D95:D135),D115)</f>
        <v/>
      </c>
      <c r="F115">
        <f>IF(OR(NOT(ISNUMBER(D115)),ABS(D115-E115)&gt;$O$3),1,0)</f>
        <v/>
      </c>
      <c r="G115">
        <f>IF(F115=1,NA(),D115)</f>
        <v/>
      </c>
      <c r="H115">
        <f>IF(AND(ISNUMBER(D115),D115&gt;=$O$4),1,0)</f>
        <v/>
      </c>
      <c r="I115">
        <f>B115-$O$8</f>
        <v/>
      </c>
    </row>
    <row r="116">
      <c r="A116" t="n">
        <v>342</v>
      </c>
      <c r="B116" t="n">
        <v>11.4</v>
      </c>
      <c r="C116" t="inlineStr">
        <is>
          <t>590</t>
        </is>
      </c>
      <c r="D116" t="n">
        <v>5.9</v>
      </c>
      <c r="E116">
        <f>IFERROR(MEDIAN(D96:D136),D116)</f>
        <v/>
      </c>
      <c r="F116">
        <f>IF(OR(NOT(ISNUMBER(D116)),ABS(D116-E116)&gt;$O$3),1,0)</f>
        <v/>
      </c>
      <c r="G116">
        <f>IF(F116=1,NA(),D116)</f>
        <v/>
      </c>
      <c r="H116">
        <f>IF(AND(ISNUMBER(D116),D116&gt;=$O$4),1,0)</f>
        <v/>
      </c>
      <c r="I116">
        <f>B116-$O$8</f>
        <v/>
      </c>
    </row>
    <row r="117">
      <c r="A117" t="n">
        <v>345</v>
      </c>
      <c r="B117" t="n">
        <v>11.5</v>
      </c>
      <c r="C117" t="inlineStr">
        <is>
          <t>517</t>
        </is>
      </c>
      <c r="D117" t="n">
        <v>5.17</v>
      </c>
      <c r="E117">
        <f>IFERROR(MEDIAN(D97:D137),D117)</f>
        <v/>
      </c>
      <c r="F117">
        <f>IF(OR(NOT(ISNUMBER(D117)),ABS(D117-E117)&gt;$O$3),1,0)</f>
        <v/>
      </c>
      <c r="G117">
        <f>IF(F117=1,NA(),D117)</f>
        <v/>
      </c>
      <c r="H117">
        <f>IF(AND(ISNUMBER(D117),D117&gt;=$O$4),1,0)</f>
        <v/>
      </c>
      <c r="I117">
        <f>B117-$O$8</f>
        <v/>
      </c>
    </row>
    <row r="118">
      <c r="A118" t="n">
        <v>348</v>
      </c>
      <c r="B118" t="n">
        <v>11.6</v>
      </c>
      <c r="C118" t="inlineStr">
        <is>
          <t>544</t>
        </is>
      </c>
      <c r="D118" t="n">
        <v>5.44</v>
      </c>
      <c r="E118">
        <f>IFERROR(MEDIAN(D98:D138),D118)</f>
        <v/>
      </c>
      <c r="F118">
        <f>IF(OR(NOT(ISNUMBER(D118)),ABS(D118-E118)&gt;$O$3),1,0)</f>
        <v/>
      </c>
      <c r="G118">
        <f>IF(F118=1,NA(),D118)</f>
        <v/>
      </c>
      <c r="H118">
        <f>IF(AND(ISNUMBER(D118),D118&gt;=$O$4),1,0)</f>
        <v/>
      </c>
      <c r="I118">
        <f>B118-$O$8</f>
        <v/>
      </c>
    </row>
    <row r="119">
      <c r="A119" t="n">
        <v>351</v>
      </c>
      <c r="B119" t="n">
        <v>11.7</v>
      </c>
      <c r="C119" t="inlineStr">
        <is>
          <t>57?</t>
        </is>
      </c>
      <c r="E119">
        <f>IFERROR(MEDIAN(D99:D139),D119)</f>
        <v/>
      </c>
      <c r="F119">
        <f>IF(OR(NOT(ISNUMBER(D119)),ABS(D119-E119)&gt;$O$3),1,0)</f>
        <v/>
      </c>
      <c r="G119">
        <f>IF(F119=1,NA(),D119)</f>
        <v/>
      </c>
      <c r="H119">
        <f>IF(AND(ISNUMBER(D119),D119&gt;=$O$4),1,0)</f>
        <v/>
      </c>
      <c r="I119">
        <f>B119-$O$8</f>
        <v/>
      </c>
    </row>
    <row r="120">
      <c r="A120" t="n">
        <v>354</v>
      </c>
      <c r="B120" t="n">
        <v>11.8</v>
      </c>
      <c r="C120" t="inlineStr">
        <is>
          <t>596</t>
        </is>
      </c>
      <c r="D120" t="n">
        <v>5.96</v>
      </c>
      <c r="E120">
        <f>IFERROR(MEDIAN(D100:D140),D120)</f>
        <v/>
      </c>
      <c r="F120">
        <f>IF(OR(NOT(ISNUMBER(D120)),ABS(D120-E120)&gt;$O$3),1,0)</f>
        <v/>
      </c>
      <c r="G120">
        <f>IF(F120=1,NA(),D120)</f>
        <v/>
      </c>
      <c r="H120">
        <f>IF(AND(ISNUMBER(D120),D120&gt;=$O$4),1,0)</f>
        <v/>
      </c>
      <c r="I120">
        <f>B120-$O$8</f>
        <v/>
      </c>
    </row>
    <row r="121">
      <c r="A121" t="n">
        <v>357</v>
      </c>
      <c r="B121" t="n">
        <v>11.9</v>
      </c>
      <c r="C121" t="inlineStr">
        <is>
          <t>524</t>
        </is>
      </c>
      <c r="D121" t="n">
        <v>5.24</v>
      </c>
      <c r="E121">
        <f>IFERROR(MEDIAN(D101:D141),D121)</f>
        <v/>
      </c>
      <c r="F121">
        <f>IF(OR(NOT(ISNUMBER(D121)),ABS(D121-E121)&gt;$O$3),1,0)</f>
        <v/>
      </c>
      <c r="G121">
        <f>IF(F121=1,NA(),D121)</f>
        <v/>
      </c>
      <c r="H121">
        <f>IF(AND(ISNUMBER(D121),D121&gt;=$O$4),1,0)</f>
        <v/>
      </c>
      <c r="I121">
        <f>B121-$O$8</f>
        <v/>
      </c>
    </row>
    <row r="122">
      <c r="A122" t="n">
        <v>360</v>
      </c>
      <c r="B122" t="n">
        <v>12</v>
      </c>
      <c r="C122" t="inlineStr">
        <is>
          <t>5?50</t>
        </is>
      </c>
      <c r="E122">
        <f>IFERROR(MEDIAN(D102:D142),D122)</f>
        <v/>
      </c>
      <c r="F122">
        <f>IF(OR(NOT(ISNUMBER(D122)),ABS(D122-E122)&gt;$O$3),1,0)</f>
        <v/>
      </c>
      <c r="G122">
        <f>IF(F122=1,NA(),D122)</f>
        <v/>
      </c>
      <c r="H122">
        <f>IF(AND(ISNUMBER(D122),D122&gt;=$O$4),1,0)</f>
        <v/>
      </c>
      <c r="I122">
        <f>B122-$O$8</f>
        <v/>
      </c>
    </row>
    <row r="123">
      <c r="A123" t="n">
        <v>363</v>
      </c>
      <c r="B123" t="n">
        <v>12.1</v>
      </c>
      <c r="C123" t="inlineStr">
        <is>
          <t>5?75</t>
        </is>
      </c>
      <c r="E123">
        <f>IFERROR(MEDIAN(D103:D143),D123)</f>
        <v/>
      </c>
      <c r="F123">
        <f>IF(OR(NOT(ISNUMBER(D123)),ABS(D123-E123)&gt;$O$3),1,0)</f>
        <v/>
      </c>
      <c r="G123">
        <f>IF(F123=1,NA(),D123)</f>
        <v/>
      </c>
      <c r="H123">
        <f>IF(AND(ISNUMBER(D123),D123&gt;=$O$4),1,0)</f>
        <v/>
      </c>
      <c r="I123">
        <f>B123-$O$8</f>
        <v/>
      </c>
    </row>
    <row r="124">
      <c r="A124" t="n">
        <v>366</v>
      </c>
      <c r="B124" t="n">
        <v>12.2</v>
      </c>
      <c r="C124" t="inlineStr">
        <is>
          <t>5?00</t>
        </is>
      </c>
      <c r="E124">
        <f>IFERROR(MEDIAN(D104:D144),D124)</f>
        <v/>
      </c>
      <c r="F124">
        <f>IF(OR(NOT(ISNUMBER(D124)),ABS(D124-E124)&gt;$O$3),1,0)</f>
        <v/>
      </c>
      <c r="G124">
        <f>IF(F124=1,NA(),D124)</f>
        <v/>
      </c>
      <c r="H124">
        <f>IF(AND(ISNUMBER(D124),D124&gt;=$O$4),1,0)</f>
        <v/>
      </c>
      <c r="I124">
        <f>B124-$O$8</f>
        <v/>
      </c>
    </row>
    <row r="125">
      <c r="A125" t="n">
        <v>369</v>
      </c>
      <c r="B125" t="n">
        <v>12.3</v>
      </c>
      <c r="C125" t="inlineStr">
        <is>
          <t>5??5</t>
        </is>
      </c>
      <c r="E125">
        <f>IFERROR(MEDIAN(D105:D145),D125)</f>
        <v/>
      </c>
      <c r="F125">
        <f>IF(OR(NOT(ISNUMBER(D125)),ABS(D125-E125)&gt;$O$3),1,0)</f>
        <v/>
      </c>
      <c r="G125">
        <f>IF(F125=1,NA(),D125)</f>
        <v/>
      </c>
      <c r="H125">
        <f>IF(AND(ISNUMBER(D125),D125&gt;=$O$4),1,0)</f>
        <v/>
      </c>
      <c r="I125">
        <f>B125-$O$8</f>
        <v/>
      </c>
    </row>
    <row r="126">
      <c r="A126" t="n">
        <v>372</v>
      </c>
      <c r="B126" t="n">
        <v>12.4</v>
      </c>
      <c r="C126" t="inlineStr">
        <is>
          <t>5?45</t>
        </is>
      </c>
      <c r="E126">
        <f>IFERROR(MEDIAN(D106:D146),D126)</f>
        <v/>
      </c>
      <c r="F126">
        <f>IF(OR(NOT(ISNUMBER(D126)),ABS(D126-E126)&gt;$O$3),1,0)</f>
        <v/>
      </c>
      <c r="G126">
        <f>IF(F126=1,NA(),D126)</f>
        <v/>
      </c>
      <c r="H126">
        <f>IF(AND(ISNUMBER(D126),D126&gt;=$O$4),1,0)</f>
        <v/>
      </c>
      <c r="I126">
        <f>B126-$O$8</f>
        <v/>
      </c>
    </row>
    <row r="127">
      <c r="A127" t="n">
        <v>375</v>
      </c>
      <c r="B127" t="n">
        <v>12.5</v>
      </c>
      <c r="C127" t="inlineStr">
        <is>
          <t>5?73</t>
        </is>
      </c>
      <c r="E127">
        <f>IFERROR(MEDIAN(D107:D147),D127)</f>
        <v/>
      </c>
      <c r="F127">
        <f>IF(OR(NOT(ISNUMBER(D127)),ABS(D127-E127)&gt;$O$3),1,0)</f>
        <v/>
      </c>
      <c r="G127">
        <f>IF(F127=1,NA(),D127)</f>
        <v/>
      </c>
      <c r="H127">
        <f>IF(AND(ISNUMBER(D127),D127&gt;=$O$4),1,0)</f>
        <v/>
      </c>
      <c r="I127">
        <f>B127-$O$8</f>
        <v/>
      </c>
    </row>
    <row r="128">
      <c r="A128" t="n">
        <v>378</v>
      </c>
      <c r="B128" t="n">
        <v>12.6</v>
      </c>
      <c r="C128" t="inlineStr">
        <is>
          <t>5?57</t>
        </is>
      </c>
      <c r="E128">
        <f>IFERROR(MEDIAN(D108:D148),D128)</f>
        <v/>
      </c>
      <c r="F128">
        <f>IF(OR(NOT(ISNUMBER(D128)),ABS(D128-E128)&gt;$O$3),1,0)</f>
        <v/>
      </c>
      <c r="G128">
        <f>IF(F128=1,NA(),D128)</f>
        <v/>
      </c>
      <c r="H128">
        <f>IF(AND(ISNUMBER(D128),D128&gt;=$O$4),1,0)</f>
        <v/>
      </c>
      <c r="I128">
        <f>B128-$O$8</f>
        <v/>
      </c>
    </row>
    <row r="129">
      <c r="A129" t="n">
        <v>381</v>
      </c>
      <c r="B129" t="n">
        <v>12.7</v>
      </c>
      <c r="C129" t="inlineStr">
        <is>
          <t>5115</t>
        </is>
      </c>
      <c r="D129" t="n">
        <v>51.15</v>
      </c>
      <c r="E129">
        <f>IFERROR(MEDIAN(D109:D149),D129)</f>
        <v/>
      </c>
      <c r="F129">
        <f>IF(OR(NOT(ISNUMBER(D129)),ABS(D129-E129)&gt;$O$3),1,0)</f>
        <v/>
      </c>
      <c r="G129">
        <f>IF(F129=1,NA(),D129)</f>
        <v/>
      </c>
      <c r="H129">
        <f>IF(AND(ISNUMBER(D129),D129&gt;=$O$4),1,0)</f>
        <v/>
      </c>
      <c r="I129">
        <f>B129-$O$8</f>
        <v/>
      </c>
    </row>
    <row r="130">
      <c r="A130" t="n">
        <v>384</v>
      </c>
      <c r="B130" t="n">
        <v>12.8</v>
      </c>
      <c r="C130" t="inlineStr">
        <is>
          <t>5?42</t>
        </is>
      </c>
      <c r="E130">
        <f>IFERROR(MEDIAN(D110:D150),D130)</f>
        <v/>
      </c>
      <c r="F130">
        <f>IF(OR(NOT(ISNUMBER(D130)),ABS(D130-E130)&gt;$O$3),1,0)</f>
        <v/>
      </c>
      <c r="G130">
        <f>IF(F130=1,NA(),D130)</f>
        <v/>
      </c>
      <c r="H130">
        <f>IF(AND(ISNUMBER(D130),D130&gt;=$O$4),1,0)</f>
        <v/>
      </c>
      <c r="I130">
        <f>B130-$O$8</f>
        <v/>
      </c>
    </row>
    <row r="131">
      <c r="A131" t="n">
        <v>387</v>
      </c>
      <c r="B131" t="n">
        <v>12.9</v>
      </c>
      <c r="C131" t="inlineStr">
        <is>
          <t>5164</t>
        </is>
      </c>
      <c r="D131" t="n">
        <v>51.64</v>
      </c>
      <c r="E131">
        <f>IFERROR(MEDIAN(D111:D151),D131)</f>
        <v/>
      </c>
      <c r="F131">
        <f>IF(OR(NOT(ISNUMBER(D131)),ABS(D131-E131)&gt;$O$3),1,0)</f>
        <v/>
      </c>
      <c r="G131">
        <f>IF(F131=1,NA(),D131)</f>
        <v/>
      </c>
      <c r="H131">
        <f>IF(AND(ISNUMBER(D131),D131&gt;=$O$4),1,0)</f>
        <v/>
      </c>
      <c r="I131">
        <f>B131-$O$8</f>
        <v/>
      </c>
    </row>
    <row r="132">
      <c r="A132" t="n">
        <v>390</v>
      </c>
      <c r="B132" t="n">
        <v>13</v>
      </c>
      <c r="C132" t="inlineStr">
        <is>
          <t>5?86</t>
        </is>
      </c>
      <c r="E132">
        <f>IFERROR(MEDIAN(D112:D152),D132)</f>
        <v/>
      </c>
      <c r="F132">
        <f>IF(OR(NOT(ISNUMBER(D132)),ABS(D132-E132)&gt;$O$3),1,0)</f>
        <v/>
      </c>
      <c r="G132">
        <f>IF(F132=1,NA(),D132)</f>
        <v/>
      </c>
      <c r="H132">
        <f>IF(AND(ISNUMBER(D132),D132&gt;=$O$4),1,0)</f>
        <v/>
      </c>
      <c r="I132">
        <f>B132-$O$8</f>
        <v/>
      </c>
    </row>
    <row r="133">
      <c r="A133" t="n">
        <v>393</v>
      </c>
      <c r="B133" t="n">
        <v>13.1</v>
      </c>
      <c r="C133" t="inlineStr">
        <is>
          <t>5405</t>
        </is>
      </c>
      <c r="D133" t="n">
        <v>54.05</v>
      </c>
      <c r="E133">
        <f>IFERROR(MEDIAN(D113:D153),D133)</f>
        <v/>
      </c>
      <c r="F133">
        <f>IF(OR(NOT(ISNUMBER(D133)),ABS(D133-E133)&gt;$O$3),1,0)</f>
        <v/>
      </c>
      <c r="G133">
        <f>IF(F133=1,NA(),D133)</f>
        <v/>
      </c>
      <c r="H133">
        <f>IF(AND(ISNUMBER(D133),D133&gt;=$O$4),1,0)</f>
        <v/>
      </c>
      <c r="I133">
        <f>B133-$O$8</f>
        <v/>
      </c>
    </row>
    <row r="134">
      <c r="A134" t="n">
        <v>396</v>
      </c>
      <c r="B134" t="n">
        <v>13.2</v>
      </c>
      <c r="C134" t="inlineStr">
        <is>
          <t>5230</t>
        </is>
      </c>
      <c r="D134" t="n">
        <v>52.3</v>
      </c>
      <c r="E134">
        <f>IFERROR(MEDIAN(D114:D154),D134)</f>
        <v/>
      </c>
      <c r="F134">
        <f>IF(OR(NOT(ISNUMBER(D134)),ABS(D134-E134)&gt;$O$3),1,0)</f>
        <v/>
      </c>
      <c r="G134">
        <f>IF(F134=1,NA(),D134)</f>
        <v/>
      </c>
      <c r="H134">
        <f>IF(AND(ISNUMBER(D134),D134&gt;=$O$4),1,0)</f>
        <v/>
      </c>
      <c r="I134">
        <f>B134-$O$8</f>
        <v/>
      </c>
    </row>
    <row r="135">
      <c r="A135" t="n">
        <v>399</v>
      </c>
      <c r="B135" t="n">
        <v>13.3</v>
      </c>
      <c r="C135" t="inlineStr">
        <is>
          <t>525?</t>
        </is>
      </c>
      <c r="E135">
        <f>IFERROR(MEDIAN(D115:D155),D135)</f>
        <v/>
      </c>
      <c r="F135">
        <f>IF(OR(NOT(ISNUMBER(D135)),ABS(D135-E135)&gt;$O$3),1,0)</f>
        <v/>
      </c>
      <c r="G135">
        <f>IF(F135=1,NA(),D135)</f>
        <v/>
      </c>
      <c r="H135">
        <f>IF(AND(ISNUMBER(D135),D135&gt;=$O$4),1,0)</f>
        <v/>
      </c>
      <c r="I135">
        <f>B135-$O$8</f>
        <v/>
      </c>
    </row>
    <row r="136">
      <c r="A136" t="n">
        <v>402</v>
      </c>
      <c r="B136" t="n">
        <v>13.4</v>
      </c>
      <c r="C136" t="inlineStr">
        <is>
          <t>5273</t>
        </is>
      </c>
      <c r="D136" t="n">
        <v>52.73</v>
      </c>
      <c r="E136">
        <f>IFERROR(MEDIAN(D116:D156),D136)</f>
        <v/>
      </c>
      <c r="F136">
        <f>IF(OR(NOT(ISNUMBER(D136)),ABS(D136-E136)&gt;$O$3),1,0)</f>
        <v/>
      </c>
      <c r="G136">
        <f>IF(F136=1,NA(),D136)</f>
        <v/>
      </c>
      <c r="H136">
        <f>IF(AND(ISNUMBER(D136),D136&gt;=$O$4),1,0)</f>
        <v/>
      </c>
      <c r="I136">
        <f>B136-$O$8</f>
        <v/>
      </c>
    </row>
    <row r="137">
      <c r="A137" t="n">
        <v>405</v>
      </c>
      <c r="B137" t="n">
        <v>13.5</v>
      </c>
      <c r="C137" t="inlineStr">
        <is>
          <t>5253</t>
        </is>
      </c>
      <c r="D137" t="n">
        <v>52.53</v>
      </c>
      <c r="E137">
        <f>IFERROR(MEDIAN(D117:D157),D137)</f>
        <v/>
      </c>
      <c r="F137">
        <f>IF(OR(NOT(ISNUMBER(D137)),ABS(D137-E137)&gt;$O$3),1,0)</f>
        <v/>
      </c>
      <c r="G137">
        <f>IF(F137=1,NA(),D137)</f>
        <v/>
      </c>
      <c r="H137">
        <f>IF(AND(ISNUMBER(D137),D137&gt;=$O$4),1,0)</f>
        <v/>
      </c>
      <c r="I137">
        <f>B137-$O$8</f>
        <v/>
      </c>
    </row>
    <row r="138">
      <c r="A138" t="n">
        <v>408</v>
      </c>
      <c r="B138" t="n">
        <v>13.6</v>
      </c>
      <c r="C138" t="inlineStr">
        <is>
          <t>5??3</t>
        </is>
      </c>
      <c r="E138">
        <f>IFERROR(MEDIAN(D118:D158),D138)</f>
        <v/>
      </c>
      <c r="F138">
        <f>IF(OR(NOT(ISNUMBER(D138)),ABS(D138-E138)&gt;$O$3),1,0)</f>
        <v/>
      </c>
      <c r="G138">
        <f>IF(F138=1,NA(),D138)</f>
        <v/>
      </c>
      <c r="H138">
        <f>IF(AND(ISNUMBER(D138),D138&gt;=$O$4),1,0)</f>
        <v/>
      </c>
      <c r="I138">
        <f>B138-$O$8</f>
        <v/>
      </c>
    </row>
    <row r="139">
      <c r="A139" t="n">
        <v>411</v>
      </c>
      <c r="B139" t="n">
        <v>13.7</v>
      </c>
      <c r="C139" t="inlineStr">
        <is>
          <t>533</t>
        </is>
      </c>
      <c r="D139" t="n">
        <v>5.33</v>
      </c>
      <c r="E139">
        <f>IFERROR(MEDIAN(D119:D159),D139)</f>
        <v/>
      </c>
      <c r="F139">
        <f>IF(OR(NOT(ISNUMBER(D139)),ABS(D139-E139)&gt;$O$3),1,0)</f>
        <v/>
      </c>
      <c r="G139">
        <f>IF(F139=1,NA(),D139)</f>
        <v/>
      </c>
      <c r="H139">
        <f>IF(AND(ISNUMBER(D139),D139&gt;=$O$4),1,0)</f>
        <v/>
      </c>
      <c r="I139">
        <f>B139-$O$8</f>
        <v/>
      </c>
    </row>
    <row r="140">
      <c r="A140" t="n">
        <v>414</v>
      </c>
      <c r="B140" t="n">
        <v>13.8</v>
      </c>
      <c r="C140" t="inlineStr">
        <is>
          <t>5?2</t>
        </is>
      </c>
      <c r="E140">
        <f>IFERROR(MEDIAN(D120:D160),D140)</f>
        <v/>
      </c>
      <c r="F140">
        <f>IF(OR(NOT(ISNUMBER(D140)),ABS(D140-E140)&gt;$O$3),1,0)</f>
        <v/>
      </c>
      <c r="G140">
        <f>IF(F140=1,NA(),D140)</f>
        <v/>
      </c>
      <c r="H140">
        <f>IF(AND(ISNUMBER(D140),D140&gt;=$O$4),1,0)</f>
        <v/>
      </c>
      <c r="I140">
        <f>B140-$O$8</f>
        <v/>
      </c>
    </row>
    <row r="141">
      <c r="A141" t="n">
        <v>417</v>
      </c>
      <c r="B141" t="n">
        <v>13.9</v>
      </c>
      <c r="C141" t="inlineStr">
        <is>
          <t>5???</t>
        </is>
      </c>
      <c r="E141">
        <f>IFERROR(MEDIAN(D121:D161),D141)</f>
        <v/>
      </c>
      <c r="F141">
        <f>IF(OR(NOT(ISNUMBER(D141)),ABS(D141-E141)&gt;$O$3),1,0)</f>
        <v/>
      </c>
      <c r="G141">
        <f>IF(F141=1,NA(),D141)</f>
        <v/>
      </c>
      <c r="H141">
        <f>IF(AND(ISNUMBER(D141),D141&gt;=$O$4),1,0)</f>
        <v/>
      </c>
      <c r="I141">
        <f>B141-$O$8</f>
        <v/>
      </c>
    </row>
    <row r="142">
      <c r="A142" t="n">
        <v>420</v>
      </c>
      <c r="B142" t="n">
        <v>14</v>
      </c>
      <c r="C142" t="inlineStr">
        <is>
          <t>5?05</t>
        </is>
      </c>
      <c r="E142">
        <f>IFERROR(MEDIAN(D122:D162),D142)</f>
        <v/>
      </c>
      <c r="F142">
        <f>IF(OR(NOT(ISNUMBER(D142)),ABS(D142-E142)&gt;$O$3),1,0)</f>
        <v/>
      </c>
      <c r="G142">
        <f>IF(F142=1,NA(),D142)</f>
        <v/>
      </c>
      <c r="H142">
        <f>IF(AND(ISNUMBER(D142),D142&gt;=$O$4),1,0)</f>
        <v/>
      </c>
      <c r="I142">
        <f>B142-$O$8</f>
        <v/>
      </c>
    </row>
    <row r="143">
      <c r="A143" t="n">
        <v>423</v>
      </c>
      <c r="B143" t="n">
        <v>14.1</v>
      </c>
      <c r="C143" t="inlineStr">
        <is>
          <t>6??5</t>
        </is>
      </c>
      <c r="E143">
        <f>IFERROR(MEDIAN(D123:D163),D143)</f>
        <v/>
      </c>
      <c r="F143">
        <f>IF(OR(NOT(ISNUMBER(D143)),ABS(D143-E143)&gt;$O$3),1,0)</f>
        <v/>
      </c>
      <c r="G143">
        <f>IF(F143=1,NA(),D143)</f>
        <v/>
      </c>
      <c r="H143">
        <f>IF(AND(ISNUMBER(D143),D143&gt;=$O$4),1,0)</f>
        <v/>
      </c>
      <c r="I143">
        <f>B143-$O$8</f>
        <v/>
      </c>
    </row>
    <row r="144">
      <c r="A144" t="n">
        <v>426</v>
      </c>
      <c r="B144" t="n">
        <v>14.2</v>
      </c>
      <c r="C144" t="inlineStr">
        <is>
          <t>6???</t>
        </is>
      </c>
      <c r="E144">
        <f>IFERROR(MEDIAN(D124:D164),D144)</f>
        <v/>
      </c>
      <c r="F144">
        <f>IF(OR(NOT(ISNUMBER(D144)),ABS(D144-E144)&gt;$O$3),1,0)</f>
        <v/>
      </c>
      <c r="G144">
        <f>IF(F144=1,NA(),D144)</f>
        <v/>
      </c>
      <c r="H144">
        <f>IF(AND(ISNUMBER(D144),D144&gt;=$O$4),1,0)</f>
        <v/>
      </c>
      <c r="I144">
        <f>B144-$O$8</f>
        <v/>
      </c>
    </row>
    <row r="145">
      <c r="A145" t="n">
        <v>429</v>
      </c>
      <c r="B145" t="n">
        <v>14.3</v>
      </c>
      <c r="C145" t="inlineStr">
        <is>
          <t>6?36</t>
        </is>
      </c>
      <c r="E145">
        <f>IFERROR(MEDIAN(D125:D165),D145)</f>
        <v/>
      </c>
      <c r="F145">
        <f>IF(OR(NOT(ISNUMBER(D145)),ABS(D145-E145)&gt;$O$3),1,0)</f>
        <v/>
      </c>
      <c r="G145">
        <f>IF(F145=1,NA(),D145)</f>
        <v/>
      </c>
      <c r="H145">
        <f>IF(AND(ISNUMBER(D145),D145&gt;=$O$4),1,0)</f>
        <v/>
      </c>
      <c r="I145">
        <f>B145-$O$8</f>
        <v/>
      </c>
    </row>
    <row r="146">
      <c r="A146" t="n">
        <v>432</v>
      </c>
      <c r="B146" t="n">
        <v>14.4</v>
      </c>
      <c r="C146" t="inlineStr">
        <is>
          <t>6?55</t>
        </is>
      </c>
      <c r="E146">
        <f>IFERROR(MEDIAN(D126:D166),D146)</f>
        <v/>
      </c>
      <c r="F146">
        <f>IF(OR(NOT(ISNUMBER(D146)),ABS(D146-E146)&gt;$O$3),1,0)</f>
        <v/>
      </c>
      <c r="G146">
        <f>IF(F146=1,NA(),D146)</f>
        <v/>
      </c>
      <c r="H146">
        <f>IF(AND(ISNUMBER(D146),D146&gt;=$O$4),1,0)</f>
        <v/>
      </c>
      <c r="I146">
        <f>B146-$O$8</f>
        <v/>
      </c>
    </row>
    <row r="147">
      <c r="A147" t="n">
        <v>435</v>
      </c>
      <c r="B147" t="n">
        <v>14.5</v>
      </c>
      <c r="C147" t="inlineStr">
        <is>
          <t>6?56</t>
        </is>
      </c>
      <c r="E147">
        <f>IFERROR(MEDIAN(D127:D167),D147)</f>
        <v/>
      </c>
      <c r="F147">
        <f>IF(OR(NOT(ISNUMBER(D147)),ABS(D147-E147)&gt;$O$3),1,0)</f>
        <v/>
      </c>
      <c r="G147">
        <f>IF(F147=1,NA(),D147)</f>
        <v/>
      </c>
      <c r="H147">
        <f>IF(AND(ISNUMBER(D147),D147&gt;=$O$4),1,0)</f>
        <v/>
      </c>
      <c r="I147">
        <f>B147-$O$8</f>
        <v/>
      </c>
    </row>
    <row r="148">
      <c r="A148" t="n">
        <v>438</v>
      </c>
      <c r="B148" t="n">
        <v>14.6</v>
      </c>
      <c r="C148" t="inlineStr">
        <is>
          <t>6?56</t>
        </is>
      </c>
      <c r="E148">
        <f>IFERROR(MEDIAN(D128:D168),D148)</f>
        <v/>
      </c>
      <c r="F148">
        <f>IF(OR(NOT(ISNUMBER(D148)),ABS(D148-E148)&gt;$O$3),1,0)</f>
        <v/>
      </c>
      <c r="G148">
        <f>IF(F148=1,NA(),D148)</f>
        <v/>
      </c>
      <c r="H148">
        <f>IF(AND(ISNUMBER(D148),D148&gt;=$O$4),1,0)</f>
        <v/>
      </c>
      <c r="I148">
        <f>B148-$O$8</f>
        <v/>
      </c>
    </row>
    <row r="149">
      <c r="A149" t="n">
        <v>441</v>
      </c>
      <c r="B149" t="n">
        <v>14.7</v>
      </c>
      <c r="C149" t="inlineStr">
        <is>
          <t>6?53</t>
        </is>
      </c>
      <c r="E149">
        <f>IFERROR(MEDIAN(D129:D169),D149)</f>
        <v/>
      </c>
      <c r="F149">
        <f>IF(OR(NOT(ISNUMBER(D149)),ABS(D149-E149)&gt;$O$3),1,0)</f>
        <v/>
      </c>
      <c r="G149">
        <f>IF(F149=1,NA(),D149)</f>
        <v/>
      </c>
      <c r="H149">
        <f>IF(AND(ISNUMBER(D149),D149&gt;=$O$4),1,0)</f>
        <v/>
      </c>
      <c r="I149">
        <f>B149-$O$8</f>
        <v/>
      </c>
    </row>
    <row r="150">
      <c r="A150" t="n">
        <v>444</v>
      </c>
      <c r="B150" t="n">
        <v>14.8</v>
      </c>
      <c r="C150" t="inlineStr">
        <is>
          <t>6??</t>
        </is>
      </c>
      <c r="E150">
        <f>IFERROR(MEDIAN(D130:D170),D150)</f>
        <v/>
      </c>
      <c r="F150">
        <f>IF(OR(NOT(ISNUMBER(D150)),ABS(D150-E150)&gt;$O$3),1,0)</f>
        <v/>
      </c>
      <c r="G150">
        <f>IF(F150=1,NA(),D150)</f>
        <v/>
      </c>
      <c r="H150">
        <f>IF(AND(ISNUMBER(D150),D150&gt;=$O$4),1,0)</f>
        <v/>
      </c>
      <c r="I150">
        <f>B150-$O$8</f>
        <v/>
      </c>
    </row>
    <row r="151">
      <c r="A151" t="n">
        <v>447</v>
      </c>
      <c r="B151" t="n">
        <v>14.9</v>
      </c>
      <c r="C151" t="inlineStr">
        <is>
          <t>6?11</t>
        </is>
      </c>
      <c r="E151">
        <f>IFERROR(MEDIAN(D131:D171),D151)</f>
        <v/>
      </c>
      <c r="F151">
        <f>IF(OR(NOT(ISNUMBER(D151)),ABS(D151-E151)&gt;$O$3),1,0)</f>
        <v/>
      </c>
      <c r="G151">
        <f>IF(F151=1,NA(),D151)</f>
        <v/>
      </c>
      <c r="H151">
        <f>IF(AND(ISNUMBER(D151),D151&gt;=$O$4),1,0)</f>
        <v/>
      </c>
      <c r="I151">
        <f>B151-$O$8</f>
        <v/>
      </c>
    </row>
    <row r="152">
      <c r="A152" t="n">
        <v>450</v>
      </c>
      <c r="B152" t="n">
        <v>15</v>
      </c>
      <c r="C152" t="inlineStr">
        <is>
          <t>6?1??</t>
        </is>
      </c>
      <c r="E152">
        <f>IFERROR(MEDIAN(D132:D172),D152)</f>
        <v/>
      </c>
      <c r="F152">
        <f>IF(OR(NOT(ISNUMBER(D152)),ABS(D152-E152)&gt;$O$3),1,0)</f>
        <v/>
      </c>
      <c r="G152">
        <f>IF(F152=1,NA(),D152)</f>
        <v/>
      </c>
      <c r="H152">
        <f>IF(AND(ISNUMBER(D152),D152&gt;=$O$4),1,0)</f>
        <v/>
      </c>
      <c r="I152">
        <f>B152-$O$8</f>
        <v/>
      </c>
    </row>
    <row r="153">
      <c r="A153" t="n">
        <v>453</v>
      </c>
      <c r="B153" t="n">
        <v>15.1</v>
      </c>
      <c r="C153" t="inlineStr">
        <is>
          <t>6?36</t>
        </is>
      </c>
      <c r="E153">
        <f>IFERROR(MEDIAN(D133:D173),D153)</f>
        <v/>
      </c>
      <c r="F153">
        <f>IF(OR(NOT(ISNUMBER(D153)),ABS(D153-E153)&gt;$O$3),1,0)</f>
        <v/>
      </c>
      <c r="G153">
        <f>IF(F153=1,NA(),D153)</f>
        <v/>
      </c>
      <c r="H153">
        <f>IF(AND(ISNUMBER(D153),D153&gt;=$O$4),1,0)</f>
        <v/>
      </c>
      <c r="I153">
        <f>B153-$O$8</f>
        <v/>
      </c>
    </row>
    <row r="154">
      <c r="A154" t="n">
        <v>456</v>
      </c>
      <c r="B154" t="n">
        <v>15.2</v>
      </c>
      <c r="C154" t="inlineStr">
        <is>
          <t>6155</t>
        </is>
      </c>
      <c r="D154" t="n">
        <v>61.55</v>
      </c>
      <c r="E154">
        <f>IFERROR(MEDIAN(D134:D174),D154)</f>
        <v/>
      </c>
      <c r="F154">
        <f>IF(OR(NOT(ISNUMBER(D154)),ABS(D154-E154)&gt;$O$3),1,0)</f>
        <v/>
      </c>
      <c r="G154">
        <f>IF(F154=1,NA(),D154)</f>
        <v/>
      </c>
      <c r="H154">
        <f>IF(AND(ISNUMBER(D154),D154&gt;=$O$4),1,0)</f>
        <v/>
      </c>
      <c r="I154">
        <f>B154-$O$8</f>
        <v/>
      </c>
    </row>
    <row r="155">
      <c r="A155" t="n">
        <v>459</v>
      </c>
      <c r="B155" t="n">
        <v>15.3</v>
      </c>
      <c r="C155" t="inlineStr">
        <is>
          <t>6?155</t>
        </is>
      </c>
      <c r="E155">
        <f>IFERROR(MEDIAN(D135:D175),D155)</f>
        <v/>
      </c>
      <c r="F155">
        <f>IF(OR(NOT(ISNUMBER(D155)),ABS(D155-E155)&gt;$O$3),1,0)</f>
        <v/>
      </c>
      <c r="G155">
        <f>IF(F155=1,NA(),D155)</f>
        <v/>
      </c>
      <c r="H155">
        <f>IF(AND(ISNUMBER(D155),D155&gt;=$O$4),1,0)</f>
        <v/>
      </c>
      <c r="I155">
        <f>B155-$O$8</f>
        <v/>
      </c>
    </row>
    <row r="156">
      <c r="A156" t="n">
        <v>462</v>
      </c>
      <c r="B156" t="n">
        <v>15.4</v>
      </c>
      <c r="C156" t="inlineStr">
        <is>
          <t>615</t>
        </is>
      </c>
      <c r="D156" t="n">
        <v>6.15</v>
      </c>
      <c r="E156">
        <f>IFERROR(MEDIAN(D136:D176),D156)</f>
        <v/>
      </c>
      <c r="F156">
        <f>IF(OR(NOT(ISNUMBER(D156)),ABS(D156-E156)&gt;$O$3),1,0)</f>
        <v/>
      </c>
      <c r="G156">
        <f>IF(F156=1,NA(),D156)</f>
        <v/>
      </c>
      <c r="H156">
        <f>IF(AND(ISNUMBER(D156),D156&gt;=$O$4),1,0)</f>
        <v/>
      </c>
      <c r="I156">
        <f>B156-$O$8</f>
        <v/>
      </c>
    </row>
    <row r="157">
      <c r="A157" t="n">
        <v>465</v>
      </c>
      <c r="B157" t="n">
        <v>15.5</v>
      </c>
      <c r="C157" t="inlineStr">
        <is>
          <t>6?76</t>
        </is>
      </c>
      <c r="E157">
        <f>IFERROR(MEDIAN(D137:D177),D157)</f>
        <v/>
      </c>
      <c r="F157">
        <f>IF(OR(NOT(ISNUMBER(D157)),ABS(D157-E157)&gt;$O$3),1,0)</f>
        <v/>
      </c>
      <c r="G157">
        <f>IF(F157=1,NA(),D157)</f>
        <v/>
      </c>
      <c r="H157">
        <f>IF(AND(ISNUMBER(D157),D157&gt;=$O$4),1,0)</f>
        <v/>
      </c>
      <c r="I157">
        <f>B157-$O$8</f>
        <v/>
      </c>
    </row>
    <row r="158">
      <c r="A158" t="n">
        <v>468</v>
      </c>
      <c r="B158" t="n">
        <v>15.6</v>
      </c>
      <c r="C158" t="inlineStr">
        <is>
          <t>6?176</t>
        </is>
      </c>
      <c r="E158">
        <f>IFERROR(MEDIAN(D138:D178),D158)</f>
        <v/>
      </c>
      <c r="F158">
        <f>IF(OR(NOT(ISNUMBER(D158)),ABS(D158-E158)&gt;$O$3),1,0)</f>
        <v/>
      </c>
      <c r="G158">
        <f>IF(F158=1,NA(),D158)</f>
        <v/>
      </c>
      <c r="H158">
        <f>IF(AND(ISNUMBER(D158),D158&gt;=$O$4),1,0)</f>
        <v/>
      </c>
      <c r="I158">
        <f>B158-$O$8</f>
        <v/>
      </c>
    </row>
    <row r="159">
      <c r="A159" t="n">
        <v>471</v>
      </c>
      <c r="B159" t="n">
        <v>15.7</v>
      </c>
      <c r="C159" t="inlineStr">
        <is>
          <t>6?104</t>
        </is>
      </c>
      <c r="E159">
        <f>IFERROR(MEDIAN(D139:D179),D159)</f>
        <v/>
      </c>
      <c r="F159">
        <f>IF(OR(NOT(ISNUMBER(D159)),ABS(D159-E159)&gt;$O$3),1,0)</f>
        <v/>
      </c>
      <c r="G159">
        <f>IF(F159=1,NA(),D159)</f>
        <v/>
      </c>
      <c r="H159">
        <f>IF(AND(ISNUMBER(D159),D159&gt;=$O$4),1,0)</f>
        <v/>
      </c>
      <c r="I159">
        <f>B159-$O$8</f>
        <v/>
      </c>
    </row>
    <row r="160">
      <c r="A160" t="n">
        <v>474</v>
      </c>
      <c r="B160" t="n">
        <v>15.8</v>
      </c>
      <c r="C160" t="inlineStr">
        <is>
          <t>6?195</t>
        </is>
      </c>
      <c r="E160">
        <f>IFERROR(MEDIAN(D140:D180),D160)</f>
        <v/>
      </c>
      <c r="F160">
        <f>IF(OR(NOT(ISNUMBER(D160)),ABS(D160-E160)&gt;$O$3),1,0)</f>
        <v/>
      </c>
      <c r="G160">
        <f>IF(F160=1,NA(),D160)</f>
        <v/>
      </c>
      <c r="H160">
        <f>IF(AND(ISNUMBER(D160),D160&gt;=$O$4),1,0)</f>
        <v/>
      </c>
      <c r="I160">
        <f>B160-$O$8</f>
        <v/>
      </c>
    </row>
    <row r="161">
      <c r="A161" t="n">
        <v>477</v>
      </c>
      <c r="B161" t="n">
        <v>15.9</v>
      </c>
      <c r="C161" t="inlineStr">
        <is>
          <t>6?195</t>
        </is>
      </c>
      <c r="E161">
        <f>IFERROR(MEDIAN(D141:D181),D161)</f>
        <v/>
      </c>
      <c r="F161">
        <f>IF(OR(NOT(ISNUMBER(D161)),ABS(D161-E161)&gt;$O$3),1,0)</f>
        <v/>
      </c>
      <c r="G161">
        <f>IF(F161=1,NA(),D161)</f>
        <v/>
      </c>
      <c r="H161">
        <f>IF(AND(ISNUMBER(D161),D161&gt;=$O$4),1,0)</f>
        <v/>
      </c>
      <c r="I161">
        <f>B161-$O$8</f>
        <v/>
      </c>
    </row>
    <row r="162">
      <c r="A162" t="n">
        <v>480</v>
      </c>
      <c r="B162" t="n">
        <v>16</v>
      </c>
      <c r="C162" t="inlineStr">
        <is>
          <t>6?15</t>
        </is>
      </c>
      <c r="E162">
        <f>IFERROR(MEDIAN(D142:D182),D162)</f>
        <v/>
      </c>
      <c r="F162">
        <f>IF(OR(NOT(ISNUMBER(D162)),ABS(D162-E162)&gt;$O$3),1,0)</f>
        <v/>
      </c>
      <c r="G162">
        <f>IF(F162=1,NA(),D162)</f>
        <v/>
      </c>
      <c r="H162">
        <f>IF(AND(ISNUMBER(D162),D162&gt;=$O$4),1,0)</f>
        <v/>
      </c>
      <c r="I162">
        <f>B162-$O$8</f>
        <v/>
      </c>
    </row>
    <row r="163">
      <c r="A163" t="n">
        <v>483</v>
      </c>
      <c r="B163" t="n">
        <v>16.1</v>
      </c>
      <c r="C163" t="inlineStr">
        <is>
          <t>6?196</t>
        </is>
      </c>
      <c r="E163">
        <f>IFERROR(MEDIAN(D143:D183),D163)</f>
        <v/>
      </c>
      <c r="F163">
        <f>IF(OR(NOT(ISNUMBER(D163)),ABS(D163-E163)&gt;$O$3),1,0)</f>
        <v/>
      </c>
      <c r="G163">
        <f>IF(F163=1,NA(),D163)</f>
        <v/>
      </c>
      <c r="H163">
        <f>IF(AND(ISNUMBER(D163),D163&gt;=$O$4),1,0)</f>
        <v/>
      </c>
      <c r="I163">
        <f>B163-$O$8</f>
        <v/>
      </c>
    </row>
    <row r="164">
      <c r="A164" t="n">
        <v>486</v>
      </c>
      <c r="B164" t="n">
        <v>16.2</v>
      </c>
      <c r="C164" t="inlineStr">
        <is>
          <t>6?195</t>
        </is>
      </c>
      <c r="E164">
        <f>IFERROR(MEDIAN(D144:D184),D164)</f>
        <v/>
      </c>
      <c r="F164">
        <f>IF(OR(NOT(ISNUMBER(D164)),ABS(D164-E164)&gt;$O$3),1,0)</f>
        <v/>
      </c>
      <c r="G164">
        <f>IF(F164=1,NA(),D164)</f>
        <v/>
      </c>
      <c r="H164">
        <f>IF(AND(ISNUMBER(D164),D164&gt;=$O$4),1,0)</f>
        <v/>
      </c>
      <c r="I164">
        <f>B164-$O$8</f>
        <v/>
      </c>
    </row>
    <row r="165">
      <c r="A165" t="n">
        <v>489</v>
      </c>
      <c r="B165" t="n">
        <v>16.3</v>
      </c>
      <c r="C165" t="inlineStr">
        <is>
          <t>6?195</t>
        </is>
      </c>
      <c r="E165">
        <f>IFERROR(MEDIAN(D145:D185),D165)</f>
        <v/>
      </c>
      <c r="F165">
        <f>IF(OR(NOT(ISNUMBER(D165)),ABS(D165-E165)&gt;$O$3),1,0)</f>
        <v/>
      </c>
      <c r="G165">
        <f>IF(F165=1,NA(),D165)</f>
        <v/>
      </c>
      <c r="H165">
        <f>IF(AND(ISNUMBER(D165),D165&gt;=$O$4),1,0)</f>
        <v/>
      </c>
      <c r="I165">
        <f>B165-$O$8</f>
        <v/>
      </c>
    </row>
    <row r="166">
      <c r="A166" t="n">
        <v>492</v>
      </c>
      <c r="B166" t="n">
        <v>16.4</v>
      </c>
      <c r="C166" t="inlineStr">
        <is>
          <t>6200</t>
        </is>
      </c>
      <c r="D166" t="n">
        <v>62</v>
      </c>
      <c r="E166">
        <f>IFERROR(MEDIAN(D146:D186),D166)</f>
        <v/>
      </c>
      <c r="F166">
        <f>IF(OR(NOT(ISNUMBER(D166)),ABS(D166-E166)&gt;$O$3),1,0)</f>
        <v/>
      </c>
      <c r="G166">
        <f>IF(F166=1,NA(),D166)</f>
        <v/>
      </c>
      <c r="H166">
        <f>IF(AND(ISNUMBER(D166),D166&gt;=$O$4),1,0)</f>
        <v/>
      </c>
      <c r="I166">
        <f>B166-$O$8</f>
        <v/>
      </c>
    </row>
    <row r="167">
      <c r="A167" t="n">
        <v>495</v>
      </c>
      <c r="B167" t="n">
        <v>16.5</v>
      </c>
      <c r="C167" t="inlineStr">
        <is>
          <t>6200</t>
        </is>
      </c>
      <c r="D167" t="n">
        <v>62</v>
      </c>
      <c r="E167">
        <f>IFERROR(MEDIAN(D147:D187),D167)</f>
        <v/>
      </c>
      <c r="F167">
        <f>IF(OR(NOT(ISNUMBER(D167)),ABS(D167-E167)&gt;$O$3),1,0)</f>
        <v/>
      </c>
      <c r="G167">
        <f>IF(F167=1,NA(),D167)</f>
        <v/>
      </c>
      <c r="H167">
        <f>IF(AND(ISNUMBER(D167),D167&gt;=$O$4),1,0)</f>
        <v/>
      </c>
      <c r="I167">
        <f>B167-$O$8</f>
        <v/>
      </c>
    </row>
    <row r="168">
      <c r="A168" t="n">
        <v>498</v>
      </c>
      <c r="B168" t="n">
        <v>16.6</v>
      </c>
      <c r="C168" t="inlineStr">
        <is>
          <t>6252</t>
        </is>
      </c>
      <c r="D168" t="n">
        <v>62.52</v>
      </c>
      <c r="E168">
        <f>IFERROR(MEDIAN(D148:D188),D168)</f>
        <v/>
      </c>
      <c r="F168">
        <f>IF(OR(NOT(ISNUMBER(D168)),ABS(D168-E168)&gt;$O$3),1,0)</f>
        <v/>
      </c>
      <c r="G168">
        <f>IF(F168=1,NA(),D168)</f>
        <v/>
      </c>
      <c r="H168">
        <f>IF(AND(ISNUMBER(D168),D168&gt;=$O$4),1,0)</f>
        <v/>
      </c>
      <c r="I168">
        <f>B168-$O$8</f>
        <v/>
      </c>
    </row>
    <row r="169">
      <c r="A169" t="n">
        <v>501</v>
      </c>
      <c r="B169" t="n">
        <v>16.7</v>
      </c>
      <c r="C169" t="inlineStr">
        <is>
          <t>6204</t>
        </is>
      </c>
      <c r="D169" t="n">
        <v>62.04</v>
      </c>
      <c r="E169">
        <f>IFERROR(MEDIAN(D149:D189),D169)</f>
        <v/>
      </c>
      <c r="F169">
        <f>IF(OR(NOT(ISNUMBER(D169)),ABS(D169-E169)&gt;$O$3),1,0)</f>
        <v/>
      </c>
      <c r="G169">
        <f>IF(F169=1,NA(),D169)</f>
        <v/>
      </c>
      <c r="H169">
        <f>IF(AND(ISNUMBER(D169),D169&gt;=$O$4),1,0)</f>
        <v/>
      </c>
      <c r="I169">
        <f>B169-$O$8</f>
        <v/>
      </c>
    </row>
    <row r="170">
      <c r="A170" t="n">
        <v>504</v>
      </c>
      <c r="B170" t="n">
        <v>16.8</v>
      </c>
      <c r="C170" t="inlineStr">
        <is>
          <t>621?</t>
        </is>
      </c>
      <c r="E170">
        <f>IFERROR(MEDIAN(D150:D190),D170)</f>
        <v/>
      </c>
      <c r="F170">
        <f>IF(OR(NOT(ISNUMBER(D170)),ABS(D170-E170)&gt;$O$3),1,0)</f>
        <v/>
      </c>
      <c r="G170">
        <f>IF(F170=1,NA(),D170)</f>
        <v/>
      </c>
      <c r="H170">
        <f>IF(AND(ISNUMBER(D170),D170&gt;=$O$4),1,0)</f>
        <v/>
      </c>
      <c r="I170">
        <f>B170-$O$8</f>
        <v/>
      </c>
    </row>
    <row r="171">
      <c r="A171" t="n">
        <v>507</v>
      </c>
      <c r="B171" t="n">
        <v>16.9</v>
      </c>
      <c r="C171" t="inlineStr">
        <is>
          <t>621?</t>
        </is>
      </c>
      <c r="E171">
        <f>IFERROR(MEDIAN(D151:D191),D171)</f>
        <v/>
      </c>
      <c r="F171">
        <f>IF(OR(NOT(ISNUMBER(D171)),ABS(D171-E171)&gt;$O$3),1,0)</f>
        <v/>
      </c>
      <c r="G171">
        <f>IF(F171=1,NA(),D171)</f>
        <v/>
      </c>
      <c r="H171">
        <f>IF(AND(ISNUMBER(D171),D171&gt;=$O$4),1,0)</f>
        <v/>
      </c>
      <c r="I171">
        <f>B171-$O$8</f>
        <v/>
      </c>
    </row>
    <row r="172">
      <c r="A172" t="n">
        <v>510</v>
      </c>
      <c r="B172" t="n">
        <v>17</v>
      </c>
      <c r="C172" t="inlineStr">
        <is>
          <t>621?</t>
        </is>
      </c>
      <c r="E172">
        <f>IFERROR(MEDIAN(D152:D192),D172)</f>
        <v/>
      </c>
      <c r="F172">
        <f>IF(OR(NOT(ISNUMBER(D172)),ABS(D172-E172)&gt;$O$3),1,0)</f>
        <v/>
      </c>
      <c r="G172">
        <f>IF(F172=1,NA(),D172)</f>
        <v/>
      </c>
      <c r="H172">
        <f>IF(AND(ISNUMBER(D172),D172&gt;=$O$4),1,0)</f>
        <v/>
      </c>
      <c r="I172">
        <f>B172-$O$8</f>
        <v/>
      </c>
    </row>
    <row r="173">
      <c r="A173" t="n">
        <v>513</v>
      </c>
      <c r="B173" t="n">
        <v>17.1</v>
      </c>
      <c r="C173" t="inlineStr">
        <is>
          <t>6??</t>
        </is>
      </c>
      <c r="E173">
        <f>IFERROR(MEDIAN(D153:D193),D173)</f>
        <v/>
      </c>
      <c r="F173">
        <f>IF(OR(NOT(ISNUMBER(D173)),ABS(D173-E173)&gt;$O$3),1,0)</f>
        <v/>
      </c>
      <c r="G173">
        <f>IF(F173=1,NA(),D173)</f>
        <v/>
      </c>
      <c r="H173">
        <f>IF(AND(ISNUMBER(D173),D173&gt;=$O$4),1,0)</f>
        <v/>
      </c>
      <c r="I173">
        <f>B173-$O$8</f>
        <v/>
      </c>
    </row>
    <row r="174">
      <c r="A174" t="n">
        <v>516</v>
      </c>
      <c r="B174" t="n">
        <v>17.2</v>
      </c>
      <c r="C174" t="inlineStr">
        <is>
          <t>?1?</t>
        </is>
      </c>
      <c r="E174">
        <f>IFERROR(MEDIAN(D154:D194),D174)</f>
        <v/>
      </c>
      <c r="F174">
        <f>IF(OR(NOT(ISNUMBER(D174)),ABS(D174-E174)&gt;$O$3),1,0)</f>
        <v/>
      </c>
      <c r="G174">
        <f>IF(F174=1,NA(),D174)</f>
        <v/>
      </c>
      <c r="H174">
        <f>IF(AND(ISNUMBER(D174),D174&gt;=$O$4),1,0)</f>
        <v/>
      </c>
      <c r="I174">
        <f>B174-$O$8</f>
        <v/>
      </c>
    </row>
    <row r="175">
      <c r="A175" t="n">
        <v>519</v>
      </c>
      <c r="B175" t="n">
        <v>17.3</v>
      </c>
      <c r="C175" t="inlineStr">
        <is>
          <t>621?</t>
        </is>
      </c>
      <c r="E175">
        <f>IFERROR(MEDIAN(D155:D195),D175)</f>
        <v/>
      </c>
      <c r="F175">
        <f>IF(OR(NOT(ISNUMBER(D175)),ABS(D175-E175)&gt;$O$3),1,0)</f>
        <v/>
      </c>
      <c r="G175">
        <f>IF(F175=1,NA(),D175)</f>
        <v/>
      </c>
      <c r="H175">
        <f>IF(AND(ISNUMBER(D175),D175&gt;=$O$4),1,0)</f>
        <v/>
      </c>
      <c r="I175">
        <f>B175-$O$8</f>
        <v/>
      </c>
    </row>
    <row r="176">
      <c r="A176" t="n">
        <v>522</v>
      </c>
      <c r="B176" t="n">
        <v>17.4</v>
      </c>
      <c r="C176" t="inlineStr">
        <is>
          <t>?1?</t>
        </is>
      </c>
      <c r="E176">
        <f>IFERROR(MEDIAN(D156:D196),D176)</f>
        <v/>
      </c>
      <c r="F176">
        <f>IF(OR(NOT(ISNUMBER(D176)),ABS(D176-E176)&gt;$O$3),1,0)</f>
        <v/>
      </c>
      <c r="G176">
        <f>IF(F176=1,NA(),D176)</f>
        <v/>
      </c>
      <c r="H176">
        <f>IF(AND(ISNUMBER(D176),D176&gt;=$O$4),1,0)</f>
        <v/>
      </c>
      <c r="I176">
        <f>B176-$O$8</f>
        <v/>
      </c>
    </row>
    <row r="177">
      <c r="A177" t="n">
        <v>525</v>
      </c>
      <c r="B177" t="n">
        <v>17.5</v>
      </c>
      <c r="C177" t="inlineStr">
        <is>
          <t>62??</t>
        </is>
      </c>
      <c r="E177">
        <f>IFERROR(MEDIAN(D157:D197),D177)</f>
        <v/>
      </c>
      <c r="F177">
        <f>IF(OR(NOT(ISNUMBER(D177)),ABS(D177-E177)&gt;$O$3),1,0)</f>
        <v/>
      </c>
      <c r="G177">
        <f>IF(F177=1,NA(),D177)</f>
        <v/>
      </c>
      <c r="H177">
        <f>IF(AND(ISNUMBER(D177),D177&gt;=$O$4),1,0)</f>
        <v/>
      </c>
      <c r="I177">
        <f>B177-$O$8</f>
        <v/>
      </c>
    </row>
    <row r="178">
      <c r="A178" t="n">
        <v>528</v>
      </c>
      <c r="B178" t="n">
        <v>17.6</v>
      </c>
      <c r="C178" t="inlineStr">
        <is>
          <t>?12</t>
        </is>
      </c>
      <c r="E178">
        <f>IFERROR(MEDIAN(D158:D198),D178)</f>
        <v/>
      </c>
      <c r="F178">
        <f>IF(OR(NOT(ISNUMBER(D178)),ABS(D178-E178)&gt;$O$3),1,0)</f>
        <v/>
      </c>
      <c r="G178">
        <f>IF(F178=1,NA(),D178)</f>
        <v/>
      </c>
      <c r="H178">
        <f>IF(AND(ISNUMBER(D178),D178&gt;=$O$4),1,0)</f>
        <v/>
      </c>
      <c r="I178">
        <f>B178-$O$8</f>
        <v/>
      </c>
    </row>
    <row r="179">
      <c r="A179" t="n">
        <v>531</v>
      </c>
      <c r="B179" t="n">
        <v>17.7</v>
      </c>
      <c r="C179" t="inlineStr">
        <is>
          <t>6213</t>
        </is>
      </c>
      <c r="D179" t="n">
        <v>62.13</v>
      </c>
      <c r="E179">
        <f>IFERROR(MEDIAN(D159:D199),D179)</f>
        <v/>
      </c>
      <c r="F179">
        <f>IF(OR(NOT(ISNUMBER(D179)),ABS(D179-E179)&gt;$O$3),1,0)</f>
        <v/>
      </c>
      <c r="G179">
        <f>IF(F179=1,NA(),D179)</f>
        <v/>
      </c>
      <c r="H179">
        <f>IF(AND(ISNUMBER(D179),D179&gt;=$O$4),1,0)</f>
        <v/>
      </c>
      <c r="I179">
        <f>B179-$O$8</f>
        <v/>
      </c>
    </row>
    <row r="180">
      <c r="A180" t="n">
        <v>534</v>
      </c>
      <c r="B180" t="n">
        <v>17.8</v>
      </c>
      <c r="C180" t="inlineStr">
        <is>
          <t>6214</t>
        </is>
      </c>
      <c r="D180" t="n">
        <v>62.14</v>
      </c>
      <c r="E180">
        <f>IFERROR(MEDIAN(D160:D200),D180)</f>
        <v/>
      </c>
      <c r="F180">
        <f>IF(OR(NOT(ISNUMBER(D180)),ABS(D180-E180)&gt;$O$3),1,0)</f>
        <v/>
      </c>
      <c r="G180">
        <f>IF(F180=1,NA(),D180)</f>
        <v/>
      </c>
      <c r="H180">
        <f>IF(AND(ISNUMBER(D180),D180&gt;=$O$4),1,0)</f>
        <v/>
      </c>
      <c r="I180">
        <f>B180-$O$8</f>
        <v/>
      </c>
    </row>
    <row r="181">
      <c r="A181" t="n">
        <v>537</v>
      </c>
      <c r="B181" t="n">
        <v>17.9</v>
      </c>
      <c r="C181" t="inlineStr">
        <is>
          <t>6215</t>
        </is>
      </c>
      <c r="D181" t="n">
        <v>62.15</v>
      </c>
      <c r="E181">
        <f>IFERROR(MEDIAN(D161:D201),D181)</f>
        <v/>
      </c>
      <c r="F181">
        <f>IF(OR(NOT(ISNUMBER(D181)),ABS(D181-E181)&gt;$O$3),1,0)</f>
        <v/>
      </c>
      <c r="G181">
        <f>IF(F181=1,NA(),D181)</f>
        <v/>
      </c>
      <c r="H181">
        <f>IF(AND(ISNUMBER(D181),D181&gt;=$O$4),1,0)</f>
        <v/>
      </c>
      <c r="I181">
        <f>B181-$O$8</f>
        <v/>
      </c>
    </row>
    <row r="182">
      <c r="A182" t="n">
        <v>540</v>
      </c>
      <c r="B182" t="n">
        <v>18</v>
      </c>
      <c r="C182" t="inlineStr">
        <is>
          <t>?16</t>
        </is>
      </c>
      <c r="E182">
        <f>IFERROR(MEDIAN(D162:D202),D182)</f>
        <v/>
      </c>
      <c r="F182">
        <f>IF(OR(NOT(ISNUMBER(D182)),ABS(D182-E182)&gt;$O$3),1,0)</f>
        <v/>
      </c>
      <c r="G182">
        <f>IF(F182=1,NA(),D182)</f>
        <v/>
      </c>
      <c r="H182">
        <f>IF(AND(ISNUMBER(D182),D182&gt;=$O$4),1,0)</f>
        <v/>
      </c>
      <c r="I182">
        <f>B182-$O$8</f>
        <v/>
      </c>
    </row>
    <row r="183">
      <c r="A183" t="n">
        <v>543</v>
      </c>
      <c r="B183" t="n">
        <v>18.1</v>
      </c>
      <c r="C183" t="inlineStr">
        <is>
          <t>6216</t>
        </is>
      </c>
      <c r="D183" t="n">
        <v>62.16</v>
      </c>
      <c r="E183">
        <f>IFERROR(MEDIAN(D163:D203),D183)</f>
        <v/>
      </c>
      <c r="F183">
        <f>IF(OR(NOT(ISNUMBER(D183)),ABS(D183-E183)&gt;$O$3),1,0)</f>
        <v/>
      </c>
      <c r="G183">
        <f>IF(F183=1,NA(),D183)</f>
        <v/>
      </c>
      <c r="H183">
        <f>IF(AND(ISNUMBER(D183),D183&gt;=$O$4),1,0)</f>
        <v/>
      </c>
      <c r="I183">
        <f>B183-$O$8</f>
        <v/>
      </c>
    </row>
    <row r="184">
      <c r="A184" t="n">
        <v>546</v>
      </c>
      <c r="B184" t="n">
        <v>18.2</v>
      </c>
      <c r="C184" t="inlineStr">
        <is>
          <t>621</t>
        </is>
      </c>
      <c r="D184" t="n">
        <v>6.21</v>
      </c>
      <c r="E184">
        <f>IFERROR(MEDIAN(D164:D204),D184)</f>
        <v/>
      </c>
      <c r="F184">
        <f>IF(OR(NOT(ISNUMBER(D184)),ABS(D184-E184)&gt;$O$3),1,0)</f>
        <v/>
      </c>
      <c r="G184">
        <f>IF(F184=1,NA(),D184)</f>
        <v/>
      </c>
      <c r="H184">
        <f>IF(AND(ISNUMBER(D184),D184&gt;=$O$4),1,0)</f>
        <v/>
      </c>
      <c r="I184">
        <f>B184-$O$8</f>
        <v/>
      </c>
    </row>
    <row r="185">
      <c r="A185" t="n">
        <v>549</v>
      </c>
      <c r="B185" t="n">
        <v>18.3</v>
      </c>
      <c r="C185" t="inlineStr">
        <is>
          <t>6216</t>
        </is>
      </c>
      <c r="D185" t="n">
        <v>62.16</v>
      </c>
      <c r="E185">
        <f>IFERROR(MEDIAN(D165:D205),D185)</f>
        <v/>
      </c>
      <c r="F185">
        <f>IF(OR(NOT(ISNUMBER(D185)),ABS(D185-E185)&gt;$O$3),1,0)</f>
        <v/>
      </c>
      <c r="G185">
        <f>IF(F185=1,NA(),D185)</f>
        <v/>
      </c>
      <c r="H185">
        <f>IF(AND(ISNUMBER(D185),D185&gt;=$O$4),1,0)</f>
        <v/>
      </c>
      <c r="I185">
        <f>B185-$O$8</f>
        <v/>
      </c>
    </row>
    <row r="186">
      <c r="A186" t="n">
        <v>552</v>
      </c>
      <c r="B186" t="n">
        <v>18.4</v>
      </c>
      <c r="C186" t="inlineStr">
        <is>
          <t>?16</t>
        </is>
      </c>
      <c r="E186">
        <f>IFERROR(MEDIAN(D166:D206),D186)</f>
        <v/>
      </c>
      <c r="F186">
        <f>IF(OR(NOT(ISNUMBER(D186)),ABS(D186-E186)&gt;$O$3),1,0)</f>
        <v/>
      </c>
      <c r="G186">
        <f>IF(F186=1,NA(),D186)</f>
        <v/>
      </c>
      <c r="H186">
        <f>IF(AND(ISNUMBER(D186),D186&gt;=$O$4),1,0)</f>
        <v/>
      </c>
      <c r="I186">
        <f>B186-$O$8</f>
        <v/>
      </c>
    </row>
    <row r="187">
      <c r="A187" t="n">
        <v>555</v>
      </c>
      <c r="B187" t="n">
        <v>18.5</v>
      </c>
      <c r="C187" t="inlineStr">
        <is>
          <t>6215</t>
        </is>
      </c>
      <c r="D187" t="n">
        <v>62.15</v>
      </c>
      <c r="E187">
        <f>IFERROR(MEDIAN(D167:D207),D187)</f>
        <v/>
      </c>
      <c r="F187">
        <f>IF(OR(NOT(ISNUMBER(D187)),ABS(D187-E187)&gt;$O$3),1,0)</f>
        <v/>
      </c>
      <c r="G187">
        <f>IF(F187=1,NA(),D187)</f>
        <v/>
      </c>
      <c r="H187">
        <f>IF(AND(ISNUMBER(D187),D187&gt;=$O$4),1,0)</f>
        <v/>
      </c>
      <c r="I187">
        <f>B187-$O$8</f>
        <v/>
      </c>
    </row>
    <row r="188">
      <c r="A188" t="n">
        <v>558</v>
      </c>
      <c r="B188" t="n">
        <v>18.6</v>
      </c>
      <c r="C188" t="inlineStr">
        <is>
          <t>6215</t>
        </is>
      </c>
      <c r="D188" t="n">
        <v>62.15</v>
      </c>
      <c r="E188">
        <f>IFERROR(MEDIAN(D168:D208),D188)</f>
        <v/>
      </c>
      <c r="F188">
        <f>IF(OR(NOT(ISNUMBER(D188)),ABS(D188-E188)&gt;$O$3),1,0)</f>
        <v/>
      </c>
      <c r="G188">
        <f>IF(F188=1,NA(),D188)</f>
        <v/>
      </c>
      <c r="H188">
        <f>IF(AND(ISNUMBER(D188),D188&gt;=$O$4),1,0)</f>
        <v/>
      </c>
      <c r="I188">
        <f>B188-$O$8</f>
        <v/>
      </c>
    </row>
    <row r="189">
      <c r="A189" t="n">
        <v>561</v>
      </c>
      <c r="B189" t="n">
        <v>18.7</v>
      </c>
      <c r="C189" t="inlineStr">
        <is>
          <t>6215</t>
        </is>
      </c>
      <c r="D189" t="n">
        <v>62.15</v>
      </c>
      <c r="E189">
        <f>IFERROR(MEDIAN(D169:D209),D189)</f>
        <v/>
      </c>
      <c r="F189">
        <f>IF(OR(NOT(ISNUMBER(D189)),ABS(D189-E189)&gt;$O$3),1,0)</f>
        <v/>
      </c>
      <c r="G189">
        <f>IF(F189=1,NA(),D189)</f>
        <v/>
      </c>
      <c r="H189">
        <f>IF(AND(ISNUMBER(D189),D189&gt;=$O$4),1,0)</f>
        <v/>
      </c>
      <c r="I189">
        <f>B189-$O$8</f>
        <v/>
      </c>
    </row>
    <row r="190">
      <c r="A190" t="n">
        <v>564</v>
      </c>
      <c r="B190" t="n">
        <v>18.8</v>
      </c>
      <c r="C190" t="inlineStr">
        <is>
          <t>6215</t>
        </is>
      </c>
      <c r="D190" t="n">
        <v>62.15</v>
      </c>
      <c r="E190">
        <f>IFERROR(MEDIAN(D170:D210),D190)</f>
        <v/>
      </c>
      <c r="F190">
        <f>IF(OR(NOT(ISNUMBER(D190)),ABS(D190-E190)&gt;$O$3),1,0)</f>
        <v/>
      </c>
      <c r="G190">
        <f>IF(F190=1,NA(),D190)</f>
        <v/>
      </c>
      <c r="H190">
        <f>IF(AND(ISNUMBER(D190),D190&gt;=$O$4),1,0)</f>
        <v/>
      </c>
      <c r="I190">
        <f>B190-$O$8</f>
        <v/>
      </c>
    </row>
    <row r="191">
      <c r="A191" t="n">
        <v>567</v>
      </c>
      <c r="B191" t="n">
        <v>18.9</v>
      </c>
      <c r="C191" t="inlineStr">
        <is>
          <t>625</t>
        </is>
      </c>
      <c r="D191" t="n">
        <v>6.25</v>
      </c>
      <c r="E191">
        <f>IFERROR(MEDIAN(D171:D211),D191)</f>
        <v/>
      </c>
      <c r="F191">
        <f>IF(OR(NOT(ISNUMBER(D191)),ABS(D191-E191)&gt;$O$3),1,0)</f>
        <v/>
      </c>
      <c r="G191">
        <f>IF(F191=1,NA(),D191)</f>
        <v/>
      </c>
      <c r="H191">
        <f>IF(AND(ISNUMBER(D191),D191&gt;=$O$4),1,0)</f>
        <v/>
      </c>
      <c r="I191">
        <f>B191-$O$8</f>
        <v/>
      </c>
    </row>
    <row r="192">
      <c r="A192" t="n">
        <v>570</v>
      </c>
      <c r="B192" t="n">
        <v>19</v>
      </c>
      <c r="C192" t="inlineStr">
        <is>
          <t>62?5</t>
        </is>
      </c>
      <c r="E192">
        <f>IFERROR(MEDIAN(D172:D212),D192)</f>
        <v/>
      </c>
      <c r="F192">
        <f>IF(OR(NOT(ISNUMBER(D192)),ABS(D192-E192)&gt;$O$3),1,0)</f>
        <v/>
      </c>
      <c r="G192">
        <f>IF(F192=1,NA(),D192)</f>
        <v/>
      </c>
      <c r="H192">
        <f>IF(AND(ISNUMBER(D192),D192&gt;=$O$4),1,0)</f>
        <v/>
      </c>
      <c r="I192">
        <f>B192-$O$8</f>
        <v/>
      </c>
    </row>
    <row r="193">
      <c r="A193" t="n">
        <v>573</v>
      </c>
      <c r="B193" t="n">
        <v>19.1</v>
      </c>
      <c r="C193" t="inlineStr">
        <is>
          <t>62?5</t>
        </is>
      </c>
      <c r="E193">
        <f>IFERROR(MEDIAN(D173:D213),D193)</f>
        <v/>
      </c>
      <c r="F193">
        <f>IF(OR(NOT(ISNUMBER(D193)),ABS(D193-E193)&gt;$O$3),1,0)</f>
        <v/>
      </c>
      <c r="G193">
        <f>IF(F193=1,NA(),D193)</f>
        <v/>
      </c>
      <c r="H193">
        <f>IF(AND(ISNUMBER(D193),D193&gt;=$O$4),1,0)</f>
        <v/>
      </c>
      <c r="I193">
        <f>B193-$O$8</f>
        <v/>
      </c>
    </row>
    <row r="194">
      <c r="A194" t="n">
        <v>576</v>
      </c>
      <c r="B194" t="n">
        <v>19.2</v>
      </c>
      <c r="C194" t="inlineStr">
        <is>
          <t>62?5</t>
        </is>
      </c>
      <c r="E194">
        <f>IFERROR(MEDIAN(D174:D214),D194)</f>
        <v/>
      </c>
      <c r="F194">
        <f>IF(OR(NOT(ISNUMBER(D194)),ABS(D194-E194)&gt;$O$3),1,0)</f>
        <v/>
      </c>
      <c r="G194">
        <f>IF(F194=1,NA(),D194)</f>
        <v/>
      </c>
      <c r="H194">
        <f>IF(AND(ISNUMBER(D194),D194&gt;=$O$4),1,0)</f>
        <v/>
      </c>
      <c r="I194">
        <f>B194-$O$8</f>
        <v/>
      </c>
    </row>
    <row r="195">
      <c r="A195" t="n">
        <v>579</v>
      </c>
      <c r="B195" t="n">
        <v>19.3</v>
      </c>
      <c r="C195" t="inlineStr">
        <is>
          <t>62??</t>
        </is>
      </c>
      <c r="E195">
        <f>IFERROR(MEDIAN(D175:D215),D195)</f>
        <v/>
      </c>
      <c r="F195">
        <f>IF(OR(NOT(ISNUMBER(D195)),ABS(D195-E195)&gt;$O$3),1,0)</f>
        <v/>
      </c>
      <c r="G195">
        <f>IF(F195=1,NA(),D195)</f>
        <v/>
      </c>
      <c r="H195">
        <f>IF(AND(ISNUMBER(D195),D195&gt;=$O$4),1,0)</f>
        <v/>
      </c>
      <c r="I195">
        <f>B195-$O$8</f>
        <v/>
      </c>
    </row>
    <row r="196">
      <c r="A196" t="n">
        <v>582</v>
      </c>
      <c r="B196" t="n">
        <v>19.4</v>
      </c>
      <c r="C196" t="inlineStr">
        <is>
          <t>???</t>
        </is>
      </c>
      <c r="E196">
        <f>IFERROR(MEDIAN(D176:D216),D196)</f>
        <v/>
      </c>
      <c r="F196">
        <f>IF(OR(NOT(ISNUMBER(D196)),ABS(D196-E196)&gt;$O$3),1,0)</f>
        <v/>
      </c>
      <c r="G196">
        <f>IF(F196=1,NA(),D196)</f>
        <v/>
      </c>
      <c r="H196">
        <f>IF(AND(ISNUMBER(D196),D196&gt;=$O$4),1,0)</f>
        <v/>
      </c>
      <c r="I196">
        <f>B196-$O$8</f>
        <v/>
      </c>
    </row>
    <row r="197">
      <c r="A197" t="n">
        <v>585</v>
      </c>
      <c r="B197" t="n">
        <v>19.5</v>
      </c>
      <c r="C197" t="inlineStr">
        <is>
          <t>62?3</t>
        </is>
      </c>
      <c r="E197">
        <f>IFERROR(MEDIAN(D177:D217),D197)</f>
        <v/>
      </c>
      <c r="F197">
        <f>IF(OR(NOT(ISNUMBER(D197)),ABS(D197-E197)&gt;$O$3),1,0)</f>
        <v/>
      </c>
      <c r="G197">
        <f>IF(F197=1,NA(),D197)</f>
        <v/>
      </c>
      <c r="H197">
        <f>IF(AND(ISNUMBER(D197),D197&gt;=$O$4),1,0)</f>
        <v/>
      </c>
      <c r="I197">
        <f>B197-$O$8</f>
        <v/>
      </c>
    </row>
    <row r="198">
      <c r="A198" t="n">
        <v>588</v>
      </c>
      <c r="B198" t="n">
        <v>19.6</v>
      </c>
      <c r="C198" t="inlineStr">
        <is>
          <t>62?3</t>
        </is>
      </c>
      <c r="E198">
        <f>IFERROR(MEDIAN(D178:D218),D198)</f>
        <v/>
      </c>
      <c r="F198">
        <f>IF(OR(NOT(ISNUMBER(D198)),ABS(D198-E198)&gt;$O$3),1,0)</f>
        <v/>
      </c>
      <c r="G198">
        <f>IF(F198=1,NA(),D198)</f>
        <v/>
      </c>
      <c r="H198">
        <f>IF(AND(ISNUMBER(D198),D198&gt;=$O$4),1,0)</f>
        <v/>
      </c>
      <c r="I198">
        <f>B198-$O$8</f>
        <v/>
      </c>
    </row>
    <row r="199">
      <c r="A199" t="n">
        <v>591</v>
      </c>
      <c r="B199" t="n">
        <v>19.7</v>
      </c>
      <c r="C199" t="inlineStr">
        <is>
          <t>62?3</t>
        </is>
      </c>
      <c r="E199">
        <f>IFERROR(MEDIAN(D179:D219),D199)</f>
        <v/>
      </c>
      <c r="F199">
        <f>IF(OR(NOT(ISNUMBER(D199)),ABS(D199-E199)&gt;$O$3),1,0)</f>
        <v/>
      </c>
      <c r="G199">
        <f>IF(F199=1,NA(),D199)</f>
        <v/>
      </c>
      <c r="H199">
        <f>IF(AND(ISNUMBER(D199),D199&gt;=$O$4),1,0)</f>
        <v/>
      </c>
      <c r="I199">
        <f>B199-$O$8</f>
        <v/>
      </c>
    </row>
    <row r="200">
      <c r="A200" t="n">
        <v>594</v>
      </c>
      <c r="B200" t="n">
        <v>19.8</v>
      </c>
      <c r="C200" t="inlineStr">
        <is>
          <t>62?4</t>
        </is>
      </c>
      <c r="E200">
        <f>IFERROR(MEDIAN(D180:D220),D200)</f>
        <v/>
      </c>
      <c r="F200">
        <f>IF(OR(NOT(ISNUMBER(D200)),ABS(D200-E200)&gt;$O$3),1,0)</f>
        <v/>
      </c>
      <c r="G200">
        <f>IF(F200=1,NA(),D200)</f>
        <v/>
      </c>
      <c r="H200">
        <f>IF(AND(ISNUMBER(D200),D200&gt;=$O$4),1,0)</f>
        <v/>
      </c>
      <c r="I200">
        <f>B200-$O$8</f>
        <v/>
      </c>
    </row>
    <row r="201">
      <c r="A201" t="n">
        <v>597</v>
      </c>
      <c r="B201" t="n">
        <v>19.9</v>
      </c>
      <c r="C201" t="inlineStr">
        <is>
          <t>62?4</t>
        </is>
      </c>
      <c r="E201">
        <f>IFERROR(MEDIAN(D181:D221),D201)</f>
        <v/>
      </c>
      <c r="F201">
        <f>IF(OR(NOT(ISNUMBER(D201)),ABS(D201-E201)&gt;$O$3),1,0)</f>
        <v/>
      </c>
      <c r="G201">
        <f>IF(F201=1,NA(),D201)</f>
        <v/>
      </c>
      <c r="H201">
        <f>IF(AND(ISNUMBER(D201),D201&gt;=$O$4),1,0)</f>
        <v/>
      </c>
      <c r="I201">
        <f>B201-$O$8</f>
        <v/>
      </c>
    </row>
    <row r="202">
      <c r="A202" t="n">
        <v>600</v>
      </c>
      <c r="B202" t="n">
        <v>20</v>
      </c>
      <c r="C202" t="inlineStr">
        <is>
          <t>62?5</t>
        </is>
      </c>
      <c r="E202">
        <f>IFERROR(MEDIAN(D182:D222),D202)</f>
        <v/>
      </c>
      <c r="F202">
        <f>IF(OR(NOT(ISNUMBER(D202)),ABS(D202-E202)&gt;$O$3),1,0)</f>
        <v/>
      </c>
      <c r="G202">
        <f>IF(F202=1,NA(),D202)</f>
        <v/>
      </c>
      <c r="H202">
        <f>IF(AND(ISNUMBER(D202),D202&gt;=$O$4),1,0)</f>
        <v/>
      </c>
      <c r="I202">
        <f>B202-$O$8</f>
        <v/>
      </c>
    </row>
    <row r="203">
      <c r="A203" t="n">
        <v>603</v>
      </c>
      <c r="B203" t="n">
        <v>20.1</v>
      </c>
      <c r="C203" t="inlineStr">
        <is>
          <t>62?5</t>
        </is>
      </c>
      <c r="E203">
        <f>IFERROR(MEDIAN(D183:D223),D203)</f>
        <v/>
      </c>
      <c r="F203">
        <f>IF(OR(NOT(ISNUMBER(D203)),ABS(D203-E203)&gt;$O$3),1,0)</f>
        <v/>
      </c>
      <c r="G203">
        <f>IF(F203=1,NA(),D203)</f>
        <v/>
      </c>
      <c r="H203">
        <f>IF(AND(ISNUMBER(D203),D203&gt;=$O$4),1,0)</f>
        <v/>
      </c>
      <c r="I203">
        <f>B203-$O$8</f>
        <v/>
      </c>
    </row>
    <row r="204">
      <c r="A204" t="n">
        <v>606</v>
      </c>
      <c r="B204" t="n">
        <v>20.2</v>
      </c>
      <c r="C204" t="inlineStr">
        <is>
          <t>62?5</t>
        </is>
      </c>
      <c r="E204">
        <f>IFERROR(MEDIAN(D184:D224),D204)</f>
        <v/>
      </c>
      <c r="F204">
        <f>IF(OR(NOT(ISNUMBER(D204)),ABS(D204-E204)&gt;$O$3),1,0)</f>
        <v/>
      </c>
      <c r="G204">
        <f>IF(F204=1,NA(),D204)</f>
        <v/>
      </c>
      <c r="H204">
        <f>IF(AND(ISNUMBER(D204),D204&gt;=$O$4),1,0)</f>
        <v/>
      </c>
      <c r="I204">
        <f>B204-$O$8</f>
        <v/>
      </c>
    </row>
    <row r="205">
      <c r="A205" t="n">
        <v>609</v>
      </c>
      <c r="B205" t="n">
        <v>20.3</v>
      </c>
      <c r="C205" t="inlineStr">
        <is>
          <t>62??</t>
        </is>
      </c>
      <c r="E205">
        <f>IFERROR(MEDIAN(D185:D225),D205)</f>
        <v/>
      </c>
      <c r="F205">
        <f>IF(OR(NOT(ISNUMBER(D205)),ABS(D205-E205)&gt;$O$3),1,0)</f>
        <v/>
      </c>
      <c r="G205">
        <f>IF(F205=1,NA(),D205)</f>
        <v/>
      </c>
      <c r="H205">
        <f>IF(AND(ISNUMBER(D205),D205&gt;=$O$4),1,0)</f>
        <v/>
      </c>
      <c r="I205">
        <f>B205-$O$8</f>
        <v/>
      </c>
    </row>
    <row r="206">
      <c r="A206" t="n">
        <v>612</v>
      </c>
      <c r="B206" t="n">
        <v>20.4</v>
      </c>
      <c r="C206" t="inlineStr">
        <is>
          <t>62?7</t>
        </is>
      </c>
      <c r="E206">
        <f>IFERROR(MEDIAN(D186:D226),D206)</f>
        <v/>
      </c>
      <c r="F206">
        <f>IF(OR(NOT(ISNUMBER(D206)),ABS(D206-E206)&gt;$O$3),1,0)</f>
        <v/>
      </c>
      <c r="G206">
        <f>IF(F206=1,NA(),D206)</f>
        <v/>
      </c>
      <c r="H206">
        <f>IF(AND(ISNUMBER(D206),D206&gt;=$O$4),1,0)</f>
        <v/>
      </c>
      <c r="I206">
        <f>B206-$O$8</f>
        <v/>
      </c>
    </row>
    <row r="207">
      <c r="A207" t="n">
        <v>615</v>
      </c>
      <c r="B207" t="n">
        <v>20.5</v>
      </c>
      <c r="C207" t="inlineStr">
        <is>
          <t>62?5</t>
        </is>
      </c>
      <c r="E207">
        <f>IFERROR(MEDIAN(D187:D227),D207)</f>
        <v/>
      </c>
      <c r="F207">
        <f>IF(OR(NOT(ISNUMBER(D207)),ABS(D207-E207)&gt;$O$3),1,0)</f>
        <v/>
      </c>
      <c r="G207">
        <f>IF(F207=1,NA(),D207)</f>
        <v/>
      </c>
      <c r="H207">
        <f>IF(AND(ISNUMBER(D207),D207&gt;=$O$4),1,0)</f>
        <v/>
      </c>
      <c r="I207">
        <f>B207-$O$8</f>
        <v/>
      </c>
    </row>
    <row r="208">
      <c r="A208" t="n">
        <v>618</v>
      </c>
      <c r="B208" t="n">
        <v>20.6</v>
      </c>
      <c r="C208" t="inlineStr">
        <is>
          <t>62?5</t>
        </is>
      </c>
      <c r="E208">
        <f>IFERROR(MEDIAN(D188:D228),D208)</f>
        <v/>
      </c>
      <c r="F208">
        <f>IF(OR(NOT(ISNUMBER(D208)),ABS(D208-E208)&gt;$O$3),1,0)</f>
        <v/>
      </c>
      <c r="G208">
        <f>IF(F208=1,NA(),D208)</f>
        <v/>
      </c>
      <c r="H208">
        <f>IF(AND(ISNUMBER(D208),D208&gt;=$O$4),1,0)</f>
        <v/>
      </c>
      <c r="I208">
        <f>B208-$O$8</f>
        <v/>
      </c>
    </row>
    <row r="209">
      <c r="A209" t="n">
        <v>621</v>
      </c>
      <c r="B209" t="n">
        <v>20.7</v>
      </c>
      <c r="C209" t="inlineStr">
        <is>
          <t>62?</t>
        </is>
      </c>
      <c r="E209">
        <f>IFERROR(MEDIAN(D189:D229),D209)</f>
        <v/>
      </c>
      <c r="F209">
        <f>IF(OR(NOT(ISNUMBER(D209)),ABS(D209-E209)&gt;$O$3),1,0)</f>
        <v/>
      </c>
      <c r="G209">
        <f>IF(F209=1,NA(),D209)</f>
        <v/>
      </c>
      <c r="H209">
        <f>IF(AND(ISNUMBER(D209),D209&gt;=$O$4),1,0)</f>
        <v/>
      </c>
      <c r="I209">
        <f>B209-$O$8</f>
        <v/>
      </c>
    </row>
    <row r="210">
      <c r="A210" t="n">
        <v>624</v>
      </c>
      <c r="B210" t="n">
        <v>20.8</v>
      </c>
      <c r="C210" t="inlineStr">
        <is>
          <t>62?7</t>
        </is>
      </c>
      <c r="E210">
        <f>IFERROR(MEDIAN(D190:D230),D210)</f>
        <v/>
      </c>
      <c r="F210">
        <f>IF(OR(NOT(ISNUMBER(D210)),ABS(D210-E210)&gt;$O$3),1,0)</f>
        <v/>
      </c>
      <c r="G210">
        <f>IF(F210=1,NA(),D210)</f>
        <v/>
      </c>
      <c r="H210">
        <f>IF(AND(ISNUMBER(D210),D210&gt;=$O$4),1,0)</f>
        <v/>
      </c>
      <c r="I210">
        <f>B210-$O$8</f>
        <v/>
      </c>
    </row>
    <row r="211">
      <c r="A211" t="n">
        <v>627</v>
      </c>
      <c r="B211" t="n">
        <v>20.9</v>
      </c>
      <c r="C211" t="inlineStr">
        <is>
          <t>62?7</t>
        </is>
      </c>
      <c r="E211">
        <f>IFERROR(MEDIAN(D191:D231),D211)</f>
        <v/>
      </c>
      <c r="F211">
        <f>IF(OR(NOT(ISNUMBER(D211)),ABS(D211-E211)&gt;$O$3),1,0)</f>
        <v/>
      </c>
      <c r="G211">
        <f>IF(F211=1,NA(),D211)</f>
        <v/>
      </c>
      <c r="H211">
        <f>IF(AND(ISNUMBER(D211),D211&gt;=$O$4),1,0)</f>
        <v/>
      </c>
      <c r="I211">
        <f>B211-$O$8</f>
        <v/>
      </c>
    </row>
    <row r="212">
      <c r="A212" t="n">
        <v>630</v>
      </c>
      <c r="B212" t="n">
        <v>21</v>
      </c>
      <c r="C212" t="inlineStr">
        <is>
          <t>62?5</t>
        </is>
      </c>
      <c r="E212">
        <f>IFERROR(MEDIAN(D192:D232),D212)</f>
        <v/>
      </c>
      <c r="F212">
        <f>IF(OR(NOT(ISNUMBER(D212)),ABS(D212-E212)&gt;$O$3),1,0)</f>
        <v/>
      </c>
      <c r="G212">
        <f>IF(F212=1,NA(),D212)</f>
        <v/>
      </c>
      <c r="H212">
        <f>IF(AND(ISNUMBER(D212),D212&gt;=$O$4),1,0)</f>
        <v/>
      </c>
      <c r="I212">
        <f>B212-$O$8</f>
        <v/>
      </c>
    </row>
    <row r="213">
      <c r="A213" t="n">
        <v>633</v>
      </c>
      <c r="B213" t="n">
        <v>21.1</v>
      </c>
      <c r="C213" t="inlineStr">
        <is>
          <t>6??5</t>
        </is>
      </c>
      <c r="E213">
        <f>IFERROR(MEDIAN(D193:D233),D213)</f>
        <v/>
      </c>
      <c r="F213">
        <f>IF(OR(NOT(ISNUMBER(D213)),ABS(D213-E213)&gt;$O$3),1,0)</f>
        <v/>
      </c>
      <c r="G213">
        <f>IF(F213=1,NA(),D213)</f>
        <v/>
      </c>
      <c r="H213">
        <f>IF(AND(ISNUMBER(D213),D213&gt;=$O$4),1,0)</f>
        <v/>
      </c>
      <c r="I213">
        <f>B213-$O$8</f>
        <v/>
      </c>
    </row>
    <row r="214">
      <c r="A214" t="n">
        <v>636</v>
      </c>
      <c r="B214" t="n">
        <v>21.2</v>
      </c>
      <c r="C214" t="inlineStr">
        <is>
          <t>62?5</t>
        </is>
      </c>
      <c r="E214">
        <f>IFERROR(MEDIAN(D194:D234),D214)</f>
        <v/>
      </c>
      <c r="F214">
        <f>IF(OR(NOT(ISNUMBER(D214)),ABS(D214-E214)&gt;$O$3),1,0)</f>
        <v/>
      </c>
      <c r="G214">
        <f>IF(F214=1,NA(),D214)</f>
        <v/>
      </c>
      <c r="H214">
        <f>IF(AND(ISNUMBER(D214),D214&gt;=$O$4),1,0)</f>
        <v/>
      </c>
      <c r="I214">
        <f>B214-$O$8</f>
        <v/>
      </c>
    </row>
    <row r="215">
      <c r="A215" t="n">
        <v>639</v>
      </c>
      <c r="B215" t="n">
        <v>21.3</v>
      </c>
      <c r="C215" t="inlineStr">
        <is>
          <t>62?5</t>
        </is>
      </c>
      <c r="E215">
        <f>IFERROR(MEDIAN(D195:D235),D215)</f>
        <v/>
      </c>
      <c r="F215">
        <f>IF(OR(NOT(ISNUMBER(D215)),ABS(D215-E215)&gt;$O$3),1,0)</f>
        <v/>
      </c>
      <c r="G215">
        <f>IF(F215=1,NA(),D215)</f>
        <v/>
      </c>
      <c r="H215">
        <f>IF(AND(ISNUMBER(D215),D215&gt;=$O$4),1,0)</f>
        <v/>
      </c>
      <c r="I215">
        <f>B215-$O$8</f>
        <v/>
      </c>
    </row>
    <row r="216">
      <c r="A216" t="n">
        <v>642</v>
      </c>
      <c r="B216" t="n">
        <v>21.4</v>
      </c>
      <c r="C216" t="inlineStr">
        <is>
          <t>62?5</t>
        </is>
      </c>
      <c r="E216">
        <f>IFERROR(MEDIAN(D196:D236),D216)</f>
        <v/>
      </c>
      <c r="F216">
        <f>IF(OR(NOT(ISNUMBER(D216)),ABS(D216-E216)&gt;$O$3),1,0)</f>
        <v/>
      </c>
      <c r="G216">
        <f>IF(F216=1,NA(),D216)</f>
        <v/>
      </c>
      <c r="H216">
        <f>IF(AND(ISNUMBER(D216),D216&gt;=$O$4),1,0)</f>
        <v/>
      </c>
      <c r="I216">
        <f>B216-$O$8</f>
        <v/>
      </c>
    </row>
    <row r="217">
      <c r="A217" t="n">
        <v>645</v>
      </c>
      <c r="B217" t="n">
        <v>21.5</v>
      </c>
      <c r="C217" t="inlineStr">
        <is>
          <t>62?5</t>
        </is>
      </c>
      <c r="E217">
        <f>IFERROR(MEDIAN(D197:D237),D217)</f>
        <v/>
      </c>
      <c r="F217">
        <f>IF(OR(NOT(ISNUMBER(D217)),ABS(D217-E217)&gt;$O$3),1,0)</f>
        <v/>
      </c>
      <c r="G217">
        <f>IF(F217=1,NA(),D217)</f>
        <v/>
      </c>
      <c r="H217">
        <f>IF(AND(ISNUMBER(D217),D217&gt;=$O$4),1,0)</f>
        <v/>
      </c>
      <c r="I217">
        <f>B217-$O$8</f>
        <v/>
      </c>
    </row>
    <row r="218">
      <c r="A218" t="n">
        <v>648</v>
      </c>
      <c r="B218" t="n">
        <v>21.6</v>
      </c>
      <c r="C218" t="inlineStr">
        <is>
          <t>6??5</t>
        </is>
      </c>
      <c r="E218">
        <f>IFERROR(MEDIAN(D198:D238),D218)</f>
        <v/>
      </c>
      <c r="F218">
        <f>IF(OR(NOT(ISNUMBER(D218)),ABS(D218-E218)&gt;$O$3),1,0)</f>
        <v/>
      </c>
      <c r="G218">
        <f>IF(F218=1,NA(),D218)</f>
        <v/>
      </c>
      <c r="H218">
        <f>IF(AND(ISNUMBER(D218),D218&gt;=$O$4),1,0)</f>
        <v/>
      </c>
      <c r="I218">
        <f>B218-$O$8</f>
        <v/>
      </c>
    </row>
    <row r="219">
      <c r="A219" t="n">
        <v>651</v>
      </c>
      <c r="B219" t="n">
        <v>21.7</v>
      </c>
      <c r="C219" t="inlineStr">
        <is>
          <t>62?5</t>
        </is>
      </c>
      <c r="E219">
        <f>IFERROR(MEDIAN(D199:D239),D219)</f>
        <v/>
      </c>
      <c r="F219">
        <f>IF(OR(NOT(ISNUMBER(D219)),ABS(D219-E219)&gt;$O$3),1,0)</f>
        <v/>
      </c>
      <c r="G219">
        <f>IF(F219=1,NA(),D219)</f>
        <v/>
      </c>
      <c r="H219">
        <f>IF(AND(ISNUMBER(D219),D219&gt;=$O$4),1,0)</f>
        <v/>
      </c>
      <c r="I219">
        <f>B219-$O$8</f>
        <v/>
      </c>
    </row>
    <row r="220">
      <c r="A220" t="n">
        <v>654</v>
      </c>
      <c r="B220" t="n">
        <v>21.8</v>
      </c>
      <c r="C220" t="inlineStr">
        <is>
          <t>6??5</t>
        </is>
      </c>
      <c r="E220">
        <f>IFERROR(MEDIAN(D200:D240),D220)</f>
        <v/>
      </c>
      <c r="F220">
        <f>IF(OR(NOT(ISNUMBER(D220)),ABS(D220-E220)&gt;$O$3),1,0)</f>
        <v/>
      </c>
      <c r="G220">
        <f>IF(F220=1,NA(),D220)</f>
        <v/>
      </c>
      <c r="H220">
        <f>IF(AND(ISNUMBER(D220),D220&gt;=$O$4),1,0)</f>
        <v/>
      </c>
      <c r="I220">
        <f>B220-$O$8</f>
        <v/>
      </c>
    </row>
    <row r="221">
      <c r="A221" t="n">
        <v>657</v>
      </c>
      <c r="B221" t="n">
        <v>21.9</v>
      </c>
      <c r="C221" t="inlineStr">
        <is>
          <t>62?5</t>
        </is>
      </c>
      <c r="E221">
        <f>IFERROR(MEDIAN(D201:D241),D221)</f>
        <v/>
      </c>
      <c r="F221">
        <f>IF(OR(NOT(ISNUMBER(D221)),ABS(D221-E221)&gt;$O$3),1,0)</f>
        <v/>
      </c>
      <c r="G221">
        <f>IF(F221=1,NA(),D221)</f>
        <v/>
      </c>
      <c r="H221">
        <f>IF(AND(ISNUMBER(D221),D221&gt;=$O$4),1,0)</f>
        <v/>
      </c>
      <c r="I221">
        <f>B221-$O$8</f>
        <v/>
      </c>
    </row>
    <row r="222">
      <c r="A222" t="n">
        <v>660</v>
      </c>
      <c r="B222" t="n">
        <v>22</v>
      </c>
      <c r="C222" t="inlineStr">
        <is>
          <t>62?5</t>
        </is>
      </c>
      <c r="E222">
        <f>IFERROR(MEDIAN(D202:D242),D222)</f>
        <v/>
      </c>
      <c r="F222">
        <f>IF(OR(NOT(ISNUMBER(D222)),ABS(D222-E222)&gt;$O$3),1,0)</f>
        <v/>
      </c>
      <c r="G222">
        <f>IF(F222=1,NA(),D222)</f>
        <v/>
      </c>
      <c r="H222">
        <f>IF(AND(ISNUMBER(D222),D222&gt;=$O$4),1,0)</f>
        <v/>
      </c>
      <c r="I222">
        <f>B222-$O$8</f>
        <v/>
      </c>
    </row>
    <row r="223">
      <c r="A223" t="n">
        <v>663</v>
      </c>
      <c r="B223" t="n">
        <v>22.1</v>
      </c>
      <c r="C223" t="inlineStr">
        <is>
          <t>62?5</t>
        </is>
      </c>
      <c r="E223">
        <f>IFERROR(MEDIAN(D203:D243),D223)</f>
        <v/>
      </c>
      <c r="F223">
        <f>IF(OR(NOT(ISNUMBER(D223)),ABS(D223-E223)&gt;$O$3),1,0)</f>
        <v/>
      </c>
      <c r="G223">
        <f>IF(F223=1,NA(),D223)</f>
        <v/>
      </c>
      <c r="H223">
        <f>IF(AND(ISNUMBER(D223),D223&gt;=$O$4),1,0)</f>
        <v/>
      </c>
      <c r="I223">
        <f>B223-$O$8</f>
        <v/>
      </c>
    </row>
    <row r="224">
      <c r="A224" t="n">
        <v>666</v>
      </c>
      <c r="B224" t="n">
        <v>22.2</v>
      </c>
      <c r="C224" t="inlineStr">
        <is>
          <t>62?5</t>
        </is>
      </c>
      <c r="E224">
        <f>IFERROR(MEDIAN(D204:D244),D224)</f>
        <v/>
      </c>
      <c r="F224">
        <f>IF(OR(NOT(ISNUMBER(D224)),ABS(D224-E224)&gt;$O$3),1,0)</f>
        <v/>
      </c>
      <c r="G224">
        <f>IF(F224=1,NA(),D224)</f>
        <v/>
      </c>
      <c r="H224">
        <f>IF(AND(ISNUMBER(D224),D224&gt;=$O$4),1,0)</f>
        <v/>
      </c>
      <c r="I224">
        <f>B224-$O$8</f>
        <v/>
      </c>
    </row>
    <row r="225">
      <c r="A225" t="n">
        <v>669</v>
      </c>
      <c r="B225" t="n">
        <v>22.3</v>
      </c>
      <c r="C225" t="inlineStr">
        <is>
          <t>62?5</t>
        </is>
      </c>
      <c r="E225">
        <f>IFERROR(MEDIAN(D205:D245),D225)</f>
        <v/>
      </c>
      <c r="F225">
        <f>IF(OR(NOT(ISNUMBER(D225)),ABS(D225-E225)&gt;$O$3),1,0)</f>
        <v/>
      </c>
      <c r="G225">
        <f>IF(F225=1,NA(),D225)</f>
        <v/>
      </c>
      <c r="H225">
        <f>IF(AND(ISNUMBER(D225),D225&gt;=$O$4),1,0)</f>
        <v/>
      </c>
      <c r="I225">
        <f>B225-$O$8</f>
        <v/>
      </c>
    </row>
    <row r="226">
      <c r="A226" t="n">
        <v>672</v>
      </c>
      <c r="B226" t="n">
        <v>22.4</v>
      </c>
      <c r="C226" t="inlineStr">
        <is>
          <t>62?5</t>
        </is>
      </c>
      <c r="E226">
        <f>IFERROR(MEDIAN(D206:D246),D226)</f>
        <v/>
      </c>
      <c r="F226">
        <f>IF(OR(NOT(ISNUMBER(D226)),ABS(D226-E226)&gt;$O$3),1,0)</f>
        <v/>
      </c>
      <c r="G226">
        <f>IF(F226=1,NA(),D226)</f>
        <v/>
      </c>
      <c r="H226">
        <f>IF(AND(ISNUMBER(D226),D226&gt;=$O$4),1,0)</f>
        <v/>
      </c>
      <c r="I226">
        <f>B226-$O$8</f>
        <v/>
      </c>
    </row>
    <row r="227">
      <c r="A227" t="n">
        <v>675</v>
      </c>
      <c r="B227" t="n">
        <v>22.5</v>
      </c>
      <c r="C227" t="inlineStr">
        <is>
          <t>62?5</t>
        </is>
      </c>
      <c r="E227">
        <f>IFERROR(MEDIAN(D207:D247),D227)</f>
        <v/>
      </c>
      <c r="F227">
        <f>IF(OR(NOT(ISNUMBER(D227)),ABS(D227-E227)&gt;$O$3),1,0)</f>
        <v/>
      </c>
      <c r="G227">
        <f>IF(F227=1,NA(),D227)</f>
        <v/>
      </c>
      <c r="H227">
        <f>IF(AND(ISNUMBER(D227),D227&gt;=$O$4),1,0)</f>
        <v/>
      </c>
      <c r="I227">
        <f>B227-$O$8</f>
        <v/>
      </c>
    </row>
    <row r="228">
      <c r="A228" t="n">
        <v>678</v>
      </c>
      <c r="B228" t="n">
        <v>22.6</v>
      </c>
      <c r="C228" t="inlineStr">
        <is>
          <t>62?5</t>
        </is>
      </c>
      <c r="E228">
        <f>IFERROR(MEDIAN(D208:D248),D228)</f>
        <v/>
      </c>
      <c r="F228">
        <f>IF(OR(NOT(ISNUMBER(D228)),ABS(D228-E228)&gt;$O$3),1,0)</f>
        <v/>
      </c>
      <c r="G228">
        <f>IF(F228=1,NA(),D228)</f>
        <v/>
      </c>
      <c r="H228">
        <f>IF(AND(ISNUMBER(D228),D228&gt;=$O$4),1,0)</f>
        <v/>
      </c>
      <c r="I228">
        <f>B228-$O$8</f>
        <v/>
      </c>
    </row>
    <row r="229">
      <c r="A229" t="n">
        <v>681</v>
      </c>
      <c r="B229" t="n">
        <v>22.7</v>
      </c>
      <c r="C229" t="inlineStr">
        <is>
          <t>62?5</t>
        </is>
      </c>
      <c r="E229">
        <f>IFERROR(MEDIAN(D209:D249),D229)</f>
        <v/>
      </c>
      <c r="F229">
        <f>IF(OR(NOT(ISNUMBER(D229)),ABS(D229-E229)&gt;$O$3),1,0)</f>
        <v/>
      </c>
      <c r="G229">
        <f>IF(F229=1,NA(),D229)</f>
        <v/>
      </c>
      <c r="H229">
        <f>IF(AND(ISNUMBER(D229),D229&gt;=$O$4),1,0)</f>
        <v/>
      </c>
      <c r="I229">
        <f>B229-$O$8</f>
        <v/>
      </c>
    </row>
    <row r="230">
      <c r="A230" t="n">
        <v>684</v>
      </c>
      <c r="B230" t="n">
        <v>22.8</v>
      </c>
      <c r="C230" t="inlineStr">
        <is>
          <t>62?5</t>
        </is>
      </c>
      <c r="E230">
        <f>IFERROR(MEDIAN(D210:D250),D230)</f>
        <v/>
      </c>
      <c r="F230">
        <f>IF(OR(NOT(ISNUMBER(D230)),ABS(D230-E230)&gt;$O$3),1,0)</f>
        <v/>
      </c>
      <c r="G230">
        <f>IF(F230=1,NA(),D230)</f>
        <v/>
      </c>
      <c r="H230">
        <f>IF(AND(ISNUMBER(D230),D230&gt;=$O$4),1,0)</f>
        <v/>
      </c>
      <c r="I230">
        <f>B230-$O$8</f>
        <v/>
      </c>
    </row>
    <row r="231">
      <c r="A231" t="n">
        <v>687</v>
      </c>
      <c r="B231" t="n">
        <v>22.9</v>
      </c>
      <c r="C231" t="inlineStr">
        <is>
          <t>62?5</t>
        </is>
      </c>
      <c r="E231">
        <f>IFERROR(MEDIAN(D211:D251),D231)</f>
        <v/>
      </c>
      <c r="F231">
        <f>IF(OR(NOT(ISNUMBER(D231)),ABS(D231-E231)&gt;$O$3),1,0)</f>
        <v/>
      </c>
      <c r="G231">
        <f>IF(F231=1,NA(),D231)</f>
        <v/>
      </c>
      <c r="H231">
        <f>IF(AND(ISNUMBER(D231),D231&gt;=$O$4),1,0)</f>
        <v/>
      </c>
      <c r="I231">
        <f>B231-$O$8</f>
        <v/>
      </c>
    </row>
    <row r="232">
      <c r="A232" t="n">
        <v>690</v>
      </c>
      <c r="B232" t="n">
        <v>23</v>
      </c>
      <c r="C232" t="inlineStr">
        <is>
          <t>62?5</t>
        </is>
      </c>
      <c r="E232">
        <f>IFERROR(MEDIAN(D212:D252),D232)</f>
        <v/>
      </c>
      <c r="F232">
        <f>IF(OR(NOT(ISNUMBER(D232)),ABS(D232-E232)&gt;$O$3),1,0)</f>
        <v/>
      </c>
      <c r="G232">
        <f>IF(F232=1,NA(),D232)</f>
        <v/>
      </c>
      <c r="H232">
        <f>IF(AND(ISNUMBER(D232),D232&gt;=$O$4),1,0)</f>
        <v/>
      </c>
      <c r="I232">
        <f>B232-$O$8</f>
        <v/>
      </c>
    </row>
    <row r="233">
      <c r="A233" t="n">
        <v>693</v>
      </c>
      <c r="B233" t="n">
        <v>23.1</v>
      </c>
      <c r="C233" t="inlineStr">
        <is>
          <t>62?5</t>
        </is>
      </c>
      <c r="E233">
        <f>IFERROR(MEDIAN(D213:D253),D233)</f>
        <v/>
      </c>
      <c r="F233">
        <f>IF(OR(NOT(ISNUMBER(D233)),ABS(D233-E233)&gt;$O$3),1,0)</f>
        <v/>
      </c>
      <c r="G233">
        <f>IF(F233=1,NA(),D233)</f>
        <v/>
      </c>
      <c r="H233">
        <f>IF(AND(ISNUMBER(D233),D233&gt;=$O$4),1,0)</f>
        <v/>
      </c>
      <c r="I233">
        <f>B233-$O$8</f>
        <v/>
      </c>
    </row>
    <row r="234">
      <c r="A234" t="n">
        <v>696</v>
      </c>
      <c r="B234" t="n">
        <v>23.2</v>
      </c>
      <c r="C234" t="inlineStr">
        <is>
          <t>62?5</t>
        </is>
      </c>
      <c r="E234">
        <f>IFERROR(MEDIAN(D214:D254),D234)</f>
        <v/>
      </c>
      <c r="F234">
        <f>IF(OR(NOT(ISNUMBER(D234)),ABS(D234-E234)&gt;$O$3),1,0)</f>
        <v/>
      </c>
      <c r="G234">
        <f>IF(F234=1,NA(),D234)</f>
        <v/>
      </c>
      <c r="H234">
        <f>IF(AND(ISNUMBER(D234),D234&gt;=$O$4),1,0)</f>
        <v/>
      </c>
      <c r="I234">
        <f>B234-$O$8</f>
        <v/>
      </c>
    </row>
    <row r="235">
      <c r="A235" t="n">
        <v>699</v>
      </c>
      <c r="B235" t="n">
        <v>23.3</v>
      </c>
      <c r="C235" t="inlineStr">
        <is>
          <t>62?5</t>
        </is>
      </c>
      <c r="E235">
        <f>IFERROR(MEDIAN(D215:D255),D235)</f>
        <v/>
      </c>
      <c r="F235">
        <f>IF(OR(NOT(ISNUMBER(D235)),ABS(D235-E235)&gt;$O$3),1,0)</f>
        <v/>
      </c>
      <c r="G235">
        <f>IF(F235=1,NA(),D235)</f>
        <v/>
      </c>
      <c r="H235">
        <f>IF(AND(ISNUMBER(D235),D235&gt;=$O$4),1,0)</f>
        <v/>
      </c>
      <c r="I235">
        <f>B235-$O$8</f>
        <v/>
      </c>
    </row>
    <row r="236">
      <c r="A236" t="n">
        <v>702</v>
      </c>
      <c r="B236" t="n">
        <v>23.4</v>
      </c>
      <c r="C236" t="inlineStr">
        <is>
          <t>62?5</t>
        </is>
      </c>
      <c r="E236">
        <f>IFERROR(MEDIAN(D216:D256),D236)</f>
        <v/>
      </c>
      <c r="F236">
        <f>IF(OR(NOT(ISNUMBER(D236)),ABS(D236-E236)&gt;$O$3),1,0)</f>
        <v/>
      </c>
      <c r="G236">
        <f>IF(F236=1,NA(),D236)</f>
        <v/>
      </c>
      <c r="H236">
        <f>IF(AND(ISNUMBER(D236),D236&gt;=$O$4),1,0)</f>
        <v/>
      </c>
      <c r="I236">
        <f>B236-$O$8</f>
        <v/>
      </c>
    </row>
    <row r="237">
      <c r="A237" t="n">
        <v>705</v>
      </c>
      <c r="B237" t="n">
        <v>23.5</v>
      </c>
      <c r="C237" t="inlineStr">
        <is>
          <t>6?5</t>
        </is>
      </c>
      <c r="E237">
        <f>IFERROR(MEDIAN(D217:D257),D237)</f>
        <v/>
      </c>
      <c r="F237">
        <f>IF(OR(NOT(ISNUMBER(D237)),ABS(D237-E237)&gt;$O$3),1,0)</f>
        <v/>
      </c>
      <c r="G237">
        <f>IF(F237=1,NA(),D237)</f>
        <v/>
      </c>
      <c r="H237">
        <f>IF(AND(ISNUMBER(D237),D237&gt;=$O$4),1,0)</f>
        <v/>
      </c>
      <c r="I237">
        <f>B237-$O$8</f>
        <v/>
      </c>
    </row>
    <row r="238">
      <c r="A238" t="n">
        <v>708</v>
      </c>
      <c r="B238" t="n">
        <v>23.6</v>
      </c>
      <c r="C238" t="inlineStr">
        <is>
          <t>62?5</t>
        </is>
      </c>
      <c r="E238">
        <f>IFERROR(MEDIAN(D218:D258),D238)</f>
        <v/>
      </c>
      <c r="F238">
        <f>IF(OR(NOT(ISNUMBER(D238)),ABS(D238-E238)&gt;$O$3),1,0)</f>
        <v/>
      </c>
      <c r="G238">
        <f>IF(F238=1,NA(),D238)</f>
        <v/>
      </c>
      <c r="H238">
        <f>IF(AND(ISNUMBER(D238),D238&gt;=$O$4),1,0)</f>
        <v/>
      </c>
      <c r="I238">
        <f>B238-$O$8</f>
        <v/>
      </c>
    </row>
    <row r="239">
      <c r="A239" t="n">
        <v>711</v>
      </c>
      <c r="B239" t="n">
        <v>23.7</v>
      </c>
      <c r="C239" t="inlineStr">
        <is>
          <t>62?5</t>
        </is>
      </c>
      <c r="E239">
        <f>IFERROR(MEDIAN(D219:D259),D239)</f>
        <v/>
      </c>
      <c r="F239">
        <f>IF(OR(NOT(ISNUMBER(D239)),ABS(D239-E239)&gt;$O$3),1,0)</f>
        <v/>
      </c>
      <c r="G239">
        <f>IF(F239=1,NA(),D239)</f>
        <v/>
      </c>
      <c r="H239">
        <f>IF(AND(ISNUMBER(D239),D239&gt;=$O$4),1,0)</f>
        <v/>
      </c>
      <c r="I239">
        <f>B239-$O$8</f>
        <v/>
      </c>
    </row>
    <row r="240">
      <c r="A240" t="n">
        <v>714</v>
      </c>
      <c r="B240" t="n">
        <v>23.8</v>
      </c>
      <c r="C240" t="inlineStr">
        <is>
          <t>6?5</t>
        </is>
      </c>
      <c r="E240">
        <f>IFERROR(MEDIAN(D220:D260),D240)</f>
        <v/>
      </c>
      <c r="F240">
        <f>IF(OR(NOT(ISNUMBER(D240)),ABS(D240-E240)&gt;$O$3),1,0)</f>
        <v/>
      </c>
      <c r="G240">
        <f>IF(F240=1,NA(),D240)</f>
        <v/>
      </c>
      <c r="H240">
        <f>IF(AND(ISNUMBER(D240),D240&gt;=$O$4),1,0)</f>
        <v/>
      </c>
      <c r="I240">
        <f>B240-$O$8</f>
        <v/>
      </c>
    </row>
    <row r="241">
      <c r="A241" t="n">
        <v>717</v>
      </c>
      <c r="B241" t="n">
        <v>23.9</v>
      </c>
      <c r="C241" t="inlineStr">
        <is>
          <t>62?5</t>
        </is>
      </c>
      <c r="E241">
        <f>IFERROR(MEDIAN(D221:D261),D241)</f>
        <v/>
      </c>
      <c r="F241">
        <f>IF(OR(NOT(ISNUMBER(D241)),ABS(D241-E241)&gt;$O$3),1,0)</f>
        <v/>
      </c>
      <c r="G241">
        <f>IF(F241=1,NA(),D241)</f>
        <v/>
      </c>
      <c r="H241">
        <f>IF(AND(ISNUMBER(D241),D241&gt;=$O$4),1,0)</f>
        <v/>
      </c>
      <c r="I241">
        <f>B241-$O$8</f>
        <v/>
      </c>
    </row>
    <row r="242">
      <c r="A242" t="n">
        <v>720</v>
      </c>
      <c r="B242" t="n">
        <v>24</v>
      </c>
      <c r="C242" t="inlineStr">
        <is>
          <t>62?5</t>
        </is>
      </c>
      <c r="E242">
        <f>IFERROR(MEDIAN(D222:D262),D242)</f>
        <v/>
      </c>
      <c r="F242">
        <f>IF(OR(NOT(ISNUMBER(D242)),ABS(D242-E242)&gt;$O$3),1,0)</f>
        <v/>
      </c>
      <c r="G242">
        <f>IF(F242=1,NA(),D242)</f>
        <v/>
      </c>
      <c r="H242">
        <f>IF(AND(ISNUMBER(D242),D242&gt;=$O$4),1,0)</f>
        <v/>
      </c>
      <c r="I242">
        <f>B242-$O$8</f>
        <v/>
      </c>
    </row>
    <row r="243">
      <c r="A243" t="n">
        <v>723</v>
      </c>
      <c r="B243" t="n">
        <v>24.1</v>
      </c>
      <c r="C243" t="inlineStr">
        <is>
          <t>62?5</t>
        </is>
      </c>
      <c r="E243">
        <f>IFERROR(MEDIAN(D223:D263),D243)</f>
        <v/>
      </c>
      <c r="F243">
        <f>IF(OR(NOT(ISNUMBER(D243)),ABS(D243-E243)&gt;$O$3),1,0)</f>
        <v/>
      </c>
      <c r="G243">
        <f>IF(F243=1,NA(),D243)</f>
        <v/>
      </c>
      <c r="H243">
        <f>IF(AND(ISNUMBER(D243),D243&gt;=$O$4),1,0)</f>
        <v/>
      </c>
      <c r="I243">
        <f>B243-$O$8</f>
        <v/>
      </c>
    </row>
    <row r="244">
      <c r="A244" t="n">
        <v>726</v>
      </c>
      <c r="B244" t="n">
        <v>24.2</v>
      </c>
      <c r="C244" t="inlineStr">
        <is>
          <t>62?5</t>
        </is>
      </c>
      <c r="E244">
        <f>IFERROR(MEDIAN(D224:D264),D244)</f>
        <v/>
      </c>
      <c r="F244">
        <f>IF(OR(NOT(ISNUMBER(D244)),ABS(D244-E244)&gt;$O$3),1,0)</f>
        <v/>
      </c>
      <c r="G244">
        <f>IF(F244=1,NA(),D244)</f>
        <v/>
      </c>
      <c r="H244">
        <f>IF(AND(ISNUMBER(D244),D244&gt;=$O$4),1,0)</f>
        <v/>
      </c>
      <c r="I244">
        <f>B244-$O$8</f>
        <v/>
      </c>
    </row>
    <row r="245">
      <c r="A245" t="n">
        <v>729</v>
      </c>
      <c r="B245" t="n">
        <v>24.3</v>
      </c>
      <c r="C245" t="inlineStr">
        <is>
          <t>62?5</t>
        </is>
      </c>
      <c r="E245">
        <f>IFERROR(MEDIAN(D225:D265),D245)</f>
        <v/>
      </c>
      <c r="F245">
        <f>IF(OR(NOT(ISNUMBER(D245)),ABS(D245-E245)&gt;$O$3),1,0)</f>
        <v/>
      </c>
      <c r="G245">
        <f>IF(F245=1,NA(),D245)</f>
        <v/>
      </c>
      <c r="H245">
        <f>IF(AND(ISNUMBER(D245),D245&gt;=$O$4),1,0)</f>
        <v/>
      </c>
      <c r="I245">
        <f>B245-$O$8</f>
        <v/>
      </c>
    </row>
    <row r="246">
      <c r="A246" t="n">
        <v>732</v>
      </c>
      <c r="B246" t="n">
        <v>24.4</v>
      </c>
      <c r="C246" t="inlineStr">
        <is>
          <t>62?5</t>
        </is>
      </c>
      <c r="E246">
        <f>IFERROR(MEDIAN(D226:D266),D246)</f>
        <v/>
      </c>
      <c r="F246">
        <f>IF(OR(NOT(ISNUMBER(D246)),ABS(D246-E246)&gt;$O$3),1,0)</f>
        <v/>
      </c>
      <c r="G246">
        <f>IF(F246=1,NA(),D246)</f>
        <v/>
      </c>
      <c r="H246">
        <f>IF(AND(ISNUMBER(D246),D246&gt;=$O$4),1,0)</f>
        <v/>
      </c>
      <c r="I246">
        <f>B246-$O$8</f>
        <v/>
      </c>
    </row>
    <row r="247">
      <c r="A247" t="n">
        <v>735</v>
      </c>
      <c r="B247" t="n">
        <v>24.5</v>
      </c>
      <c r="C247" t="inlineStr">
        <is>
          <t>62?5</t>
        </is>
      </c>
      <c r="E247">
        <f>IFERROR(MEDIAN(D227:D267),D247)</f>
        <v/>
      </c>
      <c r="F247">
        <f>IF(OR(NOT(ISNUMBER(D247)),ABS(D247-E247)&gt;$O$3),1,0)</f>
        <v/>
      </c>
      <c r="G247">
        <f>IF(F247=1,NA(),D247)</f>
        <v/>
      </c>
      <c r="H247">
        <f>IF(AND(ISNUMBER(D247),D247&gt;=$O$4),1,0)</f>
        <v/>
      </c>
      <c r="I247">
        <f>B247-$O$8</f>
        <v/>
      </c>
    </row>
    <row r="248">
      <c r="A248" t="n">
        <v>738</v>
      </c>
      <c r="B248" t="n">
        <v>24.6</v>
      </c>
      <c r="C248" t="inlineStr">
        <is>
          <t>62?5</t>
        </is>
      </c>
      <c r="E248">
        <f>IFERROR(MEDIAN(D228:D268),D248)</f>
        <v/>
      </c>
      <c r="F248">
        <f>IF(OR(NOT(ISNUMBER(D248)),ABS(D248-E248)&gt;$O$3),1,0)</f>
        <v/>
      </c>
      <c r="G248">
        <f>IF(F248=1,NA(),D248)</f>
        <v/>
      </c>
      <c r="H248">
        <f>IF(AND(ISNUMBER(D248),D248&gt;=$O$4),1,0)</f>
        <v/>
      </c>
      <c r="I248">
        <f>B248-$O$8</f>
        <v/>
      </c>
    </row>
    <row r="249">
      <c r="A249" t="n">
        <v>741</v>
      </c>
      <c r="B249" t="n">
        <v>24.7</v>
      </c>
      <c r="C249" t="inlineStr">
        <is>
          <t>62?5</t>
        </is>
      </c>
      <c r="E249">
        <f>IFERROR(MEDIAN(D229:D269),D249)</f>
        <v/>
      </c>
      <c r="F249">
        <f>IF(OR(NOT(ISNUMBER(D249)),ABS(D249-E249)&gt;$O$3),1,0)</f>
        <v/>
      </c>
      <c r="G249">
        <f>IF(F249=1,NA(),D249)</f>
        <v/>
      </c>
      <c r="H249">
        <f>IF(AND(ISNUMBER(D249),D249&gt;=$O$4),1,0)</f>
        <v/>
      </c>
      <c r="I249">
        <f>B249-$O$8</f>
        <v/>
      </c>
    </row>
    <row r="250">
      <c r="A250" t="n">
        <v>744</v>
      </c>
      <c r="B250" t="n">
        <v>24.8</v>
      </c>
      <c r="C250" t="inlineStr">
        <is>
          <t>62?5</t>
        </is>
      </c>
      <c r="E250">
        <f>IFERROR(MEDIAN(D230:D270),D250)</f>
        <v/>
      </c>
      <c r="F250">
        <f>IF(OR(NOT(ISNUMBER(D250)),ABS(D250-E250)&gt;$O$3),1,0)</f>
        <v/>
      </c>
      <c r="G250">
        <f>IF(F250=1,NA(),D250)</f>
        <v/>
      </c>
      <c r="H250">
        <f>IF(AND(ISNUMBER(D250),D250&gt;=$O$4),1,0)</f>
        <v/>
      </c>
      <c r="I250">
        <f>B250-$O$8</f>
        <v/>
      </c>
    </row>
    <row r="251">
      <c r="A251" t="n">
        <v>747</v>
      </c>
      <c r="B251" t="n">
        <v>24.9</v>
      </c>
      <c r="C251" t="inlineStr">
        <is>
          <t>6?5</t>
        </is>
      </c>
      <c r="E251">
        <f>IFERROR(MEDIAN(D231:D271),D251)</f>
        <v/>
      </c>
      <c r="F251">
        <f>IF(OR(NOT(ISNUMBER(D251)),ABS(D251-E251)&gt;$O$3),1,0)</f>
        <v/>
      </c>
      <c r="G251">
        <f>IF(F251=1,NA(),D251)</f>
        <v/>
      </c>
      <c r="H251">
        <f>IF(AND(ISNUMBER(D251),D251&gt;=$O$4),1,0)</f>
        <v/>
      </c>
      <c r="I251">
        <f>B251-$O$8</f>
        <v/>
      </c>
    </row>
    <row r="252">
      <c r="A252" t="n">
        <v>750</v>
      </c>
      <c r="B252" t="n">
        <v>25</v>
      </c>
      <c r="C252" t="inlineStr">
        <is>
          <t>62?5</t>
        </is>
      </c>
      <c r="E252">
        <f>IFERROR(MEDIAN(D232:D272),D252)</f>
        <v/>
      </c>
      <c r="F252">
        <f>IF(OR(NOT(ISNUMBER(D252)),ABS(D252-E252)&gt;$O$3),1,0)</f>
        <v/>
      </c>
      <c r="G252">
        <f>IF(F252=1,NA(),D252)</f>
        <v/>
      </c>
      <c r="H252">
        <f>IF(AND(ISNUMBER(D252),D252&gt;=$O$4),1,0)</f>
        <v/>
      </c>
      <c r="I252">
        <f>B252-$O$8</f>
        <v/>
      </c>
    </row>
    <row r="253">
      <c r="A253" t="n">
        <v>753</v>
      </c>
      <c r="B253" t="n">
        <v>25.1</v>
      </c>
      <c r="C253" t="inlineStr">
        <is>
          <t>6?5</t>
        </is>
      </c>
      <c r="E253">
        <f>IFERROR(MEDIAN(D233:D273),D253)</f>
        <v/>
      </c>
      <c r="F253">
        <f>IF(OR(NOT(ISNUMBER(D253)),ABS(D253-E253)&gt;$O$3),1,0)</f>
        <v/>
      </c>
      <c r="G253">
        <f>IF(F253=1,NA(),D253)</f>
        <v/>
      </c>
      <c r="H253">
        <f>IF(AND(ISNUMBER(D253),D253&gt;=$O$4),1,0)</f>
        <v/>
      </c>
      <c r="I253">
        <f>B253-$O$8</f>
        <v/>
      </c>
    </row>
    <row r="254">
      <c r="A254" t="n">
        <v>756</v>
      </c>
      <c r="B254" t="n">
        <v>25.2</v>
      </c>
      <c r="C254" t="inlineStr">
        <is>
          <t>62?5</t>
        </is>
      </c>
      <c r="E254">
        <f>IFERROR(MEDIAN(D234:D274),D254)</f>
        <v/>
      </c>
      <c r="F254">
        <f>IF(OR(NOT(ISNUMBER(D254)),ABS(D254-E254)&gt;$O$3),1,0)</f>
        <v/>
      </c>
      <c r="G254">
        <f>IF(F254=1,NA(),D254)</f>
        <v/>
      </c>
      <c r="H254">
        <f>IF(AND(ISNUMBER(D254),D254&gt;=$O$4),1,0)</f>
        <v/>
      </c>
      <c r="I254">
        <f>B254-$O$8</f>
        <v/>
      </c>
    </row>
    <row r="255">
      <c r="A255" t="n">
        <v>759</v>
      </c>
      <c r="B255" t="n">
        <v>25.3</v>
      </c>
      <c r="C255" t="inlineStr">
        <is>
          <t>6?5</t>
        </is>
      </c>
      <c r="E255">
        <f>IFERROR(MEDIAN(D235:D275),D255)</f>
        <v/>
      </c>
      <c r="F255">
        <f>IF(OR(NOT(ISNUMBER(D255)),ABS(D255-E255)&gt;$O$3),1,0)</f>
        <v/>
      </c>
      <c r="G255">
        <f>IF(F255=1,NA(),D255)</f>
        <v/>
      </c>
      <c r="H255">
        <f>IF(AND(ISNUMBER(D255),D255&gt;=$O$4),1,0)</f>
        <v/>
      </c>
      <c r="I255">
        <f>B255-$O$8</f>
        <v/>
      </c>
    </row>
    <row r="256">
      <c r="A256" t="n">
        <v>762</v>
      </c>
      <c r="B256" t="n">
        <v>25.4</v>
      </c>
      <c r="C256" t="inlineStr">
        <is>
          <t>6?5</t>
        </is>
      </c>
      <c r="E256">
        <f>IFERROR(MEDIAN(D236:D276),D256)</f>
        <v/>
      </c>
      <c r="F256">
        <f>IF(OR(NOT(ISNUMBER(D256)),ABS(D256-E256)&gt;$O$3),1,0)</f>
        <v/>
      </c>
      <c r="G256">
        <f>IF(F256=1,NA(),D256)</f>
        <v/>
      </c>
      <c r="H256">
        <f>IF(AND(ISNUMBER(D256),D256&gt;=$O$4),1,0)</f>
        <v/>
      </c>
      <c r="I256">
        <f>B256-$O$8</f>
        <v/>
      </c>
    </row>
    <row r="257">
      <c r="A257" t="n">
        <v>765</v>
      </c>
      <c r="B257" t="n">
        <v>25.5</v>
      </c>
      <c r="C257" t="inlineStr">
        <is>
          <t>62?5</t>
        </is>
      </c>
      <c r="E257">
        <f>IFERROR(MEDIAN(D237:D277),D257)</f>
        <v/>
      </c>
      <c r="F257">
        <f>IF(OR(NOT(ISNUMBER(D257)),ABS(D257-E257)&gt;$O$3),1,0)</f>
        <v/>
      </c>
      <c r="G257">
        <f>IF(F257=1,NA(),D257)</f>
        <v/>
      </c>
      <c r="H257">
        <f>IF(AND(ISNUMBER(D257),D257&gt;=$O$4),1,0)</f>
        <v/>
      </c>
      <c r="I257">
        <f>B257-$O$8</f>
        <v/>
      </c>
    </row>
    <row r="258">
      <c r="A258" t="n">
        <v>768</v>
      </c>
      <c r="B258" t="n">
        <v>25.6</v>
      </c>
      <c r="C258" t="inlineStr">
        <is>
          <t>62?5</t>
        </is>
      </c>
      <c r="E258">
        <f>IFERROR(MEDIAN(D238:D278),D258)</f>
        <v/>
      </c>
      <c r="F258">
        <f>IF(OR(NOT(ISNUMBER(D258)),ABS(D258-E258)&gt;$O$3),1,0)</f>
        <v/>
      </c>
      <c r="G258">
        <f>IF(F258=1,NA(),D258)</f>
        <v/>
      </c>
      <c r="H258">
        <f>IF(AND(ISNUMBER(D258),D258&gt;=$O$4),1,0)</f>
        <v/>
      </c>
      <c r="I258">
        <f>B258-$O$8</f>
        <v/>
      </c>
    </row>
    <row r="259">
      <c r="A259" t="n">
        <v>771</v>
      </c>
      <c r="B259" t="n">
        <v>25.7</v>
      </c>
      <c r="C259" t="inlineStr">
        <is>
          <t>62?5</t>
        </is>
      </c>
      <c r="E259">
        <f>IFERROR(MEDIAN(D239:D279),D259)</f>
        <v/>
      </c>
      <c r="F259">
        <f>IF(OR(NOT(ISNUMBER(D259)),ABS(D259-E259)&gt;$O$3),1,0)</f>
        <v/>
      </c>
      <c r="G259">
        <f>IF(F259=1,NA(),D259)</f>
        <v/>
      </c>
      <c r="H259">
        <f>IF(AND(ISNUMBER(D259),D259&gt;=$O$4),1,0)</f>
        <v/>
      </c>
      <c r="I259">
        <f>B259-$O$8</f>
        <v/>
      </c>
    </row>
    <row r="260">
      <c r="A260" t="n">
        <v>774</v>
      </c>
      <c r="B260" t="n">
        <v>25.8</v>
      </c>
      <c r="C260" t="inlineStr">
        <is>
          <t>62?5</t>
        </is>
      </c>
      <c r="E260">
        <f>IFERROR(MEDIAN(D240:D280),D260)</f>
        <v/>
      </c>
      <c r="F260">
        <f>IF(OR(NOT(ISNUMBER(D260)),ABS(D260-E260)&gt;$O$3),1,0)</f>
        <v/>
      </c>
      <c r="G260">
        <f>IF(F260=1,NA(),D260)</f>
        <v/>
      </c>
      <c r="H260">
        <f>IF(AND(ISNUMBER(D260),D260&gt;=$O$4),1,0)</f>
        <v/>
      </c>
      <c r="I260">
        <f>B260-$O$8</f>
        <v/>
      </c>
    </row>
    <row r="261">
      <c r="A261" t="n">
        <v>777</v>
      </c>
      <c r="B261" t="n">
        <v>25.9</v>
      </c>
      <c r="C261" t="inlineStr">
        <is>
          <t>62?5</t>
        </is>
      </c>
      <c r="E261">
        <f>IFERROR(MEDIAN(D241:D281),D261)</f>
        <v/>
      </c>
      <c r="F261">
        <f>IF(OR(NOT(ISNUMBER(D261)),ABS(D261-E261)&gt;$O$3),1,0)</f>
        <v/>
      </c>
      <c r="G261">
        <f>IF(F261=1,NA(),D261)</f>
        <v/>
      </c>
      <c r="H261">
        <f>IF(AND(ISNUMBER(D261),D261&gt;=$O$4),1,0)</f>
        <v/>
      </c>
      <c r="I261">
        <f>B261-$O$8</f>
        <v/>
      </c>
    </row>
    <row r="262">
      <c r="A262" t="n">
        <v>780</v>
      </c>
      <c r="B262" t="n">
        <v>26</v>
      </c>
      <c r="C262" t="inlineStr">
        <is>
          <t>62?5</t>
        </is>
      </c>
      <c r="E262">
        <f>IFERROR(MEDIAN(D242:D282),D262)</f>
        <v/>
      </c>
      <c r="F262">
        <f>IF(OR(NOT(ISNUMBER(D262)),ABS(D262-E262)&gt;$O$3),1,0)</f>
        <v/>
      </c>
      <c r="G262">
        <f>IF(F262=1,NA(),D262)</f>
        <v/>
      </c>
      <c r="H262">
        <f>IF(AND(ISNUMBER(D262),D262&gt;=$O$4),1,0)</f>
        <v/>
      </c>
      <c r="I262">
        <f>B262-$O$8</f>
        <v/>
      </c>
    </row>
    <row r="263">
      <c r="A263" t="n">
        <v>783</v>
      </c>
      <c r="B263" t="n">
        <v>26.1</v>
      </c>
      <c r="C263" t="inlineStr">
        <is>
          <t>62?5</t>
        </is>
      </c>
      <c r="E263">
        <f>IFERROR(MEDIAN(D243:D283),D263)</f>
        <v/>
      </c>
      <c r="F263">
        <f>IF(OR(NOT(ISNUMBER(D263)),ABS(D263-E263)&gt;$O$3),1,0)</f>
        <v/>
      </c>
      <c r="G263">
        <f>IF(F263=1,NA(),D263)</f>
        <v/>
      </c>
      <c r="H263">
        <f>IF(AND(ISNUMBER(D263),D263&gt;=$O$4),1,0)</f>
        <v/>
      </c>
      <c r="I263">
        <f>B263-$O$8</f>
        <v/>
      </c>
    </row>
    <row r="264">
      <c r="A264" t="n">
        <v>786</v>
      </c>
      <c r="B264" t="n">
        <v>26.2</v>
      </c>
      <c r="C264" t="inlineStr">
        <is>
          <t>62?5</t>
        </is>
      </c>
      <c r="E264">
        <f>IFERROR(MEDIAN(D244:D284),D264)</f>
        <v/>
      </c>
      <c r="F264">
        <f>IF(OR(NOT(ISNUMBER(D264)),ABS(D264-E264)&gt;$O$3),1,0)</f>
        <v/>
      </c>
      <c r="G264">
        <f>IF(F264=1,NA(),D264)</f>
        <v/>
      </c>
      <c r="H264">
        <f>IF(AND(ISNUMBER(D264),D264&gt;=$O$4),1,0)</f>
        <v/>
      </c>
      <c r="I264">
        <f>B264-$O$8</f>
        <v/>
      </c>
    </row>
    <row r="265">
      <c r="A265" t="n">
        <v>789</v>
      </c>
      <c r="B265" t="n">
        <v>26.3</v>
      </c>
      <c r="C265" t="inlineStr">
        <is>
          <t>62?5</t>
        </is>
      </c>
      <c r="E265">
        <f>IFERROR(MEDIAN(D245:D285),D265)</f>
        <v/>
      </c>
      <c r="F265">
        <f>IF(OR(NOT(ISNUMBER(D265)),ABS(D265-E265)&gt;$O$3),1,0)</f>
        <v/>
      </c>
      <c r="G265">
        <f>IF(F265=1,NA(),D265)</f>
        <v/>
      </c>
      <c r="H265">
        <f>IF(AND(ISNUMBER(D265),D265&gt;=$O$4),1,0)</f>
        <v/>
      </c>
      <c r="I265">
        <f>B265-$O$8</f>
        <v/>
      </c>
    </row>
    <row r="266">
      <c r="A266" t="n">
        <v>792</v>
      </c>
      <c r="B266" t="n">
        <v>26.4</v>
      </c>
      <c r="C266" t="inlineStr">
        <is>
          <t>62?5</t>
        </is>
      </c>
      <c r="E266">
        <f>IFERROR(MEDIAN(D246:D286),D266)</f>
        <v/>
      </c>
      <c r="F266">
        <f>IF(OR(NOT(ISNUMBER(D266)),ABS(D266-E266)&gt;$O$3),1,0)</f>
        <v/>
      </c>
      <c r="G266">
        <f>IF(F266=1,NA(),D266)</f>
        <v/>
      </c>
      <c r="H266">
        <f>IF(AND(ISNUMBER(D266),D266&gt;=$O$4),1,0)</f>
        <v/>
      </c>
      <c r="I266">
        <f>B266-$O$8</f>
        <v/>
      </c>
    </row>
    <row r="267">
      <c r="A267" t="n">
        <v>795</v>
      </c>
      <c r="B267" t="n">
        <v>26.5</v>
      </c>
      <c r="C267" t="inlineStr">
        <is>
          <t>62?5</t>
        </is>
      </c>
      <c r="E267">
        <f>IFERROR(MEDIAN(D247:D287),D267)</f>
        <v/>
      </c>
      <c r="F267">
        <f>IF(OR(NOT(ISNUMBER(D267)),ABS(D267-E267)&gt;$O$3),1,0)</f>
        <v/>
      </c>
      <c r="G267">
        <f>IF(F267=1,NA(),D267)</f>
        <v/>
      </c>
      <c r="H267">
        <f>IF(AND(ISNUMBER(D267),D267&gt;=$O$4),1,0)</f>
        <v/>
      </c>
      <c r="I267">
        <f>B267-$O$8</f>
        <v/>
      </c>
    </row>
    <row r="268">
      <c r="A268" t="n">
        <v>798</v>
      </c>
      <c r="B268" t="n">
        <v>26.6</v>
      </c>
      <c r="C268" t="inlineStr">
        <is>
          <t>62?5</t>
        </is>
      </c>
      <c r="E268">
        <f>IFERROR(MEDIAN(D248:D288),D268)</f>
        <v/>
      </c>
      <c r="F268">
        <f>IF(OR(NOT(ISNUMBER(D268)),ABS(D268-E268)&gt;$O$3),1,0)</f>
        <v/>
      </c>
      <c r="G268">
        <f>IF(F268=1,NA(),D268)</f>
        <v/>
      </c>
      <c r="H268">
        <f>IF(AND(ISNUMBER(D268),D268&gt;=$O$4),1,0)</f>
        <v/>
      </c>
      <c r="I268">
        <f>B268-$O$8</f>
        <v/>
      </c>
    </row>
    <row r="269">
      <c r="A269" t="n">
        <v>801</v>
      </c>
      <c r="B269" t="n">
        <v>26.7</v>
      </c>
      <c r="C269" t="inlineStr">
        <is>
          <t>62?5</t>
        </is>
      </c>
      <c r="E269">
        <f>IFERROR(MEDIAN(D249:D289),D269)</f>
        <v/>
      </c>
      <c r="F269">
        <f>IF(OR(NOT(ISNUMBER(D269)),ABS(D269-E269)&gt;$O$3),1,0)</f>
        <v/>
      </c>
      <c r="G269">
        <f>IF(F269=1,NA(),D269)</f>
        <v/>
      </c>
      <c r="H269">
        <f>IF(AND(ISNUMBER(D269),D269&gt;=$O$4),1,0)</f>
        <v/>
      </c>
      <c r="I269">
        <f>B269-$O$8</f>
        <v/>
      </c>
    </row>
    <row r="270">
      <c r="A270" t="n">
        <v>804</v>
      </c>
      <c r="B270" t="n">
        <v>26.8</v>
      </c>
      <c r="C270" t="inlineStr">
        <is>
          <t>62?5</t>
        </is>
      </c>
      <c r="E270">
        <f>IFERROR(MEDIAN(D250:D290),D270)</f>
        <v/>
      </c>
      <c r="F270">
        <f>IF(OR(NOT(ISNUMBER(D270)),ABS(D270-E270)&gt;$O$3),1,0)</f>
        <v/>
      </c>
      <c r="G270">
        <f>IF(F270=1,NA(),D270)</f>
        <v/>
      </c>
      <c r="H270">
        <f>IF(AND(ISNUMBER(D270),D270&gt;=$O$4),1,0)</f>
        <v/>
      </c>
      <c r="I270">
        <f>B270-$O$8</f>
        <v/>
      </c>
    </row>
    <row r="271">
      <c r="A271" t="n">
        <v>807</v>
      </c>
      <c r="B271" t="n">
        <v>26.9</v>
      </c>
      <c r="C271" t="inlineStr">
        <is>
          <t>62?5</t>
        </is>
      </c>
      <c r="E271">
        <f>IFERROR(MEDIAN(D251:D291),D271)</f>
        <v/>
      </c>
      <c r="F271">
        <f>IF(OR(NOT(ISNUMBER(D271)),ABS(D271-E271)&gt;$O$3),1,0)</f>
        <v/>
      </c>
      <c r="G271">
        <f>IF(F271=1,NA(),D271)</f>
        <v/>
      </c>
      <c r="H271">
        <f>IF(AND(ISNUMBER(D271),D271&gt;=$O$4),1,0)</f>
        <v/>
      </c>
      <c r="I271">
        <f>B271-$O$8</f>
        <v/>
      </c>
    </row>
    <row r="272">
      <c r="A272" t="n">
        <v>810</v>
      </c>
      <c r="B272" t="n">
        <v>27</v>
      </c>
      <c r="C272" t="inlineStr">
        <is>
          <t>??5</t>
        </is>
      </c>
      <c r="E272">
        <f>IFERROR(MEDIAN(D252:D292),D272)</f>
        <v/>
      </c>
      <c r="F272">
        <f>IF(OR(NOT(ISNUMBER(D272)),ABS(D272-E272)&gt;$O$3),1,0)</f>
        <v/>
      </c>
      <c r="G272">
        <f>IF(F272=1,NA(),D272)</f>
        <v/>
      </c>
      <c r="H272">
        <f>IF(AND(ISNUMBER(D272),D272&gt;=$O$4),1,0)</f>
        <v/>
      </c>
      <c r="I272">
        <f>B272-$O$8</f>
        <v/>
      </c>
    </row>
    <row r="273">
      <c r="A273" t="n">
        <v>813</v>
      </c>
      <c r="B273" t="n">
        <v>27.1</v>
      </c>
      <c r="C273" t="inlineStr">
        <is>
          <t>62?5</t>
        </is>
      </c>
      <c r="E273">
        <f>IFERROR(MEDIAN(D253:D293),D273)</f>
        <v/>
      </c>
      <c r="F273">
        <f>IF(OR(NOT(ISNUMBER(D273)),ABS(D273-E273)&gt;$O$3),1,0)</f>
        <v/>
      </c>
      <c r="G273">
        <f>IF(F273=1,NA(),D273)</f>
        <v/>
      </c>
      <c r="H273">
        <f>IF(AND(ISNUMBER(D273),D273&gt;=$O$4),1,0)</f>
        <v/>
      </c>
      <c r="I273">
        <f>B273-$O$8</f>
        <v/>
      </c>
    </row>
    <row r="274">
      <c r="A274" t="n">
        <v>816</v>
      </c>
      <c r="B274" t="n">
        <v>27.2</v>
      </c>
      <c r="C274" t="inlineStr">
        <is>
          <t>??5</t>
        </is>
      </c>
      <c r="E274">
        <f>IFERROR(MEDIAN(D254:D294),D274)</f>
        <v/>
      </c>
      <c r="F274">
        <f>IF(OR(NOT(ISNUMBER(D274)),ABS(D274-E274)&gt;$O$3),1,0)</f>
        <v/>
      </c>
      <c r="G274">
        <f>IF(F274=1,NA(),D274)</f>
        <v/>
      </c>
      <c r="H274">
        <f>IF(AND(ISNUMBER(D274),D274&gt;=$O$4),1,0)</f>
        <v/>
      </c>
      <c r="I274">
        <f>B274-$O$8</f>
        <v/>
      </c>
    </row>
    <row r="275">
      <c r="A275" t="n">
        <v>819</v>
      </c>
      <c r="B275" t="n">
        <v>27.3</v>
      </c>
      <c r="C275" t="inlineStr">
        <is>
          <t>62?5</t>
        </is>
      </c>
      <c r="E275">
        <f>IFERROR(MEDIAN(D255:D295),D275)</f>
        <v/>
      </c>
      <c r="F275">
        <f>IF(OR(NOT(ISNUMBER(D275)),ABS(D275-E275)&gt;$O$3),1,0)</f>
        <v/>
      </c>
      <c r="G275">
        <f>IF(F275=1,NA(),D275)</f>
        <v/>
      </c>
      <c r="H275">
        <f>IF(AND(ISNUMBER(D275),D275&gt;=$O$4),1,0)</f>
        <v/>
      </c>
      <c r="I275">
        <f>B275-$O$8</f>
        <v/>
      </c>
    </row>
    <row r="276">
      <c r="A276" t="n">
        <v>822</v>
      </c>
      <c r="B276" t="n">
        <v>27.4</v>
      </c>
      <c r="C276" t="inlineStr">
        <is>
          <t>??5</t>
        </is>
      </c>
      <c r="E276">
        <f>IFERROR(MEDIAN(D256:D296),D276)</f>
        <v/>
      </c>
      <c r="F276">
        <f>IF(OR(NOT(ISNUMBER(D276)),ABS(D276-E276)&gt;$O$3),1,0)</f>
        <v/>
      </c>
      <c r="G276">
        <f>IF(F276=1,NA(),D276)</f>
        <v/>
      </c>
      <c r="H276">
        <f>IF(AND(ISNUMBER(D276),D276&gt;=$O$4),1,0)</f>
        <v/>
      </c>
      <c r="I276">
        <f>B276-$O$8</f>
        <v/>
      </c>
    </row>
    <row r="277">
      <c r="A277" t="n">
        <v>825</v>
      </c>
      <c r="B277" t="n">
        <v>27.5</v>
      </c>
      <c r="C277" t="inlineStr">
        <is>
          <t>62?5</t>
        </is>
      </c>
      <c r="E277">
        <f>IFERROR(MEDIAN(D257:D297),D277)</f>
        <v/>
      </c>
      <c r="F277">
        <f>IF(OR(NOT(ISNUMBER(D277)),ABS(D277-E277)&gt;$O$3),1,0)</f>
        <v/>
      </c>
      <c r="G277">
        <f>IF(F277=1,NA(),D277)</f>
        <v/>
      </c>
      <c r="H277">
        <f>IF(AND(ISNUMBER(D277),D277&gt;=$O$4),1,0)</f>
        <v/>
      </c>
      <c r="I277">
        <f>B277-$O$8</f>
        <v/>
      </c>
    </row>
    <row r="278">
      <c r="A278" t="n">
        <v>828</v>
      </c>
      <c r="B278" t="n">
        <v>27.6</v>
      </c>
      <c r="C278" t="inlineStr">
        <is>
          <t>62?5</t>
        </is>
      </c>
      <c r="E278">
        <f>IFERROR(MEDIAN(D258:D298),D278)</f>
        <v/>
      </c>
      <c r="F278">
        <f>IF(OR(NOT(ISNUMBER(D278)),ABS(D278-E278)&gt;$O$3),1,0)</f>
        <v/>
      </c>
      <c r="G278">
        <f>IF(F278=1,NA(),D278)</f>
        <v/>
      </c>
      <c r="H278">
        <f>IF(AND(ISNUMBER(D278),D278&gt;=$O$4),1,0)</f>
        <v/>
      </c>
      <c r="I278">
        <f>B278-$O$8</f>
        <v/>
      </c>
    </row>
    <row r="279">
      <c r="A279" t="n">
        <v>831</v>
      </c>
      <c r="B279" t="n">
        <v>27.7</v>
      </c>
      <c r="C279" t="inlineStr">
        <is>
          <t>62?5</t>
        </is>
      </c>
      <c r="E279">
        <f>IFERROR(MEDIAN(D259:D299),D279)</f>
        <v/>
      </c>
      <c r="F279">
        <f>IF(OR(NOT(ISNUMBER(D279)),ABS(D279-E279)&gt;$O$3),1,0)</f>
        <v/>
      </c>
      <c r="G279">
        <f>IF(F279=1,NA(),D279)</f>
        <v/>
      </c>
      <c r="H279">
        <f>IF(AND(ISNUMBER(D279),D279&gt;=$O$4),1,0)</f>
        <v/>
      </c>
      <c r="I279">
        <f>B279-$O$8</f>
        <v/>
      </c>
    </row>
    <row r="280">
      <c r="A280" t="n">
        <v>834</v>
      </c>
      <c r="B280" t="n">
        <v>27.8</v>
      </c>
      <c r="C280" t="inlineStr">
        <is>
          <t>62?5</t>
        </is>
      </c>
      <c r="E280">
        <f>IFERROR(MEDIAN(D260:D300),D280)</f>
        <v/>
      </c>
      <c r="F280">
        <f>IF(OR(NOT(ISNUMBER(D280)),ABS(D280-E280)&gt;$O$3),1,0)</f>
        <v/>
      </c>
      <c r="G280">
        <f>IF(F280=1,NA(),D280)</f>
        <v/>
      </c>
      <c r="H280">
        <f>IF(AND(ISNUMBER(D280),D280&gt;=$O$4),1,0)</f>
        <v/>
      </c>
      <c r="I280">
        <f>B280-$O$8</f>
        <v/>
      </c>
    </row>
    <row r="281">
      <c r="A281" t="n">
        <v>837</v>
      </c>
      <c r="B281" t="n">
        <v>27.9</v>
      </c>
      <c r="C281" t="inlineStr">
        <is>
          <t>62?5</t>
        </is>
      </c>
      <c r="E281">
        <f>IFERROR(MEDIAN(D261:D301),D281)</f>
        <v/>
      </c>
      <c r="F281">
        <f>IF(OR(NOT(ISNUMBER(D281)),ABS(D281-E281)&gt;$O$3),1,0)</f>
        <v/>
      </c>
      <c r="G281">
        <f>IF(F281=1,NA(),D281)</f>
        <v/>
      </c>
      <c r="H281">
        <f>IF(AND(ISNUMBER(D281),D281&gt;=$O$4),1,0)</f>
        <v/>
      </c>
      <c r="I281">
        <f>B281-$O$8</f>
        <v/>
      </c>
    </row>
    <row r="282">
      <c r="A282" t="n">
        <v>840</v>
      </c>
      <c r="B282" t="n">
        <v>28</v>
      </c>
      <c r="C282" t="inlineStr">
        <is>
          <t>62?5</t>
        </is>
      </c>
      <c r="E282">
        <f>IFERROR(MEDIAN(D262:D302),D282)</f>
        <v/>
      </c>
      <c r="F282">
        <f>IF(OR(NOT(ISNUMBER(D282)),ABS(D282-E282)&gt;$O$3),1,0)</f>
        <v/>
      </c>
      <c r="G282">
        <f>IF(F282=1,NA(),D282)</f>
        <v/>
      </c>
      <c r="H282">
        <f>IF(AND(ISNUMBER(D282),D282&gt;=$O$4),1,0)</f>
        <v/>
      </c>
      <c r="I282">
        <f>B282-$O$8</f>
        <v/>
      </c>
    </row>
    <row r="283">
      <c r="A283" t="n">
        <v>843</v>
      </c>
      <c r="B283" t="n">
        <v>28.1</v>
      </c>
      <c r="C283" t="inlineStr">
        <is>
          <t>62?5</t>
        </is>
      </c>
      <c r="E283">
        <f>IFERROR(MEDIAN(D263:D303),D283)</f>
        <v/>
      </c>
      <c r="F283">
        <f>IF(OR(NOT(ISNUMBER(D283)),ABS(D283-E283)&gt;$O$3),1,0)</f>
        <v/>
      </c>
      <c r="G283">
        <f>IF(F283=1,NA(),D283)</f>
        <v/>
      </c>
      <c r="H283">
        <f>IF(AND(ISNUMBER(D283),D283&gt;=$O$4),1,0)</f>
        <v/>
      </c>
      <c r="I283">
        <f>B283-$O$8</f>
        <v/>
      </c>
    </row>
    <row r="284">
      <c r="A284" t="n">
        <v>846</v>
      </c>
      <c r="B284" t="n">
        <v>28.2</v>
      </c>
      <c r="C284" t="inlineStr">
        <is>
          <t>62?5</t>
        </is>
      </c>
      <c r="E284">
        <f>IFERROR(MEDIAN(D264:D304),D284)</f>
        <v/>
      </c>
      <c r="F284">
        <f>IF(OR(NOT(ISNUMBER(D284)),ABS(D284-E284)&gt;$O$3),1,0)</f>
        <v/>
      </c>
      <c r="G284">
        <f>IF(F284=1,NA(),D284)</f>
        <v/>
      </c>
      <c r="H284">
        <f>IF(AND(ISNUMBER(D284),D284&gt;=$O$4),1,0)</f>
        <v/>
      </c>
      <c r="I284">
        <f>B284-$O$8</f>
        <v/>
      </c>
    </row>
    <row r="285">
      <c r="A285" t="n">
        <v>849</v>
      </c>
      <c r="B285" t="n">
        <v>28.3</v>
      </c>
      <c r="C285" t="inlineStr">
        <is>
          <t>62?5</t>
        </is>
      </c>
      <c r="E285">
        <f>IFERROR(MEDIAN(D265:D305),D285)</f>
        <v/>
      </c>
      <c r="F285">
        <f>IF(OR(NOT(ISNUMBER(D285)),ABS(D285-E285)&gt;$O$3),1,0)</f>
        <v/>
      </c>
      <c r="G285">
        <f>IF(F285=1,NA(),D285)</f>
        <v/>
      </c>
      <c r="H285">
        <f>IF(AND(ISNUMBER(D285),D285&gt;=$O$4),1,0)</f>
        <v/>
      </c>
      <c r="I285">
        <f>B285-$O$8</f>
        <v/>
      </c>
    </row>
    <row r="286">
      <c r="A286" t="n">
        <v>852</v>
      </c>
      <c r="B286" t="n">
        <v>28.4</v>
      </c>
      <c r="C286" t="inlineStr">
        <is>
          <t>62?5</t>
        </is>
      </c>
      <c r="E286">
        <f>IFERROR(MEDIAN(D266:D306),D286)</f>
        <v/>
      </c>
      <c r="F286">
        <f>IF(OR(NOT(ISNUMBER(D286)),ABS(D286-E286)&gt;$O$3),1,0)</f>
        <v/>
      </c>
      <c r="G286">
        <f>IF(F286=1,NA(),D286)</f>
        <v/>
      </c>
      <c r="H286">
        <f>IF(AND(ISNUMBER(D286),D286&gt;=$O$4),1,0)</f>
        <v/>
      </c>
      <c r="I286">
        <f>B286-$O$8</f>
        <v/>
      </c>
    </row>
    <row r="287">
      <c r="A287" t="n">
        <v>855</v>
      </c>
      <c r="B287" t="n">
        <v>28.5</v>
      </c>
      <c r="C287" t="inlineStr">
        <is>
          <t>62?5</t>
        </is>
      </c>
      <c r="E287">
        <f>IFERROR(MEDIAN(D267:D307),D287)</f>
        <v/>
      </c>
      <c r="F287">
        <f>IF(OR(NOT(ISNUMBER(D287)),ABS(D287-E287)&gt;$O$3),1,0)</f>
        <v/>
      </c>
      <c r="G287">
        <f>IF(F287=1,NA(),D287)</f>
        <v/>
      </c>
      <c r="H287">
        <f>IF(AND(ISNUMBER(D287),D287&gt;=$O$4),1,0)</f>
        <v/>
      </c>
      <c r="I287">
        <f>B287-$O$8</f>
        <v/>
      </c>
    </row>
    <row r="288">
      <c r="A288" t="n">
        <v>858</v>
      </c>
      <c r="B288" t="n">
        <v>28.6</v>
      </c>
      <c r="C288" t="inlineStr">
        <is>
          <t>62?5</t>
        </is>
      </c>
      <c r="E288">
        <f>IFERROR(MEDIAN(D268:D308),D288)</f>
        <v/>
      </c>
      <c r="F288">
        <f>IF(OR(NOT(ISNUMBER(D288)),ABS(D288-E288)&gt;$O$3),1,0)</f>
        <v/>
      </c>
      <c r="G288">
        <f>IF(F288=1,NA(),D288)</f>
        <v/>
      </c>
      <c r="H288">
        <f>IF(AND(ISNUMBER(D288),D288&gt;=$O$4),1,0)</f>
        <v/>
      </c>
      <c r="I288">
        <f>B288-$O$8</f>
        <v/>
      </c>
    </row>
    <row r="289">
      <c r="A289" t="n">
        <v>861</v>
      </c>
      <c r="B289" t="n">
        <v>28.7</v>
      </c>
      <c r="C289" t="inlineStr">
        <is>
          <t>62?5</t>
        </is>
      </c>
      <c r="E289">
        <f>IFERROR(MEDIAN(D269:D309),D289)</f>
        <v/>
      </c>
      <c r="F289">
        <f>IF(OR(NOT(ISNUMBER(D289)),ABS(D289-E289)&gt;$O$3),1,0)</f>
        <v/>
      </c>
      <c r="G289">
        <f>IF(F289=1,NA(),D289)</f>
        <v/>
      </c>
      <c r="H289">
        <f>IF(AND(ISNUMBER(D289),D289&gt;=$O$4),1,0)</f>
        <v/>
      </c>
      <c r="I289">
        <f>B289-$O$8</f>
        <v/>
      </c>
    </row>
    <row r="290">
      <c r="A290" t="n">
        <v>864</v>
      </c>
      <c r="B290" t="n">
        <v>28.8</v>
      </c>
      <c r="C290" t="inlineStr">
        <is>
          <t>62?5</t>
        </is>
      </c>
      <c r="E290">
        <f>IFERROR(MEDIAN(D270:D310),D290)</f>
        <v/>
      </c>
      <c r="F290">
        <f>IF(OR(NOT(ISNUMBER(D290)),ABS(D290-E290)&gt;$O$3),1,0)</f>
        <v/>
      </c>
      <c r="G290">
        <f>IF(F290=1,NA(),D290)</f>
        <v/>
      </c>
      <c r="H290">
        <f>IF(AND(ISNUMBER(D290),D290&gt;=$O$4),1,0)</f>
        <v/>
      </c>
      <c r="I290">
        <f>B290-$O$8</f>
        <v/>
      </c>
    </row>
    <row r="291">
      <c r="A291" t="n">
        <v>867</v>
      </c>
      <c r="B291" t="n">
        <v>28.9</v>
      </c>
      <c r="C291" t="inlineStr">
        <is>
          <t>62?5</t>
        </is>
      </c>
      <c r="E291">
        <f>IFERROR(MEDIAN(D271:D311),D291)</f>
        <v/>
      </c>
      <c r="F291">
        <f>IF(OR(NOT(ISNUMBER(D291)),ABS(D291-E291)&gt;$O$3),1,0)</f>
        <v/>
      </c>
      <c r="G291">
        <f>IF(F291=1,NA(),D291)</f>
        <v/>
      </c>
      <c r="H291">
        <f>IF(AND(ISNUMBER(D291),D291&gt;=$O$4),1,0)</f>
        <v/>
      </c>
      <c r="I291">
        <f>B291-$O$8</f>
        <v/>
      </c>
    </row>
    <row r="292">
      <c r="A292" t="n">
        <v>870</v>
      </c>
      <c r="B292" t="n">
        <v>29</v>
      </c>
      <c r="C292" t="inlineStr">
        <is>
          <t>62?5</t>
        </is>
      </c>
      <c r="E292">
        <f>IFERROR(MEDIAN(D272:D312),D292)</f>
        <v/>
      </c>
      <c r="F292">
        <f>IF(OR(NOT(ISNUMBER(D292)),ABS(D292-E292)&gt;$O$3),1,0)</f>
        <v/>
      </c>
      <c r="G292">
        <f>IF(F292=1,NA(),D292)</f>
        <v/>
      </c>
      <c r="H292">
        <f>IF(AND(ISNUMBER(D292),D292&gt;=$O$4),1,0)</f>
        <v/>
      </c>
      <c r="I292">
        <f>B292-$O$8</f>
        <v/>
      </c>
    </row>
    <row r="293">
      <c r="A293" t="n">
        <v>873</v>
      </c>
      <c r="B293" t="n">
        <v>29.1</v>
      </c>
      <c r="C293" t="inlineStr">
        <is>
          <t>62?5</t>
        </is>
      </c>
      <c r="E293">
        <f>IFERROR(MEDIAN(D273:D313),D293)</f>
        <v/>
      </c>
      <c r="F293">
        <f>IF(OR(NOT(ISNUMBER(D293)),ABS(D293-E293)&gt;$O$3),1,0)</f>
        <v/>
      </c>
      <c r="G293">
        <f>IF(F293=1,NA(),D293)</f>
        <v/>
      </c>
      <c r="H293">
        <f>IF(AND(ISNUMBER(D293),D293&gt;=$O$4),1,0)</f>
        <v/>
      </c>
      <c r="I293">
        <f>B293-$O$8</f>
        <v/>
      </c>
    </row>
    <row r="294">
      <c r="A294" t="n">
        <v>876</v>
      </c>
      <c r="B294" t="n">
        <v>29.2</v>
      </c>
      <c r="C294" t="inlineStr">
        <is>
          <t>62?5</t>
        </is>
      </c>
      <c r="E294">
        <f>IFERROR(MEDIAN(D274:D314),D294)</f>
        <v/>
      </c>
      <c r="F294">
        <f>IF(OR(NOT(ISNUMBER(D294)),ABS(D294-E294)&gt;$O$3),1,0)</f>
        <v/>
      </c>
      <c r="G294">
        <f>IF(F294=1,NA(),D294)</f>
        <v/>
      </c>
      <c r="H294">
        <f>IF(AND(ISNUMBER(D294),D294&gt;=$O$4),1,0)</f>
        <v/>
      </c>
      <c r="I294">
        <f>B294-$O$8</f>
        <v/>
      </c>
    </row>
    <row r="295">
      <c r="A295" t="n">
        <v>879</v>
      </c>
      <c r="B295" t="n">
        <v>29.3</v>
      </c>
      <c r="C295" t="inlineStr">
        <is>
          <t>62?5</t>
        </is>
      </c>
      <c r="E295">
        <f>IFERROR(MEDIAN(D275:D315),D295)</f>
        <v/>
      </c>
      <c r="F295">
        <f>IF(OR(NOT(ISNUMBER(D295)),ABS(D295-E295)&gt;$O$3),1,0)</f>
        <v/>
      </c>
      <c r="G295">
        <f>IF(F295=1,NA(),D295)</f>
        <v/>
      </c>
      <c r="H295">
        <f>IF(AND(ISNUMBER(D295),D295&gt;=$O$4),1,0)</f>
        <v/>
      </c>
      <c r="I295">
        <f>B295-$O$8</f>
        <v/>
      </c>
    </row>
    <row r="296">
      <c r="A296" t="n">
        <v>882</v>
      </c>
      <c r="B296" t="n">
        <v>29.4</v>
      </c>
      <c r="C296" t="inlineStr">
        <is>
          <t>62?5</t>
        </is>
      </c>
      <c r="E296">
        <f>IFERROR(MEDIAN(D276:D316),D296)</f>
        <v/>
      </c>
      <c r="F296">
        <f>IF(OR(NOT(ISNUMBER(D296)),ABS(D296-E296)&gt;$O$3),1,0)</f>
        <v/>
      </c>
      <c r="G296">
        <f>IF(F296=1,NA(),D296)</f>
        <v/>
      </c>
      <c r="H296">
        <f>IF(AND(ISNUMBER(D296),D296&gt;=$O$4),1,0)</f>
        <v/>
      </c>
      <c r="I296">
        <f>B296-$O$8</f>
        <v/>
      </c>
    </row>
    <row r="297">
      <c r="A297" t="n">
        <v>885</v>
      </c>
      <c r="B297" t="n">
        <v>29.5</v>
      </c>
      <c r="C297" t="inlineStr">
        <is>
          <t>62?5</t>
        </is>
      </c>
      <c r="E297">
        <f>IFERROR(MEDIAN(D277:D317),D297)</f>
        <v/>
      </c>
      <c r="F297">
        <f>IF(OR(NOT(ISNUMBER(D297)),ABS(D297-E297)&gt;$O$3),1,0)</f>
        <v/>
      </c>
      <c r="G297">
        <f>IF(F297=1,NA(),D297)</f>
        <v/>
      </c>
      <c r="H297">
        <f>IF(AND(ISNUMBER(D297),D297&gt;=$O$4),1,0)</f>
        <v/>
      </c>
      <c r="I297">
        <f>B297-$O$8</f>
        <v/>
      </c>
    </row>
    <row r="298">
      <c r="A298" t="n">
        <v>888</v>
      </c>
      <c r="B298" t="n">
        <v>29.6</v>
      </c>
      <c r="C298" t="inlineStr">
        <is>
          <t>62?5</t>
        </is>
      </c>
      <c r="E298">
        <f>IFERROR(MEDIAN(D278:D318),D298)</f>
        <v/>
      </c>
      <c r="F298">
        <f>IF(OR(NOT(ISNUMBER(D298)),ABS(D298-E298)&gt;$O$3),1,0)</f>
        <v/>
      </c>
      <c r="G298">
        <f>IF(F298=1,NA(),D298)</f>
        <v/>
      </c>
      <c r="H298">
        <f>IF(AND(ISNUMBER(D298),D298&gt;=$O$4),1,0)</f>
        <v/>
      </c>
      <c r="I298">
        <f>B298-$O$8</f>
        <v/>
      </c>
    </row>
    <row r="299">
      <c r="A299" t="n">
        <v>891</v>
      </c>
      <c r="B299" t="n">
        <v>29.7</v>
      </c>
      <c r="C299" t="inlineStr">
        <is>
          <t>62?5</t>
        </is>
      </c>
      <c r="E299">
        <f>IFERROR(MEDIAN(D279:D319),D299)</f>
        <v/>
      </c>
      <c r="F299">
        <f>IF(OR(NOT(ISNUMBER(D299)),ABS(D299-E299)&gt;$O$3),1,0)</f>
        <v/>
      </c>
      <c r="G299">
        <f>IF(F299=1,NA(),D299)</f>
        <v/>
      </c>
      <c r="H299">
        <f>IF(AND(ISNUMBER(D299),D299&gt;=$O$4),1,0)</f>
        <v/>
      </c>
      <c r="I299">
        <f>B299-$O$8</f>
        <v/>
      </c>
    </row>
    <row r="300">
      <c r="A300" t="n">
        <v>894</v>
      </c>
      <c r="B300" t="n">
        <v>29.8</v>
      </c>
      <c r="C300" t="inlineStr">
        <is>
          <t>62?5</t>
        </is>
      </c>
      <c r="E300">
        <f>IFERROR(MEDIAN(D280:D319),D300)</f>
        <v/>
      </c>
      <c r="F300">
        <f>IF(OR(NOT(ISNUMBER(D300)),ABS(D300-E300)&gt;$O$3),1,0)</f>
        <v/>
      </c>
      <c r="G300">
        <f>IF(F300=1,NA(),D300)</f>
        <v/>
      </c>
      <c r="H300">
        <f>IF(AND(ISNUMBER(D300),D300&gt;=$O$4),1,0)</f>
        <v/>
      </c>
      <c r="I300">
        <f>B300-$O$8</f>
        <v/>
      </c>
    </row>
    <row r="301">
      <c r="A301" t="n">
        <v>897</v>
      </c>
      <c r="B301" t="n">
        <v>29.9</v>
      </c>
      <c r="C301" t="inlineStr">
        <is>
          <t>6?5</t>
        </is>
      </c>
      <c r="E301">
        <f>IFERROR(MEDIAN(D281:D319),D301)</f>
        <v/>
      </c>
      <c r="F301">
        <f>IF(OR(NOT(ISNUMBER(D301)),ABS(D301-E301)&gt;$O$3),1,0)</f>
        <v/>
      </c>
      <c r="G301">
        <f>IF(F301=1,NA(),D301)</f>
        <v/>
      </c>
      <c r="H301">
        <f>IF(AND(ISNUMBER(D301),D301&gt;=$O$4),1,0)</f>
        <v/>
      </c>
      <c r="I301">
        <f>B301-$O$8</f>
        <v/>
      </c>
    </row>
    <row r="302">
      <c r="A302" t="n">
        <v>900</v>
      </c>
      <c r="B302" t="n">
        <v>30</v>
      </c>
      <c r="C302" t="inlineStr">
        <is>
          <t>62?5</t>
        </is>
      </c>
      <c r="E302">
        <f>IFERROR(MEDIAN(D282:D319),D302)</f>
        <v/>
      </c>
      <c r="F302">
        <f>IF(OR(NOT(ISNUMBER(D302)),ABS(D302-E302)&gt;$O$3),1,0)</f>
        <v/>
      </c>
      <c r="G302">
        <f>IF(F302=1,NA(),D302)</f>
        <v/>
      </c>
      <c r="H302">
        <f>IF(AND(ISNUMBER(D302),D302&gt;=$O$4),1,0)</f>
        <v/>
      </c>
      <c r="I302">
        <f>B302-$O$8</f>
        <v/>
      </c>
    </row>
    <row r="303">
      <c r="A303" t="n">
        <v>903</v>
      </c>
      <c r="B303" t="n">
        <v>30.1</v>
      </c>
      <c r="C303" t="inlineStr">
        <is>
          <t>62?5</t>
        </is>
      </c>
      <c r="E303">
        <f>IFERROR(MEDIAN(D283:D319),D303)</f>
        <v/>
      </c>
      <c r="F303">
        <f>IF(OR(NOT(ISNUMBER(D303)),ABS(D303-E303)&gt;$O$3),1,0)</f>
        <v/>
      </c>
      <c r="G303">
        <f>IF(F303=1,NA(),D303)</f>
        <v/>
      </c>
      <c r="H303">
        <f>IF(AND(ISNUMBER(D303),D303&gt;=$O$4),1,0)</f>
        <v/>
      </c>
      <c r="I303">
        <f>B303-$O$8</f>
        <v/>
      </c>
    </row>
    <row r="304">
      <c r="A304" t="n">
        <v>906</v>
      </c>
      <c r="B304" t="n">
        <v>30.2</v>
      </c>
      <c r="C304" t="inlineStr">
        <is>
          <t>62?5</t>
        </is>
      </c>
      <c r="E304">
        <f>IFERROR(MEDIAN(D284:D319),D304)</f>
        <v/>
      </c>
      <c r="F304">
        <f>IF(OR(NOT(ISNUMBER(D304)),ABS(D304-E304)&gt;$O$3),1,0)</f>
        <v/>
      </c>
      <c r="G304">
        <f>IF(F304=1,NA(),D304)</f>
        <v/>
      </c>
      <c r="H304">
        <f>IF(AND(ISNUMBER(D304),D304&gt;=$O$4),1,0)</f>
        <v/>
      </c>
      <c r="I304">
        <f>B304-$O$8</f>
        <v/>
      </c>
    </row>
    <row r="305">
      <c r="A305" t="n">
        <v>909</v>
      </c>
      <c r="B305" t="n">
        <v>30.3</v>
      </c>
      <c r="C305" t="inlineStr">
        <is>
          <t>62?5</t>
        </is>
      </c>
      <c r="E305">
        <f>IFERROR(MEDIAN(D285:D319),D305)</f>
        <v/>
      </c>
      <c r="F305">
        <f>IF(OR(NOT(ISNUMBER(D305)),ABS(D305-E305)&gt;$O$3),1,0)</f>
        <v/>
      </c>
      <c r="G305">
        <f>IF(F305=1,NA(),D305)</f>
        <v/>
      </c>
      <c r="H305">
        <f>IF(AND(ISNUMBER(D305),D305&gt;=$O$4),1,0)</f>
        <v/>
      </c>
      <c r="I305">
        <f>B305-$O$8</f>
        <v/>
      </c>
    </row>
    <row r="306">
      <c r="A306" t="n">
        <v>912</v>
      </c>
      <c r="B306" t="n">
        <v>30.4</v>
      </c>
      <c r="C306" t="inlineStr">
        <is>
          <t>62?5</t>
        </is>
      </c>
      <c r="E306">
        <f>IFERROR(MEDIAN(D286:D319),D306)</f>
        <v/>
      </c>
      <c r="F306">
        <f>IF(OR(NOT(ISNUMBER(D306)),ABS(D306-E306)&gt;$O$3),1,0)</f>
        <v/>
      </c>
      <c r="G306">
        <f>IF(F306=1,NA(),D306)</f>
        <v/>
      </c>
      <c r="H306">
        <f>IF(AND(ISNUMBER(D306),D306&gt;=$O$4),1,0)</f>
        <v/>
      </c>
      <c r="I306">
        <f>B306-$O$8</f>
        <v/>
      </c>
    </row>
    <row r="307">
      <c r="A307" t="n">
        <v>915</v>
      </c>
      <c r="B307" t="n">
        <v>30.5</v>
      </c>
      <c r="C307" t="inlineStr">
        <is>
          <t>62?5</t>
        </is>
      </c>
      <c r="E307">
        <f>IFERROR(MEDIAN(D287:D319),D307)</f>
        <v/>
      </c>
      <c r="F307">
        <f>IF(OR(NOT(ISNUMBER(D307)),ABS(D307-E307)&gt;$O$3),1,0)</f>
        <v/>
      </c>
      <c r="G307">
        <f>IF(F307=1,NA(),D307)</f>
        <v/>
      </c>
      <c r="H307">
        <f>IF(AND(ISNUMBER(D307),D307&gt;=$O$4),1,0)</f>
        <v/>
      </c>
      <c r="I307">
        <f>B307-$O$8</f>
        <v/>
      </c>
    </row>
    <row r="308">
      <c r="A308" t="n">
        <v>918</v>
      </c>
      <c r="B308" t="n">
        <v>30.6</v>
      </c>
      <c r="C308" t="inlineStr">
        <is>
          <t>62?5</t>
        </is>
      </c>
      <c r="E308">
        <f>IFERROR(MEDIAN(D288:D319),D308)</f>
        <v/>
      </c>
      <c r="F308">
        <f>IF(OR(NOT(ISNUMBER(D308)),ABS(D308-E308)&gt;$O$3),1,0)</f>
        <v/>
      </c>
      <c r="G308">
        <f>IF(F308=1,NA(),D308)</f>
        <v/>
      </c>
      <c r="H308">
        <f>IF(AND(ISNUMBER(D308),D308&gt;=$O$4),1,0)</f>
        <v/>
      </c>
      <c r="I308">
        <f>B308-$O$8</f>
        <v/>
      </c>
    </row>
    <row r="309">
      <c r="A309" t="n">
        <v>921</v>
      </c>
      <c r="B309" t="n">
        <v>30.7</v>
      </c>
      <c r="C309" t="inlineStr">
        <is>
          <t>62?5</t>
        </is>
      </c>
      <c r="E309">
        <f>IFERROR(MEDIAN(D289:D319),D309)</f>
        <v/>
      </c>
      <c r="F309">
        <f>IF(OR(NOT(ISNUMBER(D309)),ABS(D309-E309)&gt;$O$3),1,0)</f>
        <v/>
      </c>
      <c r="G309">
        <f>IF(F309=1,NA(),D309)</f>
        <v/>
      </c>
      <c r="H309">
        <f>IF(AND(ISNUMBER(D309),D309&gt;=$O$4),1,0)</f>
        <v/>
      </c>
      <c r="I309">
        <f>B309-$O$8</f>
        <v/>
      </c>
    </row>
    <row r="310">
      <c r="A310" t="n">
        <v>924</v>
      </c>
      <c r="B310" t="n">
        <v>30.8</v>
      </c>
      <c r="C310" t="inlineStr">
        <is>
          <t>62?5</t>
        </is>
      </c>
      <c r="E310">
        <f>IFERROR(MEDIAN(D290:D319),D310)</f>
        <v/>
      </c>
      <c r="F310">
        <f>IF(OR(NOT(ISNUMBER(D310)),ABS(D310-E310)&gt;$O$3),1,0)</f>
        <v/>
      </c>
      <c r="G310">
        <f>IF(F310=1,NA(),D310)</f>
        <v/>
      </c>
      <c r="H310">
        <f>IF(AND(ISNUMBER(D310),D310&gt;=$O$4),1,0)</f>
        <v/>
      </c>
      <c r="I310">
        <f>B310-$O$8</f>
        <v/>
      </c>
    </row>
    <row r="311">
      <c r="A311" t="n">
        <v>927</v>
      </c>
      <c r="B311" t="n">
        <v>30.9</v>
      </c>
      <c r="C311" t="inlineStr">
        <is>
          <t>62?5</t>
        </is>
      </c>
      <c r="E311">
        <f>IFERROR(MEDIAN(D291:D319),D311)</f>
        <v/>
      </c>
      <c r="F311">
        <f>IF(OR(NOT(ISNUMBER(D311)),ABS(D311-E311)&gt;$O$3),1,0)</f>
        <v/>
      </c>
      <c r="G311">
        <f>IF(F311=1,NA(),D311)</f>
        <v/>
      </c>
      <c r="H311">
        <f>IF(AND(ISNUMBER(D311),D311&gt;=$O$4),1,0)</f>
        <v/>
      </c>
      <c r="I311">
        <f>B311-$O$8</f>
        <v/>
      </c>
    </row>
    <row r="312">
      <c r="A312" t="n">
        <v>930</v>
      </c>
      <c r="B312" t="n">
        <v>31</v>
      </c>
      <c r="C312" t="inlineStr">
        <is>
          <t>62?5</t>
        </is>
      </c>
      <c r="E312">
        <f>IFERROR(MEDIAN(D292:D319),D312)</f>
        <v/>
      </c>
      <c r="F312">
        <f>IF(OR(NOT(ISNUMBER(D312)),ABS(D312-E312)&gt;$O$3),1,0)</f>
        <v/>
      </c>
      <c r="G312">
        <f>IF(F312=1,NA(),D312)</f>
        <v/>
      </c>
      <c r="H312">
        <f>IF(AND(ISNUMBER(D312),D312&gt;=$O$4),1,0)</f>
        <v/>
      </c>
      <c r="I312">
        <f>B312-$O$8</f>
        <v/>
      </c>
    </row>
    <row r="313">
      <c r="A313" t="n">
        <v>933</v>
      </c>
      <c r="B313" t="n">
        <v>31.1</v>
      </c>
      <c r="C313" t="inlineStr">
        <is>
          <t>62?5</t>
        </is>
      </c>
      <c r="E313">
        <f>IFERROR(MEDIAN(D293:D319),D313)</f>
        <v/>
      </c>
      <c r="F313">
        <f>IF(OR(NOT(ISNUMBER(D313)),ABS(D313-E313)&gt;$O$3),1,0)</f>
        <v/>
      </c>
      <c r="G313">
        <f>IF(F313=1,NA(),D313)</f>
        <v/>
      </c>
      <c r="H313">
        <f>IF(AND(ISNUMBER(D313),D313&gt;=$O$4),1,0)</f>
        <v/>
      </c>
      <c r="I313">
        <f>B313-$O$8</f>
        <v/>
      </c>
    </row>
    <row r="314">
      <c r="A314" t="n">
        <v>936</v>
      </c>
      <c r="B314" t="n">
        <v>31.2</v>
      </c>
      <c r="C314" t="inlineStr">
        <is>
          <t>62?5</t>
        </is>
      </c>
      <c r="E314">
        <f>IFERROR(MEDIAN(D294:D319),D314)</f>
        <v/>
      </c>
      <c r="F314">
        <f>IF(OR(NOT(ISNUMBER(D314)),ABS(D314-E314)&gt;$O$3),1,0)</f>
        <v/>
      </c>
      <c r="G314">
        <f>IF(F314=1,NA(),D314)</f>
        <v/>
      </c>
      <c r="H314">
        <f>IF(AND(ISNUMBER(D314),D314&gt;=$O$4),1,0)</f>
        <v/>
      </c>
      <c r="I314">
        <f>B314-$O$8</f>
        <v/>
      </c>
    </row>
    <row r="315">
      <c r="A315" t="n">
        <v>939</v>
      </c>
      <c r="B315" t="n">
        <v>31.3</v>
      </c>
      <c r="C315" t="inlineStr">
        <is>
          <t>62?5</t>
        </is>
      </c>
      <c r="E315">
        <f>IFERROR(MEDIAN(D295:D319),D315)</f>
        <v/>
      </c>
      <c r="F315">
        <f>IF(OR(NOT(ISNUMBER(D315)),ABS(D315-E315)&gt;$O$3),1,0)</f>
        <v/>
      </c>
      <c r="G315">
        <f>IF(F315=1,NA(),D315)</f>
        <v/>
      </c>
      <c r="H315">
        <f>IF(AND(ISNUMBER(D315),D315&gt;=$O$4),1,0)</f>
        <v/>
      </c>
      <c r="I315">
        <f>B315-$O$8</f>
        <v/>
      </c>
    </row>
    <row r="316">
      <c r="A316" t="n">
        <v>942</v>
      </c>
      <c r="B316" t="n">
        <v>31.4</v>
      </c>
      <c r="C316" t="inlineStr">
        <is>
          <t>62?5</t>
        </is>
      </c>
      <c r="E316">
        <f>IFERROR(MEDIAN(D296:D319),D316)</f>
        <v/>
      </c>
      <c r="F316">
        <f>IF(OR(NOT(ISNUMBER(D316)),ABS(D316-E316)&gt;$O$3),1,0)</f>
        <v/>
      </c>
      <c r="G316">
        <f>IF(F316=1,NA(),D316)</f>
        <v/>
      </c>
      <c r="H316">
        <f>IF(AND(ISNUMBER(D316),D316&gt;=$O$4),1,0)</f>
        <v/>
      </c>
      <c r="I316">
        <f>B316-$O$8</f>
        <v/>
      </c>
    </row>
    <row r="317">
      <c r="A317" t="n">
        <v>945</v>
      </c>
      <c r="B317" t="n">
        <v>31.5</v>
      </c>
      <c r="C317" t="inlineStr">
        <is>
          <t>62?5</t>
        </is>
      </c>
      <c r="E317">
        <f>IFERROR(MEDIAN(D297:D319),D317)</f>
        <v/>
      </c>
      <c r="F317">
        <f>IF(OR(NOT(ISNUMBER(D317)),ABS(D317-E317)&gt;$O$3),1,0)</f>
        <v/>
      </c>
      <c r="G317">
        <f>IF(F317=1,NA(),D317)</f>
        <v/>
      </c>
      <c r="H317">
        <f>IF(AND(ISNUMBER(D317),D317&gt;=$O$4),1,0)</f>
        <v/>
      </c>
      <c r="I317">
        <f>B317-$O$8</f>
        <v/>
      </c>
    </row>
    <row r="318">
      <c r="A318" t="n">
        <v>948</v>
      </c>
      <c r="B318" t="n">
        <v>31.6</v>
      </c>
      <c r="C318" t="inlineStr">
        <is>
          <t>??5</t>
        </is>
      </c>
      <c r="E318">
        <f>IFERROR(MEDIAN(D298:D319),D318)</f>
        <v/>
      </c>
      <c r="F318">
        <f>IF(OR(NOT(ISNUMBER(D318)),ABS(D318-E318)&gt;$O$3),1,0)</f>
        <v/>
      </c>
      <c r="G318">
        <f>IF(F318=1,NA(),D318)</f>
        <v/>
      </c>
      <c r="H318">
        <f>IF(AND(ISNUMBER(D318),D318&gt;=$O$4),1,0)</f>
        <v/>
      </c>
      <c r="I318">
        <f>B318-$O$8</f>
        <v/>
      </c>
    </row>
    <row r="319">
      <c r="A319" t="n">
        <v>951</v>
      </c>
      <c r="B319" t="n">
        <v>31.7</v>
      </c>
      <c r="C319" t="inlineStr">
        <is>
          <t>62?5</t>
        </is>
      </c>
      <c r="E319">
        <f>IFERROR(MEDIAN(D299:D319),D319)</f>
        <v/>
      </c>
      <c r="F319">
        <f>IF(OR(NOT(ISNUMBER(D319)),ABS(D319-E319)&gt;$O$3),1,0)</f>
        <v/>
      </c>
      <c r="G319">
        <f>IF(F319=1,NA(),D319)</f>
        <v/>
      </c>
      <c r="H319">
        <f>IF(AND(ISNUMBER(D319),D319&gt;=$O$4),1,0)</f>
        <v/>
      </c>
      <c r="I319">
        <f>B319-$O$8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time_corrected_s</t>
        </is>
      </c>
      <c r="B1" s="1" t="inlineStr">
        <is>
          <t>remaining_volume_mL</t>
        </is>
      </c>
    </row>
    <row r="2">
      <c r="A2">
        <f>Sheet1!I2</f>
        <v/>
      </c>
      <c r="B2">
        <f>IF(ISNA(Sheet1!G2),NA(),Sheet1!$O$5-(Sheet1!G2/Sheet1!$O$6))</f>
        <v/>
      </c>
    </row>
    <row r="3">
      <c r="A3">
        <f>Sheet1!I3</f>
        <v/>
      </c>
      <c r="B3">
        <f>IF(ISNA(Sheet1!G3),NA(),Sheet1!$O$5-(Sheet1!G3/Sheet1!$O$6))</f>
        <v/>
      </c>
    </row>
    <row r="4">
      <c r="A4">
        <f>Sheet1!I4</f>
        <v/>
      </c>
      <c r="B4">
        <f>IF(ISNA(Sheet1!G4),NA(),Sheet1!$O$5-(Sheet1!G4/Sheet1!$O$6))</f>
        <v/>
      </c>
    </row>
    <row r="5">
      <c r="A5">
        <f>Sheet1!I5</f>
        <v/>
      </c>
      <c r="B5">
        <f>IF(ISNA(Sheet1!G5),NA(),Sheet1!$O$5-(Sheet1!G5/Sheet1!$O$6))</f>
        <v/>
      </c>
    </row>
    <row r="6">
      <c r="A6">
        <f>Sheet1!I6</f>
        <v/>
      </c>
      <c r="B6">
        <f>IF(ISNA(Sheet1!G6),NA(),Sheet1!$O$5-(Sheet1!G6/Sheet1!$O$6))</f>
        <v/>
      </c>
    </row>
    <row r="7">
      <c r="A7">
        <f>Sheet1!I7</f>
        <v/>
      </c>
      <c r="B7">
        <f>IF(ISNA(Sheet1!G7),NA(),Sheet1!$O$5-(Sheet1!G7/Sheet1!$O$6))</f>
        <v/>
      </c>
    </row>
    <row r="8">
      <c r="A8">
        <f>Sheet1!I8</f>
        <v/>
      </c>
      <c r="B8">
        <f>IF(ISNA(Sheet1!G8),NA(),Sheet1!$O$5-(Sheet1!G8/Sheet1!$O$6))</f>
        <v/>
      </c>
    </row>
    <row r="9">
      <c r="A9">
        <f>Sheet1!I9</f>
        <v/>
      </c>
      <c r="B9">
        <f>IF(ISNA(Sheet1!G9),NA(),Sheet1!$O$5-(Sheet1!G9/Sheet1!$O$6))</f>
        <v/>
      </c>
    </row>
    <row r="10">
      <c r="A10">
        <f>Sheet1!I10</f>
        <v/>
      </c>
      <c r="B10">
        <f>IF(ISNA(Sheet1!G10),NA(),Sheet1!$O$5-(Sheet1!G10/Sheet1!$O$6))</f>
        <v/>
      </c>
    </row>
    <row r="11">
      <c r="A11">
        <f>Sheet1!I11</f>
        <v/>
      </c>
      <c r="B11">
        <f>IF(ISNA(Sheet1!G11),NA(),Sheet1!$O$5-(Sheet1!G11/Sheet1!$O$6))</f>
        <v/>
      </c>
    </row>
    <row r="12">
      <c r="A12">
        <f>Sheet1!I12</f>
        <v/>
      </c>
      <c r="B12">
        <f>IF(ISNA(Sheet1!G12),NA(),Sheet1!$O$5-(Sheet1!G12/Sheet1!$O$6))</f>
        <v/>
      </c>
    </row>
    <row r="13">
      <c r="A13">
        <f>Sheet1!I13</f>
        <v/>
      </c>
      <c r="B13">
        <f>IF(ISNA(Sheet1!G13),NA(),Sheet1!$O$5-(Sheet1!G13/Sheet1!$O$6))</f>
        <v/>
      </c>
    </row>
    <row r="14">
      <c r="A14">
        <f>Sheet1!I14</f>
        <v/>
      </c>
      <c r="B14">
        <f>IF(ISNA(Sheet1!G14),NA(),Sheet1!$O$5-(Sheet1!G14/Sheet1!$O$6))</f>
        <v/>
      </c>
    </row>
    <row r="15">
      <c r="A15">
        <f>Sheet1!I15</f>
        <v/>
      </c>
      <c r="B15">
        <f>IF(ISNA(Sheet1!G15),NA(),Sheet1!$O$5-(Sheet1!G15/Sheet1!$O$6))</f>
        <v/>
      </c>
    </row>
    <row r="16">
      <c r="A16">
        <f>Sheet1!I16</f>
        <v/>
      </c>
      <c r="B16">
        <f>IF(ISNA(Sheet1!G16),NA(),Sheet1!$O$5-(Sheet1!G16/Sheet1!$O$6))</f>
        <v/>
      </c>
    </row>
    <row r="17">
      <c r="A17">
        <f>Sheet1!I17</f>
        <v/>
      </c>
      <c r="B17">
        <f>IF(ISNA(Sheet1!G17),NA(),Sheet1!$O$5-(Sheet1!G17/Sheet1!$O$6))</f>
        <v/>
      </c>
    </row>
    <row r="18">
      <c r="A18">
        <f>Sheet1!I18</f>
        <v/>
      </c>
      <c r="B18">
        <f>IF(ISNA(Sheet1!G18),NA(),Sheet1!$O$5-(Sheet1!G18/Sheet1!$O$6))</f>
        <v/>
      </c>
    </row>
    <row r="19">
      <c r="A19">
        <f>Sheet1!I19</f>
        <v/>
      </c>
      <c r="B19">
        <f>IF(ISNA(Sheet1!G19),NA(),Sheet1!$O$5-(Sheet1!G19/Sheet1!$O$6))</f>
        <v/>
      </c>
    </row>
    <row r="20">
      <c r="A20">
        <f>Sheet1!I20</f>
        <v/>
      </c>
      <c r="B20">
        <f>IF(ISNA(Sheet1!G20),NA(),Sheet1!$O$5-(Sheet1!G20/Sheet1!$O$6))</f>
        <v/>
      </c>
    </row>
    <row r="21">
      <c r="A21">
        <f>Sheet1!I21</f>
        <v/>
      </c>
      <c r="B21">
        <f>IF(ISNA(Sheet1!G21),NA(),Sheet1!$O$5-(Sheet1!G21/Sheet1!$O$6))</f>
        <v/>
      </c>
    </row>
    <row r="22">
      <c r="A22">
        <f>Sheet1!I22</f>
        <v/>
      </c>
      <c r="B22">
        <f>IF(ISNA(Sheet1!G22),NA(),Sheet1!$O$5-(Sheet1!G22/Sheet1!$O$6))</f>
        <v/>
      </c>
    </row>
    <row r="23">
      <c r="A23">
        <f>Sheet1!I23</f>
        <v/>
      </c>
      <c r="B23">
        <f>IF(ISNA(Sheet1!G23),NA(),Sheet1!$O$5-(Sheet1!G23/Sheet1!$O$6))</f>
        <v/>
      </c>
    </row>
    <row r="24">
      <c r="A24">
        <f>Sheet1!I24</f>
        <v/>
      </c>
      <c r="B24">
        <f>IF(ISNA(Sheet1!G24),NA(),Sheet1!$O$5-(Sheet1!G24/Sheet1!$O$6))</f>
        <v/>
      </c>
    </row>
    <row r="25">
      <c r="A25">
        <f>Sheet1!I25</f>
        <v/>
      </c>
      <c r="B25">
        <f>IF(ISNA(Sheet1!G25),NA(),Sheet1!$O$5-(Sheet1!G25/Sheet1!$O$6))</f>
        <v/>
      </c>
    </row>
    <row r="26">
      <c r="A26">
        <f>Sheet1!I26</f>
        <v/>
      </c>
      <c r="B26">
        <f>IF(ISNA(Sheet1!G26),NA(),Sheet1!$O$5-(Sheet1!G26/Sheet1!$O$6))</f>
        <v/>
      </c>
    </row>
    <row r="27">
      <c r="A27">
        <f>Sheet1!I27</f>
        <v/>
      </c>
      <c r="B27">
        <f>IF(ISNA(Sheet1!G27),NA(),Sheet1!$O$5-(Sheet1!G27/Sheet1!$O$6))</f>
        <v/>
      </c>
    </row>
    <row r="28">
      <c r="A28">
        <f>Sheet1!I28</f>
        <v/>
      </c>
      <c r="B28">
        <f>IF(ISNA(Sheet1!G28),NA(),Sheet1!$O$5-(Sheet1!G28/Sheet1!$O$6))</f>
        <v/>
      </c>
    </row>
    <row r="29">
      <c r="A29">
        <f>Sheet1!I29</f>
        <v/>
      </c>
      <c r="B29">
        <f>IF(ISNA(Sheet1!G29),NA(),Sheet1!$O$5-(Sheet1!G29/Sheet1!$O$6))</f>
        <v/>
      </c>
    </row>
    <row r="30">
      <c r="A30">
        <f>Sheet1!I30</f>
        <v/>
      </c>
      <c r="B30">
        <f>IF(ISNA(Sheet1!G30),NA(),Sheet1!$O$5-(Sheet1!G30/Sheet1!$O$6))</f>
        <v/>
      </c>
    </row>
    <row r="31">
      <c r="A31">
        <f>Sheet1!I31</f>
        <v/>
      </c>
      <c r="B31">
        <f>IF(ISNA(Sheet1!G31),NA(),Sheet1!$O$5-(Sheet1!G31/Sheet1!$O$6))</f>
        <v/>
      </c>
    </row>
    <row r="32">
      <c r="A32">
        <f>Sheet1!I32</f>
        <v/>
      </c>
      <c r="B32">
        <f>IF(ISNA(Sheet1!G32),NA(),Sheet1!$O$5-(Sheet1!G32/Sheet1!$O$6))</f>
        <v/>
      </c>
    </row>
    <row r="33">
      <c r="A33">
        <f>Sheet1!I33</f>
        <v/>
      </c>
      <c r="B33">
        <f>IF(ISNA(Sheet1!G33),NA(),Sheet1!$O$5-(Sheet1!G33/Sheet1!$O$6))</f>
        <v/>
      </c>
    </row>
    <row r="34">
      <c r="A34">
        <f>Sheet1!I34</f>
        <v/>
      </c>
      <c r="B34">
        <f>IF(ISNA(Sheet1!G34),NA(),Sheet1!$O$5-(Sheet1!G34/Sheet1!$O$6))</f>
        <v/>
      </c>
    </row>
    <row r="35">
      <c r="A35">
        <f>Sheet1!I35</f>
        <v/>
      </c>
      <c r="B35">
        <f>IF(ISNA(Sheet1!G35),NA(),Sheet1!$O$5-(Sheet1!G35/Sheet1!$O$6))</f>
        <v/>
      </c>
    </row>
    <row r="36">
      <c r="A36">
        <f>Sheet1!I36</f>
        <v/>
      </c>
      <c r="B36">
        <f>IF(ISNA(Sheet1!G36),NA(),Sheet1!$O$5-(Sheet1!G36/Sheet1!$O$6))</f>
        <v/>
      </c>
    </row>
    <row r="37">
      <c r="A37">
        <f>Sheet1!I37</f>
        <v/>
      </c>
      <c r="B37">
        <f>IF(ISNA(Sheet1!G37),NA(),Sheet1!$O$5-(Sheet1!G37/Sheet1!$O$6))</f>
        <v/>
      </c>
    </row>
    <row r="38">
      <c r="A38">
        <f>Sheet1!I38</f>
        <v/>
      </c>
      <c r="B38">
        <f>IF(ISNA(Sheet1!G38),NA(),Sheet1!$O$5-(Sheet1!G38/Sheet1!$O$6))</f>
        <v/>
      </c>
    </row>
    <row r="39">
      <c r="A39">
        <f>Sheet1!I39</f>
        <v/>
      </c>
      <c r="B39">
        <f>IF(ISNA(Sheet1!G39),NA(),Sheet1!$O$5-(Sheet1!G39/Sheet1!$O$6))</f>
        <v/>
      </c>
    </row>
    <row r="40">
      <c r="A40">
        <f>Sheet1!I40</f>
        <v/>
      </c>
      <c r="B40">
        <f>IF(ISNA(Sheet1!G40),NA(),Sheet1!$O$5-(Sheet1!G40/Sheet1!$O$6))</f>
        <v/>
      </c>
    </row>
    <row r="41">
      <c r="A41">
        <f>Sheet1!I41</f>
        <v/>
      </c>
      <c r="B41">
        <f>IF(ISNA(Sheet1!G41),NA(),Sheet1!$O$5-(Sheet1!G41/Sheet1!$O$6))</f>
        <v/>
      </c>
    </row>
    <row r="42">
      <c r="A42">
        <f>Sheet1!I42</f>
        <v/>
      </c>
      <c r="B42">
        <f>IF(ISNA(Sheet1!G42),NA(),Sheet1!$O$5-(Sheet1!G42/Sheet1!$O$6))</f>
        <v/>
      </c>
    </row>
    <row r="43">
      <c r="A43">
        <f>Sheet1!I43</f>
        <v/>
      </c>
      <c r="B43">
        <f>IF(ISNA(Sheet1!G43),NA(),Sheet1!$O$5-(Sheet1!G43/Sheet1!$O$6))</f>
        <v/>
      </c>
    </row>
    <row r="44">
      <c r="A44">
        <f>Sheet1!I44</f>
        <v/>
      </c>
      <c r="B44">
        <f>IF(ISNA(Sheet1!G44),NA(),Sheet1!$O$5-(Sheet1!G44/Sheet1!$O$6))</f>
        <v/>
      </c>
    </row>
    <row r="45">
      <c r="A45">
        <f>Sheet1!I45</f>
        <v/>
      </c>
      <c r="B45">
        <f>IF(ISNA(Sheet1!G45),NA(),Sheet1!$O$5-(Sheet1!G45/Sheet1!$O$6))</f>
        <v/>
      </c>
    </row>
    <row r="46">
      <c r="A46">
        <f>Sheet1!I46</f>
        <v/>
      </c>
      <c r="B46">
        <f>IF(ISNA(Sheet1!G46),NA(),Sheet1!$O$5-(Sheet1!G46/Sheet1!$O$6))</f>
        <v/>
      </c>
    </row>
    <row r="47">
      <c r="A47">
        <f>Sheet1!I47</f>
        <v/>
      </c>
      <c r="B47">
        <f>IF(ISNA(Sheet1!G47),NA(),Sheet1!$O$5-(Sheet1!G47/Sheet1!$O$6))</f>
        <v/>
      </c>
    </row>
    <row r="48">
      <c r="A48">
        <f>Sheet1!I48</f>
        <v/>
      </c>
      <c r="B48">
        <f>IF(ISNA(Sheet1!G48),NA(),Sheet1!$O$5-(Sheet1!G48/Sheet1!$O$6))</f>
        <v/>
      </c>
    </row>
    <row r="49">
      <c r="A49">
        <f>Sheet1!I49</f>
        <v/>
      </c>
      <c r="B49">
        <f>IF(ISNA(Sheet1!G49),NA(),Sheet1!$O$5-(Sheet1!G49/Sheet1!$O$6))</f>
        <v/>
      </c>
    </row>
    <row r="50">
      <c r="A50">
        <f>Sheet1!I50</f>
        <v/>
      </c>
      <c r="B50">
        <f>IF(ISNA(Sheet1!G50),NA(),Sheet1!$O$5-(Sheet1!G50/Sheet1!$O$6))</f>
        <v/>
      </c>
    </row>
    <row r="51">
      <c r="A51">
        <f>Sheet1!I51</f>
        <v/>
      </c>
      <c r="B51">
        <f>IF(ISNA(Sheet1!G51),NA(),Sheet1!$O$5-(Sheet1!G51/Sheet1!$O$6))</f>
        <v/>
      </c>
    </row>
    <row r="52">
      <c r="A52">
        <f>Sheet1!I52</f>
        <v/>
      </c>
      <c r="B52">
        <f>IF(ISNA(Sheet1!G52),NA(),Sheet1!$O$5-(Sheet1!G52/Sheet1!$O$6))</f>
        <v/>
      </c>
    </row>
    <row r="53">
      <c r="A53">
        <f>Sheet1!I53</f>
        <v/>
      </c>
      <c r="B53">
        <f>IF(ISNA(Sheet1!G53),NA(),Sheet1!$O$5-(Sheet1!G53/Sheet1!$O$6))</f>
        <v/>
      </c>
    </row>
    <row r="54">
      <c r="A54">
        <f>Sheet1!I54</f>
        <v/>
      </c>
      <c r="B54">
        <f>IF(ISNA(Sheet1!G54),NA(),Sheet1!$O$5-(Sheet1!G54/Sheet1!$O$6))</f>
        <v/>
      </c>
    </row>
    <row r="55">
      <c r="A55">
        <f>Sheet1!I55</f>
        <v/>
      </c>
      <c r="B55">
        <f>IF(ISNA(Sheet1!G55),NA(),Sheet1!$O$5-(Sheet1!G55/Sheet1!$O$6))</f>
        <v/>
      </c>
    </row>
    <row r="56">
      <c r="A56">
        <f>Sheet1!I56</f>
        <v/>
      </c>
      <c r="B56">
        <f>IF(ISNA(Sheet1!G56),NA(),Sheet1!$O$5-(Sheet1!G56/Sheet1!$O$6))</f>
        <v/>
      </c>
    </row>
    <row r="57">
      <c r="A57">
        <f>Sheet1!I57</f>
        <v/>
      </c>
      <c r="B57">
        <f>IF(ISNA(Sheet1!G57),NA(),Sheet1!$O$5-(Sheet1!G57/Sheet1!$O$6))</f>
        <v/>
      </c>
    </row>
    <row r="58">
      <c r="A58">
        <f>Sheet1!I58</f>
        <v/>
      </c>
      <c r="B58">
        <f>IF(ISNA(Sheet1!G58),NA(),Sheet1!$O$5-(Sheet1!G58/Sheet1!$O$6))</f>
        <v/>
      </c>
    </row>
    <row r="59">
      <c r="A59">
        <f>Sheet1!I59</f>
        <v/>
      </c>
      <c r="B59">
        <f>IF(ISNA(Sheet1!G59),NA(),Sheet1!$O$5-(Sheet1!G59/Sheet1!$O$6))</f>
        <v/>
      </c>
    </row>
    <row r="60">
      <c r="A60">
        <f>Sheet1!I60</f>
        <v/>
      </c>
      <c r="B60">
        <f>IF(ISNA(Sheet1!G60),NA(),Sheet1!$O$5-(Sheet1!G60/Sheet1!$O$6))</f>
        <v/>
      </c>
    </row>
    <row r="61">
      <c r="A61">
        <f>Sheet1!I61</f>
        <v/>
      </c>
      <c r="B61">
        <f>IF(ISNA(Sheet1!G61),NA(),Sheet1!$O$5-(Sheet1!G61/Sheet1!$O$6))</f>
        <v/>
      </c>
    </row>
    <row r="62">
      <c r="A62">
        <f>Sheet1!I62</f>
        <v/>
      </c>
      <c r="B62">
        <f>IF(ISNA(Sheet1!G62),NA(),Sheet1!$O$5-(Sheet1!G62/Sheet1!$O$6))</f>
        <v/>
      </c>
    </row>
    <row r="63">
      <c r="A63">
        <f>Sheet1!I63</f>
        <v/>
      </c>
      <c r="B63">
        <f>IF(ISNA(Sheet1!G63),NA(),Sheet1!$O$5-(Sheet1!G63/Sheet1!$O$6))</f>
        <v/>
      </c>
    </row>
    <row r="64">
      <c r="A64">
        <f>Sheet1!I64</f>
        <v/>
      </c>
      <c r="B64">
        <f>IF(ISNA(Sheet1!G64),NA(),Sheet1!$O$5-(Sheet1!G64/Sheet1!$O$6))</f>
        <v/>
      </c>
    </row>
    <row r="65">
      <c r="A65">
        <f>Sheet1!I65</f>
        <v/>
      </c>
      <c r="B65">
        <f>IF(ISNA(Sheet1!G65),NA(),Sheet1!$O$5-(Sheet1!G65/Sheet1!$O$6))</f>
        <v/>
      </c>
    </row>
    <row r="66">
      <c r="A66">
        <f>Sheet1!I66</f>
        <v/>
      </c>
      <c r="B66">
        <f>IF(ISNA(Sheet1!G66),NA(),Sheet1!$O$5-(Sheet1!G66/Sheet1!$O$6))</f>
        <v/>
      </c>
    </row>
    <row r="67">
      <c r="A67">
        <f>Sheet1!I67</f>
        <v/>
      </c>
      <c r="B67">
        <f>IF(ISNA(Sheet1!G67),NA(),Sheet1!$O$5-(Sheet1!G67/Sheet1!$O$6))</f>
        <v/>
      </c>
    </row>
    <row r="68">
      <c r="A68">
        <f>Sheet1!I68</f>
        <v/>
      </c>
      <c r="B68">
        <f>IF(ISNA(Sheet1!G68),NA(),Sheet1!$O$5-(Sheet1!G68/Sheet1!$O$6))</f>
        <v/>
      </c>
    </row>
    <row r="69">
      <c r="A69">
        <f>Sheet1!I69</f>
        <v/>
      </c>
      <c r="B69">
        <f>IF(ISNA(Sheet1!G69),NA(),Sheet1!$O$5-(Sheet1!G69/Sheet1!$O$6))</f>
        <v/>
      </c>
    </row>
    <row r="70">
      <c r="A70">
        <f>Sheet1!I70</f>
        <v/>
      </c>
      <c r="B70">
        <f>IF(ISNA(Sheet1!G70),NA(),Sheet1!$O$5-(Sheet1!G70/Sheet1!$O$6))</f>
        <v/>
      </c>
    </row>
    <row r="71">
      <c r="A71">
        <f>Sheet1!I71</f>
        <v/>
      </c>
      <c r="B71">
        <f>IF(ISNA(Sheet1!G71),NA(),Sheet1!$O$5-(Sheet1!G71/Sheet1!$O$6))</f>
        <v/>
      </c>
    </row>
    <row r="72">
      <c r="A72">
        <f>Sheet1!I72</f>
        <v/>
      </c>
      <c r="B72">
        <f>IF(ISNA(Sheet1!G72),NA(),Sheet1!$O$5-(Sheet1!G72/Sheet1!$O$6))</f>
        <v/>
      </c>
    </row>
    <row r="73">
      <c r="A73">
        <f>Sheet1!I73</f>
        <v/>
      </c>
      <c r="B73">
        <f>IF(ISNA(Sheet1!G73),NA(),Sheet1!$O$5-(Sheet1!G73/Sheet1!$O$6))</f>
        <v/>
      </c>
    </row>
    <row r="74">
      <c r="A74">
        <f>Sheet1!I74</f>
        <v/>
      </c>
      <c r="B74">
        <f>IF(ISNA(Sheet1!G74),NA(),Sheet1!$O$5-(Sheet1!G74/Sheet1!$O$6))</f>
        <v/>
      </c>
    </row>
    <row r="75">
      <c r="A75">
        <f>Sheet1!I75</f>
        <v/>
      </c>
      <c r="B75">
        <f>IF(ISNA(Sheet1!G75),NA(),Sheet1!$O$5-(Sheet1!G75/Sheet1!$O$6))</f>
        <v/>
      </c>
    </row>
    <row r="76">
      <c r="A76">
        <f>Sheet1!I76</f>
        <v/>
      </c>
      <c r="B76">
        <f>IF(ISNA(Sheet1!G76),NA(),Sheet1!$O$5-(Sheet1!G76/Sheet1!$O$6))</f>
        <v/>
      </c>
    </row>
    <row r="77">
      <c r="A77">
        <f>Sheet1!I77</f>
        <v/>
      </c>
      <c r="B77">
        <f>IF(ISNA(Sheet1!G77),NA(),Sheet1!$O$5-(Sheet1!G77/Sheet1!$O$6))</f>
        <v/>
      </c>
    </row>
    <row r="78">
      <c r="A78">
        <f>Sheet1!I78</f>
        <v/>
      </c>
      <c r="B78">
        <f>IF(ISNA(Sheet1!G78),NA(),Sheet1!$O$5-(Sheet1!G78/Sheet1!$O$6))</f>
        <v/>
      </c>
    </row>
    <row r="79">
      <c r="A79">
        <f>Sheet1!I79</f>
        <v/>
      </c>
      <c r="B79">
        <f>IF(ISNA(Sheet1!G79),NA(),Sheet1!$O$5-(Sheet1!G79/Sheet1!$O$6))</f>
        <v/>
      </c>
    </row>
    <row r="80">
      <c r="A80">
        <f>Sheet1!I80</f>
        <v/>
      </c>
      <c r="B80">
        <f>IF(ISNA(Sheet1!G80),NA(),Sheet1!$O$5-(Sheet1!G80/Sheet1!$O$6))</f>
        <v/>
      </c>
    </row>
    <row r="81">
      <c r="A81">
        <f>Sheet1!I81</f>
        <v/>
      </c>
      <c r="B81">
        <f>IF(ISNA(Sheet1!G81),NA(),Sheet1!$O$5-(Sheet1!G81/Sheet1!$O$6))</f>
        <v/>
      </c>
    </row>
    <row r="82">
      <c r="A82">
        <f>Sheet1!I82</f>
        <v/>
      </c>
      <c r="B82">
        <f>IF(ISNA(Sheet1!G82),NA(),Sheet1!$O$5-(Sheet1!G82/Sheet1!$O$6))</f>
        <v/>
      </c>
    </row>
    <row r="83">
      <c r="A83">
        <f>Sheet1!I83</f>
        <v/>
      </c>
      <c r="B83">
        <f>IF(ISNA(Sheet1!G83),NA(),Sheet1!$O$5-(Sheet1!G83/Sheet1!$O$6))</f>
        <v/>
      </c>
    </row>
    <row r="84">
      <c r="A84">
        <f>Sheet1!I84</f>
        <v/>
      </c>
      <c r="B84">
        <f>IF(ISNA(Sheet1!G84),NA(),Sheet1!$O$5-(Sheet1!G84/Sheet1!$O$6))</f>
        <v/>
      </c>
    </row>
    <row r="85">
      <c r="A85">
        <f>Sheet1!I85</f>
        <v/>
      </c>
      <c r="B85">
        <f>IF(ISNA(Sheet1!G85),NA(),Sheet1!$O$5-(Sheet1!G85/Sheet1!$O$6))</f>
        <v/>
      </c>
    </row>
    <row r="86">
      <c r="A86">
        <f>Sheet1!I86</f>
        <v/>
      </c>
      <c r="B86">
        <f>IF(ISNA(Sheet1!G86),NA(),Sheet1!$O$5-(Sheet1!G86/Sheet1!$O$6))</f>
        <v/>
      </c>
    </row>
    <row r="87">
      <c r="A87">
        <f>Sheet1!I87</f>
        <v/>
      </c>
      <c r="B87">
        <f>IF(ISNA(Sheet1!G87),NA(),Sheet1!$O$5-(Sheet1!G87/Sheet1!$O$6))</f>
        <v/>
      </c>
    </row>
    <row r="88">
      <c r="A88">
        <f>Sheet1!I88</f>
        <v/>
      </c>
      <c r="B88">
        <f>IF(ISNA(Sheet1!G88),NA(),Sheet1!$O$5-(Sheet1!G88/Sheet1!$O$6))</f>
        <v/>
      </c>
    </row>
    <row r="89">
      <c r="A89">
        <f>Sheet1!I89</f>
        <v/>
      </c>
      <c r="B89">
        <f>IF(ISNA(Sheet1!G89),NA(),Sheet1!$O$5-(Sheet1!G89/Sheet1!$O$6))</f>
        <v/>
      </c>
    </row>
    <row r="90">
      <c r="A90">
        <f>Sheet1!I90</f>
        <v/>
      </c>
      <c r="B90">
        <f>IF(ISNA(Sheet1!G90),NA(),Sheet1!$O$5-(Sheet1!G90/Sheet1!$O$6))</f>
        <v/>
      </c>
    </row>
    <row r="91">
      <c r="A91">
        <f>Sheet1!I91</f>
        <v/>
      </c>
      <c r="B91">
        <f>IF(ISNA(Sheet1!G91),NA(),Sheet1!$O$5-(Sheet1!G91/Sheet1!$O$6))</f>
        <v/>
      </c>
    </row>
    <row r="92">
      <c r="A92">
        <f>Sheet1!I92</f>
        <v/>
      </c>
      <c r="B92">
        <f>IF(ISNA(Sheet1!G92),NA(),Sheet1!$O$5-(Sheet1!G92/Sheet1!$O$6))</f>
        <v/>
      </c>
    </row>
    <row r="93">
      <c r="A93">
        <f>Sheet1!I93</f>
        <v/>
      </c>
      <c r="B93">
        <f>IF(ISNA(Sheet1!G93),NA(),Sheet1!$O$5-(Sheet1!G93/Sheet1!$O$6))</f>
        <v/>
      </c>
    </row>
    <row r="94">
      <c r="A94">
        <f>Sheet1!I94</f>
        <v/>
      </c>
      <c r="B94">
        <f>IF(ISNA(Sheet1!G94),NA(),Sheet1!$O$5-(Sheet1!G94/Sheet1!$O$6))</f>
        <v/>
      </c>
    </row>
    <row r="95">
      <c r="A95">
        <f>Sheet1!I95</f>
        <v/>
      </c>
      <c r="B95">
        <f>IF(ISNA(Sheet1!G95),NA(),Sheet1!$O$5-(Sheet1!G95/Sheet1!$O$6))</f>
        <v/>
      </c>
    </row>
    <row r="96">
      <c r="A96">
        <f>Sheet1!I96</f>
        <v/>
      </c>
      <c r="B96">
        <f>IF(ISNA(Sheet1!G96),NA(),Sheet1!$O$5-(Sheet1!G96/Sheet1!$O$6))</f>
        <v/>
      </c>
    </row>
    <row r="97">
      <c r="A97">
        <f>Sheet1!I97</f>
        <v/>
      </c>
      <c r="B97">
        <f>IF(ISNA(Sheet1!G97),NA(),Sheet1!$O$5-(Sheet1!G97/Sheet1!$O$6))</f>
        <v/>
      </c>
    </row>
    <row r="98">
      <c r="A98">
        <f>Sheet1!I98</f>
        <v/>
      </c>
      <c r="B98">
        <f>IF(ISNA(Sheet1!G98),NA(),Sheet1!$O$5-(Sheet1!G98/Sheet1!$O$6))</f>
        <v/>
      </c>
    </row>
    <row r="99">
      <c r="A99">
        <f>Sheet1!I99</f>
        <v/>
      </c>
      <c r="B99">
        <f>IF(ISNA(Sheet1!G99),NA(),Sheet1!$O$5-(Sheet1!G99/Sheet1!$O$6))</f>
        <v/>
      </c>
    </row>
    <row r="100">
      <c r="A100">
        <f>Sheet1!I100</f>
        <v/>
      </c>
      <c r="B100">
        <f>IF(ISNA(Sheet1!G100),NA(),Sheet1!$O$5-(Sheet1!G100/Sheet1!$O$6))</f>
        <v/>
      </c>
    </row>
    <row r="101">
      <c r="A101">
        <f>Sheet1!I101</f>
        <v/>
      </c>
      <c r="B101">
        <f>IF(ISNA(Sheet1!G101),NA(),Sheet1!$O$5-(Sheet1!G101/Sheet1!$O$6))</f>
        <v/>
      </c>
    </row>
    <row r="102">
      <c r="A102">
        <f>Sheet1!I102</f>
        <v/>
      </c>
      <c r="B102">
        <f>IF(ISNA(Sheet1!G102),NA(),Sheet1!$O$5-(Sheet1!G102/Sheet1!$O$6))</f>
        <v/>
      </c>
    </row>
    <row r="103">
      <c r="A103">
        <f>Sheet1!I103</f>
        <v/>
      </c>
      <c r="B103">
        <f>IF(ISNA(Sheet1!G103),NA(),Sheet1!$O$5-(Sheet1!G103/Sheet1!$O$6))</f>
        <v/>
      </c>
    </row>
    <row r="104">
      <c r="A104">
        <f>Sheet1!I104</f>
        <v/>
      </c>
      <c r="B104">
        <f>IF(ISNA(Sheet1!G104),NA(),Sheet1!$O$5-(Sheet1!G104/Sheet1!$O$6))</f>
        <v/>
      </c>
    </row>
    <row r="105">
      <c r="A105">
        <f>Sheet1!I105</f>
        <v/>
      </c>
      <c r="B105">
        <f>IF(ISNA(Sheet1!G105),NA(),Sheet1!$O$5-(Sheet1!G105/Sheet1!$O$6))</f>
        <v/>
      </c>
    </row>
    <row r="106">
      <c r="A106">
        <f>Sheet1!I106</f>
        <v/>
      </c>
      <c r="B106">
        <f>IF(ISNA(Sheet1!G106),NA(),Sheet1!$O$5-(Sheet1!G106/Sheet1!$O$6))</f>
        <v/>
      </c>
    </row>
    <row r="107">
      <c r="A107">
        <f>Sheet1!I107</f>
        <v/>
      </c>
      <c r="B107">
        <f>IF(ISNA(Sheet1!G107),NA(),Sheet1!$O$5-(Sheet1!G107/Sheet1!$O$6))</f>
        <v/>
      </c>
    </row>
    <row r="108">
      <c r="A108">
        <f>Sheet1!I108</f>
        <v/>
      </c>
      <c r="B108">
        <f>IF(ISNA(Sheet1!G108),NA(),Sheet1!$O$5-(Sheet1!G108/Sheet1!$O$6))</f>
        <v/>
      </c>
    </row>
    <row r="109">
      <c r="A109">
        <f>Sheet1!I109</f>
        <v/>
      </c>
      <c r="B109">
        <f>IF(ISNA(Sheet1!G109),NA(),Sheet1!$O$5-(Sheet1!G109/Sheet1!$O$6))</f>
        <v/>
      </c>
    </row>
    <row r="110">
      <c r="A110">
        <f>Sheet1!I110</f>
        <v/>
      </c>
      <c r="B110">
        <f>IF(ISNA(Sheet1!G110),NA(),Sheet1!$O$5-(Sheet1!G110/Sheet1!$O$6))</f>
        <v/>
      </c>
    </row>
    <row r="111">
      <c r="A111">
        <f>Sheet1!I111</f>
        <v/>
      </c>
      <c r="B111">
        <f>IF(ISNA(Sheet1!G111),NA(),Sheet1!$O$5-(Sheet1!G111/Sheet1!$O$6))</f>
        <v/>
      </c>
    </row>
    <row r="112">
      <c r="A112">
        <f>Sheet1!I112</f>
        <v/>
      </c>
      <c r="B112">
        <f>IF(ISNA(Sheet1!G112),NA(),Sheet1!$O$5-(Sheet1!G112/Sheet1!$O$6))</f>
        <v/>
      </c>
    </row>
    <row r="113">
      <c r="A113">
        <f>Sheet1!I113</f>
        <v/>
      </c>
      <c r="B113">
        <f>IF(ISNA(Sheet1!G113),NA(),Sheet1!$O$5-(Sheet1!G113/Sheet1!$O$6))</f>
        <v/>
      </c>
    </row>
    <row r="114">
      <c r="A114">
        <f>Sheet1!I114</f>
        <v/>
      </c>
      <c r="B114">
        <f>IF(ISNA(Sheet1!G114),NA(),Sheet1!$O$5-(Sheet1!G114/Sheet1!$O$6))</f>
        <v/>
      </c>
    </row>
    <row r="115">
      <c r="A115">
        <f>Sheet1!I115</f>
        <v/>
      </c>
      <c r="B115">
        <f>IF(ISNA(Sheet1!G115),NA(),Sheet1!$O$5-(Sheet1!G115/Sheet1!$O$6))</f>
        <v/>
      </c>
    </row>
    <row r="116">
      <c r="A116">
        <f>Sheet1!I116</f>
        <v/>
      </c>
      <c r="B116">
        <f>IF(ISNA(Sheet1!G116),NA(),Sheet1!$O$5-(Sheet1!G116/Sheet1!$O$6))</f>
        <v/>
      </c>
    </row>
    <row r="117">
      <c r="A117">
        <f>Sheet1!I117</f>
        <v/>
      </c>
      <c r="B117">
        <f>IF(ISNA(Sheet1!G117),NA(),Sheet1!$O$5-(Sheet1!G117/Sheet1!$O$6))</f>
        <v/>
      </c>
    </row>
    <row r="118">
      <c r="A118">
        <f>Sheet1!I118</f>
        <v/>
      </c>
      <c r="B118">
        <f>IF(ISNA(Sheet1!G118),NA(),Sheet1!$O$5-(Sheet1!G118/Sheet1!$O$6))</f>
        <v/>
      </c>
    </row>
    <row r="119">
      <c r="A119">
        <f>Sheet1!I119</f>
        <v/>
      </c>
      <c r="B119">
        <f>IF(ISNA(Sheet1!G119),NA(),Sheet1!$O$5-(Sheet1!G119/Sheet1!$O$6))</f>
        <v/>
      </c>
    </row>
    <row r="120">
      <c r="A120">
        <f>Sheet1!I120</f>
        <v/>
      </c>
      <c r="B120">
        <f>IF(ISNA(Sheet1!G120),NA(),Sheet1!$O$5-(Sheet1!G120/Sheet1!$O$6))</f>
        <v/>
      </c>
    </row>
    <row r="121">
      <c r="A121">
        <f>Sheet1!I121</f>
        <v/>
      </c>
      <c r="B121">
        <f>IF(ISNA(Sheet1!G121),NA(),Sheet1!$O$5-(Sheet1!G121/Sheet1!$O$6))</f>
        <v/>
      </c>
    </row>
    <row r="122">
      <c r="A122">
        <f>Sheet1!I122</f>
        <v/>
      </c>
      <c r="B122">
        <f>IF(ISNA(Sheet1!G122),NA(),Sheet1!$O$5-(Sheet1!G122/Sheet1!$O$6))</f>
        <v/>
      </c>
    </row>
    <row r="123">
      <c r="A123">
        <f>Sheet1!I123</f>
        <v/>
      </c>
      <c r="B123">
        <f>IF(ISNA(Sheet1!G123),NA(),Sheet1!$O$5-(Sheet1!G123/Sheet1!$O$6))</f>
        <v/>
      </c>
    </row>
    <row r="124">
      <c r="A124">
        <f>Sheet1!I124</f>
        <v/>
      </c>
      <c r="B124">
        <f>IF(ISNA(Sheet1!G124),NA(),Sheet1!$O$5-(Sheet1!G124/Sheet1!$O$6))</f>
        <v/>
      </c>
    </row>
    <row r="125">
      <c r="A125">
        <f>Sheet1!I125</f>
        <v/>
      </c>
      <c r="B125">
        <f>IF(ISNA(Sheet1!G125),NA(),Sheet1!$O$5-(Sheet1!G125/Sheet1!$O$6))</f>
        <v/>
      </c>
    </row>
    <row r="126">
      <c r="A126">
        <f>Sheet1!I126</f>
        <v/>
      </c>
      <c r="B126">
        <f>IF(ISNA(Sheet1!G126),NA(),Sheet1!$O$5-(Sheet1!G126/Sheet1!$O$6))</f>
        <v/>
      </c>
    </row>
    <row r="127">
      <c r="A127">
        <f>Sheet1!I127</f>
        <v/>
      </c>
      <c r="B127">
        <f>IF(ISNA(Sheet1!G127),NA(),Sheet1!$O$5-(Sheet1!G127/Sheet1!$O$6))</f>
        <v/>
      </c>
    </row>
    <row r="128">
      <c r="A128">
        <f>Sheet1!I128</f>
        <v/>
      </c>
      <c r="B128">
        <f>IF(ISNA(Sheet1!G128),NA(),Sheet1!$O$5-(Sheet1!G128/Sheet1!$O$6))</f>
        <v/>
      </c>
    </row>
    <row r="129">
      <c r="A129">
        <f>Sheet1!I129</f>
        <v/>
      </c>
      <c r="B129">
        <f>IF(ISNA(Sheet1!G129),NA(),Sheet1!$O$5-(Sheet1!G129/Sheet1!$O$6))</f>
        <v/>
      </c>
    </row>
    <row r="130">
      <c r="A130">
        <f>Sheet1!I130</f>
        <v/>
      </c>
      <c r="B130">
        <f>IF(ISNA(Sheet1!G130),NA(),Sheet1!$O$5-(Sheet1!G130/Sheet1!$O$6))</f>
        <v/>
      </c>
    </row>
    <row r="131">
      <c r="A131">
        <f>Sheet1!I131</f>
        <v/>
      </c>
      <c r="B131">
        <f>IF(ISNA(Sheet1!G131),NA(),Sheet1!$O$5-(Sheet1!G131/Sheet1!$O$6))</f>
        <v/>
      </c>
    </row>
    <row r="132">
      <c r="A132">
        <f>Sheet1!I132</f>
        <v/>
      </c>
      <c r="B132">
        <f>IF(ISNA(Sheet1!G132),NA(),Sheet1!$O$5-(Sheet1!G132/Sheet1!$O$6))</f>
        <v/>
      </c>
    </row>
    <row r="133">
      <c r="A133">
        <f>Sheet1!I133</f>
        <v/>
      </c>
      <c r="B133">
        <f>IF(ISNA(Sheet1!G133),NA(),Sheet1!$O$5-(Sheet1!G133/Sheet1!$O$6))</f>
        <v/>
      </c>
    </row>
    <row r="134">
      <c r="A134">
        <f>Sheet1!I134</f>
        <v/>
      </c>
      <c r="B134">
        <f>IF(ISNA(Sheet1!G134),NA(),Sheet1!$O$5-(Sheet1!G134/Sheet1!$O$6))</f>
        <v/>
      </c>
    </row>
    <row r="135">
      <c r="A135">
        <f>Sheet1!I135</f>
        <v/>
      </c>
      <c r="B135">
        <f>IF(ISNA(Sheet1!G135),NA(),Sheet1!$O$5-(Sheet1!G135/Sheet1!$O$6))</f>
        <v/>
      </c>
    </row>
    <row r="136">
      <c r="A136">
        <f>Sheet1!I136</f>
        <v/>
      </c>
      <c r="B136">
        <f>IF(ISNA(Sheet1!G136),NA(),Sheet1!$O$5-(Sheet1!G136/Sheet1!$O$6))</f>
        <v/>
      </c>
    </row>
    <row r="137">
      <c r="A137">
        <f>Sheet1!I137</f>
        <v/>
      </c>
      <c r="B137">
        <f>IF(ISNA(Sheet1!G137),NA(),Sheet1!$O$5-(Sheet1!G137/Sheet1!$O$6))</f>
        <v/>
      </c>
    </row>
    <row r="138">
      <c r="A138">
        <f>Sheet1!I138</f>
        <v/>
      </c>
      <c r="B138">
        <f>IF(ISNA(Sheet1!G138),NA(),Sheet1!$O$5-(Sheet1!G138/Sheet1!$O$6))</f>
        <v/>
      </c>
    </row>
    <row r="139">
      <c r="A139">
        <f>Sheet1!I139</f>
        <v/>
      </c>
      <c r="B139">
        <f>IF(ISNA(Sheet1!G139),NA(),Sheet1!$O$5-(Sheet1!G139/Sheet1!$O$6))</f>
        <v/>
      </c>
    </row>
    <row r="140">
      <c r="A140">
        <f>Sheet1!I140</f>
        <v/>
      </c>
      <c r="B140">
        <f>IF(ISNA(Sheet1!G140),NA(),Sheet1!$O$5-(Sheet1!G140/Sheet1!$O$6))</f>
        <v/>
      </c>
    </row>
    <row r="141">
      <c r="A141">
        <f>Sheet1!I141</f>
        <v/>
      </c>
      <c r="B141">
        <f>IF(ISNA(Sheet1!G141),NA(),Sheet1!$O$5-(Sheet1!G141/Sheet1!$O$6))</f>
        <v/>
      </c>
    </row>
    <row r="142">
      <c r="A142">
        <f>Sheet1!I142</f>
        <v/>
      </c>
      <c r="B142">
        <f>IF(ISNA(Sheet1!G142),NA(),Sheet1!$O$5-(Sheet1!G142/Sheet1!$O$6))</f>
        <v/>
      </c>
    </row>
    <row r="143">
      <c r="A143">
        <f>Sheet1!I143</f>
        <v/>
      </c>
      <c r="B143">
        <f>IF(ISNA(Sheet1!G143),NA(),Sheet1!$O$5-(Sheet1!G143/Sheet1!$O$6))</f>
        <v/>
      </c>
    </row>
    <row r="144">
      <c r="A144">
        <f>Sheet1!I144</f>
        <v/>
      </c>
      <c r="B144">
        <f>IF(ISNA(Sheet1!G144),NA(),Sheet1!$O$5-(Sheet1!G144/Sheet1!$O$6))</f>
        <v/>
      </c>
    </row>
    <row r="145">
      <c r="A145">
        <f>Sheet1!I145</f>
        <v/>
      </c>
      <c r="B145">
        <f>IF(ISNA(Sheet1!G145),NA(),Sheet1!$O$5-(Sheet1!G145/Sheet1!$O$6))</f>
        <v/>
      </c>
    </row>
    <row r="146">
      <c r="A146">
        <f>Sheet1!I146</f>
        <v/>
      </c>
      <c r="B146">
        <f>IF(ISNA(Sheet1!G146),NA(),Sheet1!$O$5-(Sheet1!G146/Sheet1!$O$6))</f>
        <v/>
      </c>
    </row>
    <row r="147">
      <c r="A147">
        <f>Sheet1!I147</f>
        <v/>
      </c>
      <c r="B147">
        <f>IF(ISNA(Sheet1!G147),NA(),Sheet1!$O$5-(Sheet1!G147/Sheet1!$O$6))</f>
        <v/>
      </c>
    </row>
    <row r="148">
      <c r="A148">
        <f>Sheet1!I148</f>
        <v/>
      </c>
      <c r="B148">
        <f>IF(ISNA(Sheet1!G148),NA(),Sheet1!$O$5-(Sheet1!G148/Sheet1!$O$6))</f>
        <v/>
      </c>
    </row>
    <row r="149">
      <c r="A149">
        <f>Sheet1!I149</f>
        <v/>
      </c>
      <c r="B149">
        <f>IF(ISNA(Sheet1!G149),NA(),Sheet1!$O$5-(Sheet1!G149/Sheet1!$O$6))</f>
        <v/>
      </c>
    </row>
    <row r="150">
      <c r="A150">
        <f>Sheet1!I150</f>
        <v/>
      </c>
      <c r="B150">
        <f>IF(ISNA(Sheet1!G150),NA(),Sheet1!$O$5-(Sheet1!G150/Sheet1!$O$6))</f>
        <v/>
      </c>
    </row>
    <row r="151">
      <c r="A151">
        <f>Sheet1!I151</f>
        <v/>
      </c>
      <c r="B151">
        <f>IF(ISNA(Sheet1!G151),NA(),Sheet1!$O$5-(Sheet1!G151/Sheet1!$O$6))</f>
        <v/>
      </c>
    </row>
    <row r="152">
      <c r="A152">
        <f>Sheet1!I152</f>
        <v/>
      </c>
      <c r="B152">
        <f>IF(ISNA(Sheet1!G152),NA(),Sheet1!$O$5-(Sheet1!G152/Sheet1!$O$6))</f>
        <v/>
      </c>
    </row>
    <row r="153">
      <c r="A153">
        <f>Sheet1!I153</f>
        <v/>
      </c>
      <c r="B153">
        <f>IF(ISNA(Sheet1!G153),NA(),Sheet1!$O$5-(Sheet1!G153/Sheet1!$O$6))</f>
        <v/>
      </c>
    </row>
    <row r="154">
      <c r="A154">
        <f>Sheet1!I154</f>
        <v/>
      </c>
      <c r="B154">
        <f>IF(ISNA(Sheet1!G154),NA(),Sheet1!$O$5-(Sheet1!G154/Sheet1!$O$6))</f>
        <v/>
      </c>
    </row>
    <row r="155">
      <c r="A155">
        <f>Sheet1!I155</f>
        <v/>
      </c>
      <c r="B155">
        <f>IF(ISNA(Sheet1!G155),NA(),Sheet1!$O$5-(Sheet1!G155/Sheet1!$O$6))</f>
        <v/>
      </c>
    </row>
    <row r="156">
      <c r="A156">
        <f>Sheet1!I156</f>
        <v/>
      </c>
      <c r="B156">
        <f>IF(ISNA(Sheet1!G156),NA(),Sheet1!$O$5-(Sheet1!G156/Sheet1!$O$6))</f>
        <v/>
      </c>
    </row>
    <row r="157">
      <c r="A157">
        <f>Sheet1!I157</f>
        <v/>
      </c>
      <c r="B157">
        <f>IF(ISNA(Sheet1!G157),NA(),Sheet1!$O$5-(Sheet1!G157/Sheet1!$O$6))</f>
        <v/>
      </c>
    </row>
    <row r="158">
      <c r="A158">
        <f>Sheet1!I158</f>
        <v/>
      </c>
      <c r="B158">
        <f>IF(ISNA(Sheet1!G158),NA(),Sheet1!$O$5-(Sheet1!G158/Sheet1!$O$6))</f>
        <v/>
      </c>
    </row>
    <row r="159">
      <c r="A159">
        <f>Sheet1!I159</f>
        <v/>
      </c>
      <c r="B159">
        <f>IF(ISNA(Sheet1!G159),NA(),Sheet1!$O$5-(Sheet1!G159/Sheet1!$O$6))</f>
        <v/>
      </c>
    </row>
    <row r="160">
      <c r="A160">
        <f>Sheet1!I160</f>
        <v/>
      </c>
      <c r="B160">
        <f>IF(ISNA(Sheet1!G160),NA(),Sheet1!$O$5-(Sheet1!G160/Sheet1!$O$6))</f>
        <v/>
      </c>
    </row>
    <row r="161">
      <c r="A161">
        <f>Sheet1!I161</f>
        <v/>
      </c>
      <c r="B161">
        <f>IF(ISNA(Sheet1!G161),NA(),Sheet1!$O$5-(Sheet1!G161/Sheet1!$O$6))</f>
        <v/>
      </c>
    </row>
    <row r="162">
      <c r="A162">
        <f>Sheet1!I162</f>
        <v/>
      </c>
      <c r="B162">
        <f>IF(ISNA(Sheet1!G162),NA(),Sheet1!$O$5-(Sheet1!G162/Sheet1!$O$6))</f>
        <v/>
      </c>
    </row>
    <row r="163">
      <c r="A163">
        <f>Sheet1!I163</f>
        <v/>
      </c>
      <c r="B163">
        <f>IF(ISNA(Sheet1!G163),NA(),Sheet1!$O$5-(Sheet1!G163/Sheet1!$O$6))</f>
        <v/>
      </c>
    </row>
    <row r="164">
      <c r="A164">
        <f>Sheet1!I164</f>
        <v/>
      </c>
      <c r="B164">
        <f>IF(ISNA(Sheet1!G164),NA(),Sheet1!$O$5-(Sheet1!G164/Sheet1!$O$6))</f>
        <v/>
      </c>
    </row>
    <row r="165">
      <c r="A165">
        <f>Sheet1!I165</f>
        <v/>
      </c>
      <c r="B165">
        <f>IF(ISNA(Sheet1!G165),NA(),Sheet1!$O$5-(Sheet1!G165/Sheet1!$O$6))</f>
        <v/>
      </c>
    </row>
    <row r="166">
      <c r="A166">
        <f>Sheet1!I166</f>
        <v/>
      </c>
      <c r="B166">
        <f>IF(ISNA(Sheet1!G166),NA(),Sheet1!$O$5-(Sheet1!G166/Sheet1!$O$6))</f>
        <v/>
      </c>
    </row>
    <row r="167">
      <c r="A167">
        <f>Sheet1!I167</f>
        <v/>
      </c>
      <c r="B167">
        <f>IF(ISNA(Sheet1!G167),NA(),Sheet1!$O$5-(Sheet1!G167/Sheet1!$O$6))</f>
        <v/>
      </c>
    </row>
    <row r="168">
      <c r="A168">
        <f>Sheet1!I168</f>
        <v/>
      </c>
      <c r="B168">
        <f>IF(ISNA(Sheet1!G168),NA(),Sheet1!$O$5-(Sheet1!G168/Sheet1!$O$6))</f>
        <v/>
      </c>
    </row>
    <row r="169">
      <c r="A169">
        <f>Sheet1!I169</f>
        <v/>
      </c>
      <c r="B169">
        <f>IF(ISNA(Sheet1!G169),NA(),Sheet1!$O$5-(Sheet1!G169/Sheet1!$O$6))</f>
        <v/>
      </c>
    </row>
    <row r="170">
      <c r="A170">
        <f>Sheet1!I170</f>
        <v/>
      </c>
      <c r="B170">
        <f>IF(ISNA(Sheet1!G170),NA(),Sheet1!$O$5-(Sheet1!G170/Sheet1!$O$6))</f>
        <v/>
      </c>
    </row>
    <row r="171">
      <c r="A171">
        <f>Sheet1!I171</f>
        <v/>
      </c>
      <c r="B171">
        <f>IF(ISNA(Sheet1!G171),NA(),Sheet1!$O$5-(Sheet1!G171/Sheet1!$O$6))</f>
        <v/>
      </c>
    </row>
    <row r="172">
      <c r="A172">
        <f>Sheet1!I172</f>
        <v/>
      </c>
      <c r="B172">
        <f>IF(ISNA(Sheet1!G172),NA(),Sheet1!$O$5-(Sheet1!G172/Sheet1!$O$6))</f>
        <v/>
      </c>
    </row>
    <row r="173">
      <c r="A173">
        <f>Sheet1!I173</f>
        <v/>
      </c>
      <c r="B173">
        <f>IF(ISNA(Sheet1!G173),NA(),Sheet1!$O$5-(Sheet1!G173/Sheet1!$O$6))</f>
        <v/>
      </c>
    </row>
    <row r="174">
      <c r="A174">
        <f>Sheet1!I174</f>
        <v/>
      </c>
      <c r="B174">
        <f>IF(ISNA(Sheet1!G174),NA(),Sheet1!$O$5-(Sheet1!G174/Sheet1!$O$6))</f>
        <v/>
      </c>
    </row>
    <row r="175">
      <c r="A175">
        <f>Sheet1!I175</f>
        <v/>
      </c>
      <c r="B175">
        <f>IF(ISNA(Sheet1!G175),NA(),Sheet1!$O$5-(Sheet1!G175/Sheet1!$O$6))</f>
        <v/>
      </c>
    </row>
    <row r="176">
      <c r="A176">
        <f>Sheet1!I176</f>
        <v/>
      </c>
      <c r="B176">
        <f>IF(ISNA(Sheet1!G176),NA(),Sheet1!$O$5-(Sheet1!G176/Sheet1!$O$6))</f>
        <v/>
      </c>
    </row>
    <row r="177">
      <c r="A177">
        <f>Sheet1!I177</f>
        <v/>
      </c>
      <c r="B177">
        <f>IF(ISNA(Sheet1!G177),NA(),Sheet1!$O$5-(Sheet1!G177/Sheet1!$O$6))</f>
        <v/>
      </c>
    </row>
    <row r="178">
      <c r="A178">
        <f>Sheet1!I178</f>
        <v/>
      </c>
      <c r="B178">
        <f>IF(ISNA(Sheet1!G178),NA(),Sheet1!$O$5-(Sheet1!G178/Sheet1!$O$6))</f>
        <v/>
      </c>
    </row>
    <row r="179">
      <c r="A179">
        <f>Sheet1!I179</f>
        <v/>
      </c>
      <c r="B179">
        <f>IF(ISNA(Sheet1!G179),NA(),Sheet1!$O$5-(Sheet1!G179/Sheet1!$O$6))</f>
        <v/>
      </c>
    </row>
    <row r="180">
      <c r="A180">
        <f>Sheet1!I180</f>
        <v/>
      </c>
      <c r="B180">
        <f>IF(ISNA(Sheet1!G180),NA(),Sheet1!$O$5-(Sheet1!G180/Sheet1!$O$6))</f>
        <v/>
      </c>
    </row>
    <row r="181">
      <c r="A181">
        <f>Sheet1!I181</f>
        <v/>
      </c>
      <c r="B181">
        <f>IF(ISNA(Sheet1!G181),NA(),Sheet1!$O$5-(Sheet1!G181/Sheet1!$O$6))</f>
        <v/>
      </c>
    </row>
    <row r="182">
      <c r="A182">
        <f>Sheet1!I182</f>
        <v/>
      </c>
      <c r="B182">
        <f>IF(ISNA(Sheet1!G182),NA(),Sheet1!$O$5-(Sheet1!G182/Sheet1!$O$6))</f>
        <v/>
      </c>
    </row>
    <row r="183">
      <c r="A183">
        <f>Sheet1!I183</f>
        <v/>
      </c>
      <c r="B183">
        <f>IF(ISNA(Sheet1!G183),NA(),Sheet1!$O$5-(Sheet1!G183/Sheet1!$O$6))</f>
        <v/>
      </c>
    </row>
    <row r="184">
      <c r="A184">
        <f>Sheet1!I184</f>
        <v/>
      </c>
      <c r="B184">
        <f>IF(ISNA(Sheet1!G184),NA(),Sheet1!$O$5-(Sheet1!G184/Sheet1!$O$6))</f>
        <v/>
      </c>
    </row>
    <row r="185">
      <c r="A185">
        <f>Sheet1!I185</f>
        <v/>
      </c>
      <c r="B185">
        <f>IF(ISNA(Sheet1!G185),NA(),Sheet1!$O$5-(Sheet1!G185/Sheet1!$O$6))</f>
        <v/>
      </c>
    </row>
    <row r="186">
      <c r="A186">
        <f>Sheet1!I186</f>
        <v/>
      </c>
      <c r="B186">
        <f>IF(ISNA(Sheet1!G186),NA(),Sheet1!$O$5-(Sheet1!G186/Sheet1!$O$6))</f>
        <v/>
      </c>
    </row>
    <row r="187">
      <c r="A187">
        <f>Sheet1!I187</f>
        <v/>
      </c>
      <c r="B187">
        <f>IF(ISNA(Sheet1!G187),NA(),Sheet1!$O$5-(Sheet1!G187/Sheet1!$O$6))</f>
        <v/>
      </c>
    </row>
    <row r="188">
      <c r="A188">
        <f>Sheet1!I188</f>
        <v/>
      </c>
      <c r="B188">
        <f>IF(ISNA(Sheet1!G188),NA(),Sheet1!$O$5-(Sheet1!G188/Sheet1!$O$6))</f>
        <v/>
      </c>
    </row>
    <row r="189">
      <c r="A189">
        <f>Sheet1!I189</f>
        <v/>
      </c>
      <c r="B189">
        <f>IF(ISNA(Sheet1!G189),NA(),Sheet1!$O$5-(Sheet1!G189/Sheet1!$O$6))</f>
        <v/>
      </c>
    </row>
    <row r="190">
      <c r="A190">
        <f>Sheet1!I190</f>
        <v/>
      </c>
      <c r="B190">
        <f>IF(ISNA(Sheet1!G190),NA(),Sheet1!$O$5-(Sheet1!G190/Sheet1!$O$6))</f>
        <v/>
      </c>
    </row>
    <row r="191">
      <c r="A191">
        <f>Sheet1!I191</f>
        <v/>
      </c>
      <c r="B191">
        <f>IF(ISNA(Sheet1!G191),NA(),Sheet1!$O$5-(Sheet1!G191/Sheet1!$O$6))</f>
        <v/>
      </c>
    </row>
    <row r="192">
      <c r="A192">
        <f>Sheet1!I192</f>
        <v/>
      </c>
      <c r="B192">
        <f>IF(ISNA(Sheet1!G192),NA(),Sheet1!$O$5-(Sheet1!G192/Sheet1!$O$6))</f>
        <v/>
      </c>
    </row>
    <row r="193">
      <c r="A193">
        <f>Sheet1!I193</f>
        <v/>
      </c>
      <c r="B193">
        <f>IF(ISNA(Sheet1!G193),NA(),Sheet1!$O$5-(Sheet1!G193/Sheet1!$O$6))</f>
        <v/>
      </c>
    </row>
    <row r="194">
      <c r="A194">
        <f>Sheet1!I194</f>
        <v/>
      </c>
      <c r="B194">
        <f>IF(ISNA(Sheet1!G194),NA(),Sheet1!$O$5-(Sheet1!G194/Sheet1!$O$6))</f>
        <v/>
      </c>
    </row>
    <row r="195">
      <c r="A195">
        <f>Sheet1!I195</f>
        <v/>
      </c>
      <c r="B195">
        <f>IF(ISNA(Sheet1!G195),NA(),Sheet1!$O$5-(Sheet1!G195/Sheet1!$O$6))</f>
        <v/>
      </c>
    </row>
    <row r="196">
      <c r="A196">
        <f>Sheet1!I196</f>
        <v/>
      </c>
      <c r="B196">
        <f>IF(ISNA(Sheet1!G196),NA(),Sheet1!$O$5-(Sheet1!G196/Sheet1!$O$6))</f>
        <v/>
      </c>
    </row>
    <row r="197">
      <c r="A197">
        <f>Sheet1!I197</f>
        <v/>
      </c>
      <c r="B197">
        <f>IF(ISNA(Sheet1!G197),NA(),Sheet1!$O$5-(Sheet1!G197/Sheet1!$O$6))</f>
        <v/>
      </c>
    </row>
    <row r="198">
      <c r="A198">
        <f>Sheet1!I198</f>
        <v/>
      </c>
      <c r="B198">
        <f>IF(ISNA(Sheet1!G198),NA(),Sheet1!$O$5-(Sheet1!G198/Sheet1!$O$6))</f>
        <v/>
      </c>
    </row>
    <row r="199">
      <c r="A199">
        <f>Sheet1!I199</f>
        <v/>
      </c>
      <c r="B199">
        <f>IF(ISNA(Sheet1!G199),NA(),Sheet1!$O$5-(Sheet1!G199/Sheet1!$O$6))</f>
        <v/>
      </c>
    </row>
    <row r="200">
      <c r="A200">
        <f>Sheet1!I200</f>
        <v/>
      </c>
      <c r="B200">
        <f>IF(ISNA(Sheet1!G200),NA(),Sheet1!$O$5-(Sheet1!G200/Sheet1!$O$6))</f>
        <v/>
      </c>
    </row>
    <row r="201">
      <c r="A201">
        <f>Sheet1!I201</f>
        <v/>
      </c>
      <c r="B201">
        <f>IF(ISNA(Sheet1!G201),NA(),Sheet1!$O$5-(Sheet1!G201/Sheet1!$O$6))</f>
        <v/>
      </c>
    </row>
    <row r="202">
      <c r="A202">
        <f>Sheet1!I202</f>
        <v/>
      </c>
      <c r="B202">
        <f>IF(ISNA(Sheet1!G202),NA(),Sheet1!$O$5-(Sheet1!G202/Sheet1!$O$6))</f>
        <v/>
      </c>
    </row>
    <row r="203">
      <c r="A203">
        <f>Sheet1!I203</f>
        <v/>
      </c>
      <c r="B203">
        <f>IF(ISNA(Sheet1!G203),NA(),Sheet1!$O$5-(Sheet1!G203/Sheet1!$O$6))</f>
        <v/>
      </c>
    </row>
    <row r="204">
      <c r="A204">
        <f>Sheet1!I204</f>
        <v/>
      </c>
      <c r="B204">
        <f>IF(ISNA(Sheet1!G204),NA(),Sheet1!$O$5-(Sheet1!G204/Sheet1!$O$6))</f>
        <v/>
      </c>
    </row>
    <row r="205">
      <c r="A205">
        <f>Sheet1!I205</f>
        <v/>
      </c>
      <c r="B205">
        <f>IF(ISNA(Sheet1!G205),NA(),Sheet1!$O$5-(Sheet1!G205/Sheet1!$O$6))</f>
        <v/>
      </c>
    </row>
    <row r="206">
      <c r="A206">
        <f>Sheet1!I206</f>
        <v/>
      </c>
      <c r="B206">
        <f>IF(ISNA(Sheet1!G206),NA(),Sheet1!$O$5-(Sheet1!G206/Sheet1!$O$6))</f>
        <v/>
      </c>
    </row>
    <row r="207">
      <c r="A207">
        <f>Sheet1!I207</f>
        <v/>
      </c>
      <c r="B207">
        <f>IF(ISNA(Sheet1!G207),NA(),Sheet1!$O$5-(Sheet1!G207/Sheet1!$O$6))</f>
        <v/>
      </c>
    </row>
    <row r="208">
      <c r="A208">
        <f>Sheet1!I208</f>
        <v/>
      </c>
      <c r="B208">
        <f>IF(ISNA(Sheet1!G208),NA(),Sheet1!$O$5-(Sheet1!G208/Sheet1!$O$6))</f>
        <v/>
      </c>
    </row>
    <row r="209">
      <c r="A209">
        <f>Sheet1!I209</f>
        <v/>
      </c>
      <c r="B209">
        <f>IF(ISNA(Sheet1!G209),NA(),Sheet1!$O$5-(Sheet1!G209/Sheet1!$O$6))</f>
        <v/>
      </c>
    </row>
    <row r="210">
      <c r="A210">
        <f>Sheet1!I210</f>
        <v/>
      </c>
      <c r="B210">
        <f>IF(ISNA(Sheet1!G210),NA(),Sheet1!$O$5-(Sheet1!G210/Sheet1!$O$6))</f>
        <v/>
      </c>
    </row>
    <row r="211">
      <c r="A211">
        <f>Sheet1!I211</f>
        <v/>
      </c>
      <c r="B211">
        <f>IF(ISNA(Sheet1!G211),NA(),Sheet1!$O$5-(Sheet1!G211/Sheet1!$O$6))</f>
        <v/>
      </c>
    </row>
    <row r="212">
      <c r="A212">
        <f>Sheet1!I212</f>
        <v/>
      </c>
      <c r="B212">
        <f>IF(ISNA(Sheet1!G212),NA(),Sheet1!$O$5-(Sheet1!G212/Sheet1!$O$6))</f>
        <v/>
      </c>
    </row>
    <row r="213">
      <c r="A213">
        <f>Sheet1!I213</f>
        <v/>
      </c>
      <c r="B213">
        <f>IF(ISNA(Sheet1!G213),NA(),Sheet1!$O$5-(Sheet1!G213/Sheet1!$O$6))</f>
        <v/>
      </c>
    </row>
    <row r="214">
      <c r="A214">
        <f>Sheet1!I214</f>
        <v/>
      </c>
      <c r="B214">
        <f>IF(ISNA(Sheet1!G214),NA(),Sheet1!$O$5-(Sheet1!G214/Sheet1!$O$6))</f>
        <v/>
      </c>
    </row>
    <row r="215">
      <c r="A215">
        <f>Sheet1!I215</f>
        <v/>
      </c>
      <c r="B215">
        <f>IF(ISNA(Sheet1!G215),NA(),Sheet1!$O$5-(Sheet1!G215/Sheet1!$O$6))</f>
        <v/>
      </c>
    </row>
    <row r="216">
      <c r="A216">
        <f>Sheet1!I216</f>
        <v/>
      </c>
      <c r="B216">
        <f>IF(ISNA(Sheet1!G216),NA(),Sheet1!$O$5-(Sheet1!G216/Sheet1!$O$6))</f>
        <v/>
      </c>
    </row>
    <row r="217">
      <c r="A217">
        <f>Sheet1!I217</f>
        <v/>
      </c>
      <c r="B217">
        <f>IF(ISNA(Sheet1!G217),NA(),Sheet1!$O$5-(Sheet1!G217/Sheet1!$O$6))</f>
        <v/>
      </c>
    </row>
    <row r="218">
      <c r="A218">
        <f>Sheet1!I218</f>
        <v/>
      </c>
      <c r="B218">
        <f>IF(ISNA(Sheet1!G218),NA(),Sheet1!$O$5-(Sheet1!G218/Sheet1!$O$6))</f>
        <v/>
      </c>
    </row>
    <row r="219">
      <c r="A219">
        <f>Sheet1!I219</f>
        <v/>
      </c>
      <c r="B219">
        <f>IF(ISNA(Sheet1!G219),NA(),Sheet1!$O$5-(Sheet1!G219/Sheet1!$O$6))</f>
        <v/>
      </c>
    </row>
    <row r="220">
      <c r="A220">
        <f>Sheet1!I220</f>
        <v/>
      </c>
      <c r="B220">
        <f>IF(ISNA(Sheet1!G220),NA(),Sheet1!$O$5-(Sheet1!G220/Sheet1!$O$6))</f>
        <v/>
      </c>
    </row>
    <row r="221">
      <c r="A221">
        <f>Sheet1!I221</f>
        <v/>
      </c>
      <c r="B221">
        <f>IF(ISNA(Sheet1!G221),NA(),Sheet1!$O$5-(Sheet1!G221/Sheet1!$O$6))</f>
        <v/>
      </c>
    </row>
    <row r="222">
      <c r="A222">
        <f>Sheet1!I222</f>
        <v/>
      </c>
      <c r="B222">
        <f>IF(ISNA(Sheet1!G222),NA(),Sheet1!$O$5-(Sheet1!G222/Sheet1!$O$6))</f>
        <v/>
      </c>
    </row>
    <row r="223">
      <c r="A223">
        <f>Sheet1!I223</f>
        <v/>
      </c>
      <c r="B223">
        <f>IF(ISNA(Sheet1!G223),NA(),Sheet1!$O$5-(Sheet1!G223/Sheet1!$O$6))</f>
        <v/>
      </c>
    </row>
    <row r="224">
      <c r="A224">
        <f>Sheet1!I224</f>
        <v/>
      </c>
      <c r="B224">
        <f>IF(ISNA(Sheet1!G224),NA(),Sheet1!$O$5-(Sheet1!G224/Sheet1!$O$6))</f>
        <v/>
      </c>
    </row>
    <row r="225">
      <c r="A225">
        <f>Sheet1!I225</f>
        <v/>
      </c>
      <c r="B225">
        <f>IF(ISNA(Sheet1!G225),NA(),Sheet1!$O$5-(Sheet1!G225/Sheet1!$O$6))</f>
        <v/>
      </c>
    </row>
    <row r="226">
      <c r="A226">
        <f>Sheet1!I226</f>
        <v/>
      </c>
      <c r="B226">
        <f>IF(ISNA(Sheet1!G226),NA(),Sheet1!$O$5-(Sheet1!G226/Sheet1!$O$6))</f>
        <v/>
      </c>
    </row>
    <row r="227">
      <c r="A227">
        <f>Sheet1!I227</f>
        <v/>
      </c>
      <c r="B227">
        <f>IF(ISNA(Sheet1!G227),NA(),Sheet1!$O$5-(Sheet1!G227/Sheet1!$O$6))</f>
        <v/>
      </c>
    </row>
    <row r="228">
      <c r="A228">
        <f>Sheet1!I228</f>
        <v/>
      </c>
      <c r="B228">
        <f>IF(ISNA(Sheet1!G228),NA(),Sheet1!$O$5-(Sheet1!G228/Sheet1!$O$6))</f>
        <v/>
      </c>
    </row>
    <row r="229">
      <c r="A229">
        <f>Sheet1!I229</f>
        <v/>
      </c>
      <c r="B229">
        <f>IF(ISNA(Sheet1!G229),NA(),Sheet1!$O$5-(Sheet1!G229/Sheet1!$O$6))</f>
        <v/>
      </c>
    </row>
    <row r="230">
      <c r="A230">
        <f>Sheet1!I230</f>
        <v/>
      </c>
      <c r="B230">
        <f>IF(ISNA(Sheet1!G230),NA(),Sheet1!$O$5-(Sheet1!G230/Sheet1!$O$6))</f>
        <v/>
      </c>
    </row>
    <row r="231">
      <c r="A231">
        <f>Sheet1!I231</f>
        <v/>
      </c>
      <c r="B231">
        <f>IF(ISNA(Sheet1!G231),NA(),Sheet1!$O$5-(Sheet1!G231/Sheet1!$O$6))</f>
        <v/>
      </c>
    </row>
    <row r="232">
      <c r="A232">
        <f>Sheet1!I232</f>
        <v/>
      </c>
      <c r="B232">
        <f>IF(ISNA(Sheet1!G232),NA(),Sheet1!$O$5-(Sheet1!G232/Sheet1!$O$6))</f>
        <v/>
      </c>
    </row>
    <row r="233">
      <c r="A233">
        <f>Sheet1!I233</f>
        <v/>
      </c>
      <c r="B233">
        <f>IF(ISNA(Sheet1!G233),NA(),Sheet1!$O$5-(Sheet1!G233/Sheet1!$O$6))</f>
        <v/>
      </c>
    </row>
    <row r="234">
      <c r="A234">
        <f>Sheet1!I234</f>
        <v/>
      </c>
      <c r="B234">
        <f>IF(ISNA(Sheet1!G234),NA(),Sheet1!$O$5-(Sheet1!G234/Sheet1!$O$6))</f>
        <v/>
      </c>
    </row>
    <row r="235">
      <c r="A235">
        <f>Sheet1!I235</f>
        <v/>
      </c>
      <c r="B235">
        <f>IF(ISNA(Sheet1!G235),NA(),Sheet1!$O$5-(Sheet1!G235/Sheet1!$O$6))</f>
        <v/>
      </c>
    </row>
    <row r="236">
      <c r="A236">
        <f>Sheet1!I236</f>
        <v/>
      </c>
      <c r="B236">
        <f>IF(ISNA(Sheet1!G236),NA(),Sheet1!$O$5-(Sheet1!G236/Sheet1!$O$6))</f>
        <v/>
      </c>
    </row>
    <row r="237">
      <c r="A237">
        <f>Sheet1!I237</f>
        <v/>
      </c>
      <c r="B237">
        <f>IF(ISNA(Sheet1!G237),NA(),Sheet1!$O$5-(Sheet1!G237/Sheet1!$O$6))</f>
        <v/>
      </c>
    </row>
    <row r="238">
      <c r="A238">
        <f>Sheet1!I238</f>
        <v/>
      </c>
      <c r="B238">
        <f>IF(ISNA(Sheet1!G238),NA(),Sheet1!$O$5-(Sheet1!G238/Sheet1!$O$6))</f>
        <v/>
      </c>
    </row>
    <row r="239">
      <c r="A239">
        <f>Sheet1!I239</f>
        <v/>
      </c>
      <c r="B239">
        <f>IF(ISNA(Sheet1!G239),NA(),Sheet1!$O$5-(Sheet1!G239/Sheet1!$O$6))</f>
        <v/>
      </c>
    </row>
    <row r="240">
      <c r="A240">
        <f>Sheet1!I240</f>
        <v/>
      </c>
      <c r="B240">
        <f>IF(ISNA(Sheet1!G240),NA(),Sheet1!$O$5-(Sheet1!G240/Sheet1!$O$6))</f>
        <v/>
      </c>
    </row>
    <row r="241">
      <c r="A241">
        <f>Sheet1!I241</f>
        <v/>
      </c>
      <c r="B241">
        <f>IF(ISNA(Sheet1!G241),NA(),Sheet1!$O$5-(Sheet1!G241/Sheet1!$O$6))</f>
        <v/>
      </c>
    </row>
    <row r="242">
      <c r="A242">
        <f>Sheet1!I242</f>
        <v/>
      </c>
      <c r="B242">
        <f>IF(ISNA(Sheet1!G242),NA(),Sheet1!$O$5-(Sheet1!G242/Sheet1!$O$6))</f>
        <v/>
      </c>
    </row>
    <row r="243">
      <c r="A243">
        <f>Sheet1!I243</f>
        <v/>
      </c>
      <c r="B243">
        <f>IF(ISNA(Sheet1!G243),NA(),Sheet1!$O$5-(Sheet1!G243/Sheet1!$O$6))</f>
        <v/>
      </c>
    </row>
    <row r="244">
      <c r="A244">
        <f>Sheet1!I244</f>
        <v/>
      </c>
      <c r="B244">
        <f>IF(ISNA(Sheet1!G244),NA(),Sheet1!$O$5-(Sheet1!G244/Sheet1!$O$6))</f>
        <v/>
      </c>
    </row>
    <row r="245">
      <c r="A245">
        <f>Sheet1!I245</f>
        <v/>
      </c>
      <c r="B245">
        <f>IF(ISNA(Sheet1!G245),NA(),Sheet1!$O$5-(Sheet1!G245/Sheet1!$O$6))</f>
        <v/>
      </c>
    </row>
    <row r="246">
      <c r="A246">
        <f>Sheet1!I246</f>
        <v/>
      </c>
      <c r="B246">
        <f>IF(ISNA(Sheet1!G246),NA(),Sheet1!$O$5-(Sheet1!G246/Sheet1!$O$6))</f>
        <v/>
      </c>
    </row>
    <row r="247">
      <c r="A247">
        <f>Sheet1!I247</f>
        <v/>
      </c>
      <c r="B247">
        <f>IF(ISNA(Sheet1!G247),NA(),Sheet1!$O$5-(Sheet1!G247/Sheet1!$O$6))</f>
        <v/>
      </c>
    </row>
    <row r="248">
      <c r="A248">
        <f>Sheet1!I248</f>
        <v/>
      </c>
      <c r="B248">
        <f>IF(ISNA(Sheet1!G248),NA(),Sheet1!$O$5-(Sheet1!G248/Sheet1!$O$6))</f>
        <v/>
      </c>
    </row>
    <row r="249">
      <c r="A249">
        <f>Sheet1!I249</f>
        <v/>
      </c>
      <c r="B249">
        <f>IF(ISNA(Sheet1!G249),NA(),Sheet1!$O$5-(Sheet1!G249/Sheet1!$O$6))</f>
        <v/>
      </c>
    </row>
    <row r="250">
      <c r="A250">
        <f>Sheet1!I250</f>
        <v/>
      </c>
      <c r="B250">
        <f>IF(ISNA(Sheet1!G250),NA(),Sheet1!$O$5-(Sheet1!G250/Sheet1!$O$6))</f>
        <v/>
      </c>
    </row>
    <row r="251">
      <c r="A251">
        <f>Sheet1!I251</f>
        <v/>
      </c>
      <c r="B251">
        <f>IF(ISNA(Sheet1!G251),NA(),Sheet1!$O$5-(Sheet1!G251/Sheet1!$O$6))</f>
        <v/>
      </c>
    </row>
    <row r="252">
      <c r="A252">
        <f>Sheet1!I252</f>
        <v/>
      </c>
      <c r="B252">
        <f>IF(ISNA(Sheet1!G252),NA(),Sheet1!$O$5-(Sheet1!G252/Sheet1!$O$6))</f>
        <v/>
      </c>
    </row>
    <row r="253">
      <c r="A253">
        <f>Sheet1!I253</f>
        <v/>
      </c>
      <c r="B253">
        <f>IF(ISNA(Sheet1!G253),NA(),Sheet1!$O$5-(Sheet1!G253/Sheet1!$O$6))</f>
        <v/>
      </c>
    </row>
    <row r="254">
      <c r="A254">
        <f>Sheet1!I254</f>
        <v/>
      </c>
      <c r="B254">
        <f>IF(ISNA(Sheet1!G254),NA(),Sheet1!$O$5-(Sheet1!G254/Sheet1!$O$6))</f>
        <v/>
      </c>
    </row>
    <row r="255">
      <c r="A255">
        <f>Sheet1!I255</f>
        <v/>
      </c>
      <c r="B255">
        <f>IF(ISNA(Sheet1!G255),NA(),Sheet1!$O$5-(Sheet1!G255/Sheet1!$O$6))</f>
        <v/>
      </c>
    </row>
    <row r="256">
      <c r="A256">
        <f>Sheet1!I256</f>
        <v/>
      </c>
      <c r="B256">
        <f>IF(ISNA(Sheet1!G256),NA(),Sheet1!$O$5-(Sheet1!G256/Sheet1!$O$6))</f>
        <v/>
      </c>
    </row>
    <row r="257">
      <c r="A257">
        <f>Sheet1!I257</f>
        <v/>
      </c>
      <c r="B257">
        <f>IF(ISNA(Sheet1!G257),NA(),Sheet1!$O$5-(Sheet1!G257/Sheet1!$O$6))</f>
        <v/>
      </c>
    </row>
    <row r="258">
      <c r="A258">
        <f>Sheet1!I258</f>
        <v/>
      </c>
      <c r="B258">
        <f>IF(ISNA(Sheet1!G258),NA(),Sheet1!$O$5-(Sheet1!G258/Sheet1!$O$6))</f>
        <v/>
      </c>
    </row>
    <row r="259">
      <c r="A259">
        <f>Sheet1!I259</f>
        <v/>
      </c>
      <c r="B259">
        <f>IF(ISNA(Sheet1!G259),NA(),Sheet1!$O$5-(Sheet1!G259/Sheet1!$O$6))</f>
        <v/>
      </c>
    </row>
    <row r="260">
      <c r="A260">
        <f>Sheet1!I260</f>
        <v/>
      </c>
      <c r="B260">
        <f>IF(ISNA(Sheet1!G260),NA(),Sheet1!$O$5-(Sheet1!G260/Sheet1!$O$6))</f>
        <v/>
      </c>
    </row>
    <row r="261">
      <c r="A261">
        <f>Sheet1!I261</f>
        <v/>
      </c>
      <c r="B261">
        <f>IF(ISNA(Sheet1!G261),NA(),Sheet1!$O$5-(Sheet1!G261/Sheet1!$O$6))</f>
        <v/>
      </c>
    </row>
    <row r="262">
      <c r="A262">
        <f>Sheet1!I262</f>
        <v/>
      </c>
      <c r="B262">
        <f>IF(ISNA(Sheet1!G262),NA(),Sheet1!$O$5-(Sheet1!G262/Sheet1!$O$6))</f>
        <v/>
      </c>
    </row>
    <row r="263">
      <c r="A263">
        <f>Sheet1!I263</f>
        <v/>
      </c>
      <c r="B263">
        <f>IF(ISNA(Sheet1!G263),NA(),Sheet1!$O$5-(Sheet1!G263/Sheet1!$O$6))</f>
        <v/>
      </c>
    </row>
    <row r="264">
      <c r="A264">
        <f>Sheet1!I264</f>
        <v/>
      </c>
      <c r="B264">
        <f>IF(ISNA(Sheet1!G264),NA(),Sheet1!$O$5-(Sheet1!G264/Sheet1!$O$6))</f>
        <v/>
      </c>
    </row>
    <row r="265">
      <c r="A265">
        <f>Sheet1!I265</f>
        <v/>
      </c>
      <c r="B265">
        <f>IF(ISNA(Sheet1!G265),NA(),Sheet1!$O$5-(Sheet1!G265/Sheet1!$O$6))</f>
        <v/>
      </c>
    </row>
    <row r="266">
      <c r="A266">
        <f>Sheet1!I266</f>
        <v/>
      </c>
      <c r="B266">
        <f>IF(ISNA(Sheet1!G266),NA(),Sheet1!$O$5-(Sheet1!G266/Sheet1!$O$6))</f>
        <v/>
      </c>
    </row>
    <row r="267">
      <c r="A267">
        <f>Sheet1!I267</f>
        <v/>
      </c>
      <c r="B267">
        <f>IF(ISNA(Sheet1!G267),NA(),Sheet1!$O$5-(Sheet1!G267/Sheet1!$O$6))</f>
        <v/>
      </c>
    </row>
    <row r="268">
      <c r="A268">
        <f>Sheet1!I268</f>
        <v/>
      </c>
      <c r="B268">
        <f>IF(ISNA(Sheet1!G268),NA(),Sheet1!$O$5-(Sheet1!G268/Sheet1!$O$6))</f>
        <v/>
      </c>
    </row>
    <row r="269">
      <c r="A269">
        <f>Sheet1!I269</f>
        <v/>
      </c>
      <c r="B269">
        <f>IF(ISNA(Sheet1!G269),NA(),Sheet1!$O$5-(Sheet1!G269/Sheet1!$O$6))</f>
        <v/>
      </c>
    </row>
    <row r="270">
      <c r="A270">
        <f>Sheet1!I270</f>
        <v/>
      </c>
      <c r="B270">
        <f>IF(ISNA(Sheet1!G270),NA(),Sheet1!$O$5-(Sheet1!G270/Sheet1!$O$6))</f>
        <v/>
      </c>
    </row>
    <row r="271">
      <c r="A271">
        <f>Sheet1!I271</f>
        <v/>
      </c>
      <c r="B271">
        <f>IF(ISNA(Sheet1!G271),NA(),Sheet1!$O$5-(Sheet1!G271/Sheet1!$O$6))</f>
        <v/>
      </c>
    </row>
    <row r="272">
      <c r="A272">
        <f>Sheet1!I272</f>
        <v/>
      </c>
      <c r="B272">
        <f>IF(ISNA(Sheet1!G272),NA(),Sheet1!$O$5-(Sheet1!G272/Sheet1!$O$6))</f>
        <v/>
      </c>
    </row>
    <row r="273">
      <c r="A273">
        <f>Sheet1!I273</f>
        <v/>
      </c>
      <c r="B273">
        <f>IF(ISNA(Sheet1!G273),NA(),Sheet1!$O$5-(Sheet1!G273/Sheet1!$O$6))</f>
        <v/>
      </c>
    </row>
    <row r="274">
      <c r="A274">
        <f>Sheet1!I274</f>
        <v/>
      </c>
      <c r="B274">
        <f>IF(ISNA(Sheet1!G274),NA(),Sheet1!$O$5-(Sheet1!G274/Sheet1!$O$6))</f>
        <v/>
      </c>
    </row>
    <row r="275">
      <c r="A275">
        <f>Sheet1!I275</f>
        <v/>
      </c>
      <c r="B275">
        <f>IF(ISNA(Sheet1!G275),NA(),Sheet1!$O$5-(Sheet1!G275/Sheet1!$O$6))</f>
        <v/>
      </c>
    </row>
    <row r="276">
      <c r="A276">
        <f>Sheet1!I276</f>
        <v/>
      </c>
      <c r="B276">
        <f>IF(ISNA(Sheet1!G276),NA(),Sheet1!$O$5-(Sheet1!G276/Sheet1!$O$6))</f>
        <v/>
      </c>
    </row>
    <row r="277">
      <c r="A277">
        <f>Sheet1!I277</f>
        <v/>
      </c>
      <c r="B277">
        <f>IF(ISNA(Sheet1!G277),NA(),Sheet1!$O$5-(Sheet1!G277/Sheet1!$O$6))</f>
        <v/>
      </c>
    </row>
    <row r="278">
      <c r="A278">
        <f>Sheet1!I278</f>
        <v/>
      </c>
      <c r="B278">
        <f>IF(ISNA(Sheet1!G278),NA(),Sheet1!$O$5-(Sheet1!G278/Sheet1!$O$6))</f>
        <v/>
      </c>
    </row>
    <row r="279">
      <c r="A279">
        <f>Sheet1!I279</f>
        <v/>
      </c>
      <c r="B279">
        <f>IF(ISNA(Sheet1!G279),NA(),Sheet1!$O$5-(Sheet1!G279/Sheet1!$O$6))</f>
        <v/>
      </c>
    </row>
    <row r="280">
      <c r="A280">
        <f>Sheet1!I280</f>
        <v/>
      </c>
      <c r="B280">
        <f>IF(ISNA(Sheet1!G280),NA(),Sheet1!$O$5-(Sheet1!G280/Sheet1!$O$6))</f>
        <v/>
      </c>
    </row>
    <row r="281">
      <c r="A281">
        <f>Sheet1!I281</f>
        <v/>
      </c>
      <c r="B281">
        <f>IF(ISNA(Sheet1!G281),NA(),Sheet1!$O$5-(Sheet1!G281/Sheet1!$O$6))</f>
        <v/>
      </c>
    </row>
    <row r="282">
      <c r="A282">
        <f>Sheet1!I282</f>
        <v/>
      </c>
      <c r="B282">
        <f>IF(ISNA(Sheet1!G282),NA(),Sheet1!$O$5-(Sheet1!G282/Sheet1!$O$6))</f>
        <v/>
      </c>
    </row>
    <row r="283">
      <c r="A283">
        <f>Sheet1!I283</f>
        <v/>
      </c>
      <c r="B283">
        <f>IF(ISNA(Sheet1!G283),NA(),Sheet1!$O$5-(Sheet1!G283/Sheet1!$O$6))</f>
        <v/>
      </c>
    </row>
    <row r="284">
      <c r="A284">
        <f>Sheet1!I284</f>
        <v/>
      </c>
      <c r="B284">
        <f>IF(ISNA(Sheet1!G284),NA(),Sheet1!$O$5-(Sheet1!G284/Sheet1!$O$6))</f>
        <v/>
      </c>
    </row>
    <row r="285">
      <c r="A285">
        <f>Sheet1!I285</f>
        <v/>
      </c>
      <c r="B285">
        <f>IF(ISNA(Sheet1!G285),NA(),Sheet1!$O$5-(Sheet1!G285/Sheet1!$O$6))</f>
        <v/>
      </c>
    </row>
    <row r="286">
      <c r="A286">
        <f>Sheet1!I286</f>
        <v/>
      </c>
      <c r="B286">
        <f>IF(ISNA(Sheet1!G286),NA(),Sheet1!$O$5-(Sheet1!G286/Sheet1!$O$6))</f>
        <v/>
      </c>
    </row>
    <row r="287">
      <c r="A287">
        <f>Sheet1!I287</f>
        <v/>
      </c>
      <c r="B287">
        <f>IF(ISNA(Sheet1!G287),NA(),Sheet1!$O$5-(Sheet1!G287/Sheet1!$O$6))</f>
        <v/>
      </c>
    </row>
    <row r="288">
      <c r="A288">
        <f>Sheet1!I288</f>
        <v/>
      </c>
      <c r="B288">
        <f>IF(ISNA(Sheet1!G288),NA(),Sheet1!$O$5-(Sheet1!G288/Sheet1!$O$6))</f>
        <v/>
      </c>
    </row>
    <row r="289">
      <c r="A289">
        <f>Sheet1!I289</f>
        <v/>
      </c>
      <c r="B289">
        <f>IF(ISNA(Sheet1!G289),NA(),Sheet1!$O$5-(Sheet1!G289/Sheet1!$O$6))</f>
        <v/>
      </c>
    </row>
    <row r="290">
      <c r="A290">
        <f>Sheet1!I290</f>
        <v/>
      </c>
      <c r="B290">
        <f>IF(ISNA(Sheet1!G290),NA(),Sheet1!$O$5-(Sheet1!G290/Sheet1!$O$6))</f>
        <v/>
      </c>
    </row>
    <row r="291">
      <c r="A291">
        <f>Sheet1!I291</f>
        <v/>
      </c>
      <c r="B291">
        <f>IF(ISNA(Sheet1!G291),NA(),Sheet1!$O$5-(Sheet1!G291/Sheet1!$O$6))</f>
        <v/>
      </c>
    </row>
    <row r="292">
      <c r="A292">
        <f>Sheet1!I292</f>
        <v/>
      </c>
      <c r="B292">
        <f>IF(ISNA(Sheet1!G292),NA(),Sheet1!$O$5-(Sheet1!G292/Sheet1!$O$6))</f>
        <v/>
      </c>
    </row>
    <row r="293">
      <c r="A293">
        <f>Sheet1!I293</f>
        <v/>
      </c>
      <c r="B293">
        <f>IF(ISNA(Sheet1!G293),NA(),Sheet1!$O$5-(Sheet1!G293/Sheet1!$O$6))</f>
        <v/>
      </c>
    </row>
    <row r="294">
      <c r="A294">
        <f>Sheet1!I294</f>
        <v/>
      </c>
      <c r="B294">
        <f>IF(ISNA(Sheet1!G294),NA(),Sheet1!$O$5-(Sheet1!G294/Sheet1!$O$6))</f>
        <v/>
      </c>
    </row>
    <row r="295">
      <c r="A295">
        <f>Sheet1!I295</f>
        <v/>
      </c>
      <c r="B295">
        <f>IF(ISNA(Sheet1!G295),NA(),Sheet1!$O$5-(Sheet1!G295/Sheet1!$O$6))</f>
        <v/>
      </c>
    </row>
    <row r="296">
      <c r="A296">
        <f>Sheet1!I296</f>
        <v/>
      </c>
      <c r="B296">
        <f>IF(ISNA(Sheet1!G296),NA(),Sheet1!$O$5-(Sheet1!G296/Sheet1!$O$6))</f>
        <v/>
      </c>
    </row>
    <row r="297">
      <c r="A297">
        <f>Sheet1!I297</f>
        <v/>
      </c>
      <c r="B297">
        <f>IF(ISNA(Sheet1!G297),NA(),Sheet1!$O$5-(Sheet1!G297/Sheet1!$O$6))</f>
        <v/>
      </c>
    </row>
    <row r="298">
      <c r="A298">
        <f>Sheet1!I298</f>
        <v/>
      </c>
      <c r="B298">
        <f>IF(ISNA(Sheet1!G298),NA(),Sheet1!$O$5-(Sheet1!G298/Sheet1!$O$6))</f>
        <v/>
      </c>
    </row>
    <row r="299">
      <c r="A299">
        <f>Sheet1!I299</f>
        <v/>
      </c>
      <c r="B299">
        <f>IF(ISNA(Sheet1!G299),NA(),Sheet1!$O$5-(Sheet1!G299/Sheet1!$O$6))</f>
        <v/>
      </c>
    </row>
    <row r="300">
      <c r="A300">
        <f>Sheet1!I300</f>
        <v/>
      </c>
      <c r="B300">
        <f>IF(ISNA(Sheet1!G300),NA(),Sheet1!$O$5-(Sheet1!G300/Sheet1!$O$6))</f>
        <v/>
      </c>
    </row>
    <row r="301">
      <c r="A301">
        <f>Sheet1!I301</f>
        <v/>
      </c>
      <c r="B301">
        <f>IF(ISNA(Sheet1!G301),NA(),Sheet1!$O$5-(Sheet1!G301/Sheet1!$O$6))</f>
        <v/>
      </c>
    </row>
    <row r="302">
      <c r="A302">
        <f>Sheet1!I302</f>
        <v/>
      </c>
      <c r="B302">
        <f>IF(ISNA(Sheet1!G302),NA(),Sheet1!$O$5-(Sheet1!G302/Sheet1!$O$6))</f>
        <v/>
      </c>
    </row>
    <row r="303">
      <c r="A303">
        <f>Sheet1!I303</f>
        <v/>
      </c>
      <c r="B303">
        <f>IF(ISNA(Sheet1!G303),NA(),Sheet1!$O$5-(Sheet1!G303/Sheet1!$O$6))</f>
        <v/>
      </c>
    </row>
    <row r="304">
      <c r="A304">
        <f>Sheet1!I304</f>
        <v/>
      </c>
      <c r="B304">
        <f>IF(ISNA(Sheet1!G304),NA(),Sheet1!$O$5-(Sheet1!G304/Sheet1!$O$6))</f>
        <v/>
      </c>
    </row>
    <row r="305">
      <c r="A305">
        <f>Sheet1!I305</f>
        <v/>
      </c>
      <c r="B305">
        <f>IF(ISNA(Sheet1!G305),NA(),Sheet1!$O$5-(Sheet1!G305/Sheet1!$O$6))</f>
        <v/>
      </c>
    </row>
    <row r="306">
      <c r="A306">
        <f>Sheet1!I306</f>
        <v/>
      </c>
      <c r="B306">
        <f>IF(ISNA(Sheet1!G306),NA(),Sheet1!$O$5-(Sheet1!G306/Sheet1!$O$6))</f>
        <v/>
      </c>
    </row>
    <row r="307">
      <c r="A307">
        <f>Sheet1!I307</f>
        <v/>
      </c>
      <c r="B307">
        <f>IF(ISNA(Sheet1!G307),NA(),Sheet1!$O$5-(Sheet1!G307/Sheet1!$O$6))</f>
        <v/>
      </c>
    </row>
    <row r="308">
      <c r="A308">
        <f>Sheet1!I308</f>
        <v/>
      </c>
      <c r="B308">
        <f>IF(ISNA(Sheet1!G308),NA(),Sheet1!$O$5-(Sheet1!G308/Sheet1!$O$6))</f>
        <v/>
      </c>
    </row>
    <row r="309">
      <c r="A309">
        <f>Sheet1!I309</f>
        <v/>
      </c>
      <c r="B309">
        <f>IF(ISNA(Sheet1!G309),NA(),Sheet1!$O$5-(Sheet1!G309/Sheet1!$O$6))</f>
        <v/>
      </c>
    </row>
    <row r="310">
      <c r="A310">
        <f>Sheet1!I310</f>
        <v/>
      </c>
      <c r="B310">
        <f>IF(ISNA(Sheet1!G310),NA(),Sheet1!$O$5-(Sheet1!G310/Sheet1!$O$6))</f>
        <v/>
      </c>
    </row>
    <row r="311">
      <c r="A311">
        <f>Sheet1!I311</f>
        <v/>
      </c>
      <c r="B311">
        <f>IF(ISNA(Sheet1!G311),NA(),Sheet1!$O$5-(Sheet1!G311/Sheet1!$O$6))</f>
        <v/>
      </c>
    </row>
    <row r="312">
      <c r="A312">
        <f>Sheet1!I312</f>
        <v/>
      </c>
      <c r="B312">
        <f>IF(ISNA(Sheet1!G312),NA(),Sheet1!$O$5-(Sheet1!G312/Sheet1!$O$6))</f>
        <v/>
      </c>
    </row>
    <row r="313">
      <c r="A313">
        <f>Sheet1!I313</f>
        <v/>
      </c>
      <c r="B313">
        <f>IF(ISNA(Sheet1!G313),NA(),Sheet1!$O$5-(Sheet1!G313/Sheet1!$O$6))</f>
        <v/>
      </c>
    </row>
    <row r="314">
      <c r="A314">
        <f>Sheet1!I314</f>
        <v/>
      </c>
      <c r="B314">
        <f>IF(ISNA(Sheet1!G314),NA(),Sheet1!$O$5-(Sheet1!G314/Sheet1!$O$6))</f>
        <v/>
      </c>
    </row>
    <row r="315">
      <c r="A315">
        <f>Sheet1!I315</f>
        <v/>
      </c>
      <c r="B315">
        <f>IF(ISNA(Sheet1!G315),NA(),Sheet1!$O$5-(Sheet1!G315/Sheet1!$O$6))</f>
        <v/>
      </c>
    </row>
    <row r="316">
      <c r="A316">
        <f>Sheet1!I316</f>
        <v/>
      </c>
      <c r="B316">
        <f>IF(ISNA(Sheet1!G316),NA(),Sheet1!$O$5-(Sheet1!G316/Sheet1!$O$6))</f>
        <v/>
      </c>
    </row>
    <row r="317">
      <c r="A317">
        <f>Sheet1!I317</f>
        <v/>
      </c>
      <c r="B317">
        <f>IF(ISNA(Sheet1!G317),NA(),Sheet1!$O$5-(Sheet1!G317/Sheet1!$O$6))</f>
        <v/>
      </c>
    </row>
    <row r="318">
      <c r="A318">
        <f>Sheet1!I318</f>
        <v/>
      </c>
      <c r="B318">
        <f>IF(ISNA(Sheet1!G318),NA(),Sheet1!$O$5-(Sheet1!G318/Sheet1!$O$6))</f>
        <v/>
      </c>
    </row>
    <row r="319">
      <c r="A319">
        <f>Sheet1!I319</f>
        <v/>
      </c>
      <c r="B319">
        <f>IF(ISNA(Sheet1!G319),NA(),Sheet1!$O$5-(Sheet1!G319/Sheet1!$O$6))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2026-08-06T16:37:33Z</dcterms:created>
  <dcterms:modified xsi:type="dcterms:W3CDTF">2026-08-12T11:58:49Z</dcterms:modified>
</cp:coreProperties>
</file>