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Haci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iddsi3_iddsi3-60ml-1_weights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'Sheet1'!$B$2:$B$503</f>
            </numRef>
          </xVal>
          <yVal>
            <numRef>
              <f>'Sheet1'!$D$2:$D$503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iddsi3_iddsi3-60ml-1_weights - kept weight vs corrected time</a:t>
            </a:r>
          </a:p>
        </rich>
      </tx>
    </title>
    <plotArea>
      <scatterChart>
        <ser>
          <idx val="0"/>
          <order val="0"/>
          <tx>
            <strRef>
              <f>'Sheet1'!I1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'Sheet1'!$K$2:$K$503</f>
            </numRef>
          </xVal>
          <yVal>
            <numRef>
              <f>'Sheet1'!$I$2:$I$503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iddsi3_iddsi3-60ml-1_weights - remaining syringe volume vs time</a:t>
            </a:r>
          </a:p>
        </rich>
      </tx>
    </title>
    <plotArea>
      <scatterChart>
        <ser>
          <idx val="0"/>
          <order val="0"/>
          <tx>
            <strRef>
              <f>'Hacim'!B1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2CA02C"/>
              </a:solidFill>
              <a:ln>
                <a:solidFill>
                  <a:srgbClr val="2CA02C"/>
                </a:solidFill>
                <a:prstDash val="solid"/>
              </a:ln>
            </spPr>
          </marker>
          <xVal>
            <numRef>
              <f>'Hacim'!$A$2:$A$503</f>
            </numRef>
          </xVal>
          <yVal>
            <numRef>
              <f>'Hacim'!$B$2:$B$503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since dispense start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16</col>
      <colOff>0</colOff>
      <row>1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s="1" t="inlineStr">
        <is>
          <t>local_median_g</t>
        </is>
      </c>
      <c r="F1" s="1" t="inlineStr">
        <is>
          <t>trend_ref_g</t>
        </is>
      </c>
      <c r="G1" s="1" t="inlineStr">
        <is>
          <t>reset_drop_g</t>
        </is>
      </c>
      <c r="H1" s="1" t="inlineStr">
        <is>
          <t>excluded</t>
        </is>
      </c>
      <c r="I1" s="1" t="inlineStr">
        <is>
          <t>weight_kept_g</t>
        </is>
      </c>
      <c r="J1" s="1" t="inlineStr">
        <is>
          <t>is_started</t>
        </is>
      </c>
      <c r="K1" s="1" t="inlineStr">
        <is>
          <t>time_corrected_s</t>
        </is>
      </c>
      <c r="N1" s="1" t="inlineStr">
        <is>
          <t>Parametreler</t>
        </is>
      </c>
    </row>
    <row r="2">
      <c r="A2" t="n">
        <v>0</v>
      </c>
      <c r="B2" t="n">
        <v>0</v>
      </c>
      <c r="C2" t="inlineStr">
        <is>
          <t>600</t>
        </is>
      </c>
      <c r="D2" t="n">
        <v>6</v>
      </c>
      <c r="E2">
        <f>MEDIAN(D2:D22)</f>
        <v/>
      </c>
      <c r="F2">
        <f>E2</f>
        <v/>
      </c>
      <c r="G2">
        <f>F2-E2</f>
        <v/>
      </c>
      <c r="H2">
        <f>IF(OR(NOT(ISNUMBER(D2)),ABS(D2-E2)&gt;$O$3,AND($O$11=1,B2&lt;$O$12)),1,0)</f>
        <v/>
      </c>
      <c r="I2">
        <f>IF(H2=1,NA(),D2)</f>
        <v/>
      </c>
      <c r="J2">
        <f>IF(AND(ISNUMBER(D2),D2&gt;=$O$4,OR($O$11=0,B2&gt;=$O$12)),1,0)</f>
        <v/>
      </c>
      <c r="K2">
        <f>B2-$O$14</f>
        <v/>
      </c>
      <c r="N2" t="inlineStr">
        <is>
          <t>Medyan penceresi (satir, her yonde)</t>
        </is>
      </c>
      <c r="O2" t="n">
        <v>20</v>
      </c>
    </row>
    <row r="3">
      <c r="A3" t="n">
        <v>3</v>
      </c>
      <c r="B3" t="n">
        <v>0.1</v>
      </c>
      <c r="C3" t="inlineStr">
        <is>
          <t>00</t>
        </is>
      </c>
      <c r="D3" t="n">
        <v>0</v>
      </c>
      <c r="E3">
        <f>MEDIAN(D2:D23)</f>
        <v/>
      </c>
      <c r="F3">
        <f>E3</f>
        <v/>
      </c>
      <c r="G3">
        <f>F3-E3</f>
        <v/>
      </c>
      <c r="H3">
        <f>IF(OR(NOT(ISNUMBER(D3)),ABS(D3-E3)&gt;$O$3,AND($O$11=1,B3&lt;$O$12)),1,0)</f>
        <v/>
      </c>
      <c r="I3">
        <f>IF(H3=1,NA(),D3)</f>
        <v/>
      </c>
      <c r="J3">
        <f>IF(AND(ISNUMBER(D3),D3&gt;=$O$4,OR($O$11=0,B3&gt;=$O$12)),1,0)</f>
        <v/>
      </c>
      <c r="K3">
        <f>B3-$O$14</f>
        <v/>
      </c>
      <c r="N3" t="inlineStr">
        <is>
          <t>Disleme toleransi (g)</t>
        </is>
      </c>
      <c r="O3" t="n">
        <v>0.15</v>
      </c>
    </row>
    <row r="4">
      <c r="A4" t="n">
        <v>6</v>
      </c>
      <c r="B4" t="n">
        <v>0.2</v>
      </c>
      <c r="C4" t="inlineStr">
        <is>
          <t>00</t>
        </is>
      </c>
      <c r="D4" t="n">
        <v>0</v>
      </c>
      <c r="E4">
        <f>MEDIAN(D2:D24)</f>
        <v/>
      </c>
      <c r="F4">
        <f>E4</f>
        <v/>
      </c>
      <c r="G4">
        <f>F4-E4</f>
        <v/>
      </c>
      <c r="H4">
        <f>IF(OR(NOT(ISNUMBER(D4)),ABS(D4-E4)&gt;$O$3,AND($O$11=1,B4&lt;$O$12)),1,0)</f>
        <v/>
      </c>
      <c r="I4">
        <f>IF(H4=1,NA(),D4)</f>
        <v/>
      </c>
      <c r="J4">
        <f>IF(AND(ISNUMBER(D4),D4&gt;=$O$4,OR($O$11=0,B4&gt;=$O$12)),1,0)</f>
        <v/>
      </c>
      <c r="K4">
        <f>B4-$O$14</f>
        <v/>
      </c>
      <c r="N4" t="inlineStr">
        <is>
          <t>Baslangic esigi (g)</t>
        </is>
      </c>
      <c r="O4" t="n">
        <v>0.05</v>
      </c>
    </row>
    <row r="5">
      <c r="A5" t="n">
        <v>9</v>
      </c>
      <c r="B5" t="n">
        <v>0.3</v>
      </c>
      <c r="C5" t="inlineStr">
        <is>
          <t>000</t>
        </is>
      </c>
      <c r="D5" t="n">
        <v>0</v>
      </c>
      <c r="E5">
        <f>MEDIAN(D2:D25)</f>
        <v/>
      </c>
      <c r="F5">
        <f>E5</f>
        <v/>
      </c>
      <c r="G5">
        <f>F5-E5</f>
        <v/>
      </c>
      <c r="H5">
        <f>IF(OR(NOT(ISNUMBER(D5)),ABS(D5-E5)&gt;$O$3,AND($O$11=1,B5&lt;$O$12)),1,0)</f>
        <v/>
      </c>
      <c r="I5">
        <f>IF(H5=1,NA(),D5)</f>
        <v/>
      </c>
      <c r="J5">
        <f>IF(AND(ISNUMBER(D5),D5&gt;=$O$4,OR($O$11=0,B5&gt;=$O$12)),1,0)</f>
        <v/>
      </c>
      <c r="K5">
        <f>B5-$O$14</f>
        <v/>
      </c>
      <c r="N5" t="inlineStr">
        <is>
          <t>Siringa hacmi (mL)</t>
        </is>
      </c>
      <c r="O5" t="n">
        <v>60</v>
      </c>
    </row>
    <row r="6">
      <c r="A6" t="n">
        <v>12</v>
      </c>
      <c r="B6" t="n">
        <v>0.4</v>
      </c>
      <c r="C6" t="inlineStr">
        <is>
          <t>000</t>
        </is>
      </c>
      <c r="D6" t="n">
        <v>0</v>
      </c>
      <c r="E6">
        <f>MEDIAN(D2:D26)</f>
        <v/>
      </c>
      <c r="F6">
        <f>E6</f>
        <v/>
      </c>
      <c r="G6">
        <f>F6-E6</f>
        <v/>
      </c>
      <c r="H6">
        <f>IF(OR(NOT(ISNUMBER(D6)),ABS(D6-E6)&gt;$O$3,AND($O$11=1,B6&lt;$O$12)),1,0)</f>
        <v/>
      </c>
      <c r="I6">
        <f>IF(H6=1,NA(),D6)</f>
        <v/>
      </c>
      <c r="J6">
        <f>IF(AND(ISNUMBER(D6),D6&gt;=$O$4,OR($O$11=0,B6&gt;=$O$12)),1,0)</f>
        <v/>
      </c>
      <c r="K6">
        <f>B6-$O$14</f>
        <v/>
      </c>
      <c r="N6" t="inlineStr">
        <is>
          <t>Yogunluk (g/mL)</t>
        </is>
      </c>
      <c r="O6" t="n">
        <v>1</v>
      </c>
    </row>
    <row r="7">
      <c r="A7" t="n">
        <v>15</v>
      </c>
      <c r="B7" t="n">
        <v>0.5</v>
      </c>
      <c r="C7" t="inlineStr">
        <is>
          <t>000</t>
        </is>
      </c>
      <c r="D7" t="n">
        <v>0</v>
      </c>
      <c r="E7">
        <f>MEDIAN(D2:D27)</f>
        <v/>
      </c>
      <c r="F7">
        <f>E7</f>
        <v/>
      </c>
      <c r="G7">
        <f>F7-E7</f>
        <v/>
      </c>
      <c r="H7">
        <f>IF(OR(NOT(ISNUMBER(D7)),ABS(D7-E7)&gt;$O$3,AND($O$11=1,B7&lt;$O$12)),1,0)</f>
        <v/>
      </c>
      <c r="I7">
        <f>IF(H7=1,NA(),D7)</f>
        <v/>
      </c>
      <c r="J7">
        <f>IF(AND(ISNUMBER(D7),D7&gt;=$O$4,OR($O$11=0,B7&gt;=$O$12)),1,0)</f>
        <v/>
      </c>
      <c r="K7">
        <f>B7-$O$14</f>
        <v/>
      </c>
      <c r="N7" t="inlineStr">
        <is>
          <t>Reset bakis penceresi (satir)</t>
        </is>
      </c>
      <c r="O7" t="n">
        <v>20</v>
      </c>
    </row>
    <row r="8">
      <c r="A8" t="n">
        <v>18</v>
      </c>
      <c r="B8" t="n">
        <v>0.6</v>
      </c>
      <c r="C8" t="inlineStr">
        <is>
          <t>00</t>
        </is>
      </c>
      <c r="D8" t="n">
        <v>0</v>
      </c>
      <c r="E8">
        <f>MEDIAN(D2:D28)</f>
        <v/>
      </c>
      <c r="F8">
        <f>E8</f>
        <v/>
      </c>
      <c r="G8">
        <f>F8-E8</f>
        <v/>
      </c>
      <c r="H8">
        <f>IF(OR(NOT(ISNUMBER(D8)),ABS(D8-E8)&gt;$O$3,AND($O$11=1,B8&lt;$O$12)),1,0)</f>
        <v/>
      </c>
      <c r="I8">
        <f>IF(H8=1,NA(),D8)</f>
        <v/>
      </c>
      <c r="J8">
        <f>IF(AND(ISNUMBER(D8),D8&gt;=$O$4,OR($O$11=0,B8&gt;=$O$12)),1,0)</f>
        <v/>
      </c>
      <c r="K8">
        <f>B8-$O$14</f>
        <v/>
      </c>
      <c r="N8" t="inlineStr">
        <is>
          <t>Reset esigi (g)</t>
        </is>
      </c>
      <c r="O8" t="n">
        <v>5</v>
      </c>
    </row>
    <row r="9">
      <c r="A9" t="n">
        <v>21</v>
      </c>
      <c r="B9" t="n">
        <v>0.7</v>
      </c>
      <c r="C9" t="inlineStr">
        <is>
          <t>00</t>
        </is>
      </c>
      <c r="D9" t="n">
        <v>0</v>
      </c>
      <c r="E9">
        <f>MEDIAN(D2:D29)</f>
        <v/>
      </c>
      <c r="F9">
        <f>E9</f>
        <v/>
      </c>
      <c r="G9">
        <f>F9-E9</f>
        <v/>
      </c>
      <c r="H9">
        <f>IF(OR(NOT(ISNUMBER(D9)),ABS(D9-E9)&gt;$O$3,AND($O$11=1,B9&lt;$O$12)),1,0)</f>
        <v/>
      </c>
      <c r="I9">
        <f>IF(H9=1,NA(),D9)</f>
        <v/>
      </c>
      <c r="J9">
        <f>IF(AND(ISNUMBER(D9),D9&gt;=$O$4,OR($O$11=0,B9&gt;=$O$12)),1,0)</f>
        <v/>
      </c>
      <c r="K9">
        <f>B9-$O$14</f>
        <v/>
      </c>
    </row>
    <row r="10">
      <c r="A10" t="n">
        <v>24</v>
      </c>
      <c r="B10" t="n">
        <v>0.8</v>
      </c>
      <c r="C10" t="inlineStr">
        <is>
          <t>00</t>
        </is>
      </c>
      <c r="D10" t="n">
        <v>0</v>
      </c>
      <c r="E10">
        <f>MEDIAN(D2:D30)</f>
        <v/>
      </c>
      <c r="F10">
        <f>E10</f>
        <v/>
      </c>
      <c r="G10">
        <f>F10-E10</f>
        <v/>
      </c>
      <c r="H10">
        <f>IF(OR(NOT(ISNUMBER(D10)),ABS(D10-E10)&gt;$O$3,AND($O$11=1,B10&lt;$O$12)),1,0)</f>
        <v/>
      </c>
      <c r="I10">
        <f>IF(H10=1,NA(),D10)</f>
        <v/>
      </c>
      <c r="J10">
        <f>IF(AND(ISNUMBER(D10),D10&gt;=$O$4,OR($O$11=0,B10&gt;=$O$12)),1,0)</f>
        <v/>
      </c>
      <c r="K10">
        <f>B10-$O$14</f>
        <v/>
      </c>
      <c r="N10" t="inlineStr">
        <is>
          <t>En buyuk dusus (g)</t>
        </is>
      </c>
      <c r="O10">
        <f>MAX(G2:G503)</f>
        <v/>
      </c>
    </row>
    <row r="11">
      <c r="A11" t="n">
        <v>27</v>
      </c>
      <c r="B11" t="n">
        <v>0.9</v>
      </c>
      <c r="C11" t="inlineStr">
        <is>
          <t>000</t>
        </is>
      </c>
      <c r="D11" t="n">
        <v>0</v>
      </c>
      <c r="E11">
        <f>MEDIAN(D2:D31)</f>
        <v/>
      </c>
      <c r="F11">
        <f>E11</f>
        <v/>
      </c>
      <c r="G11">
        <f>F11-E11</f>
        <v/>
      </c>
      <c r="H11">
        <f>IF(OR(NOT(ISNUMBER(D11)),ABS(D11-E11)&gt;$O$3,AND($O$11=1,B11&lt;$O$12)),1,0)</f>
        <v/>
      </c>
      <c r="I11">
        <f>IF(H11=1,NA(),D11)</f>
        <v/>
      </c>
      <c r="J11">
        <f>IF(AND(ISNUMBER(D11),D11&gt;=$O$4,OR($O$11=0,B11&gt;=$O$12)),1,0)</f>
        <v/>
      </c>
      <c r="K11">
        <f>B11-$O$14</f>
        <v/>
      </c>
      <c r="N11" t="inlineStr">
        <is>
          <t>Reset tespit edildi mi (1/0)</t>
        </is>
      </c>
      <c r="O11">
        <f>IF(O10&gt;$O$8,1,0)</f>
        <v/>
      </c>
    </row>
    <row r="12">
      <c r="A12" t="n">
        <v>30</v>
      </c>
      <c r="B12" t="n">
        <v>1</v>
      </c>
      <c r="C12" t="inlineStr">
        <is>
          <t>000</t>
        </is>
      </c>
      <c r="D12" t="n">
        <v>0</v>
      </c>
      <c r="E12">
        <f>MEDIAN(D2:D32)</f>
        <v/>
      </c>
      <c r="F12">
        <f>E12</f>
        <v/>
      </c>
      <c r="G12">
        <f>F12-E12</f>
        <v/>
      </c>
      <c r="H12">
        <f>IF(OR(NOT(ISNUMBER(D12)),ABS(D12-E12)&gt;$O$3,AND($O$11=1,B12&lt;$O$12)),1,0)</f>
        <v/>
      </c>
      <c r="I12">
        <f>IF(H12=1,NA(),D12)</f>
        <v/>
      </c>
      <c r="J12">
        <f>IF(AND(ISNUMBER(D12),D12&gt;=$O$4,OR($O$11=0,B12&gt;=$O$12)),1,0)</f>
        <v/>
      </c>
      <c r="K12">
        <f>B12-$O$14</f>
        <v/>
      </c>
      <c r="N12" t="inlineStr">
        <is>
          <t>Reset zamani (s)</t>
        </is>
      </c>
      <c r="O12">
        <f>IF(O11=1,INDEX(B2:B503,MATCH(O10,G2:G503,0)),-1000000)</f>
        <v/>
      </c>
    </row>
    <row r="13">
      <c r="A13" t="n">
        <v>33</v>
      </c>
      <c r="B13" t="n">
        <v>1.1</v>
      </c>
      <c r="C13" t="inlineStr">
        <is>
          <t>00</t>
        </is>
      </c>
      <c r="D13" t="n">
        <v>0</v>
      </c>
      <c r="E13">
        <f>MEDIAN(D2:D33)</f>
        <v/>
      </c>
      <c r="F13">
        <f>E13</f>
        <v/>
      </c>
      <c r="G13">
        <f>F13-E13</f>
        <v/>
      </c>
      <c r="H13">
        <f>IF(OR(NOT(ISNUMBER(D13)),ABS(D13-E13)&gt;$O$3,AND($O$11=1,B13&lt;$O$12)),1,0)</f>
        <v/>
      </c>
      <c r="I13">
        <f>IF(H13=1,NA(),D13)</f>
        <v/>
      </c>
      <c r="J13">
        <f>IF(AND(ISNUMBER(D13),D13&gt;=$O$4,OR($O$11=0,B13&gt;=$O$12)),1,0)</f>
        <v/>
      </c>
      <c r="K13">
        <f>B13-$O$14</f>
        <v/>
      </c>
    </row>
    <row r="14">
      <c r="A14" t="n">
        <v>36</v>
      </c>
      <c r="B14" t="n">
        <v>1.2</v>
      </c>
      <c r="C14" t="inlineStr">
        <is>
          <t>00</t>
        </is>
      </c>
      <c r="D14" t="n">
        <v>0</v>
      </c>
      <c r="E14">
        <f>MEDIAN(D2:D34)</f>
        <v/>
      </c>
      <c r="F14">
        <f>E14</f>
        <v/>
      </c>
      <c r="G14">
        <f>F14-E14</f>
        <v/>
      </c>
      <c r="H14">
        <f>IF(OR(NOT(ISNUMBER(D14)),ABS(D14-E14)&gt;$O$3,AND($O$11=1,B14&lt;$O$12)),1,0)</f>
        <v/>
      </c>
      <c r="I14">
        <f>IF(H14=1,NA(),D14)</f>
        <v/>
      </c>
      <c r="J14">
        <f>IF(AND(ISNUMBER(D14),D14&gt;=$O$4,OR($O$11=0,B14&gt;=$O$12)),1,0)</f>
        <v/>
      </c>
      <c r="K14">
        <f>B14-$O$14</f>
        <v/>
      </c>
      <c r="N14" t="inlineStr">
        <is>
          <t>Baslangic zamani (s)</t>
        </is>
      </c>
      <c r="O14">
        <f>INDEX(B2:B503,MATCH(1,J2:J503,0))</f>
        <v/>
      </c>
    </row>
    <row r="15">
      <c r="A15" t="n">
        <v>39</v>
      </c>
      <c r="B15" t="n">
        <v>1.3</v>
      </c>
      <c r="C15" t="inlineStr">
        <is>
          <t>000</t>
        </is>
      </c>
      <c r="D15" t="n">
        <v>0</v>
      </c>
      <c r="E15">
        <f>MEDIAN(D2:D35)</f>
        <v/>
      </c>
      <c r="F15">
        <f>E15</f>
        <v/>
      </c>
      <c r="G15">
        <f>F15-E15</f>
        <v/>
      </c>
      <c r="H15">
        <f>IF(OR(NOT(ISNUMBER(D15)),ABS(D15-E15)&gt;$O$3,AND($O$11=1,B15&lt;$O$12)),1,0)</f>
        <v/>
      </c>
      <c r="I15">
        <f>IF(H15=1,NA(),D15)</f>
        <v/>
      </c>
      <c r="J15">
        <f>IF(AND(ISNUMBER(D15),D15&gt;=$O$4,OR($O$11=0,B15&gt;=$O$12)),1,0)</f>
        <v/>
      </c>
      <c r="K15">
        <f>B15-$O$14</f>
        <v/>
      </c>
    </row>
    <row r="16">
      <c r="A16" t="n">
        <v>42</v>
      </c>
      <c r="B16" t="n">
        <v>1.4</v>
      </c>
      <c r="C16" t="inlineStr">
        <is>
          <t>000</t>
        </is>
      </c>
      <c r="D16" t="n">
        <v>0</v>
      </c>
      <c r="E16">
        <f>MEDIAN(D2:D36)</f>
        <v/>
      </c>
      <c r="F16">
        <f>E16</f>
        <v/>
      </c>
      <c r="G16">
        <f>F16-E16</f>
        <v/>
      </c>
      <c r="H16">
        <f>IF(OR(NOT(ISNUMBER(D16)),ABS(D16-E16)&gt;$O$3,AND($O$11=1,B16&lt;$O$12)),1,0)</f>
        <v/>
      </c>
      <c r="I16">
        <f>IF(H16=1,NA(),D16)</f>
        <v/>
      </c>
      <c r="J16">
        <f>IF(AND(ISNUMBER(D16),D16&gt;=$O$4,OR($O$11=0,B16&gt;=$O$12)),1,0)</f>
        <v/>
      </c>
      <c r="K16">
        <f>B16-$O$14</f>
        <v/>
      </c>
    </row>
    <row r="17">
      <c r="A17" t="n">
        <v>45</v>
      </c>
      <c r="B17" t="n">
        <v>1.5</v>
      </c>
      <c r="C17" t="inlineStr">
        <is>
          <t>000</t>
        </is>
      </c>
      <c r="D17" t="n">
        <v>0</v>
      </c>
      <c r="E17">
        <f>MEDIAN(D2:D37)</f>
        <v/>
      </c>
      <c r="F17">
        <f>E17</f>
        <v/>
      </c>
      <c r="G17">
        <f>F17-E17</f>
        <v/>
      </c>
      <c r="H17">
        <f>IF(OR(NOT(ISNUMBER(D17)),ABS(D17-E17)&gt;$O$3,AND($O$11=1,B17&lt;$O$12)),1,0)</f>
        <v/>
      </c>
      <c r="I17">
        <f>IF(H17=1,NA(),D17)</f>
        <v/>
      </c>
      <c r="J17">
        <f>IF(AND(ISNUMBER(D17),D17&gt;=$O$4,OR($O$11=0,B17&gt;=$O$12)),1,0)</f>
        <v/>
      </c>
      <c r="K17">
        <f>B17-$O$14</f>
        <v/>
      </c>
    </row>
    <row r="18">
      <c r="A18" t="n">
        <v>48</v>
      </c>
      <c r="B18" t="n">
        <v>1.6</v>
      </c>
      <c r="C18" t="inlineStr">
        <is>
          <t>08</t>
        </is>
      </c>
      <c r="D18" t="n">
        <v>0.08</v>
      </c>
      <c r="E18">
        <f>MEDIAN(D2:D38)</f>
        <v/>
      </c>
      <c r="F18">
        <f>E18</f>
        <v/>
      </c>
      <c r="G18">
        <f>F18-E18</f>
        <v/>
      </c>
      <c r="H18">
        <f>IF(OR(NOT(ISNUMBER(D18)),ABS(D18-E18)&gt;$O$3,AND($O$11=1,B18&lt;$O$12)),1,0)</f>
        <v/>
      </c>
      <c r="I18">
        <f>IF(H18=1,NA(),D18)</f>
        <v/>
      </c>
      <c r="J18">
        <f>IF(AND(ISNUMBER(D18),D18&gt;=$O$4,OR($O$11=0,B18&gt;=$O$12)),1,0)</f>
        <v/>
      </c>
      <c r="K18">
        <f>B18-$O$14</f>
        <v/>
      </c>
    </row>
    <row r="19">
      <c r="A19" t="n">
        <v>51</v>
      </c>
      <c r="B19" t="n">
        <v>1.7</v>
      </c>
      <c r="C19" t="inlineStr">
        <is>
          <t>000</t>
        </is>
      </c>
      <c r="D19" t="n">
        <v>0</v>
      </c>
      <c r="E19">
        <f>MEDIAN(D2:D39)</f>
        <v/>
      </c>
      <c r="F19">
        <f>E19</f>
        <v/>
      </c>
      <c r="G19">
        <f>F19-E19</f>
        <v/>
      </c>
      <c r="H19">
        <f>IF(OR(NOT(ISNUMBER(D19)),ABS(D19-E19)&gt;$O$3,AND($O$11=1,B19&lt;$O$12)),1,0)</f>
        <v/>
      </c>
      <c r="I19">
        <f>IF(H19=1,NA(),D19)</f>
        <v/>
      </c>
      <c r="J19">
        <f>IF(AND(ISNUMBER(D19),D19&gt;=$O$4,OR($O$11=0,B19&gt;=$O$12)),1,0)</f>
        <v/>
      </c>
      <c r="K19">
        <f>B19-$O$14</f>
        <v/>
      </c>
    </row>
    <row r="20">
      <c r="A20" t="n">
        <v>54</v>
      </c>
      <c r="B20" t="n">
        <v>1.8</v>
      </c>
      <c r="C20" t="inlineStr">
        <is>
          <t>00</t>
        </is>
      </c>
      <c r="D20" t="n">
        <v>0</v>
      </c>
      <c r="E20">
        <f>MEDIAN(D2:D40)</f>
        <v/>
      </c>
      <c r="F20">
        <f>E20</f>
        <v/>
      </c>
      <c r="G20">
        <f>F20-E20</f>
        <v/>
      </c>
      <c r="H20">
        <f>IF(OR(NOT(ISNUMBER(D20)),ABS(D20-E20)&gt;$O$3,AND($O$11=1,B20&lt;$O$12)),1,0)</f>
        <v/>
      </c>
      <c r="I20">
        <f>IF(H20=1,NA(),D20)</f>
        <v/>
      </c>
      <c r="J20">
        <f>IF(AND(ISNUMBER(D20),D20&gt;=$O$4,OR($O$11=0,B20&gt;=$O$12)),1,0)</f>
        <v/>
      </c>
      <c r="K20">
        <f>B20-$O$14</f>
        <v/>
      </c>
    </row>
    <row r="21">
      <c r="A21" t="n">
        <v>57</v>
      </c>
      <c r="B21" t="n">
        <v>1.9</v>
      </c>
      <c r="C21" t="inlineStr">
        <is>
          <t>00</t>
        </is>
      </c>
      <c r="D21" t="n">
        <v>0</v>
      </c>
      <c r="E21">
        <f>MEDIAN(D2:D41)</f>
        <v/>
      </c>
      <c r="F21">
        <f>E21</f>
        <v/>
      </c>
      <c r="G21">
        <f>F21-E21</f>
        <v/>
      </c>
      <c r="H21">
        <f>IF(OR(NOT(ISNUMBER(D21)),ABS(D21-E21)&gt;$O$3,AND($O$11=1,B21&lt;$O$12)),1,0)</f>
        <v/>
      </c>
      <c r="I21">
        <f>IF(H21=1,NA(),D21)</f>
        <v/>
      </c>
      <c r="J21">
        <f>IF(AND(ISNUMBER(D21),D21&gt;=$O$4,OR($O$11=0,B21&gt;=$O$12)),1,0)</f>
        <v/>
      </c>
      <c r="K21">
        <f>B21-$O$14</f>
        <v/>
      </c>
    </row>
    <row r="22">
      <c r="A22" t="n">
        <v>60</v>
      </c>
      <c r="B22" t="n">
        <v>2</v>
      </c>
      <c r="C22" t="inlineStr">
        <is>
          <t>025</t>
        </is>
      </c>
      <c r="D22" t="n">
        <v>0.25</v>
      </c>
      <c r="E22">
        <f>MEDIAN(D2:D42)</f>
        <v/>
      </c>
      <c r="F22">
        <f>E2</f>
        <v/>
      </c>
      <c r="G22">
        <f>F22-E22</f>
        <v/>
      </c>
      <c r="H22">
        <f>IF(OR(NOT(ISNUMBER(D22)),ABS(D22-E22)&gt;$O$3,AND($O$11=1,B22&lt;$O$12)),1,0)</f>
        <v/>
      </c>
      <c r="I22">
        <f>IF(H22=1,NA(),D22)</f>
        <v/>
      </c>
      <c r="J22">
        <f>IF(AND(ISNUMBER(D22),D22&gt;=$O$4,OR($O$11=0,B22&gt;=$O$12)),1,0)</f>
        <v/>
      </c>
      <c r="K22">
        <f>B22-$O$14</f>
        <v/>
      </c>
    </row>
    <row r="23">
      <c r="A23" t="n">
        <v>63</v>
      </c>
      <c r="B23" t="n">
        <v>2.1</v>
      </c>
      <c r="C23" t="inlineStr">
        <is>
          <t>053</t>
        </is>
      </c>
      <c r="D23" t="n">
        <v>0.53</v>
      </c>
      <c r="E23">
        <f>MEDIAN(D3:D43)</f>
        <v/>
      </c>
      <c r="F23">
        <f>E3</f>
        <v/>
      </c>
      <c r="G23">
        <f>F23-E23</f>
        <v/>
      </c>
      <c r="H23">
        <f>IF(OR(NOT(ISNUMBER(D23)),ABS(D23-E23)&gt;$O$3,AND($O$11=1,B23&lt;$O$12)),1,0)</f>
        <v/>
      </c>
      <c r="I23">
        <f>IF(H23=1,NA(),D23)</f>
        <v/>
      </c>
      <c r="J23">
        <f>IF(AND(ISNUMBER(D23),D23&gt;=$O$4,OR($O$11=0,B23&gt;=$O$12)),1,0)</f>
        <v/>
      </c>
      <c r="K23">
        <f>B23-$O$14</f>
        <v/>
      </c>
    </row>
    <row r="24">
      <c r="A24" t="n">
        <v>66</v>
      </c>
      <c r="B24" t="n">
        <v>2.2</v>
      </c>
      <c r="C24" t="inlineStr">
        <is>
          <t>83</t>
        </is>
      </c>
      <c r="D24" t="n">
        <v>0.83</v>
      </c>
      <c r="E24">
        <f>MEDIAN(D4:D44)</f>
        <v/>
      </c>
      <c r="F24">
        <f>E4</f>
        <v/>
      </c>
      <c r="G24">
        <f>F24-E24</f>
        <v/>
      </c>
      <c r="H24">
        <f>IF(OR(NOT(ISNUMBER(D24)),ABS(D24-E24)&gt;$O$3,AND($O$11=1,B24&lt;$O$12)),1,0)</f>
        <v/>
      </c>
      <c r="I24">
        <f>IF(H24=1,NA(),D24)</f>
        <v/>
      </c>
      <c r="J24">
        <f>IF(AND(ISNUMBER(D24),D24&gt;=$O$4,OR($O$11=0,B24&gt;=$O$12)),1,0)</f>
        <v/>
      </c>
      <c r="K24">
        <f>B24-$O$14</f>
        <v/>
      </c>
    </row>
    <row r="25">
      <c r="A25" t="n">
        <v>69</v>
      </c>
      <c r="B25" t="n">
        <v>2.3</v>
      </c>
      <c r="C25" t="inlineStr">
        <is>
          <t>18</t>
        </is>
      </c>
      <c r="D25" t="n">
        <v>0.18</v>
      </c>
      <c r="E25">
        <f>MEDIAN(D5:D45)</f>
        <v/>
      </c>
      <c r="F25">
        <f>E5</f>
        <v/>
      </c>
      <c r="G25">
        <f>F25-E25</f>
        <v/>
      </c>
      <c r="H25">
        <f>IF(OR(NOT(ISNUMBER(D25)),ABS(D25-E25)&gt;$O$3,AND($O$11=1,B25&lt;$O$12)),1,0)</f>
        <v/>
      </c>
      <c r="I25">
        <f>IF(H25=1,NA(),D25)</f>
        <v/>
      </c>
      <c r="J25">
        <f>IF(AND(ISNUMBER(D25),D25&gt;=$O$4,OR($O$11=0,B25&gt;=$O$12)),1,0)</f>
        <v/>
      </c>
      <c r="K25">
        <f>B25-$O$14</f>
        <v/>
      </c>
    </row>
    <row r="26">
      <c r="A26" t="n">
        <v>72</v>
      </c>
      <c r="B26" t="n">
        <v>2.4</v>
      </c>
      <c r="C26" t="inlineStr">
        <is>
          <t>155</t>
        </is>
      </c>
      <c r="D26" t="n">
        <v>1.55</v>
      </c>
      <c r="E26">
        <f>MEDIAN(D6:D46)</f>
        <v/>
      </c>
      <c r="F26">
        <f>E6</f>
        <v/>
      </c>
      <c r="G26">
        <f>F26-E26</f>
        <v/>
      </c>
      <c r="H26">
        <f>IF(OR(NOT(ISNUMBER(D26)),ABS(D26-E26)&gt;$O$3,AND($O$11=1,B26&lt;$O$12)),1,0)</f>
        <v/>
      </c>
      <c r="I26">
        <f>IF(H26=1,NA(),D26)</f>
        <v/>
      </c>
      <c r="J26">
        <f>IF(AND(ISNUMBER(D26),D26&gt;=$O$4,OR($O$11=0,B26&gt;=$O$12)),1,0)</f>
        <v/>
      </c>
      <c r="K26">
        <f>B26-$O$14</f>
        <v/>
      </c>
    </row>
    <row r="27">
      <c r="A27" t="n">
        <v>75</v>
      </c>
      <c r="B27" t="n">
        <v>2.5</v>
      </c>
      <c r="C27" t="inlineStr">
        <is>
          <t>?06</t>
        </is>
      </c>
      <c r="E27">
        <f>MEDIAN(D7:D47)</f>
        <v/>
      </c>
      <c r="F27">
        <f>E7</f>
        <v/>
      </c>
      <c r="G27">
        <f>F27-E27</f>
        <v/>
      </c>
      <c r="H27">
        <f>IF(OR(NOT(ISNUMBER(D27)),ABS(D27-E27)&gt;$O$3,AND($O$11=1,B27&lt;$O$12)),1,0)</f>
        <v/>
      </c>
      <c r="I27">
        <f>IF(H27=1,NA(),D27)</f>
        <v/>
      </c>
      <c r="J27">
        <f>IF(AND(ISNUMBER(D27),D27&gt;=$O$4,OR($O$11=0,B27&gt;=$O$12)),1,0)</f>
        <v/>
      </c>
      <c r="K27">
        <f>B27-$O$14</f>
        <v/>
      </c>
    </row>
    <row r="28">
      <c r="A28" t="n">
        <v>78</v>
      </c>
      <c r="B28" t="n">
        <v>2.6</v>
      </c>
      <c r="C28" t="inlineStr">
        <is>
          <t>255</t>
        </is>
      </c>
      <c r="D28" t="n">
        <v>2.55</v>
      </c>
      <c r="E28">
        <f>MEDIAN(D8:D48)</f>
        <v/>
      </c>
      <c r="F28">
        <f>E8</f>
        <v/>
      </c>
      <c r="G28">
        <f>F28-E28</f>
        <v/>
      </c>
      <c r="H28">
        <f>IF(OR(NOT(ISNUMBER(D28)),ABS(D28-E28)&gt;$O$3,AND($O$11=1,B28&lt;$O$12)),1,0)</f>
        <v/>
      </c>
      <c r="I28">
        <f>IF(H28=1,NA(),D28)</f>
        <v/>
      </c>
      <c r="J28">
        <f>IF(AND(ISNUMBER(D28),D28&gt;=$O$4,OR($O$11=0,B28&gt;=$O$12)),1,0)</f>
        <v/>
      </c>
      <c r="K28">
        <f>B28-$O$14</f>
        <v/>
      </c>
    </row>
    <row r="29">
      <c r="A29" t="n">
        <v>81</v>
      </c>
      <c r="B29" t="n">
        <v>2.7</v>
      </c>
      <c r="C29" t="inlineStr">
        <is>
          <t>317</t>
        </is>
      </c>
      <c r="D29" t="n">
        <v>3.17</v>
      </c>
      <c r="E29">
        <f>MEDIAN(D9:D49)</f>
        <v/>
      </c>
      <c r="F29">
        <f>E9</f>
        <v/>
      </c>
      <c r="G29">
        <f>F29-E29</f>
        <v/>
      </c>
      <c r="H29">
        <f>IF(OR(NOT(ISNUMBER(D29)),ABS(D29-E29)&gt;$O$3,AND($O$11=1,B29&lt;$O$12)),1,0)</f>
        <v/>
      </c>
      <c r="I29">
        <f>IF(H29=1,NA(),D29)</f>
        <v/>
      </c>
      <c r="J29">
        <f>IF(AND(ISNUMBER(D29),D29&gt;=$O$4,OR($O$11=0,B29&gt;=$O$12)),1,0)</f>
        <v/>
      </c>
      <c r="K29">
        <f>B29-$O$14</f>
        <v/>
      </c>
    </row>
    <row r="30">
      <c r="A30" t="n">
        <v>84</v>
      </c>
      <c r="B30" t="n">
        <v>2.8</v>
      </c>
      <c r="C30" t="inlineStr">
        <is>
          <t>390</t>
        </is>
      </c>
      <c r="D30" t="n">
        <v>3.9</v>
      </c>
      <c r="E30">
        <f>MEDIAN(D10:D50)</f>
        <v/>
      </c>
      <c r="F30">
        <f>E10</f>
        <v/>
      </c>
      <c r="G30">
        <f>F30-E30</f>
        <v/>
      </c>
      <c r="H30">
        <f>IF(OR(NOT(ISNUMBER(D30)),ABS(D30-E30)&gt;$O$3,AND($O$11=1,B30&lt;$O$12)),1,0)</f>
        <v/>
      </c>
      <c r="I30">
        <f>IF(H30=1,NA(),D30)</f>
        <v/>
      </c>
      <c r="J30">
        <f>IF(AND(ISNUMBER(D30),D30&gt;=$O$4,OR($O$11=0,B30&gt;=$O$12)),1,0)</f>
        <v/>
      </c>
      <c r="K30">
        <f>B30-$O$14</f>
        <v/>
      </c>
    </row>
    <row r="31">
      <c r="A31" t="n">
        <v>87</v>
      </c>
      <c r="B31" t="n">
        <v>2.9</v>
      </c>
      <c r="C31" t="inlineStr">
        <is>
          <t>446</t>
        </is>
      </c>
      <c r="D31" t="n">
        <v>4.46</v>
      </c>
      <c r="E31">
        <f>MEDIAN(D11:D51)</f>
        <v/>
      </c>
      <c r="F31">
        <f>E11</f>
        <v/>
      </c>
      <c r="G31">
        <f>F31-E31</f>
        <v/>
      </c>
      <c r="H31">
        <f>IF(OR(NOT(ISNUMBER(D31)),ABS(D31-E31)&gt;$O$3,AND($O$11=1,B31&lt;$O$12)),1,0)</f>
        <v/>
      </c>
      <c r="I31">
        <f>IF(H31=1,NA(),D31)</f>
        <v/>
      </c>
      <c r="J31">
        <f>IF(AND(ISNUMBER(D31),D31&gt;=$O$4,OR($O$11=0,B31&gt;=$O$12)),1,0)</f>
        <v/>
      </c>
      <c r="K31">
        <f>B31-$O$14</f>
        <v/>
      </c>
    </row>
    <row r="32">
      <c r="A32" t="n">
        <v>90</v>
      </c>
      <c r="B32" t="n">
        <v>3</v>
      </c>
      <c r="C32" t="inlineStr">
        <is>
          <t>512</t>
        </is>
      </c>
      <c r="D32" t="n">
        <v>5.12</v>
      </c>
      <c r="E32">
        <f>MEDIAN(D12:D52)</f>
        <v/>
      </c>
      <c r="F32">
        <f>E12</f>
        <v/>
      </c>
      <c r="G32">
        <f>F32-E32</f>
        <v/>
      </c>
      <c r="H32">
        <f>IF(OR(NOT(ISNUMBER(D32)),ABS(D32-E32)&gt;$O$3,AND($O$11=1,B32&lt;$O$12)),1,0)</f>
        <v/>
      </c>
      <c r="I32">
        <f>IF(H32=1,NA(),D32)</f>
        <v/>
      </c>
      <c r="J32">
        <f>IF(AND(ISNUMBER(D32),D32&gt;=$O$4,OR($O$11=0,B32&gt;=$O$12)),1,0)</f>
        <v/>
      </c>
      <c r="K32">
        <f>B32-$O$14</f>
        <v/>
      </c>
    </row>
    <row r="33">
      <c r="A33" t="n">
        <v>93</v>
      </c>
      <c r="B33" t="n">
        <v>3.1</v>
      </c>
      <c r="C33" t="inlineStr">
        <is>
          <t>75</t>
        </is>
      </c>
      <c r="D33" t="n">
        <v>0.75</v>
      </c>
      <c r="E33">
        <f>MEDIAN(D13:D53)</f>
        <v/>
      </c>
      <c r="F33">
        <f>E13</f>
        <v/>
      </c>
      <c r="G33">
        <f>F33-E33</f>
        <v/>
      </c>
      <c r="H33">
        <f>IF(OR(NOT(ISNUMBER(D33)),ABS(D33-E33)&gt;$O$3,AND($O$11=1,B33&lt;$O$12)),1,0)</f>
        <v/>
      </c>
      <c r="I33">
        <f>IF(H33=1,NA(),D33)</f>
        <v/>
      </c>
      <c r="J33">
        <f>IF(AND(ISNUMBER(D33),D33&gt;=$O$4,OR($O$11=0,B33&gt;=$O$12)),1,0)</f>
        <v/>
      </c>
      <c r="K33">
        <f>B33-$O$14</f>
        <v/>
      </c>
    </row>
    <row r="34">
      <c r="A34" t="n">
        <v>96</v>
      </c>
      <c r="B34" t="n">
        <v>3.2</v>
      </c>
      <c r="C34" t="inlineStr">
        <is>
          <t>35</t>
        </is>
      </c>
      <c r="D34" t="n">
        <v>0.35</v>
      </c>
      <c r="E34">
        <f>MEDIAN(D14:D54)</f>
        <v/>
      </c>
      <c r="F34">
        <f>E14</f>
        <v/>
      </c>
      <c r="G34">
        <f>F34-E34</f>
        <v/>
      </c>
      <c r="H34">
        <f>IF(OR(NOT(ISNUMBER(D34)),ABS(D34-E34)&gt;$O$3,AND($O$11=1,B34&lt;$O$12)),1,0)</f>
        <v/>
      </c>
      <c r="I34">
        <f>IF(H34=1,NA(),D34)</f>
        <v/>
      </c>
      <c r="J34">
        <f>IF(AND(ISNUMBER(D34),D34&gt;=$O$4,OR($O$11=0,B34&gt;=$O$12)),1,0)</f>
        <v/>
      </c>
      <c r="K34">
        <f>B34-$O$14</f>
        <v/>
      </c>
    </row>
    <row r="35">
      <c r="A35" t="n">
        <v>99</v>
      </c>
      <c r="B35" t="n">
        <v>3.3</v>
      </c>
      <c r="C35" t="inlineStr">
        <is>
          <t>696</t>
        </is>
      </c>
      <c r="D35" t="n">
        <v>6.96</v>
      </c>
      <c r="E35">
        <f>MEDIAN(D15:D55)</f>
        <v/>
      </c>
      <c r="F35">
        <f>E15</f>
        <v/>
      </c>
      <c r="G35">
        <f>F35-E35</f>
        <v/>
      </c>
      <c r="H35">
        <f>IF(OR(NOT(ISNUMBER(D35)),ABS(D35-E35)&gt;$O$3,AND($O$11=1,B35&lt;$O$12)),1,0)</f>
        <v/>
      </c>
      <c r="I35">
        <f>IF(H35=1,NA(),D35)</f>
        <v/>
      </c>
      <c r="J35">
        <f>IF(AND(ISNUMBER(D35),D35&gt;=$O$4,OR($O$11=0,B35&gt;=$O$12)),1,0)</f>
        <v/>
      </c>
      <c r="K35">
        <f>B35-$O$14</f>
        <v/>
      </c>
    </row>
    <row r="36">
      <c r="A36" t="n">
        <v>102</v>
      </c>
      <c r="B36" t="n">
        <v>3.4</v>
      </c>
      <c r="C36" t="inlineStr">
        <is>
          <t>?56</t>
        </is>
      </c>
      <c r="E36">
        <f>MEDIAN(D16:D56)</f>
        <v/>
      </c>
      <c r="F36">
        <f>E16</f>
        <v/>
      </c>
      <c r="G36">
        <f>F36-E36</f>
        <v/>
      </c>
      <c r="H36">
        <f>IF(OR(NOT(ISNUMBER(D36)),ABS(D36-E36)&gt;$O$3,AND($O$11=1,B36&lt;$O$12)),1,0)</f>
        <v/>
      </c>
      <c r="I36">
        <f>IF(H36=1,NA(),D36)</f>
        <v/>
      </c>
      <c r="J36">
        <f>IF(AND(ISNUMBER(D36),D36&gt;=$O$4,OR($O$11=0,B36&gt;=$O$12)),1,0)</f>
        <v/>
      </c>
      <c r="K36">
        <f>B36-$O$14</f>
        <v/>
      </c>
    </row>
    <row r="37">
      <c r="A37" t="n">
        <v>105</v>
      </c>
      <c r="B37" t="n">
        <v>3.5</v>
      </c>
      <c r="C37" t="inlineStr">
        <is>
          <t>816</t>
        </is>
      </c>
      <c r="D37" t="n">
        <v>8.16</v>
      </c>
      <c r="E37">
        <f>MEDIAN(D17:D57)</f>
        <v/>
      </c>
      <c r="F37">
        <f>E17</f>
        <v/>
      </c>
      <c r="G37">
        <f>F37-E37</f>
        <v/>
      </c>
      <c r="H37">
        <f>IF(OR(NOT(ISNUMBER(D37)),ABS(D37-E37)&gt;$O$3,AND($O$11=1,B37&lt;$O$12)),1,0)</f>
        <v/>
      </c>
      <c r="I37">
        <f>IF(H37=1,NA(),D37)</f>
        <v/>
      </c>
      <c r="J37">
        <f>IF(AND(ISNUMBER(D37),D37&gt;=$O$4,OR($O$11=0,B37&gt;=$O$12)),1,0)</f>
        <v/>
      </c>
      <c r="K37">
        <f>B37-$O$14</f>
        <v/>
      </c>
    </row>
    <row r="38">
      <c r="A38" t="n">
        <v>108</v>
      </c>
      <c r="B38" t="n">
        <v>3.6</v>
      </c>
      <c r="C38" t="inlineStr">
        <is>
          <t>75</t>
        </is>
      </c>
      <c r="D38" t="n">
        <v>0.75</v>
      </c>
      <c r="E38">
        <f>MEDIAN(D18:D58)</f>
        <v/>
      </c>
      <c r="F38">
        <f>E18</f>
        <v/>
      </c>
      <c r="G38">
        <f>F38-E38</f>
        <v/>
      </c>
      <c r="H38">
        <f>IF(OR(NOT(ISNUMBER(D38)),ABS(D38-E38)&gt;$O$3,AND($O$11=1,B38&lt;$O$12)),1,0)</f>
        <v/>
      </c>
      <c r="I38">
        <f>IF(H38=1,NA(),D38)</f>
        <v/>
      </c>
      <c r="J38">
        <f>IF(AND(ISNUMBER(D38),D38&gt;=$O$4,OR($O$11=0,B38&gt;=$O$12)),1,0)</f>
        <v/>
      </c>
      <c r="K38">
        <f>B38-$O$14</f>
        <v/>
      </c>
    </row>
    <row r="39">
      <c r="A39" t="n">
        <v>111</v>
      </c>
      <c r="B39" t="n">
        <v>3.7</v>
      </c>
      <c r="C39" t="inlineStr">
        <is>
          <t>33</t>
        </is>
      </c>
      <c r="D39" t="n">
        <v>0.33</v>
      </c>
      <c r="E39">
        <f>MEDIAN(D19:D59)</f>
        <v/>
      </c>
      <c r="F39">
        <f>E19</f>
        <v/>
      </c>
      <c r="G39">
        <f>F39-E39</f>
        <v/>
      </c>
      <c r="H39">
        <f>IF(OR(NOT(ISNUMBER(D39)),ABS(D39-E39)&gt;$O$3,AND($O$11=1,B39&lt;$O$12)),1,0)</f>
        <v/>
      </c>
      <c r="I39">
        <f>IF(H39=1,NA(),D39)</f>
        <v/>
      </c>
      <c r="J39">
        <f>IF(AND(ISNUMBER(D39),D39&gt;=$O$4,OR($O$11=0,B39&gt;=$O$12)),1,0)</f>
        <v/>
      </c>
      <c r="K39">
        <f>B39-$O$14</f>
        <v/>
      </c>
    </row>
    <row r="40">
      <c r="A40" t="n">
        <v>114</v>
      </c>
      <c r="B40" t="n">
        <v>3.8</v>
      </c>
      <c r="C40" t="inlineStr">
        <is>
          <t>95</t>
        </is>
      </c>
      <c r="D40" t="n">
        <v>0.95</v>
      </c>
      <c r="E40">
        <f>MEDIAN(D20:D60)</f>
        <v/>
      </c>
      <c r="F40">
        <f>E20</f>
        <v/>
      </c>
      <c r="G40">
        <f>F40-E40</f>
        <v/>
      </c>
      <c r="H40">
        <f>IF(OR(NOT(ISNUMBER(D40)),ABS(D40-E40)&gt;$O$3,AND($O$11=1,B40&lt;$O$12)),1,0)</f>
        <v/>
      </c>
      <c r="I40">
        <f>IF(H40=1,NA(),D40)</f>
        <v/>
      </c>
      <c r="J40">
        <f>IF(AND(ISNUMBER(D40),D40&gt;=$O$4,OR($O$11=0,B40&gt;=$O$12)),1,0)</f>
        <v/>
      </c>
      <c r="K40">
        <f>B40-$O$14</f>
        <v/>
      </c>
    </row>
    <row r="41">
      <c r="A41" t="n">
        <v>117</v>
      </c>
      <c r="B41" t="n">
        <v>3.9</v>
      </c>
      <c r="C41" t="inlineStr">
        <is>
          <t>046</t>
        </is>
      </c>
      <c r="D41" t="n">
        <v>0.46</v>
      </c>
      <c r="E41">
        <f>MEDIAN(D21:D61)</f>
        <v/>
      </c>
      <c r="F41">
        <f>E21</f>
        <v/>
      </c>
      <c r="G41">
        <f>F41-E41</f>
        <v/>
      </c>
      <c r="H41">
        <f>IF(OR(NOT(ISNUMBER(D41)),ABS(D41-E41)&gt;$O$3,AND($O$11=1,B41&lt;$O$12)),1,0)</f>
        <v/>
      </c>
      <c r="I41">
        <f>IF(H41=1,NA(),D41)</f>
        <v/>
      </c>
      <c r="J41">
        <f>IF(AND(ISNUMBER(D41),D41&gt;=$O$4,OR($O$11=0,B41&gt;=$O$12)),1,0)</f>
        <v/>
      </c>
      <c r="K41">
        <f>B41-$O$14</f>
        <v/>
      </c>
    </row>
    <row r="42">
      <c r="A42" t="n">
        <v>120</v>
      </c>
      <c r="B42" t="n">
        <v>4</v>
      </c>
      <c r="C42" t="inlineStr">
        <is>
          <t>11</t>
        </is>
      </c>
      <c r="D42" t="n">
        <v>0.11</v>
      </c>
      <c r="E42">
        <f>MEDIAN(D22:D62)</f>
        <v/>
      </c>
      <c r="F42">
        <f>E22</f>
        <v/>
      </c>
      <c r="G42">
        <f>F42-E42</f>
        <v/>
      </c>
      <c r="H42">
        <f>IF(OR(NOT(ISNUMBER(D42)),ABS(D42-E42)&gt;$O$3,AND($O$11=1,B42&lt;$O$12)),1,0)</f>
        <v/>
      </c>
      <c r="I42">
        <f>IF(H42=1,NA(),D42)</f>
        <v/>
      </c>
      <c r="J42">
        <f>IF(AND(ISNUMBER(D42),D42&gt;=$O$4,OR($O$11=0,B42&gt;=$O$12)),1,0)</f>
        <v/>
      </c>
      <c r="K42">
        <f>B42-$O$14</f>
        <v/>
      </c>
    </row>
    <row r="43">
      <c r="A43" t="n">
        <v>123</v>
      </c>
      <c r="B43" t="n">
        <v>4.1</v>
      </c>
      <c r="C43" t="inlineStr">
        <is>
          <t>1162</t>
        </is>
      </c>
      <c r="D43" t="n">
        <v>11.62</v>
      </c>
      <c r="E43">
        <f>MEDIAN(D23:D63)</f>
        <v/>
      </c>
      <c r="F43">
        <f>E23</f>
        <v/>
      </c>
      <c r="G43">
        <f>F43-E43</f>
        <v/>
      </c>
      <c r="H43">
        <f>IF(OR(NOT(ISNUMBER(D43)),ABS(D43-E43)&gt;$O$3,AND($O$11=1,B43&lt;$O$12)),1,0)</f>
        <v/>
      </c>
      <c r="I43">
        <f>IF(H43=1,NA(),D43)</f>
        <v/>
      </c>
      <c r="J43">
        <f>IF(AND(ISNUMBER(D43),D43&gt;=$O$4,OR($O$11=0,B43&gt;=$O$12)),1,0)</f>
        <v/>
      </c>
      <c r="K43">
        <f>B43-$O$14</f>
        <v/>
      </c>
    </row>
    <row r="44">
      <c r="A44" t="n">
        <v>126</v>
      </c>
      <c r="B44" t="n">
        <v>4.2</v>
      </c>
      <c r="C44" t="inlineStr">
        <is>
          <t>16</t>
        </is>
      </c>
      <c r="D44" t="n">
        <v>0.16</v>
      </c>
      <c r="E44">
        <f>MEDIAN(D24:D64)</f>
        <v/>
      </c>
      <c r="F44">
        <f>E24</f>
        <v/>
      </c>
      <c r="G44">
        <f>F44-E44</f>
        <v/>
      </c>
      <c r="H44">
        <f>IF(OR(NOT(ISNUMBER(D44)),ABS(D44-E44)&gt;$O$3,AND($O$11=1,B44&lt;$O$12)),1,0)</f>
        <v/>
      </c>
      <c r="I44">
        <f>IF(H44=1,NA(),D44)</f>
        <v/>
      </c>
      <c r="J44">
        <f>IF(AND(ISNUMBER(D44),D44&gt;=$O$4,OR($O$11=0,B44&gt;=$O$12)),1,0)</f>
        <v/>
      </c>
      <c r="K44">
        <f>B44-$O$14</f>
        <v/>
      </c>
    </row>
    <row r="45">
      <c r="A45" t="n">
        <v>129</v>
      </c>
      <c r="B45" t="n">
        <v>4.3</v>
      </c>
      <c r="C45" t="inlineStr">
        <is>
          <t>175</t>
        </is>
      </c>
      <c r="D45" t="n">
        <v>1.75</v>
      </c>
      <c r="E45">
        <f>MEDIAN(D25:D65)</f>
        <v/>
      </c>
      <c r="F45">
        <f>E25</f>
        <v/>
      </c>
      <c r="G45">
        <f>F45-E45</f>
        <v/>
      </c>
      <c r="H45">
        <f>IF(OR(NOT(ISNUMBER(D45)),ABS(D45-E45)&gt;$O$3,AND($O$11=1,B45&lt;$O$12)),1,0)</f>
        <v/>
      </c>
      <c r="I45">
        <f>IF(H45=1,NA(),D45)</f>
        <v/>
      </c>
      <c r="J45">
        <f>IF(AND(ISNUMBER(D45),D45&gt;=$O$4,OR($O$11=0,B45&gt;=$O$12)),1,0)</f>
        <v/>
      </c>
      <c r="K45">
        <f>B45-$O$14</f>
        <v/>
      </c>
    </row>
    <row r="46">
      <c r="A46" t="n">
        <v>132</v>
      </c>
      <c r="B46" t="n">
        <v>4.4</v>
      </c>
      <c r="C46" t="inlineStr">
        <is>
          <t>126</t>
        </is>
      </c>
      <c r="D46" t="n">
        <v>1.26</v>
      </c>
      <c r="E46">
        <f>MEDIAN(D26:D66)</f>
        <v/>
      </c>
      <c r="F46">
        <f>E26</f>
        <v/>
      </c>
      <c r="G46">
        <f>F46-E46</f>
        <v/>
      </c>
      <c r="H46">
        <f>IF(OR(NOT(ISNUMBER(D46)),ABS(D46-E46)&gt;$O$3,AND($O$11=1,B46&lt;$O$12)),1,0)</f>
        <v/>
      </c>
      <c r="I46">
        <f>IF(H46=1,NA(),D46)</f>
        <v/>
      </c>
      <c r="J46">
        <f>IF(AND(ISNUMBER(D46),D46&gt;=$O$4,OR($O$11=0,B46&gt;=$O$12)),1,0)</f>
        <v/>
      </c>
      <c r="K46">
        <f>B46-$O$14</f>
        <v/>
      </c>
    </row>
    <row r="47">
      <c r="A47" t="n">
        <v>135</v>
      </c>
      <c r="B47" t="n">
        <v>4.5</v>
      </c>
      <c r="C47" t="inlineStr">
        <is>
          <t>183</t>
        </is>
      </c>
      <c r="D47" t="n">
        <v>1.83</v>
      </c>
      <c r="E47">
        <f>MEDIAN(D27:D67)</f>
        <v/>
      </c>
      <c r="F47">
        <f>E27</f>
        <v/>
      </c>
      <c r="G47">
        <f>F47-E47</f>
        <v/>
      </c>
      <c r="H47">
        <f>IF(OR(NOT(ISNUMBER(D47)),ABS(D47-E47)&gt;$O$3,AND($O$11=1,B47&lt;$O$12)),1,0)</f>
        <v/>
      </c>
      <c r="I47">
        <f>IF(H47=1,NA(),D47)</f>
        <v/>
      </c>
      <c r="J47">
        <f>IF(AND(ISNUMBER(D47),D47&gt;=$O$4,OR($O$11=0,B47&gt;=$O$12)),1,0)</f>
        <v/>
      </c>
      <c r="K47">
        <f>B47-$O$14</f>
        <v/>
      </c>
    </row>
    <row r="48">
      <c r="A48" t="n">
        <v>138</v>
      </c>
      <c r="B48" t="n">
        <v>4.6</v>
      </c>
      <c r="C48" t="inlineStr">
        <is>
          <t>47</t>
        </is>
      </c>
      <c r="D48" t="n">
        <v>0.47</v>
      </c>
      <c r="E48">
        <f>MEDIAN(D28:D68)</f>
        <v/>
      </c>
      <c r="F48">
        <f>E28</f>
        <v/>
      </c>
      <c r="G48">
        <f>F48-E48</f>
        <v/>
      </c>
      <c r="H48">
        <f>IF(OR(NOT(ISNUMBER(D48)),ABS(D48-E48)&gt;$O$3,AND($O$11=1,B48&lt;$O$12)),1,0)</f>
        <v/>
      </c>
      <c r="I48">
        <f>IF(H48=1,NA(),D48)</f>
        <v/>
      </c>
      <c r="J48">
        <f>IF(AND(ISNUMBER(D48),D48&gt;=$O$4,OR($O$11=0,B48&gt;=$O$12)),1,0)</f>
        <v/>
      </c>
      <c r="K48">
        <f>B48-$O$14</f>
        <v/>
      </c>
    </row>
    <row r="49">
      <c r="A49" t="n">
        <v>141</v>
      </c>
      <c r="B49" t="n">
        <v>4.7</v>
      </c>
      <c r="C49" t="inlineStr">
        <is>
          <t>8</t>
        </is>
      </c>
      <c r="D49" t="n">
        <v>0.08</v>
      </c>
      <c r="E49">
        <f>MEDIAN(D29:D69)</f>
        <v/>
      </c>
      <c r="F49">
        <f>E29</f>
        <v/>
      </c>
      <c r="G49">
        <f>F49-E49</f>
        <v/>
      </c>
      <c r="H49">
        <f>IF(OR(NOT(ISNUMBER(D49)),ABS(D49-E49)&gt;$O$3,AND($O$11=1,B49&lt;$O$12)),1,0)</f>
        <v/>
      </c>
      <c r="I49">
        <f>IF(H49=1,NA(),D49)</f>
        <v/>
      </c>
      <c r="J49">
        <f>IF(AND(ISNUMBER(D49),D49&gt;=$O$4,OR($O$11=0,B49&gt;=$O$12)),1,0)</f>
        <v/>
      </c>
      <c r="K49">
        <f>B49-$O$14</f>
        <v/>
      </c>
    </row>
    <row r="50">
      <c r="A50" t="n">
        <v>144</v>
      </c>
      <c r="B50" t="n">
        <v>4.8</v>
      </c>
      <c r="C50" t="inlineStr">
        <is>
          <t>43</t>
        </is>
      </c>
      <c r="D50" t="n">
        <v>0.43</v>
      </c>
      <c r="E50">
        <f>MEDIAN(D30:D70)</f>
        <v/>
      </c>
      <c r="F50">
        <f>E30</f>
        <v/>
      </c>
      <c r="G50">
        <f>F50-E50</f>
        <v/>
      </c>
      <c r="H50">
        <f>IF(OR(NOT(ISNUMBER(D50)),ABS(D50-E50)&gt;$O$3,AND($O$11=1,B50&lt;$O$12)),1,0)</f>
        <v/>
      </c>
      <c r="I50">
        <f>IF(H50=1,NA(),D50)</f>
        <v/>
      </c>
      <c r="J50">
        <f>IF(AND(ISNUMBER(D50),D50&gt;=$O$4,OR($O$11=0,B50&gt;=$O$12)),1,0)</f>
        <v/>
      </c>
      <c r="K50">
        <f>B50-$O$14</f>
        <v/>
      </c>
    </row>
    <row r="51">
      <c r="A51" t="n">
        <v>147</v>
      </c>
      <c r="B51" t="n">
        <v>4.9</v>
      </c>
      <c r="C51" t="inlineStr">
        <is>
          <t>96</t>
        </is>
      </c>
      <c r="D51" t="n">
        <v>0.96</v>
      </c>
      <c r="E51">
        <f>MEDIAN(D31:D71)</f>
        <v/>
      </c>
      <c r="F51">
        <f>E31</f>
        <v/>
      </c>
      <c r="G51">
        <f>F51-E51</f>
        <v/>
      </c>
      <c r="H51">
        <f>IF(OR(NOT(ISNUMBER(D51)),ABS(D51-E51)&gt;$O$3,AND($O$11=1,B51&lt;$O$12)),1,0)</f>
        <v/>
      </c>
      <c r="I51">
        <f>IF(H51=1,NA(),D51)</f>
        <v/>
      </c>
      <c r="J51">
        <f>IF(AND(ISNUMBER(D51),D51&gt;=$O$4,OR($O$11=0,B51&gt;=$O$12)),1,0)</f>
        <v/>
      </c>
      <c r="K51">
        <f>B51-$O$14</f>
        <v/>
      </c>
    </row>
    <row r="52">
      <c r="A52" t="n">
        <v>150</v>
      </c>
      <c r="B52" t="n">
        <v>5</v>
      </c>
      <c r="C52" t="inlineStr">
        <is>
          <t>46</t>
        </is>
      </c>
      <c r="D52" t="n">
        <v>0.46</v>
      </c>
      <c r="E52">
        <f>MEDIAN(D32:D72)</f>
        <v/>
      </c>
      <c r="F52">
        <f>E32</f>
        <v/>
      </c>
      <c r="G52">
        <f>F52-E52</f>
        <v/>
      </c>
      <c r="H52">
        <f>IF(OR(NOT(ISNUMBER(D52)),ABS(D52-E52)&gt;$O$3,AND($O$11=1,B52&lt;$O$12)),1,0)</f>
        <v/>
      </c>
      <c r="I52">
        <f>IF(H52=1,NA(),D52)</f>
        <v/>
      </c>
      <c r="J52">
        <f>IF(AND(ISNUMBER(D52),D52&gt;=$O$4,OR($O$11=0,B52&gt;=$O$12)),1,0)</f>
        <v/>
      </c>
      <c r="K52">
        <f>B52-$O$14</f>
        <v/>
      </c>
    </row>
    <row r="53">
      <c r="A53" t="n">
        <v>153</v>
      </c>
      <c r="B53" t="n">
        <v>5.1</v>
      </c>
      <c r="C53" t="inlineStr">
        <is>
          <t>1?00</t>
        </is>
      </c>
      <c r="E53">
        <f>MEDIAN(D33:D73)</f>
        <v/>
      </c>
      <c r="F53">
        <f>E33</f>
        <v/>
      </c>
      <c r="G53">
        <f>F53-E53</f>
        <v/>
      </c>
      <c r="H53">
        <f>IF(OR(NOT(ISNUMBER(D53)),ABS(D53-E53)&gt;$O$3,AND($O$11=1,B53&lt;$O$12)),1,0)</f>
        <v/>
      </c>
      <c r="I53">
        <f>IF(H53=1,NA(),D53)</f>
        <v/>
      </c>
      <c r="J53">
        <f>IF(AND(ISNUMBER(D53),D53&gt;=$O$4,OR($O$11=0,B53&gt;=$O$12)),1,0)</f>
        <v/>
      </c>
      <c r="K53">
        <f>B53-$O$14</f>
        <v/>
      </c>
    </row>
    <row r="54">
      <c r="A54" t="n">
        <v>156</v>
      </c>
      <c r="B54" t="n">
        <v>5.2</v>
      </c>
      <c r="C54" t="inlineStr">
        <is>
          <t>1150</t>
        </is>
      </c>
      <c r="D54" t="n">
        <v>11.5</v>
      </c>
      <c r="E54">
        <f>MEDIAN(D34:D74)</f>
        <v/>
      </c>
      <c r="F54">
        <f>E34</f>
        <v/>
      </c>
      <c r="G54">
        <f>F54-E54</f>
        <v/>
      </c>
      <c r="H54">
        <f>IF(OR(NOT(ISNUMBER(D54)),ABS(D54-E54)&gt;$O$3,AND($O$11=1,B54&lt;$O$12)),1,0)</f>
        <v/>
      </c>
      <c r="I54">
        <f>IF(H54=1,NA(),D54)</f>
        <v/>
      </c>
      <c r="J54">
        <f>IF(AND(ISNUMBER(D54),D54&gt;=$O$4,OR($O$11=0,B54&gt;=$O$12)),1,0)</f>
        <v/>
      </c>
      <c r="K54">
        <f>B54-$O$14</f>
        <v/>
      </c>
    </row>
    <row r="55">
      <c r="A55" t="n">
        <v>159</v>
      </c>
      <c r="B55" t="n">
        <v>5.3</v>
      </c>
      <c r="C55" t="inlineStr">
        <is>
          <t>1800</t>
        </is>
      </c>
      <c r="D55" t="n">
        <v>18</v>
      </c>
      <c r="E55">
        <f>MEDIAN(D35:D75)</f>
        <v/>
      </c>
      <c r="F55">
        <f>E35</f>
        <v/>
      </c>
      <c r="G55">
        <f>F55-E55</f>
        <v/>
      </c>
      <c r="H55">
        <f>IF(OR(NOT(ISNUMBER(D55)),ABS(D55-E55)&gt;$O$3,AND($O$11=1,B55&lt;$O$12)),1,0)</f>
        <v/>
      </c>
      <c r="I55">
        <f>IF(H55=1,NA(),D55)</f>
        <v/>
      </c>
      <c r="J55">
        <f>IF(AND(ISNUMBER(D55),D55&gt;=$O$4,OR($O$11=0,B55&gt;=$O$12)),1,0)</f>
        <v/>
      </c>
      <c r="K55">
        <f>B55-$O$14</f>
        <v/>
      </c>
    </row>
    <row r="56">
      <c r="A56" t="n">
        <v>162</v>
      </c>
      <c r="B56" t="n">
        <v>5.4</v>
      </c>
      <c r="C56" t="inlineStr">
        <is>
          <t>1845</t>
        </is>
      </c>
      <c r="D56" t="n">
        <v>18.45</v>
      </c>
      <c r="E56">
        <f>MEDIAN(D36:D76)</f>
        <v/>
      </c>
      <c r="F56">
        <f>E36</f>
        <v/>
      </c>
      <c r="G56">
        <f>F56-E56</f>
        <v/>
      </c>
      <c r="H56">
        <f>IF(OR(NOT(ISNUMBER(D56)),ABS(D56-E56)&gt;$O$3,AND($O$11=1,B56&lt;$O$12)),1,0)</f>
        <v/>
      </c>
      <c r="I56">
        <f>IF(H56=1,NA(),D56)</f>
        <v/>
      </c>
      <c r="J56">
        <f>IF(AND(ISNUMBER(D56),D56&gt;=$O$4,OR($O$11=0,B56&gt;=$O$12)),1,0)</f>
        <v/>
      </c>
      <c r="K56">
        <f>B56-$O$14</f>
        <v/>
      </c>
    </row>
    <row r="57">
      <c r="A57" t="n">
        <v>165</v>
      </c>
      <c r="B57" t="n">
        <v>5.5</v>
      </c>
      <c r="C57" t="inlineStr">
        <is>
          <t>1896</t>
        </is>
      </c>
      <c r="D57" t="n">
        <v>18.96</v>
      </c>
      <c r="E57">
        <f>MEDIAN(D37:D77)</f>
        <v/>
      </c>
      <c r="F57">
        <f>E37</f>
        <v/>
      </c>
      <c r="G57">
        <f>F57-E57</f>
        <v/>
      </c>
      <c r="H57">
        <f>IF(OR(NOT(ISNUMBER(D57)),ABS(D57-E57)&gt;$O$3,AND($O$11=1,B57&lt;$O$12)),1,0)</f>
        <v/>
      </c>
      <c r="I57">
        <f>IF(H57=1,NA(),D57)</f>
        <v/>
      </c>
      <c r="J57">
        <f>IF(AND(ISNUMBER(D57),D57&gt;=$O$4,OR($O$11=0,B57&gt;=$O$12)),1,0)</f>
        <v/>
      </c>
      <c r="K57">
        <f>B57-$O$14</f>
        <v/>
      </c>
    </row>
    <row r="58">
      <c r="A58" t="n">
        <v>168</v>
      </c>
      <c r="B58" t="n">
        <v>5.6</v>
      </c>
      <c r="C58" t="inlineStr">
        <is>
          <t>1445</t>
        </is>
      </c>
      <c r="D58" t="n">
        <v>14.45</v>
      </c>
      <c r="E58">
        <f>MEDIAN(D38:D78)</f>
        <v/>
      </c>
      <c r="F58">
        <f>E38</f>
        <v/>
      </c>
      <c r="G58">
        <f>F58-E58</f>
        <v/>
      </c>
      <c r="H58">
        <f>IF(OR(NOT(ISNUMBER(D58)),ABS(D58-E58)&gt;$O$3,AND($O$11=1,B58&lt;$O$12)),1,0)</f>
        <v/>
      </c>
      <c r="I58">
        <f>IF(H58=1,NA(),D58)</f>
        <v/>
      </c>
      <c r="J58">
        <f>IF(AND(ISNUMBER(D58),D58&gt;=$O$4,OR($O$11=0,B58&gt;=$O$12)),1,0)</f>
        <v/>
      </c>
      <c r="K58">
        <f>B58-$O$14</f>
        <v/>
      </c>
    </row>
    <row r="59">
      <c r="A59" t="n">
        <v>171</v>
      </c>
      <c r="B59" t="n">
        <v>5.7</v>
      </c>
      <c r="C59" t="inlineStr">
        <is>
          <t>93</t>
        </is>
      </c>
      <c r="D59" t="n">
        <v>0.93</v>
      </c>
      <c r="E59">
        <f>MEDIAN(D39:D79)</f>
        <v/>
      </c>
      <c r="F59">
        <f>E39</f>
        <v/>
      </c>
      <c r="G59">
        <f>F59-E59</f>
        <v/>
      </c>
      <c r="H59">
        <f>IF(OR(NOT(ISNUMBER(D59)),ABS(D59-E59)&gt;$O$3,AND($O$11=1,B59&lt;$O$12)),1,0)</f>
        <v/>
      </c>
      <c r="I59">
        <f>IF(H59=1,NA(),D59)</f>
        <v/>
      </c>
      <c r="J59">
        <f>IF(AND(ISNUMBER(D59),D59&gt;=$O$4,OR($O$11=0,B59&gt;=$O$12)),1,0)</f>
        <v/>
      </c>
      <c r="K59">
        <f>B59-$O$14</f>
        <v/>
      </c>
    </row>
    <row r="60">
      <c r="A60" t="n">
        <v>174</v>
      </c>
      <c r="B60" t="n">
        <v>5.8</v>
      </c>
      <c r="C60" t="inlineStr">
        <is>
          <t>36</t>
        </is>
      </c>
      <c r="D60" t="n">
        <v>0.36</v>
      </c>
      <c r="E60">
        <f>MEDIAN(D40:D80)</f>
        <v/>
      </c>
      <c r="F60">
        <f>E40</f>
        <v/>
      </c>
      <c r="G60">
        <f>F60-E60</f>
        <v/>
      </c>
      <c r="H60">
        <f>IF(OR(NOT(ISNUMBER(D60)),ABS(D60-E60)&gt;$O$3,AND($O$11=1,B60&lt;$O$12)),1,0)</f>
        <v/>
      </c>
      <c r="I60">
        <f>IF(H60=1,NA(),D60)</f>
        <v/>
      </c>
      <c r="J60">
        <f>IF(AND(ISNUMBER(D60),D60&gt;=$O$4,OR($O$11=0,B60&gt;=$O$12)),1,0)</f>
        <v/>
      </c>
      <c r="K60">
        <f>B60-$O$14</f>
        <v/>
      </c>
    </row>
    <row r="61">
      <c r="A61" t="n">
        <v>177</v>
      </c>
      <c r="B61" t="n">
        <v>5.9</v>
      </c>
      <c r="C61" t="inlineStr">
        <is>
          <t>285</t>
        </is>
      </c>
      <c r="D61" t="n">
        <v>2.85</v>
      </c>
      <c r="E61">
        <f>MEDIAN(D41:D81)</f>
        <v/>
      </c>
      <c r="F61">
        <f>E41</f>
        <v/>
      </c>
      <c r="G61">
        <f>F61-E61</f>
        <v/>
      </c>
      <c r="H61">
        <f>IF(OR(NOT(ISNUMBER(D61)),ABS(D61-E61)&gt;$O$3,AND($O$11=1,B61&lt;$O$12)),1,0)</f>
        <v/>
      </c>
      <c r="I61">
        <f>IF(H61=1,NA(),D61)</f>
        <v/>
      </c>
      <c r="J61">
        <f>IF(AND(ISNUMBER(D61),D61&gt;=$O$4,OR($O$11=0,B61&gt;=$O$12)),1,0)</f>
        <v/>
      </c>
      <c r="K61">
        <f>B61-$O$14</f>
        <v/>
      </c>
    </row>
    <row r="62">
      <c r="A62" t="n">
        <v>180</v>
      </c>
      <c r="B62" t="n">
        <v>6</v>
      </c>
      <c r="C62" t="inlineStr">
        <is>
          <t>210</t>
        </is>
      </c>
      <c r="D62" t="n">
        <v>2.1</v>
      </c>
      <c r="E62">
        <f>MEDIAN(D42:D82)</f>
        <v/>
      </c>
      <c r="F62">
        <f>E42</f>
        <v/>
      </c>
      <c r="G62">
        <f>F62-E62</f>
        <v/>
      </c>
      <c r="H62">
        <f>IF(OR(NOT(ISNUMBER(D62)),ABS(D62-E62)&gt;$O$3,AND($O$11=1,B62&lt;$O$12)),1,0)</f>
        <v/>
      </c>
      <c r="I62">
        <f>IF(H62=1,NA(),D62)</f>
        <v/>
      </c>
      <c r="J62">
        <f>IF(AND(ISNUMBER(D62),D62&gt;=$O$4,OR($O$11=0,B62&gt;=$O$12)),1,0)</f>
        <v/>
      </c>
      <c r="K62">
        <f>B62-$O$14</f>
        <v/>
      </c>
    </row>
    <row r="63">
      <c r="A63" t="n">
        <v>183</v>
      </c>
      <c r="B63" t="n">
        <v>6.1</v>
      </c>
      <c r="C63" t="inlineStr">
        <is>
          <t>2175</t>
        </is>
      </c>
      <c r="D63" t="n">
        <v>21.75</v>
      </c>
      <c r="E63">
        <f>MEDIAN(D43:D83)</f>
        <v/>
      </c>
      <c r="F63">
        <f>E43</f>
        <v/>
      </c>
      <c r="G63">
        <f>F63-E63</f>
        <v/>
      </c>
      <c r="H63">
        <f>IF(OR(NOT(ISNUMBER(D63)),ABS(D63-E63)&gt;$O$3,AND($O$11=1,B63&lt;$O$12)),1,0)</f>
        <v/>
      </c>
      <c r="I63">
        <f>IF(H63=1,NA(),D63)</f>
        <v/>
      </c>
      <c r="J63">
        <f>IF(AND(ISNUMBER(D63),D63&gt;=$O$4,OR($O$11=0,B63&gt;=$O$12)),1,0)</f>
        <v/>
      </c>
      <c r="K63">
        <f>B63-$O$14</f>
        <v/>
      </c>
    </row>
    <row r="64">
      <c r="A64" t="n">
        <v>186</v>
      </c>
      <c r="B64" t="n">
        <v>6.2</v>
      </c>
      <c r="C64" t="inlineStr">
        <is>
          <t>215</t>
        </is>
      </c>
      <c r="D64" t="n">
        <v>2.15</v>
      </c>
      <c r="E64">
        <f>MEDIAN(D44:D84)</f>
        <v/>
      </c>
      <c r="F64">
        <f>E44</f>
        <v/>
      </c>
      <c r="G64">
        <f>F64-E64</f>
        <v/>
      </c>
      <c r="H64">
        <f>IF(OR(NOT(ISNUMBER(D64)),ABS(D64-E64)&gt;$O$3,AND($O$11=1,B64&lt;$O$12)),1,0)</f>
        <v/>
      </c>
      <c r="I64">
        <f>IF(H64=1,NA(),D64)</f>
        <v/>
      </c>
      <c r="J64">
        <f>IF(AND(ISNUMBER(D64),D64&gt;=$O$4,OR($O$11=0,B64&gt;=$O$12)),1,0)</f>
        <v/>
      </c>
      <c r="K64">
        <f>B64-$O$14</f>
        <v/>
      </c>
    </row>
    <row r="65">
      <c r="A65" t="n">
        <v>189</v>
      </c>
      <c r="B65" t="n">
        <v>6.3</v>
      </c>
      <c r="C65" t="inlineStr">
        <is>
          <t>2263</t>
        </is>
      </c>
      <c r="D65" t="n">
        <v>22.63</v>
      </c>
      <c r="E65">
        <f>MEDIAN(D45:D85)</f>
        <v/>
      </c>
      <c r="F65">
        <f>E45</f>
        <v/>
      </c>
      <c r="G65">
        <f>F65-E65</f>
        <v/>
      </c>
      <c r="H65">
        <f>IF(OR(NOT(ISNUMBER(D65)),ABS(D65-E65)&gt;$O$3,AND($O$11=1,B65&lt;$O$12)),1,0)</f>
        <v/>
      </c>
      <c r="I65">
        <f>IF(H65=1,NA(),D65)</f>
        <v/>
      </c>
      <c r="J65">
        <f>IF(AND(ISNUMBER(D65),D65&gt;=$O$4,OR($O$11=0,B65&gt;=$O$12)),1,0)</f>
        <v/>
      </c>
      <c r="K65">
        <f>B65-$O$14</f>
        <v/>
      </c>
    </row>
    <row r="66">
      <c r="A66" t="n">
        <v>192</v>
      </c>
      <c r="B66" t="n">
        <v>6.4</v>
      </c>
      <c r="C66" t="inlineStr">
        <is>
          <t>207</t>
        </is>
      </c>
      <c r="D66" t="n">
        <v>2.07</v>
      </c>
      <c r="E66">
        <f>MEDIAN(D46:D86)</f>
        <v/>
      </c>
      <c r="F66">
        <f>E46</f>
        <v/>
      </c>
      <c r="G66">
        <f>F66-E66</f>
        <v/>
      </c>
      <c r="H66">
        <f>IF(OR(NOT(ISNUMBER(D66)),ABS(D66-E66)&gt;$O$3,AND($O$11=1,B66&lt;$O$12)),1,0)</f>
        <v/>
      </c>
      <c r="I66">
        <f>IF(H66=1,NA(),D66)</f>
        <v/>
      </c>
      <c r="J66">
        <f>IF(AND(ISNUMBER(D66),D66&gt;=$O$4,OR($O$11=0,B66&gt;=$O$12)),1,0)</f>
        <v/>
      </c>
      <c r="K66">
        <f>B66-$O$14</f>
        <v/>
      </c>
    </row>
    <row r="67">
      <c r="A67" t="n">
        <v>195</v>
      </c>
      <c r="B67" t="n">
        <v>6.5</v>
      </c>
      <c r="C67" t="inlineStr">
        <is>
          <t>20</t>
        </is>
      </c>
      <c r="D67" t="n">
        <v>0.2</v>
      </c>
      <c r="E67">
        <f>MEDIAN(D47:D87)</f>
        <v/>
      </c>
      <c r="F67">
        <f>E47</f>
        <v/>
      </c>
      <c r="G67">
        <f>F67-E67</f>
        <v/>
      </c>
      <c r="H67">
        <f>IF(OR(NOT(ISNUMBER(D67)),ABS(D67-E67)&gt;$O$3,AND($O$11=1,B67&lt;$O$12)),1,0)</f>
        <v/>
      </c>
      <c r="I67">
        <f>IF(H67=1,NA(),D67)</f>
        <v/>
      </c>
      <c r="J67">
        <f>IF(AND(ISNUMBER(D67),D67&gt;=$O$4,OR($O$11=0,B67&gt;=$O$12)),1,0)</f>
        <v/>
      </c>
      <c r="K67">
        <f>B67-$O$14</f>
        <v/>
      </c>
    </row>
    <row r="68">
      <c r="A68" t="n">
        <v>198</v>
      </c>
      <c r="B68" t="n">
        <v>6.6</v>
      </c>
      <c r="C68" t="inlineStr">
        <is>
          <t>23</t>
        </is>
      </c>
      <c r="D68" t="n">
        <v>0.23</v>
      </c>
      <c r="E68">
        <f>MEDIAN(D48:D88)</f>
        <v/>
      </c>
      <c r="F68">
        <f>E48</f>
        <v/>
      </c>
      <c r="G68">
        <f>F68-E68</f>
        <v/>
      </c>
      <c r="H68">
        <f>IF(OR(NOT(ISNUMBER(D68)),ABS(D68-E68)&gt;$O$3,AND($O$11=1,B68&lt;$O$12)),1,0)</f>
        <v/>
      </c>
      <c r="I68">
        <f>IF(H68=1,NA(),D68)</f>
        <v/>
      </c>
      <c r="J68">
        <f>IF(AND(ISNUMBER(D68),D68&gt;=$O$4,OR($O$11=0,B68&gt;=$O$12)),1,0)</f>
        <v/>
      </c>
      <c r="K68">
        <f>B68-$O$14</f>
        <v/>
      </c>
    </row>
    <row r="69">
      <c r="A69" t="n">
        <v>201</v>
      </c>
      <c r="B69" t="n">
        <v>6.7</v>
      </c>
      <c r="C69" t="inlineStr">
        <is>
          <t>2436</t>
        </is>
      </c>
      <c r="D69" t="n">
        <v>24.36</v>
      </c>
      <c r="E69">
        <f>MEDIAN(D49:D89)</f>
        <v/>
      </c>
      <c r="F69">
        <f>E49</f>
        <v/>
      </c>
      <c r="G69">
        <f>F69-E69</f>
        <v/>
      </c>
      <c r="H69">
        <f>IF(OR(NOT(ISNUMBER(D69)),ABS(D69-E69)&gt;$O$3,AND($O$11=1,B69&lt;$O$12)),1,0)</f>
        <v/>
      </c>
      <c r="I69">
        <f>IF(H69=1,NA(),D69)</f>
        <v/>
      </c>
      <c r="J69">
        <f>IF(AND(ISNUMBER(D69),D69&gt;=$O$4,OR($O$11=0,B69&gt;=$O$12)),1,0)</f>
        <v/>
      </c>
      <c r="K69">
        <f>B69-$O$14</f>
        <v/>
      </c>
    </row>
    <row r="70">
      <c r="A70" t="n">
        <v>204</v>
      </c>
      <c r="B70" t="n">
        <v>6.8</v>
      </c>
      <c r="C70" t="inlineStr">
        <is>
          <t>2476</t>
        </is>
      </c>
      <c r="D70" t="n">
        <v>24.76</v>
      </c>
      <c r="E70">
        <f>MEDIAN(D50:D90)</f>
        <v/>
      </c>
      <c r="F70">
        <f>E50</f>
        <v/>
      </c>
      <c r="G70">
        <f>F70-E70</f>
        <v/>
      </c>
      <c r="H70">
        <f>IF(OR(NOT(ISNUMBER(D70)),ABS(D70-E70)&gt;$O$3,AND($O$11=1,B70&lt;$O$12)),1,0)</f>
        <v/>
      </c>
      <c r="I70">
        <f>IF(H70=1,NA(),D70)</f>
        <v/>
      </c>
      <c r="J70">
        <f>IF(AND(ISNUMBER(D70),D70&gt;=$O$4,OR($O$11=0,B70&gt;=$O$12)),1,0)</f>
        <v/>
      </c>
      <c r="K70">
        <f>B70-$O$14</f>
        <v/>
      </c>
    </row>
    <row r="71">
      <c r="A71" t="n">
        <v>207</v>
      </c>
      <c r="B71" t="n">
        <v>6.9</v>
      </c>
      <c r="C71" t="inlineStr">
        <is>
          <t>2520</t>
        </is>
      </c>
      <c r="D71" t="n">
        <v>25.2</v>
      </c>
      <c r="E71">
        <f>MEDIAN(D51:D91)</f>
        <v/>
      </c>
      <c r="F71">
        <f>E51</f>
        <v/>
      </c>
      <c r="G71">
        <f>F71-E71</f>
        <v/>
      </c>
      <c r="H71">
        <f>IF(OR(NOT(ISNUMBER(D71)),ABS(D71-E71)&gt;$O$3,AND($O$11=1,B71&lt;$O$12)),1,0)</f>
        <v/>
      </c>
      <c r="I71">
        <f>IF(H71=1,NA(),D71)</f>
        <v/>
      </c>
      <c r="J71">
        <f>IF(AND(ISNUMBER(D71),D71&gt;=$O$4,OR($O$11=0,B71&gt;=$O$12)),1,0)</f>
        <v/>
      </c>
      <c r="K71">
        <f>B71-$O$14</f>
        <v/>
      </c>
    </row>
    <row r="72">
      <c r="A72" t="n">
        <v>210</v>
      </c>
      <c r="B72" t="n">
        <v>7</v>
      </c>
      <c r="C72" t="inlineStr">
        <is>
          <t>265</t>
        </is>
      </c>
      <c r="D72" t="n">
        <v>2.65</v>
      </c>
      <c r="E72">
        <f>MEDIAN(D52:D92)</f>
        <v/>
      </c>
      <c r="F72">
        <f>E52</f>
        <v/>
      </c>
      <c r="G72">
        <f>F72-E72</f>
        <v/>
      </c>
      <c r="H72">
        <f>IF(OR(NOT(ISNUMBER(D72)),ABS(D72-E72)&gt;$O$3,AND($O$11=1,B72&lt;$O$12)),1,0)</f>
        <v/>
      </c>
      <c r="I72">
        <f>IF(H72=1,NA(),D72)</f>
        <v/>
      </c>
      <c r="J72">
        <f>IF(AND(ISNUMBER(D72),D72&gt;=$O$4,OR($O$11=0,B72&gt;=$O$12)),1,0)</f>
        <v/>
      </c>
      <c r="K72">
        <f>B72-$O$14</f>
        <v/>
      </c>
    </row>
    <row r="73">
      <c r="A73" t="n">
        <v>213</v>
      </c>
      <c r="B73" t="n">
        <v>7.1</v>
      </c>
      <c r="C73" t="inlineStr">
        <is>
          <t>205</t>
        </is>
      </c>
      <c r="D73" t="n">
        <v>2.05</v>
      </c>
      <c r="E73">
        <f>MEDIAN(D53:D93)</f>
        <v/>
      </c>
      <c r="F73">
        <f>E53</f>
        <v/>
      </c>
      <c r="G73">
        <f>F73-E73</f>
        <v/>
      </c>
      <c r="H73">
        <f>IF(OR(NOT(ISNUMBER(D73)),ABS(D73-E73)&gt;$O$3,AND($O$11=1,B73&lt;$O$12)),1,0)</f>
        <v/>
      </c>
      <c r="I73">
        <f>IF(H73=1,NA(),D73)</f>
        <v/>
      </c>
      <c r="J73">
        <f>IF(AND(ISNUMBER(D73),D73&gt;=$O$4,OR($O$11=0,B73&gt;=$O$12)),1,0)</f>
        <v/>
      </c>
      <c r="K73">
        <f>B73-$O$14</f>
        <v/>
      </c>
    </row>
    <row r="74">
      <c r="A74" t="n">
        <v>216</v>
      </c>
      <c r="B74" t="n">
        <v>7.2</v>
      </c>
      <c r="C74" t="inlineStr">
        <is>
          <t>2635</t>
        </is>
      </c>
      <c r="D74" t="n">
        <v>26.35</v>
      </c>
      <c r="E74">
        <f>MEDIAN(D54:D94)</f>
        <v/>
      </c>
      <c r="F74">
        <f>E54</f>
        <v/>
      </c>
      <c r="G74">
        <f>F74-E74</f>
        <v/>
      </c>
      <c r="H74">
        <f>IF(OR(NOT(ISNUMBER(D74)),ABS(D74-E74)&gt;$O$3,AND($O$11=1,B74&lt;$O$12)),1,0)</f>
        <v/>
      </c>
      <c r="I74">
        <f>IF(H74=1,NA(),D74)</f>
        <v/>
      </c>
      <c r="J74">
        <f>IF(AND(ISNUMBER(D74),D74&gt;=$O$4,OR($O$11=0,B74&gt;=$O$12)),1,0)</f>
        <v/>
      </c>
      <c r="K74">
        <f>B74-$O$14</f>
        <v/>
      </c>
    </row>
    <row r="75">
      <c r="A75" t="n">
        <v>219</v>
      </c>
      <c r="B75" t="n">
        <v>7.3</v>
      </c>
      <c r="C75" t="inlineStr">
        <is>
          <t>76</t>
        </is>
      </c>
      <c r="D75" t="n">
        <v>0.76</v>
      </c>
      <c r="E75">
        <f>MEDIAN(D55:D95)</f>
        <v/>
      </c>
      <c r="F75">
        <f>E55</f>
        <v/>
      </c>
      <c r="G75">
        <f>F75-E75</f>
        <v/>
      </c>
      <c r="H75">
        <f>IF(OR(NOT(ISNUMBER(D75)),ABS(D75-E75)&gt;$O$3,AND($O$11=1,B75&lt;$O$12)),1,0)</f>
        <v/>
      </c>
      <c r="I75">
        <f>IF(H75=1,NA(),D75)</f>
        <v/>
      </c>
      <c r="J75">
        <f>IF(AND(ISNUMBER(D75),D75&gt;=$O$4,OR($O$11=0,B75&gt;=$O$12)),1,0)</f>
        <v/>
      </c>
      <c r="K75">
        <f>B75-$O$14</f>
        <v/>
      </c>
    </row>
    <row r="76">
      <c r="A76" t="n">
        <v>222</v>
      </c>
      <c r="B76" t="n">
        <v>7.4</v>
      </c>
      <c r="C76" t="inlineStr">
        <is>
          <t>276</t>
        </is>
      </c>
      <c r="D76" t="n">
        <v>2.76</v>
      </c>
      <c r="E76">
        <f>MEDIAN(D56:D96)</f>
        <v/>
      </c>
      <c r="F76">
        <f>E56</f>
        <v/>
      </c>
      <c r="G76">
        <f>F76-E76</f>
        <v/>
      </c>
      <c r="H76">
        <f>IF(OR(NOT(ISNUMBER(D76)),ABS(D76-E76)&gt;$O$3,AND($O$11=1,B76&lt;$O$12)),1,0)</f>
        <v/>
      </c>
      <c r="I76">
        <f>IF(H76=1,NA(),D76)</f>
        <v/>
      </c>
      <c r="J76">
        <f>IF(AND(ISNUMBER(D76),D76&gt;=$O$4,OR($O$11=0,B76&gt;=$O$12)),1,0)</f>
        <v/>
      </c>
      <c r="K76">
        <f>B76-$O$14</f>
        <v/>
      </c>
    </row>
    <row r="77">
      <c r="A77" t="n">
        <v>225</v>
      </c>
      <c r="B77" t="n">
        <v>7.5</v>
      </c>
      <c r="C77" t="inlineStr">
        <is>
          <t>213</t>
        </is>
      </c>
      <c r="D77" t="n">
        <v>2.13</v>
      </c>
      <c r="E77">
        <f>MEDIAN(D57:D97)</f>
        <v/>
      </c>
      <c r="F77">
        <f>E57</f>
        <v/>
      </c>
      <c r="G77">
        <f>F77-E77</f>
        <v/>
      </c>
      <c r="H77">
        <f>IF(OR(NOT(ISNUMBER(D77)),ABS(D77-E77)&gt;$O$3,AND($O$11=1,B77&lt;$O$12)),1,0)</f>
        <v/>
      </c>
      <c r="I77">
        <f>IF(H77=1,NA(),D77)</f>
        <v/>
      </c>
      <c r="J77">
        <f>IF(AND(ISNUMBER(D77),D77&gt;=$O$4,OR($O$11=0,B77&gt;=$O$12)),1,0)</f>
        <v/>
      </c>
      <c r="K77">
        <f>B77-$O$14</f>
        <v/>
      </c>
    </row>
    <row r="78">
      <c r="A78" t="n">
        <v>228</v>
      </c>
      <c r="B78" t="n">
        <v>7.6</v>
      </c>
      <c r="C78" t="inlineStr">
        <is>
          <t>2?85</t>
        </is>
      </c>
      <c r="E78">
        <f>MEDIAN(D58:D98)</f>
        <v/>
      </c>
      <c r="F78">
        <f>E58</f>
        <v/>
      </c>
      <c r="G78">
        <f>F78-E78</f>
        <v/>
      </c>
      <c r="H78">
        <f>IF(OR(NOT(ISNUMBER(D78)),ABS(D78-E78)&gt;$O$3,AND($O$11=1,B78&lt;$O$12)),1,0)</f>
        <v/>
      </c>
      <c r="I78">
        <f>IF(H78=1,NA(),D78)</f>
        <v/>
      </c>
      <c r="J78">
        <f>IF(AND(ISNUMBER(D78),D78&gt;=$O$4,OR($O$11=0,B78&gt;=$O$12)),1,0)</f>
        <v/>
      </c>
      <c r="K78">
        <f>B78-$O$14</f>
        <v/>
      </c>
    </row>
    <row r="79">
      <c r="A79" t="n">
        <v>231</v>
      </c>
      <c r="B79" t="n">
        <v>7.7</v>
      </c>
      <c r="C79" t="inlineStr">
        <is>
          <t>25</t>
        </is>
      </c>
      <c r="D79" t="n">
        <v>0.25</v>
      </c>
      <c r="E79">
        <f>MEDIAN(D59:D99)</f>
        <v/>
      </c>
      <c r="F79">
        <f>E59</f>
        <v/>
      </c>
      <c r="G79">
        <f>F79-E79</f>
        <v/>
      </c>
      <c r="H79">
        <f>IF(OR(NOT(ISNUMBER(D79)),ABS(D79-E79)&gt;$O$3,AND($O$11=1,B79&lt;$O$12)),1,0)</f>
        <v/>
      </c>
      <c r="I79">
        <f>IF(H79=1,NA(),D79)</f>
        <v/>
      </c>
      <c r="J79">
        <f>IF(AND(ISNUMBER(D79),D79&gt;=$O$4,OR($O$11=0,B79&gt;=$O$12)),1,0)</f>
        <v/>
      </c>
      <c r="K79">
        <f>B79-$O$14</f>
        <v/>
      </c>
    </row>
    <row r="80">
      <c r="A80" t="n">
        <v>234</v>
      </c>
      <c r="B80" t="n">
        <v>7.8</v>
      </c>
      <c r="C80" t="inlineStr">
        <is>
          <t>65</t>
        </is>
      </c>
      <c r="D80" t="n">
        <v>0.65</v>
      </c>
      <c r="E80">
        <f>MEDIAN(D60:D100)</f>
        <v/>
      </c>
      <c r="F80">
        <f>E60</f>
        <v/>
      </c>
      <c r="G80">
        <f>F80-E80</f>
        <v/>
      </c>
      <c r="H80">
        <f>IF(OR(NOT(ISNUMBER(D80)),ABS(D80-E80)&gt;$O$3,AND($O$11=1,B80&lt;$O$12)),1,0)</f>
        <v/>
      </c>
      <c r="I80">
        <f>IF(H80=1,NA(),D80)</f>
        <v/>
      </c>
      <c r="J80">
        <f>IF(AND(ISNUMBER(D80),D80&gt;=$O$4,OR($O$11=0,B80&gt;=$O$12)),1,0)</f>
        <v/>
      </c>
      <c r="K80">
        <f>B80-$O$14</f>
        <v/>
      </c>
    </row>
    <row r="81">
      <c r="A81" t="n">
        <v>237</v>
      </c>
      <c r="B81" t="n">
        <v>7.9</v>
      </c>
      <c r="C81" t="inlineStr">
        <is>
          <t>95</t>
        </is>
      </c>
      <c r="D81" t="n">
        <v>0.95</v>
      </c>
      <c r="E81">
        <f>MEDIAN(D61:D101)</f>
        <v/>
      </c>
      <c r="F81">
        <f>E61</f>
        <v/>
      </c>
      <c r="G81">
        <f>F81-E81</f>
        <v/>
      </c>
      <c r="H81">
        <f>IF(OR(NOT(ISNUMBER(D81)),ABS(D81-E81)&gt;$O$3,AND($O$11=1,B81&lt;$O$12)),1,0)</f>
        <v/>
      </c>
      <c r="I81">
        <f>IF(H81=1,NA(),D81)</f>
        <v/>
      </c>
      <c r="J81">
        <f>IF(AND(ISNUMBER(D81),D81&gt;=$O$4,OR($O$11=0,B81&gt;=$O$12)),1,0)</f>
        <v/>
      </c>
      <c r="K81">
        <f>B81-$O$14</f>
        <v/>
      </c>
    </row>
    <row r="82">
      <c r="A82" t="n">
        <v>240</v>
      </c>
      <c r="B82" t="n">
        <v>8</v>
      </c>
      <c r="C82" t="inlineStr">
        <is>
          <t>30</t>
        </is>
      </c>
      <c r="D82" t="n">
        <v>0.3</v>
      </c>
      <c r="E82">
        <f>MEDIAN(D62:D102)</f>
        <v/>
      </c>
      <c r="F82">
        <f>E62</f>
        <v/>
      </c>
      <c r="G82">
        <f>F82-E82</f>
        <v/>
      </c>
      <c r="H82">
        <f>IF(OR(NOT(ISNUMBER(D82)),ABS(D82-E82)&gt;$O$3,AND($O$11=1,B82&lt;$O$12)),1,0)</f>
        <v/>
      </c>
      <c r="I82">
        <f>IF(H82=1,NA(),D82)</f>
        <v/>
      </c>
      <c r="J82">
        <f>IF(AND(ISNUMBER(D82),D82&gt;=$O$4,OR($O$11=0,B82&gt;=$O$12)),1,0)</f>
        <v/>
      </c>
      <c r="K82">
        <f>B82-$O$14</f>
        <v/>
      </c>
    </row>
    <row r="83">
      <c r="A83" t="n">
        <v>243</v>
      </c>
      <c r="B83" t="n">
        <v>8.1</v>
      </c>
      <c r="C83" t="inlineStr">
        <is>
          <t>3</t>
        </is>
      </c>
      <c r="D83" t="n">
        <v>0.03</v>
      </c>
      <c r="E83">
        <f>MEDIAN(D63:D103)</f>
        <v/>
      </c>
      <c r="F83">
        <f>E63</f>
        <v/>
      </c>
      <c r="G83">
        <f>F83-E83</f>
        <v/>
      </c>
      <c r="H83">
        <f>IF(OR(NOT(ISNUMBER(D83)),ABS(D83-E83)&gt;$O$3,AND($O$11=1,B83&lt;$O$12)),1,0)</f>
        <v/>
      </c>
      <c r="I83">
        <f>IF(H83=1,NA(),D83)</f>
        <v/>
      </c>
      <c r="J83">
        <f>IF(AND(ISNUMBER(D83),D83&gt;=$O$4,OR($O$11=0,B83&gt;=$O$12)),1,0)</f>
        <v/>
      </c>
      <c r="K83">
        <f>B83-$O$14</f>
        <v/>
      </c>
    </row>
    <row r="84">
      <c r="A84" t="n">
        <v>246</v>
      </c>
      <c r="B84" t="n">
        <v>8.199999999999999</v>
      </c>
      <c r="C84" t="inlineStr">
        <is>
          <t>27</t>
        </is>
      </c>
      <c r="D84" t="n">
        <v>0.27</v>
      </c>
      <c r="E84">
        <f>MEDIAN(D64:D104)</f>
        <v/>
      </c>
      <c r="F84">
        <f>E64</f>
        <v/>
      </c>
      <c r="G84">
        <f>F84-E84</f>
        <v/>
      </c>
      <c r="H84">
        <f>IF(OR(NOT(ISNUMBER(D84)),ABS(D84-E84)&gt;$O$3,AND($O$11=1,B84&lt;$O$12)),1,0)</f>
        <v/>
      </c>
      <c r="I84">
        <f>IF(H84=1,NA(),D84)</f>
        <v/>
      </c>
      <c r="J84">
        <f>IF(AND(ISNUMBER(D84),D84&gt;=$O$4,OR($O$11=0,B84&gt;=$O$12)),1,0)</f>
        <v/>
      </c>
      <c r="K84">
        <f>B84-$O$14</f>
        <v/>
      </c>
    </row>
    <row r="85">
      <c r="A85" t="n">
        <v>249</v>
      </c>
      <c r="B85" t="n">
        <v>8.300000000000001</v>
      </c>
      <c r="C85" t="inlineStr">
        <is>
          <t>35</t>
        </is>
      </c>
      <c r="D85" t="n">
        <v>0.35</v>
      </c>
      <c r="E85">
        <f>MEDIAN(D65:D105)</f>
        <v/>
      </c>
      <c r="F85">
        <f>E65</f>
        <v/>
      </c>
      <c r="G85">
        <f>F85-E85</f>
        <v/>
      </c>
      <c r="H85">
        <f>IF(OR(NOT(ISNUMBER(D85)),ABS(D85-E85)&gt;$O$3,AND($O$11=1,B85&lt;$O$12)),1,0)</f>
        <v/>
      </c>
      <c r="I85">
        <f>IF(H85=1,NA(),D85)</f>
        <v/>
      </c>
      <c r="J85">
        <f>IF(AND(ISNUMBER(D85),D85&gt;=$O$4,OR($O$11=0,B85&gt;=$O$12)),1,0)</f>
        <v/>
      </c>
      <c r="K85">
        <f>B85-$O$14</f>
        <v/>
      </c>
    </row>
    <row r="86">
      <c r="A86" t="n">
        <v>252</v>
      </c>
      <c r="B86" t="n">
        <v>8.4</v>
      </c>
      <c r="C86" t="inlineStr">
        <is>
          <t>355</t>
        </is>
      </c>
      <c r="D86" t="n">
        <v>3.55</v>
      </c>
      <c r="E86">
        <f>MEDIAN(D66:D106)</f>
        <v/>
      </c>
      <c r="F86">
        <f>E66</f>
        <v/>
      </c>
      <c r="G86">
        <f>F86-E86</f>
        <v/>
      </c>
      <c r="H86">
        <f>IF(OR(NOT(ISNUMBER(D86)),ABS(D86-E86)&gt;$O$3,AND($O$11=1,B86&lt;$O$12)),1,0)</f>
        <v/>
      </c>
      <c r="I86">
        <f>IF(H86=1,NA(),D86)</f>
        <v/>
      </c>
      <c r="J86">
        <f>IF(AND(ISNUMBER(D86),D86&gt;=$O$4,OR($O$11=0,B86&gt;=$O$12)),1,0)</f>
        <v/>
      </c>
      <c r="K86">
        <f>B86-$O$14</f>
        <v/>
      </c>
    </row>
    <row r="87">
      <c r="A87" t="n">
        <v>255</v>
      </c>
      <c r="B87" t="n">
        <v>8.5</v>
      </c>
      <c r="C87" t="inlineStr">
        <is>
          <t>3096</t>
        </is>
      </c>
      <c r="D87" t="n">
        <v>30.96</v>
      </c>
      <c r="E87">
        <f>MEDIAN(D67:D107)</f>
        <v/>
      </c>
      <c r="F87">
        <f>E67</f>
        <v/>
      </c>
      <c r="G87">
        <f>F87-E87</f>
        <v/>
      </c>
      <c r="H87">
        <f>IF(OR(NOT(ISNUMBER(D87)),ABS(D87-E87)&gt;$O$3,AND($O$11=1,B87&lt;$O$12)),1,0)</f>
        <v/>
      </c>
      <c r="I87">
        <f>IF(H87=1,NA(),D87)</f>
        <v/>
      </c>
      <c r="J87">
        <f>IF(AND(ISNUMBER(D87),D87&gt;=$O$4,OR($O$11=0,B87&gt;=$O$12)),1,0)</f>
        <v/>
      </c>
      <c r="K87">
        <f>B87-$O$14</f>
        <v/>
      </c>
    </row>
    <row r="88">
      <c r="A88" t="n">
        <v>258</v>
      </c>
      <c r="B88" t="n">
        <v>8.6</v>
      </c>
      <c r="C88" t="inlineStr">
        <is>
          <t>315</t>
        </is>
      </c>
      <c r="D88" t="n">
        <v>3.15</v>
      </c>
      <c r="E88">
        <f>MEDIAN(D68:D108)</f>
        <v/>
      </c>
      <c r="F88">
        <f>E68</f>
        <v/>
      </c>
      <c r="G88">
        <f>F88-E88</f>
        <v/>
      </c>
      <c r="H88">
        <f>IF(OR(NOT(ISNUMBER(D88)),ABS(D88-E88)&gt;$O$3,AND($O$11=1,B88&lt;$O$12)),1,0)</f>
        <v/>
      </c>
      <c r="I88">
        <f>IF(H88=1,NA(),D88)</f>
        <v/>
      </c>
      <c r="J88">
        <f>IF(AND(ISNUMBER(D88),D88&gt;=$O$4,OR($O$11=0,B88&gt;=$O$12)),1,0)</f>
        <v/>
      </c>
      <c r="K88">
        <f>B88-$O$14</f>
        <v/>
      </c>
    </row>
    <row r="89">
      <c r="A89" t="n">
        <v>261</v>
      </c>
      <c r="B89" t="n">
        <v>8.699999999999999</v>
      </c>
      <c r="C89" t="inlineStr">
        <is>
          <t>318?</t>
        </is>
      </c>
      <c r="E89">
        <f>MEDIAN(D69:D109)</f>
        <v/>
      </c>
      <c r="F89">
        <f>E69</f>
        <v/>
      </c>
      <c r="G89">
        <f>F89-E89</f>
        <v/>
      </c>
      <c r="H89">
        <f>IF(OR(NOT(ISNUMBER(D89)),ABS(D89-E89)&gt;$O$3,AND($O$11=1,B89&lt;$O$12)),1,0)</f>
        <v/>
      </c>
      <c r="I89">
        <f>IF(H89=1,NA(),D89)</f>
        <v/>
      </c>
      <c r="J89">
        <f>IF(AND(ISNUMBER(D89),D89&gt;=$O$4,OR($O$11=0,B89&gt;=$O$12)),1,0)</f>
        <v/>
      </c>
      <c r="K89">
        <f>B89-$O$14</f>
        <v/>
      </c>
    </row>
    <row r="90">
      <c r="A90" t="n">
        <v>264</v>
      </c>
      <c r="B90" t="n">
        <v>8.800000000000001</v>
      </c>
      <c r="C90" t="inlineStr">
        <is>
          <t>319?</t>
        </is>
      </c>
      <c r="E90">
        <f>MEDIAN(D70:D110)</f>
        <v/>
      </c>
      <c r="F90">
        <f>E70</f>
        <v/>
      </c>
      <c r="G90">
        <f>F90-E90</f>
        <v/>
      </c>
      <c r="H90">
        <f>IF(OR(NOT(ISNUMBER(D90)),ABS(D90-E90)&gt;$O$3,AND($O$11=1,B90&lt;$O$12)),1,0)</f>
        <v/>
      </c>
      <c r="I90">
        <f>IF(H90=1,NA(),D90)</f>
        <v/>
      </c>
      <c r="J90">
        <f>IF(AND(ISNUMBER(D90),D90&gt;=$O$4,OR($O$11=0,B90&gt;=$O$12)),1,0)</f>
        <v/>
      </c>
      <c r="K90">
        <f>B90-$O$14</f>
        <v/>
      </c>
    </row>
    <row r="91">
      <c r="A91" t="n">
        <v>267</v>
      </c>
      <c r="B91" t="n">
        <v>8.9</v>
      </c>
      <c r="E91">
        <f>MEDIAN(D71:D111)</f>
        <v/>
      </c>
      <c r="F91">
        <f>E71</f>
        <v/>
      </c>
      <c r="G91">
        <f>F91-E91</f>
        <v/>
      </c>
      <c r="H91">
        <f>IF(OR(NOT(ISNUMBER(D91)),ABS(D91-E91)&gt;$O$3,AND($O$11=1,B91&lt;$O$12)),1,0)</f>
        <v/>
      </c>
      <c r="I91">
        <f>IF(H91=1,NA(),D91)</f>
        <v/>
      </c>
      <c r="J91">
        <f>IF(AND(ISNUMBER(D91),D91&gt;=$O$4,OR($O$11=0,B91&gt;=$O$12)),1,0)</f>
        <v/>
      </c>
      <c r="K91">
        <f>B91-$O$14</f>
        <v/>
      </c>
    </row>
    <row r="92">
      <c r="A92" t="n">
        <v>270</v>
      </c>
      <c r="B92" t="n">
        <v>9</v>
      </c>
      <c r="C92" t="inlineStr">
        <is>
          <t>9?</t>
        </is>
      </c>
      <c r="E92">
        <f>MEDIAN(D72:D112)</f>
        <v/>
      </c>
      <c r="F92">
        <f>E72</f>
        <v/>
      </c>
      <c r="G92">
        <f>F92-E92</f>
        <v/>
      </c>
      <c r="H92">
        <f>IF(OR(NOT(ISNUMBER(D92)),ABS(D92-E92)&gt;$O$3,AND($O$11=1,B92&lt;$O$12)),1,0)</f>
        <v/>
      </c>
      <c r="I92">
        <f>IF(H92=1,NA(),D92)</f>
        <v/>
      </c>
      <c r="J92">
        <f>IF(AND(ISNUMBER(D92),D92&gt;=$O$4,OR($O$11=0,B92&gt;=$O$12)),1,0)</f>
        <v/>
      </c>
      <c r="K92">
        <f>B92-$O$14</f>
        <v/>
      </c>
    </row>
    <row r="93">
      <c r="A93" t="n">
        <v>273</v>
      </c>
      <c r="B93" t="n">
        <v>9.1</v>
      </c>
      <c r="E93">
        <f>MEDIAN(D73:D113)</f>
        <v/>
      </c>
      <c r="F93">
        <f>E73</f>
        <v/>
      </c>
      <c r="G93">
        <f>F93-E93</f>
        <v/>
      </c>
      <c r="H93">
        <f>IF(OR(NOT(ISNUMBER(D93)),ABS(D93-E93)&gt;$O$3,AND($O$11=1,B93&lt;$O$12)),1,0)</f>
        <v/>
      </c>
      <c r="I93">
        <f>IF(H93=1,NA(),D93)</f>
        <v/>
      </c>
      <c r="J93">
        <f>IF(AND(ISNUMBER(D93),D93&gt;=$O$4,OR($O$11=0,B93&gt;=$O$12)),1,0)</f>
        <v/>
      </c>
      <c r="K93">
        <f>B93-$O$14</f>
        <v/>
      </c>
    </row>
    <row r="94">
      <c r="A94" t="n">
        <v>276</v>
      </c>
      <c r="B94" t="n">
        <v>9.199999999999999</v>
      </c>
      <c r="C94" t="inlineStr">
        <is>
          <t>30</t>
        </is>
      </c>
      <c r="D94" t="n">
        <v>0.3</v>
      </c>
      <c r="E94">
        <f>MEDIAN(D74:D114)</f>
        <v/>
      </c>
      <c r="F94">
        <f>E74</f>
        <v/>
      </c>
      <c r="G94">
        <f>F94-E94</f>
        <v/>
      </c>
      <c r="H94">
        <f>IF(OR(NOT(ISNUMBER(D94)),ABS(D94-E94)&gt;$O$3,AND($O$11=1,B94&lt;$O$12)),1,0)</f>
        <v/>
      </c>
      <c r="I94">
        <f>IF(H94=1,NA(),D94)</f>
        <v/>
      </c>
      <c r="J94">
        <f>IF(AND(ISNUMBER(D94),D94&gt;=$O$4,OR($O$11=0,B94&gt;=$O$12)),1,0)</f>
        <v/>
      </c>
      <c r="K94">
        <f>B94-$O$14</f>
        <v/>
      </c>
    </row>
    <row r="95">
      <c r="A95" t="n">
        <v>279</v>
      </c>
      <c r="B95" t="n">
        <v>9.300000000000001</v>
      </c>
      <c r="C95" t="inlineStr">
        <is>
          <t>35?</t>
        </is>
      </c>
      <c r="E95">
        <f>MEDIAN(D75:D115)</f>
        <v/>
      </c>
      <c r="F95">
        <f>E75</f>
        <v/>
      </c>
      <c r="G95">
        <f>F95-E95</f>
        <v/>
      </c>
      <c r="H95">
        <f>IF(OR(NOT(ISNUMBER(D95)),ABS(D95-E95)&gt;$O$3,AND($O$11=1,B95&lt;$O$12)),1,0)</f>
        <v/>
      </c>
      <c r="I95">
        <f>IF(H95=1,NA(),D95)</f>
        <v/>
      </c>
      <c r="J95">
        <f>IF(AND(ISNUMBER(D95),D95&gt;=$O$4,OR($O$11=0,B95&gt;=$O$12)),1,0)</f>
        <v/>
      </c>
      <c r="K95">
        <f>B95-$O$14</f>
        <v/>
      </c>
    </row>
    <row r="96">
      <c r="A96" t="n">
        <v>282</v>
      </c>
      <c r="B96" t="n">
        <v>9.4</v>
      </c>
      <c r="C96" t="inlineStr">
        <is>
          <t>382</t>
        </is>
      </c>
      <c r="D96" t="n">
        <v>3.82</v>
      </c>
      <c r="E96">
        <f>MEDIAN(D76:D116)</f>
        <v/>
      </c>
      <c r="F96">
        <f>E76</f>
        <v/>
      </c>
      <c r="G96">
        <f>F96-E96</f>
        <v/>
      </c>
      <c r="H96">
        <f>IF(OR(NOT(ISNUMBER(D96)),ABS(D96-E96)&gt;$O$3,AND($O$11=1,B96&lt;$O$12)),1,0)</f>
        <v/>
      </c>
      <c r="I96">
        <f>IF(H96=1,NA(),D96)</f>
        <v/>
      </c>
      <c r="J96">
        <f>IF(AND(ISNUMBER(D96),D96&gt;=$O$4,OR($O$11=0,B96&gt;=$O$12)),1,0)</f>
        <v/>
      </c>
      <c r="K96">
        <f>B96-$O$14</f>
        <v/>
      </c>
    </row>
    <row r="97">
      <c r="A97" t="n">
        <v>285</v>
      </c>
      <c r="B97" t="n">
        <v>9.5</v>
      </c>
      <c r="C97" t="inlineStr">
        <is>
          <t>3442</t>
        </is>
      </c>
      <c r="D97" t="n">
        <v>34.42</v>
      </c>
      <c r="E97">
        <f>MEDIAN(D77:D117)</f>
        <v/>
      </c>
      <c r="F97">
        <f>E77</f>
        <v/>
      </c>
      <c r="G97">
        <f>F97-E97</f>
        <v/>
      </c>
      <c r="H97">
        <f>IF(OR(NOT(ISNUMBER(D97)),ABS(D97-E97)&gt;$O$3,AND($O$11=1,B97&lt;$O$12)),1,0)</f>
        <v/>
      </c>
      <c r="I97">
        <f>IF(H97=1,NA(),D97)</f>
        <v/>
      </c>
      <c r="J97">
        <f>IF(AND(ISNUMBER(D97),D97&gt;=$O$4,OR($O$11=0,B97&gt;=$O$12)),1,0)</f>
        <v/>
      </c>
      <c r="K97">
        <f>B97-$O$14</f>
        <v/>
      </c>
    </row>
    <row r="98">
      <c r="A98" t="n">
        <v>288</v>
      </c>
      <c r="B98" t="n">
        <v>9.6</v>
      </c>
      <c r="C98" t="inlineStr">
        <is>
          <t>3443</t>
        </is>
      </c>
      <c r="D98" t="n">
        <v>34.43</v>
      </c>
      <c r="E98">
        <f>MEDIAN(D78:D118)</f>
        <v/>
      </c>
      <c r="F98">
        <f>E78</f>
        <v/>
      </c>
      <c r="G98">
        <f>F98-E98</f>
        <v/>
      </c>
      <c r="H98">
        <f>IF(OR(NOT(ISNUMBER(D98)),ABS(D98-E98)&gt;$O$3,AND($O$11=1,B98&lt;$O$12)),1,0)</f>
        <v/>
      </c>
      <c r="I98">
        <f>IF(H98=1,NA(),D98)</f>
        <v/>
      </c>
      <c r="J98">
        <f>IF(AND(ISNUMBER(D98),D98&gt;=$O$4,OR($O$11=0,B98&gt;=$O$12)),1,0)</f>
        <v/>
      </c>
      <c r="K98">
        <f>B98-$O$14</f>
        <v/>
      </c>
    </row>
    <row r="99">
      <c r="A99" t="n">
        <v>291</v>
      </c>
      <c r="B99" t="n">
        <v>9.699999999999999</v>
      </c>
      <c r="C99" t="inlineStr">
        <is>
          <t>73</t>
        </is>
      </c>
      <c r="D99" t="n">
        <v>0.73</v>
      </c>
      <c r="E99">
        <f>MEDIAN(D79:D119)</f>
        <v/>
      </c>
      <c r="F99">
        <f>E79</f>
        <v/>
      </c>
      <c r="G99">
        <f>F99-E99</f>
        <v/>
      </c>
      <c r="H99">
        <f>IF(OR(NOT(ISNUMBER(D99)),ABS(D99-E99)&gt;$O$3,AND($O$11=1,B99&lt;$O$12)),1,0)</f>
        <v/>
      </c>
      <c r="I99">
        <f>IF(H99=1,NA(),D99)</f>
        <v/>
      </c>
      <c r="J99">
        <f>IF(AND(ISNUMBER(D99),D99&gt;=$O$4,OR($O$11=0,B99&gt;=$O$12)),1,0)</f>
        <v/>
      </c>
      <c r="K99">
        <f>B99-$O$14</f>
        <v/>
      </c>
    </row>
    <row r="100">
      <c r="A100" t="n">
        <v>294</v>
      </c>
      <c r="B100" t="n">
        <v>9.800000000000001</v>
      </c>
      <c r="C100" t="inlineStr">
        <is>
          <t>02</t>
        </is>
      </c>
      <c r="D100" t="n">
        <v>0.02</v>
      </c>
      <c r="E100">
        <f>MEDIAN(D80:D120)</f>
        <v/>
      </c>
      <c r="F100">
        <f>E80</f>
        <v/>
      </c>
      <c r="G100">
        <f>F100-E100</f>
        <v/>
      </c>
      <c r="H100">
        <f>IF(OR(NOT(ISNUMBER(D100)),ABS(D100-E100)&gt;$O$3,AND($O$11=1,B100&lt;$O$12)),1,0)</f>
        <v/>
      </c>
      <c r="I100">
        <f>IF(H100=1,NA(),D100)</f>
        <v/>
      </c>
      <c r="J100">
        <f>IF(AND(ISNUMBER(D100),D100&gt;=$O$4,OR($O$11=0,B100&gt;=$O$12)),1,0)</f>
        <v/>
      </c>
      <c r="K100">
        <f>B100-$O$14</f>
        <v/>
      </c>
    </row>
    <row r="101">
      <c r="A101" t="n">
        <v>297</v>
      </c>
      <c r="B101" t="n">
        <v>9.9</v>
      </c>
      <c r="C101" t="inlineStr">
        <is>
          <t>396</t>
        </is>
      </c>
      <c r="D101" t="n">
        <v>3.96</v>
      </c>
      <c r="E101">
        <f>MEDIAN(D81:D121)</f>
        <v/>
      </c>
      <c r="F101">
        <f>E81</f>
        <v/>
      </c>
      <c r="G101">
        <f>F101-E101</f>
        <v/>
      </c>
      <c r="H101">
        <f>IF(OR(NOT(ISNUMBER(D101)),ABS(D101-E101)&gt;$O$3,AND($O$11=1,B101&lt;$O$12)),1,0)</f>
        <v/>
      </c>
      <c r="I101">
        <f>IF(H101=1,NA(),D101)</f>
        <v/>
      </c>
      <c r="J101">
        <f>IF(AND(ISNUMBER(D101),D101&gt;=$O$4,OR($O$11=0,B101&gt;=$O$12)),1,0)</f>
        <v/>
      </c>
      <c r="K101">
        <f>B101-$O$14</f>
        <v/>
      </c>
    </row>
    <row r="102">
      <c r="A102" t="n">
        <v>300</v>
      </c>
      <c r="B102" t="n">
        <v>10</v>
      </c>
      <c r="C102" t="inlineStr">
        <is>
          <t>359?</t>
        </is>
      </c>
      <c r="E102">
        <f>MEDIAN(D82:D122)</f>
        <v/>
      </c>
      <c r="F102">
        <f>E82</f>
        <v/>
      </c>
      <c r="G102">
        <f>F102-E102</f>
        <v/>
      </c>
      <c r="H102">
        <f>IF(OR(NOT(ISNUMBER(D102)),ABS(D102-E102)&gt;$O$3,AND($O$11=1,B102&lt;$O$12)),1,0)</f>
        <v/>
      </c>
      <c r="I102">
        <f>IF(H102=1,NA(),D102)</f>
        <v/>
      </c>
      <c r="J102">
        <f>IF(AND(ISNUMBER(D102),D102&gt;=$O$4,OR($O$11=0,B102&gt;=$O$12)),1,0)</f>
        <v/>
      </c>
      <c r="K102">
        <f>B102-$O$14</f>
        <v/>
      </c>
    </row>
    <row r="103">
      <c r="A103" t="n">
        <v>303</v>
      </c>
      <c r="B103" t="n">
        <v>10.1</v>
      </c>
      <c r="C103" t="inlineStr">
        <is>
          <t>3590</t>
        </is>
      </c>
      <c r="D103" t="n">
        <v>35.9</v>
      </c>
      <c r="E103">
        <f>MEDIAN(D83:D123)</f>
        <v/>
      </c>
      <c r="F103">
        <f>E83</f>
        <v/>
      </c>
      <c r="G103">
        <f>F103-E103</f>
        <v/>
      </c>
      <c r="H103">
        <f>IF(OR(NOT(ISNUMBER(D103)),ABS(D103-E103)&gt;$O$3,AND($O$11=1,B103&lt;$O$12)),1,0)</f>
        <v/>
      </c>
      <c r="I103">
        <f>IF(H103=1,NA(),D103)</f>
        <v/>
      </c>
      <c r="J103">
        <f>IF(AND(ISNUMBER(D103),D103&gt;=$O$4,OR($O$11=0,B103&gt;=$O$12)),1,0)</f>
        <v/>
      </c>
      <c r="K103">
        <f>B103-$O$14</f>
        <v/>
      </c>
    </row>
    <row r="104">
      <c r="A104" t="n">
        <v>306</v>
      </c>
      <c r="B104" t="n">
        <v>10.2</v>
      </c>
      <c r="C104" t="inlineStr">
        <is>
          <t>96</t>
        </is>
      </c>
      <c r="D104" t="n">
        <v>0.96</v>
      </c>
      <c r="E104">
        <f>MEDIAN(D84:D124)</f>
        <v/>
      </c>
      <c r="F104">
        <f>E84</f>
        <v/>
      </c>
      <c r="G104">
        <f>F104-E104</f>
        <v/>
      </c>
      <c r="H104">
        <f>IF(OR(NOT(ISNUMBER(D104)),ABS(D104-E104)&gt;$O$3,AND($O$11=1,B104&lt;$O$12)),1,0)</f>
        <v/>
      </c>
      <c r="I104">
        <f>IF(H104=1,NA(),D104)</f>
        <v/>
      </c>
      <c r="J104">
        <f>IF(AND(ISNUMBER(D104),D104&gt;=$O$4,OR($O$11=0,B104&gt;=$O$12)),1,0)</f>
        <v/>
      </c>
      <c r="K104">
        <f>B104-$O$14</f>
        <v/>
      </c>
    </row>
    <row r="105">
      <c r="A105" t="n">
        <v>309</v>
      </c>
      <c r="B105" t="n">
        <v>10.3</v>
      </c>
      <c r="C105" t="inlineStr">
        <is>
          <t>346</t>
        </is>
      </c>
      <c r="D105" t="n">
        <v>3.46</v>
      </c>
      <c r="E105">
        <f>MEDIAN(D85:D125)</f>
        <v/>
      </c>
      <c r="F105">
        <f>E85</f>
        <v/>
      </c>
      <c r="G105">
        <f>F105-E105</f>
        <v/>
      </c>
      <c r="H105">
        <f>IF(OR(NOT(ISNUMBER(D105)),ABS(D105-E105)&gt;$O$3,AND($O$11=1,B105&lt;$O$12)),1,0)</f>
        <v/>
      </c>
      <c r="I105">
        <f>IF(H105=1,NA(),D105)</f>
        <v/>
      </c>
      <c r="J105">
        <f>IF(AND(ISNUMBER(D105),D105&gt;=$O$4,OR($O$11=0,B105&gt;=$O$12)),1,0)</f>
        <v/>
      </c>
      <c r="K105">
        <f>B105-$O$14</f>
        <v/>
      </c>
    </row>
    <row r="106">
      <c r="A106" t="n">
        <v>312</v>
      </c>
      <c r="B106" t="n">
        <v>10.4</v>
      </c>
      <c r="C106" t="inlineStr">
        <is>
          <t>376</t>
        </is>
      </c>
      <c r="D106" t="n">
        <v>3.76</v>
      </c>
      <c r="E106">
        <f>MEDIAN(D86:D126)</f>
        <v/>
      </c>
      <c r="F106">
        <f>E86</f>
        <v/>
      </c>
      <c r="G106">
        <f>F106-E106</f>
        <v/>
      </c>
      <c r="H106">
        <f>IF(OR(NOT(ISNUMBER(D106)),ABS(D106-E106)&gt;$O$3,AND($O$11=1,B106&lt;$O$12)),1,0)</f>
        <v/>
      </c>
      <c r="I106">
        <f>IF(H106=1,NA(),D106)</f>
        <v/>
      </c>
      <c r="J106">
        <f>IF(AND(ISNUMBER(D106),D106&gt;=$O$4,OR($O$11=0,B106&gt;=$O$12)),1,0)</f>
        <v/>
      </c>
      <c r="K106">
        <f>B106-$O$14</f>
        <v/>
      </c>
    </row>
    <row r="107">
      <c r="A107" t="n">
        <v>315</v>
      </c>
      <c r="B107" t="n">
        <v>10.5</v>
      </c>
      <c r="C107" t="inlineStr">
        <is>
          <t>375</t>
        </is>
      </c>
      <c r="D107" t="n">
        <v>3.75</v>
      </c>
      <c r="E107">
        <f>MEDIAN(D87:D127)</f>
        <v/>
      </c>
      <c r="F107">
        <f>E87</f>
        <v/>
      </c>
      <c r="G107">
        <f>F107-E107</f>
        <v/>
      </c>
      <c r="H107">
        <f>IF(OR(NOT(ISNUMBER(D107)),ABS(D107-E107)&gt;$O$3,AND($O$11=1,B107&lt;$O$12)),1,0)</f>
        <v/>
      </c>
      <c r="I107">
        <f>IF(H107=1,NA(),D107)</f>
        <v/>
      </c>
      <c r="J107">
        <f>IF(AND(ISNUMBER(D107),D107&gt;=$O$4,OR($O$11=0,B107&gt;=$O$12)),1,0)</f>
        <v/>
      </c>
      <c r="K107">
        <f>B107-$O$14</f>
        <v/>
      </c>
    </row>
    <row r="108">
      <c r="A108" t="n">
        <v>318</v>
      </c>
      <c r="B108" t="n">
        <v>10.6</v>
      </c>
      <c r="C108" t="inlineStr">
        <is>
          <t>37</t>
        </is>
      </c>
      <c r="D108" t="n">
        <v>0.37</v>
      </c>
      <c r="E108">
        <f>MEDIAN(D88:D128)</f>
        <v/>
      </c>
      <c r="F108">
        <f>E88</f>
        <v/>
      </c>
      <c r="G108">
        <f>F108-E108</f>
        <v/>
      </c>
      <c r="H108">
        <f>IF(OR(NOT(ISNUMBER(D108)),ABS(D108-E108)&gt;$O$3,AND($O$11=1,B108&lt;$O$12)),1,0)</f>
        <v/>
      </c>
      <c r="I108">
        <f>IF(H108=1,NA(),D108)</f>
        <v/>
      </c>
      <c r="J108">
        <f>IF(AND(ISNUMBER(D108),D108&gt;=$O$4,OR($O$11=0,B108&gt;=$O$12)),1,0)</f>
        <v/>
      </c>
      <c r="K108">
        <f>B108-$O$14</f>
        <v/>
      </c>
    </row>
    <row r="109">
      <c r="A109" t="n">
        <v>321</v>
      </c>
      <c r="B109" t="n">
        <v>10.7</v>
      </c>
      <c r="C109" t="inlineStr">
        <is>
          <t>3195</t>
        </is>
      </c>
      <c r="D109" t="n">
        <v>31.95</v>
      </c>
      <c r="E109">
        <f>MEDIAN(D89:D129)</f>
        <v/>
      </c>
      <c r="F109">
        <f>E89</f>
        <v/>
      </c>
      <c r="G109">
        <f>F109-E109</f>
        <v/>
      </c>
      <c r="H109">
        <f>IF(OR(NOT(ISNUMBER(D109)),ABS(D109-E109)&gt;$O$3,AND($O$11=1,B109&lt;$O$12)),1,0)</f>
        <v/>
      </c>
      <c r="I109">
        <f>IF(H109=1,NA(),D109)</f>
        <v/>
      </c>
      <c r="J109">
        <f>IF(AND(ISNUMBER(D109),D109&gt;=$O$4,OR($O$11=0,B109&gt;=$O$12)),1,0)</f>
        <v/>
      </c>
      <c r="K109">
        <f>B109-$O$14</f>
        <v/>
      </c>
    </row>
    <row r="110">
      <c r="A110" t="n">
        <v>324</v>
      </c>
      <c r="B110" t="n">
        <v>10.8</v>
      </c>
      <c r="C110" t="inlineStr">
        <is>
          <t>45</t>
        </is>
      </c>
      <c r="D110" t="n">
        <v>0.45</v>
      </c>
      <c r="E110">
        <f>MEDIAN(D90:D130)</f>
        <v/>
      </c>
      <c r="F110">
        <f>E90</f>
        <v/>
      </c>
      <c r="G110">
        <f>F110-E110</f>
        <v/>
      </c>
      <c r="H110">
        <f>IF(OR(NOT(ISNUMBER(D110)),ABS(D110-E110)&gt;$O$3,AND($O$11=1,B110&lt;$O$12)),1,0)</f>
        <v/>
      </c>
      <c r="I110">
        <f>IF(H110=1,NA(),D110)</f>
        <v/>
      </c>
      <c r="J110">
        <f>IF(AND(ISNUMBER(D110),D110&gt;=$O$4,OR($O$11=0,B110&gt;=$O$12)),1,0)</f>
        <v/>
      </c>
      <c r="K110">
        <f>B110-$O$14</f>
        <v/>
      </c>
    </row>
    <row r="111">
      <c r="A111" t="n">
        <v>327</v>
      </c>
      <c r="B111" t="n">
        <v>10.9</v>
      </c>
      <c r="E111">
        <f>MEDIAN(D91:D131)</f>
        <v/>
      </c>
      <c r="F111">
        <f>E91</f>
        <v/>
      </c>
      <c r="G111">
        <f>F111-E111</f>
        <v/>
      </c>
      <c r="H111">
        <f>IF(OR(NOT(ISNUMBER(D111)),ABS(D111-E111)&gt;$O$3,AND($O$11=1,B111&lt;$O$12)),1,0)</f>
        <v/>
      </c>
      <c r="I111">
        <f>IF(H111=1,NA(),D111)</f>
        <v/>
      </c>
      <c r="J111">
        <f>IF(AND(ISNUMBER(D111),D111&gt;=$O$4,OR($O$11=0,B111&gt;=$O$12)),1,0)</f>
        <v/>
      </c>
      <c r="K111">
        <f>B111-$O$14</f>
        <v/>
      </c>
    </row>
    <row r="112">
      <c r="A112" t="n">
        <v>330</v>
      </c>
      <c r="B112" t="n">
        <v>11</v>
      </c>
      <c r="E112">
        <f>MEDIAN(D92:D132)</f>
        <v/>
      </c>
      <c r="F112">
        <f>E92</f>
        <v/>
      </c>
      <c r="G112">
        <f>F112-E112</f>
        <v/>
      </c>
      <c r="H112">
        <f>IF(OR(NOT(ISNUMBER(D112)),ABS(D112-E112)&gt;$O$3,AND($O$11=1,B112&lt;$O$12)),1,0)</f>
        <v/>
      </c>
      <c r="I112">
        <f>IF(H112=1,NA(),D112)</f>
        <v/>
      </c>
      <c r="J112">
        <f>IF(AND(ISNUMBER(D112),D112&gt;=$O$4,OR($O$11=0,B112&gt;=$O$12)),1,0)</f>
        <v/>
      </c>
      <c r="K112">
        <f>B112-$O$14</f>
        <v/>
      </c>
    </row>
    <row r="113">
      <c r="A113" t="n">
        <v>333</v>
      </c>
      <c r="B113" t="n">
        <v>11.1</v>
      </c>
      <c r="C113" t="inlineStr">
        <is>
          <t>3885</t>
        </is>
      </c>
      <c r="D113" t="n">
        <v>38.85</v>
      </c>
      <c r="E113">
        <f>MEDIAN(D93:D133)</f>
        <v/>
      </c>
      <c r="F113">
        <f>E93</f>
        <v/>
      </c>
      <c r="G113">
        <f>F113-E113</f>
        <v/>
      </c>
      <c r="H113">
        <f>IF(OR(NOT(ISNUMBER(D113)),ABS(D113-E113)&gt;$O$3,AND($O$11=1,B113&lt;$O$12)),1,0)</f>
        <v/>
      </c>
      <c r="I113">
        <f>IF(H113=1,NA(),D113)</f>
        <v/>
      </c>
      <c r="J113">
        <f>IF(AND(ISNUMBER(D113),D113&gt;=$O$4,OR($O$11=0,B113&gt;=$O$12)),1,0)</f>
        <v/>
      </c>
      <c r="K113">
        <f>B113-$O$14</f>
        <v/>
      </c>
    </row>
    <row r="114">
      <c r="A114" t="n">
        <v>336</v>
      </c>
      <c r="B114" t="n">
        <v>11.2</v>
      </c>
      <c r="C114" t="inlineStr">
        <is>
          <t>385</t>
        </is>
      </c>
      <c r="D114" t="n">
        <v>3.85</v>
      </c>
      <c r="E114">
        <f>MEDIAN(D94:D134)</f>
        <v/>
      </c>
      <c r="F114">
        <f>E94</f>
        <v/>
      </c>
      <c r="G114">
        <f>F114-E114</f>
        <v/>
      </c>
      <c r="H114">
        <f>IF(OR(NOT(ISNUMBER(D114)),ABS(D114-E114)&gt;$O$3,AND($O$11=1,B114&lt;$O$12)),1,0)</f>
        <v/>
      </c>
      <c r="I114">
        <f>IF(H114=1,NA(),D114)</f>
        <v/>
      </c>
      <c r="J114">
        <f>IF(AND(ISNUMBER(D114),D114&gt;=$O$4,OR($O$11=0,B114&gt;=$O$12)),1,0)</f>
        <v/>
      </c>
      <c r="K114">
        <f>B114-$O$14</f>
        <v/>
      </c>
    </row>
    <row r="115">
      <c r="A115" t="n">
        <v>339</v>
      </c>
      <c r="B115" t="n">
        <v>11.3</v>
      </c>
      <c r="C115" t="inlineStr">
        <is>
          <t>336</t>
        </is>
      </c>
      <c r="D115" t="n">
        <v>3.36</v>
      </c>
      <c r="E115">
        <f>MEDIAN(D95:D135)</f>
        <v/>
      </c>
      <c r="F115">
        <f>E95</f>
        <v/>
      </c>
      <c r="G115">
        <f>F115-E115</f>
        <v/>
      </c>
      <c r="H115">
        <f>IF(OR(NOT(ISNUMBER(D115)),ABS(D115-E115)&gt;$O$3,AND($O$11=1,B115&lt;$O$12)),1,0)</f>
        <v/>
      </c>
      <c r="I115">
        <f>IF(H115=1,NA(),D115)</f>
        <v/>
      </c>
      <c r="J115">
        <f>IF(AND(ISNUMBER(D115),D115&gt;=$O$4,OR($O$11=0,B115&gt;=$O$12)),1,0)</f>
        <v/>
      </c>
      <c r="K115">
        <f>B115-$O$14</f>
        <v/>
      </c>
    </row>
    <row r="116">
      <c r="A116" t="n">
        <v>342</v>
      </c>
      <c r="B116" t="n">
        <v>11.4</v>
      </c>
      <c r="C116" t="inlineStr">
        <is>
          <t>365</t>
        </is>
      </c>
      <c r="D116" t="n">
        <v>3.65</v>
      </c>
      <c r="E116">
        <f>MEDIAN(D96:D136)</f>
        <v/>
      </c>
      <c r="F116">
        <f>E96</f>
        <v/>
      </c>
      <c r="G116">
        <f>F116-E116</f>
        <v/>
      </c>
      <c r="H116">
        <f>IF(OR(NOT(ISNUMBER(D116)),ABS(D116-E116)&gt;$O$3,AND($O$11=1,B116&lt;$O$12)),1,0)</f>
        <v/>
      </c>
      <c r="I116">
        <f>IF(H116=1,NA(),D116)</f>
        <v/>
      </c>
      <c r="J116">
        <f>IF(AND(ISNUMBER(D116),D116&gt;=$O$4,OR($O$11=0,B116&gt;=$O$12)),1,0)</f>
        <v/>
      </c>
      <c r="K116">
        <f>B116-$O$14</f>
        <v/>
      </c>
    </row>
    <row r="117">
      <c r="A117" t="n">
        <v>345</v>
      </c>
      <c r="B117" t="n">
        <v>11.5</v>
      </c>
      <c r="C117" t="inlineStr">
        <is>
          <t>83</t>
        </is>
      </c>
      <c r="D117" t="n">
        <v>0.83</v>
      </c>
      <c r="E117">
        <f>MEDIAN(D97:D137)</f>
        <v/>
      </c>
      <c r="F117">
        <f>E97</f>
        <v/>
      </c>
      <c r="G117">
        <f>F117-E117</f>
        <v/>
      </c>
      <c r="H117">
        <f>IF(OR(NOT(ISNUMBER(D117)),ABS(D117-E117)&gt;$O$3,AND($O$11=1,B117&lt;$O$12)),1,0)</f>
        <v/>
      </c>
      <c r="I117">
        <f>IF(H117=1,NA(),D117)</f>
        <v/>
      </c>
      <c r="J117">
        <f>IF(AND(ISNUMBER(D117),D117&gt;=$O$4,OR($O$11=0,B117&gt;=$O$12)),1,0)</f>
        <v/>
      </c>
      <c r="K117">
        <f>B117-$O$14</f>
        <v/>
      </c>
    </row>
    <row r="118">
      <c r="A118" t="n">
        <v>348</v>
      </c>
      <c r="B118" t="n">
        <v>11.6</v>
      </c>
      <c r="C118" t="inlineStr">
        <is>
          <t>77</t>
        </is>
      </c>
      <c r="D118" t="n">
        <v>0.77</v>
      </c>
      <c r="E118">
        <f>MEDIAN(D98:D138)</f>
        <v/>
      </c>
      <c r="F118">
        <f>E98</f>
        <v/>
      </c>
      <c r="G118">
        <f>F118-E118</f>
        <v/>
      </c>
      <c r="H118">
        <f>IF(OR(NOT(ISNUMBER(D118)),ABS(D118-E118)&gt;$O$3,AND($O$11=1,B118&lt;$O$12)),1,0)</f>
        <v/>
      </c>
      <c r="I118">
        <f>IF(H118=1,NA(),D118)</f>
        <v/>
      </c>
      <c r="J118">
        <f>IF(AND(ISNUMBER(D118),D118&gt;=$O$4,OR($O$11=0,B118&gt;=$O$12)),1,0)</f>
        <v/>
      </c>
      <c r="K118">
        <f>B118-$O$14</f>
        <v/>
      </c>
    </row>
    <row r="119">
      <c r="A119" t="n">
        <v>351</v>
      </c>
      <c r="B119" t="n">
        <v>11.7</v>
      </c>
      <c r="C119" t="inlineStr">
        <is>
          <t>35</t>
        </is>
      </c>
      <c r="D119" t="n">
        <v>0.35</v>
      </c>
      <c r="E119">
        <f>MEDIAN(D99:D139)</f>
        <v/>
      </c>
      <c r="F119">
        <f>E99</f>
        <v/>
      </c>
      <c r="G119">
        <f>F119-E119</f>
        <v/>
      </c>
      <c r="H119">
        <f>IF(OR(NOT(ISNUMBER(D119)),ABS(D119-E119)&gt;$O$3,AND($O$11=1,B119&lt;$O$12)),1,0)</f>
        <v/>
      </c>
      <c r="I119">
        <f>IF(H119=1,NA(),D119)</f>
        <v/>
      </c>
      <c r="J119">
        <f>IF(AND(ISNUMBER(D119),D119&gt;=$O$4,OR($O$11=0,B119&gt;=$O$12)),1,0)</f>
        <v/>
      </c>
      <c r="K119">
        <f>B119-$O$14</f>
        <v/>
      </c>
    </row>
    <row r="120">
      <c r="A120" t="n">
        <v>354</v>
      </c>
      <c r="B120" t="n">
        <v>11.8</v>
      </c>
      <c r="C120" t="inlineStr">
        <is>
          <t>55</t>
        </is>
      </c>
      <c r="D120" t="n">
        <v>0.55</v>
      </c>
      <c r="E120">
        <f>MEDIAN(D100:D140)</f>
        <v/>
      </c>
      <c r="F120">
        <f>E100</f>
        <v/>
      </c>
      <c r="G120">
        <f>F120-E120</f>
        <v/>
      </c>
      <c r="H120">
        <f>IF(OR(NOT(ISNUMBER(D120)),ABS(D120-E120)&gt;$O$3,AND($O$11=1,B120&lt;$O$12)),1,0)</f>
        <v/>
      </c>
      <c r="I120">
        <f>IF(H120=1,NA(),D120)</f>
        <v/>
      </c>
      <c r="J120">
        <f>IF(AND(ISNUMBER(D120),D120&gt;=$O$4,OR($O$11=0,B120&gt;=$O$12)),1,0)</f>
        <v/>
      </c>
      <c r="K120">
        <f>B120-$O$14</f>
        <v/>
      </c>
    </row>
    <row r="121">
      <c r="A121" t="n">
        <v>357</v>
      </c>
      <c r="B121" t="n">
        <v>11.9</v>
      </c>
      <c r="C121" t="inlineStr">
        <is>
          <t>93</t>
        </is>
      </c>
      <c r="D121" t="n">
        <v>0.93</v>
      </c>
      <c r="E121">
        <f>MEDIAN(D101:D141)</f>
        <v/>
      </c>
      <c r="F121">
        <f>E101</f>
        <v/>
      </c>
      <c r="G121">
        <f>F121-E121</f>
        <v/>
      </c>
      <c r="H121">
        <f>IF(OR(NOT(ISNUMBER(D121)),ABS(D121-E121)&gt;$O$3,AND($O$11=1,B121&lt;$O$12)),1,0)</f>
        <v/>
      </c>
      <c r="I121">
        <f>IF(H121=1,NA(),D121)</f>
        <v/>
      </c>
      <c r="J121">
        <f>IF(AND(ISNUMBER(D121),D121&gt;=$O$4,OR($O$11=0,B121&gt;=$O$12)),1,0)</f>
        <v/>
      </c>
      <c r="K121">
        <f>B121-$O$14</f>
        <v/>
      </c>
    </row>
    <row r="122">
      <c r="A122" t="n">
        <v>360</v>
      </c>
      <c r="B122" t="n">
        <v>12</v>
      </c>
      <c r="C122" t="inlineStr">
        <is>
          <t>4</t>
        </is>
      </c>
      <c r="D122" t="n">
        <v>0.04</v>
      </c>
      <c r="E122">
        <f>MEDIAN(D102:D142)</f>
        <v/>
      </c>
      <c r="F122">
        <f>E102</f>
        <v/>
      </c>
      <c r="G122">
        <f>F122-E122</f>
        <v/>
      </c>
      <c r="H122">
        <f>IF(OR(NOT(ISNUMBER(D122)),ABS(D122-E122)&gt;$O$3,AND($O$11=1,B122&lt;$O$12)),1,0)</f>
        <v/>
      </c>
      <c r="I122">
        <f>IF(H122=1,NA(),D122)</f>
        <v/>
      </c>
      <c r="J122">
        <f>IF(AND(ISNUMBER(D122),D122&gt;=$O$4,OR($O$11=0,B122&gt;=$O$12)),1,0)</f>
        <v/>
      </c>
      <c r="K122">
        <f>B122-$O$14</f>
        <v/>
      </c>
    </row>
    <row r="123">
      <c r="A123" t="n">
        <v>363</v>
      </c>
      <c r="B123" t="n">
        <v>12.1</v>
      </c>
      <c r="C123" t="inlineStr">
        <is>
          <t>416</t>
        </is>
      </c>
      <c r="D123" t="n">
        <v>4.16</v>
      </c>
      <c r="E123">
        <f>MEDIAN(D103:D143)</f>
        <v/>
      </c>
      <c r="F123">
        <f>E103</f>
        <v/>
      </c>
      <c r="G123">
        <f>F123-E123</f>
        <v/>
      </c>
      <c r="H123">
        <f>IF(OR(NOT(ISNUMBER(D123)),ABS(D123-E123)&gt;$O$3,AND($O$11=1,B123&lt;$O$12)),1,0)</f>
        <v/>
      </c>
      <c r="I123">
        <f>IF(H123=1,NA(),D123)</f>
        <v/>
      </c>
      <c r="J123">
        <f>IF(AND(ISNUMBER(D123),D123&gt;=$O$4,OR($O$11=0,B123&gt;=$O$12)),1,0)</f>
        <v/>
      </c>
      <c r="K123">
        <f>B123-$O$14</f>
        <v/>
      </c>
    </row>
    <row r="124">
      <c r="A124" t="n">
        <v>366</v>
      </c>
      <c r="B124" t="n">
        <v>12.2</v>
      </c>
      <c r="C124" t="inlineStr">
        <is>
          <t>4156</t>
        </is>
      </c>
      <c r="D124" t="n">
        <v>41.56</v>
      </c>
      <c r="E124">
        <f>MEDIAN(D104:D144)</f>
        <v/>
      </c>
      <c r="F124">
        <f>E104</f>
        <v/>
      </c>
      <c r="G124">
        <f>F124-E124</f>
        <v/>
      </c>
      <c r="H124">
        <f>IF(OR(NOT(ISNUMBER(D124)),ABS(D124-E124)&gt;$O$3,AND($O$11=1,B124&lt;$O$12)),1,0)</f>
        <v/>
      </c>
      <c r="I124">
        <f>IF(H124=1,NA(),D124)</f>
        <v/>
      </c>
      <c r="J124">
        <f>IF(AND(ISNUMBER(D124),D124&gt;=$O$4,OR($O$11=0,B124&gt;=$O$12)),1,0)</f>
        <v/>
      </c>
      <c r="K124">
        <f>B124-$O$14</f>
        <v/>
      </c>
    </row>
    <row r="125">
      <c r="A125" t="n">
        <v>369</v>
      </c>
      <c r="B125" t="n">
        <v>12.3</v>
      </c>
      <c r="C125" t="inlineStr">
        <is>
          <t>4176</t>
        </is>
      </c>
      <c r="D125" t="n">
        <v>41.76</v>
      </c>
      <c r="E125">
        <f>MEDIAN(D105:D145)</f>
        <v/>
      </c>
      <c r="F125">
        <f>E105</f>
        <v/>
      </c>
      <c r="G125">
        <f>F125-E125</f>
        <v/>
      </c>
      <c r="H125">
        <f>IF(OR(NOT(ISNUMBER(D125)),ABS(D125-E125)&gt;$O$3,AND($O$11=1,B125&lt;$O$12)),1,0)</f>
        <v/>
      </c>
      <c r="I125">
        <f>IF(H125=1,NA(),D125)</f>
        <v/>
      </c>
      <c r="J125">
        <f>IF(AND(ISNUMBER(D125),D125&gt;=$O$4,OR($O$11=0,B125&gt;=$O$12)),1,0)</f>
        <v/>
      </c>
      <c r="K125">
        <f>B125-$O$14</f>
        <v/>
      </c>
    </row>
    <row r="126">
      <c r="A126" t="n">
        <v>372</v>
      </c>
      <c r="B126" t="n">
        <v>12.4</v>
      </c>
      <c r="C126" t="inlineStr">
        <is>
          <t>416</t>
        </is>
      </c>
      <c r="D126" t="n">
        <v>4.16</v>
      </c>
      <c r="E126">
        <f>MEDIAN(D106:D146)</f>
        <v/>
      </c>
      <c r="F126">
        <f>E106</f>
        <v/>
      </c>
      <c r="G126">
        <f>F126-E126</f>
        <v/>
      </c>
      <c r="H126">
        <f>IF(OR(NOT(ISNUMBER(D126)),ABS(D126-E126)&gt;$O$3,AND($O$11=1,B126&lt;$O$12)),1,0)</f>
        <v/>
      </c>
      <c r="I126">
        <f>IF(H126=1,NA(),D126)</f>
        <v/>
      </c>
      <c r="J126">
        <f>IF(AND(ISNUMBER(D126),D126&gt;=$O$4,OR($O$11=0,B126&gt;=$O$12)),1,0)</f>
        <v/>
      </c>
      <c r="K126">
        <f>B126-$O$14</f>
        <v/>
      </c>
    </row>
    <row r="127">
      <c r="A127" t="n">
        <v>375</v>
      </c>
      <c r="B127" t="n">
        <v>12.5</v>
      </c>
      <c r="C127" t="inlineStr">
        <is>
          <t>426</t>
        </is>
      </c>
      <c r="D127" t="n">
        <v>4.26</v>
      </c>
      <c r="E127">
        <f>MEDIAN(D107:D147)</f>
        <v/>
      </c>
      <c r="F127">
        <f>E107</f>
        <v/>
      </c>
      <c r="G127">
        <f>F127-E127</f>
        <v/>
      </c>
      <c r="H127">
        <f>IF(OR(NOT(ISNUMBER(D127)),ABS(D127-E127)&gt;$O$3,AND($O$11=1,B127&lt;$O$12)),1,0)</f>
        <v/>
      </c>
      <c r="I127">
        <f>IF(H127=1,NA(),D127)</f>
        <v/>
      </c>
      <c r="J127">
        <f>IF(AND(ISNUMBER(D127),D127&gt;=$O$4,OR($O$11=0,B127&gt;=$O$12)),1,0)</f>
        <v/>
      </c>
      <c r="K127">
        <f>B127-$O$14</f>
        <v/>
      </c>
    </row>
    <row r="128">
      <c r="A128" t="n">
        <v>378</v>
      </c>
      <c r="B128" t="n">
        <v>12.6</v>
      </c>
      <c r="C128" t="inlineStr">
        <is>
          <t>42</t>
        </is>
      </c>
      <c r="D128" t="n">
        <v>0.42</v>
      </c>
      <c r="E128">
        <f>MEDIAN(D108:D148)</f>
        <v/>
      </c>
      <c r="F128">
        <f>E108</f>
        <v/>
      </c>
      <c r="G128">
        <f>F128-E128</f>
        <v/>
      </c>
      <c r="H128">
        <f>IF(OR(NOT(ISNUMBER(D128)),ABS(D128-E128)&gt;$O$3,AND($O$11=1,B128&lt;$O$12)),1,0)</f>
        <v/>
      </c>
      <c r="I128">
        <f>IF(H128=1,NA(),D128)</f>
        <v/>
      </c>
      <c r="J128">
        <f>IF(AND(ISNUMBER(D128),D128&gt;=$O$4,OR($O$11=0,B128&gt;=$O$12)),1,0)</f>
        <v/>
      </c>
      <c r="K128">
        <f>B128-$O$14</f>
        <v/>
      </c>
    </row>
    <row r="129">
      <c r="A129" t="n">
        <v>381</v>
      </c>
      <c r="B129" t="n">
        <v>12.7</v>
      </c>
      <c r="C129" t="inlineStr">
        <is>
          <t>4263</t>
        </is>
      </c>
      <c r="D129" t="n">
        <v>42.63</v>
      </c>
      <c r="E129">
        <f>MEDIAN(D109:D149)</f>
        <v/>
      </c>
      <c r="F129">
        <f>E109</f>
        <v/>
      </c>
      <c r="G129">
        <f>F129-E129</f>
        <v/>
      </c>
      <c r="H129">
        <f>IF(OR(NOT(ISNUMBER(D129)),ABS(D129-E129)&gt;$O$3,AND($O$11=1,B129&lt;$O$12)),1,0)</f>
        <v/>
      </c>
      <c r="I129">
        <f>IF(H129=1,NA(),D129)</f>
        <v/>
      </c>
      <c r="J129">
        <f>IF(AND(ISNUMBER(D129),D129&gt;=$O$4,OR($O$11=0,B129&gt;=$O$12)),1,0)</f>
        <v/>
      </c>
      <c r="K129">
        <f>B129-$O$14</f>
        <v/>
      </c>
    </row>
    <row r="130">
      <c r="A130" t="n">
        <v>384</v>
      </c>
      <c r="B130" t="n">
        <v>12.8</v>
      </c>
      <c r="C130" t="inlineStr">
        <is>
          <t>85</t>
        </is>
      </c>
      <c r="D130" t="n">
        <v>0.85</v>
      </c>
      <c r="E130">
        <f>MEDIAN(D110:D150)</f>
        <v/>
      </c>
      <c r="F130">
        <f>E110</f>
        <v/>
      </c>
      <c r="G130">
        <f>F130-E130</f>
        <v/>
      </c>
      <c r="H130">
        <f>IF(OR(NOT(ISNUMBER(D130)),ABS(D130-E130)&gt;$O$3,AND($O$11=1,B130&lt;$O$12)),1,0)</f>
        <v/>
      </c>
      <c r="I130">
        <f>IF(H130=1,NA(),D130)</f>
        <v/>
      </c>
      <c r="J130">
        <f>IF(AND(ISNUMBER(D130),D130&gt;=$O$4,OR($O$11=0,B130&gt;=$O$12)),1,0)</f>
        <v/>
      </c>
      <c r="K130">
        <f>B130-$O$14</f>
        <v/>
      </c>
    </row>
    <row r="131">
      <c r="A131" t="n">
        <v>387</v>
      </c>
      <c r="B131" t="n">
        <v>12.9</v>
      </c>
      <c r="C131" t="inlineStr">
        <is>
          <t>4386</t>
        </is>
      </c>
      <c r="D131" t="n">
        <v>43.86</v>
      </c>
      <c r="E131">
        <f>MEDIAN(D111:D151)</f>
        <v/>
      </c>
      <c r="F131">
        <f>E111</f>
        <v/>
      </c>
      <c r="G131">
        <f>F131-E131</f>
        <v/>
      </c>
      <c r="H131">
        <f>IF(OR(NOT(ISNUMBER(D131)),ABS(D131-E131)&gt;$O$3,AND($O$11=1,B131&lt;$O$12)),1,0)</f>
        <v/>
      </c>
      <c r="I131">
        <f>IF(H131=1,NA(),D131)</f>
        <v/>
      </c>
      <c r="J131">
        <f>IF(AND(ISNUMBER(D131),D131&gt;=$O$4,OR($O$11=0,B131&gt;=$O$12)),1,0)</f>
        <v/>
      </c>
      <c r="K131">
        <f>B131-$O$14</f>
        <v/>
      </c>
    </row>
    <row r="132">
      <c r="A132" t="n">
        <v>390</v>
      </c>
      <c r="B132" t="n">
        <v>13</v>
      </c>
      <c r="C132" t="inlineStr">
        <is>
          <t>4?26</t>
        </is>
      </c>
      <c r="E132">
        <f>MEDIAN(D112:D152)</f>
        <v/>
      </c>
      <c r="F132">
        <f>E112</f>
        <v/>
      </c>
      <c r="G132">
        <f>F132-E132</f>
        <v/>
      </c>
      <c r="H132">
        <f>IF(OR(NOT(ISNUMBER(D132)),ABS(D132-E132)&gt;$O$3,AND($O$11=1,B132&lt;$O$12)),1,0)</f>
        <v/>
      </c>
      <c r="I132">
        <f>IF(H132=1,NA(),D132)</f>
        <v/>
      </c>
      <c r="J132">
        <f>IF(AND(ISNUMBER(D132),D132&gt;=$O$4,OR($O$11=0,B132&gt;=$O$12)),1,0)</f>
        <v/>
      </c>
      <c r="K132">
        <f>B132-$O$14</f>
        <v/>
      </c>
    </row>
    <row r="133">
      <c r="A133" t="n">
        <v>393</v>
      </c>
      <c r="B133" t="n">
        <v>13.1</v>
      </c>
      <c r="C133" t="inlineStr">
        <is>
          <t>44?</t>
        </is>
      </c>
      <c r="E133">
        <f>MEDIAN(D113:D153)</f>
        <v/>
      </c>
      <c r="F133">
        <f>E113</f>
        <v/>
      </c>
      <c r="G133">
        <f>F133-E133</f>
        <v/>
      </c>
      <c r="H133">
        <f>IF(OR(NOT(ISNUMBER(D133)),ABS(D133-E133)&gt;$O$3,AND($O$11=1,B133&lt;$O$12)),1,0)</f>
        <v/>
      </c>
      <c r="I133">
        <f>IF(H133=1,NA(),D133)</f>
        <v/>
      </c>
      <c r="J133">
        <f>IF(AND(ISNUMBER(D133),D133&gt;=$O$4,OR($O$11=0,B133&gt;=$O$12)),1,0)</f>
        <v/>
      </c>
      <c r="K133">
        <f>B133-$O$14</f>
        <v/>
      </c>
    </row>
    <row r="134">
      <c r="A134" t="n">
        <v>396</v>
      </c>
      <c r="B134" t="n">
        <v>13.2</v>
      </c>
      <c r="C134" t="inlineStr">
        <is>
          <t>4?65</t>
        </is>
      </c>
      <c r="E134">
        <f>MEDIAN(D114:D154)</f>
        <v/>
      </c>
      <c r="F134">
        <f>E114</f>
        <v/>
      </c>
      <c r="G134">
        <f>F134-E134</f>
        <v/>
      </c>
      <c r="H134">
        <f>IF(OR(NOT(ISNUMBER(D134)),ABS(D134-E134)&gt;$O$3,AND($O$11=1,B134&lt;$O$12)),1,0)</f>
        <v/>
      </c>
      <c r="I134">
        <f>IF(H134=1,NA(),D134)</f>
        <v/>
      </c>
      <c r="J134">
        <f>IF(AND(ISNUMBER(D134),D134&gt;=$O$4,OR($O$11=0,B134&gt;=$O$12)),1,0)</f>
        <v/>
      </c>
      <c r="K134">
        <f>B134-$O$14</f>
        <v/>
      </c>
    </row>
    <row r="135">
      <c r="A135" t="n">
        <v>399</v>
      </c>
      <c r="B135" t="n">
        <v>13.3</v>
      </c>
      <c r="C135" t="inlineStr">
        <is>
          <t>485</t>
        </is>
      </c>
      <c r="D135" t="n">
        <v>4.85</v>
      </c>
      <c r="E135">
        <f>MEDIAN(D115:D155)</f>
        <v/>
      </c>
      <c r="F135">
        <f>E115</f>
        <v/>
      </c>
      <c r="G135">
        <f>F135-E135</f>
        <v/>
      </c>
      <c r="H135">
        <f>IF(OR(NOT(ISNUMBER(D135)),ABS(D135-E135)&gt;$O$3,AND($O$11=1,B135&lt;$O$12)),1,0)</f>
        <v/>
      </c>
      <c r="I135">
        <f>IF(H135=1,NA(),D135)</f>
        <v/>
      </c>
      <c r="J135">
        <f>IF(AND(ISNUMBER(D135),D135&gt;=$O$4,OR($O$11=0,B135&gt;=$O$12)),1,0)</f>
        <v/>
      </c>
      <c r="K135">
        <f>B135-$O$14</f>
        <v/>
      </c>
    </row>
    <row r="136">
      <c r="A136" t="n">
        <v>402</v>
      </c>
      <c r="B136" t="n">
        <v>13.4</v>
      </c>
      <c r="C136" t="inlineStr">
        <is>
          <t>440</t>
        </is>
      </c>
      <c r="D136" t="n">
        <v>4.4</v>
      </c>
      <c r="E136">
        <f>MEDIAN(D116:D156)</f>
        <v/>
      </c>
      <c r="F136">
        <f>E116</f>
        <v/>
      </c>
      <c r="G136">
        <f>F136-E136</f>
        <v/>
      </c>
      <c r="H136">
        <f>IF(OR(NOT(ISNUMBER(D136)),ABS(D136-E136)&gt;$O$3,AND($O$11=1,B136&lt;$O$12)),1,0)</f>
        <v/>
      </c>
      <c r="I136">
        <f>IF(H136=1,NA(),D136)</f>
        <v/>
      </c>
      <c r="J136">
        <f>IF(AND(ISNUMBER(D136),D136&gt;=$O$4,OR($O$11=0,B136&gt;=$O$12)),1,0)</f>
        <v/>
      </c>
      <c r="K136">
        <f>B136-$O$14</f>
        <v/>
      </c>
    </row>
    <row r="137">
      <c r="A137" t="n">
        <v>405</v>
      </c>
      <c r="B137" t="n">
        <v>13.5</v>
      </c>
      <c r="C137" t="inlineStr">
        <is>
          <t>443?</t>
        </is>
      </c>
      <c r="E137">
        <f>MEDIAN(D117:D157)</f>
        <v/>
      </c>
      <c r="F137">
        <f>E117</f>
        <v/>
      </c>
      <c r="G137">
        <f>F137-E137</f>
        <v/>
      </c>
      <c r="H137">
        <f>IF(OR(NOT(ISNUMBER(D137)),ABS(D137-E137)&gt;$O$3,AND($O$11=1,B137&lt;$O$12)),1,0)</f>
        <v/>
      </c>
      <c r="I137">
        <f>IF(H137=1,NA(),D137)</f>
        <v/>
      </c>
      <c r="J137">
        <f>IF(AND(ISNUMBER(D137),D137&gt;=$O$4,OR($O$11=0,B137&gt;=$O$12)),1,0)</f>
        <v/>
      </c>
      <c r="K137">
        <f>B137-$O$14</f>
        <v/>
      </c>
    </row>
    <row r="138">
      <c r="A138" t="n">
        <v>408</v>
      </c>
      <c r="B138" t="n">
        <v>13.6</v>
      </c>
      <c r="C138" t="inlineStr">
        <is>
          <t>4455</t>
        </is>
      </c>
      <c r="D138" t="n">
        <v>44.55</v>
      </c>
      <c r="E138">
        <f>MEDIAN(D118:D158)</f>
        <v/>
      </c>
      <c r="F138">
        <f>E118</f>
        <v/>
      </c>
      <c r="G138">
        <f>F138-E138</f>
        <v/>
      </c>
      <c r="H138">
        <f>IF(OR(NOT(ISNUMBER(D138)),ABS(D138-E138)&gt;$O$3,AND($O$11=1,B138&lt;$O$12)),1,0)</f>
        <v/>
      </c>
      <c r="I138">
        <f>IF(H138=1,NA(),D138)</f>
        <v/>
      </c>
      <c r="J138">
        <f>IF(AND(ISNUMBER(D138),D138&gt;=$O$4,OR($O$11=0,B138&gt;=$O$12)),1,0)</f>
        <v/>
      </c>
      <c r="K138">
        <f>B138-$O$14</f>
        <v/>
      </c>
    </row>
    <row r="139">
      <c r="A139" t="n">
        <v>411</v>
      </c>
      <c r="B139" t="n">
        <v>13.7</v>
      </c>
      <c r="C139" t="inlineStr">
        <is>
          <t>4476</t>
        </is>
      </c>
      <c r="D139" t="n">
        <v>44.76</v>
      </c>
      <c r="E139">
        <f>MEDIAN(D119:D159)</f>
        <v/>
      </c>
      <c r="F139">
        <f>E119</f>
        <v/>
      </c>
      <c r="G139">
        <f>F139-E139</f>
        <v/>
      </c>
      <c r="H139">
        <f>IF(OR(NOT(ISNUMBER(D139)),ABS(D139-E139)&gt;$O$3,AND($O$11=1,B139&lt;$O$12)),1,0)</f>
        <v/>
      </c>
      <c r="I139">
        <f>IF(H139=1,NA(),D139)</f>
        <v/>
      </c>
      <c r="J139">
        <f>IF(AND(ISNUMBER(D139),D139&gt;=$O$4,OR($O$11=0,B139&gt;=$O$12)),1,0)</f>
        <v/>
      </c>
      <c r="K139">
        <f>B139-$O$14</f>
        <v/>
      </c>
    </row>
    <row r="140">
      <c r="A140" t="n">
        <v>414</v>
      </c>
      <c r="B140" t="n">
        <v>13.8</v>
      </c>
      <c r="C140" t="inlineStr">
        <is>
          <t>4492</t>
        </is>
      </c>
      <c r="D140" t="n">
        <v>44.92</v>
      </c>
      <c r="E140">
        <f>MEDIAN(D120:D160)</f>
        <v/>
      </c>
      <c r="F140">
        <f>E120</f>
        <v/>
      </c>
      <c r="G140">
        <f>F140-E140</f>
        <v/>
      </c>
      <c r="H140">
        <f>IF(OR(NOT(ISNUMBER(D140)),ABS(D140-E140)&gt;$O$3,AND($O$11=1,B140&lt;$O$12)),1,0)</f>
        <v/>
      </c>
      <c r="I140">
        <f>IF(H140=1,NA(),D140)</f>
        <v/>
      </c>
      <c r="J140">
        <f>IF(AND(ISNUMBER(D140),D140&gt;=$O$4,OR($O$11=0,B140&gt;=$O$12)),1,0)</f>
        <v/>
      </c>
      <c r="K140">
        <f>B140-$O$14</f>
        <v/>
      </c>
    </row>
    <row r="141">
      <c r="A141" t="n">
        <v>417</v>
      </c>
      <c r="B141" t="n">
        <v>13.9</v>
      </c>
      <c r="C141" t="inlineStr">
        <is>
          <t>452</t>
        </is>
      </c>
      <c r="D141" t="n">
        <v>4.52</v>
      </c>
      <c r="E141">
        <f>MEDIAN(D121:D161)</f>
        <v/>
      </c>
      <c r="F141">
        <f>E121</f>
        <v/>
      </c>
      <c r="G141">
        <f>F141-E141</f>
        <v/>
      </c>
      <c r="H141">
        <f>IF(OR(NOT(ISNUMBER(D141)),ABS(D141-E141)&gt;$O$3,AND($O$11=1,B141&lt;$O$12)),1,0)</f>
        <v/>
      </c>
      <c r="I141">
        <f>IF(H141=1,NA(),D141)</f>
        <v/>
      </c>
      <c r="J141">
        <f>IF(AND(ISNUMBER(D141),D141&gt;=$O$4,OR($O$11=0,B141&gt;=$O$12)),1,0)</f>
        <v/>
      </c>
      <c r="K141">
        <f>B141-$O$14</f>
        <v/>
      </c>
    </row>
    <row r="142">
      <c r="A142" t="n">
        <v>420</v>
      </c>
      <c r="B142" t="n">
        <v>14</v>
      </c>
      <c r="C142" t="inlineStr">
        <is>
          <t>4533</t>
        </is>
      </c>
      <c r="D142" t="n">
        <v>45.33</v>
      </c>
      <c r="E142">
        <f>MEDIAN(D122:D162)</f>
        <v/>
      </c>
      <c r="F142">
        <f>E122</f>
        <v/>
      </c>
      <c r="G142">
        <f>F142-E142</f>
        <v/>
      </c>
      <c r="H142">
        <f>IF(OR(NOT(ISNUMBER(D142)),ABS(D142-E142)&gt;$O$3,AND($O$11=1,B142&lt;$O$12)),1,0)</f>
        <v/>
      </c>
      <c r="I142">
        <f>IF(H142=1,NA(),D142)</f>
        <v/>
      </c>
      <c r="J142">
        <f>IF(AND(ISNUMBER(D142),D142&gt;=$O$4,OR($O$11=0,B142&gt;=$O$12)),1,0)</f>
        <v/>
      </c>
      <c r="K142">
        <f>B142-$O$14</f>
        <v/>
      </c>
    </row>
    <row r="143">
      <c r="A143" t="n">
        <v>423</v>
      </c>
      <c r="B143" t="n">
        <v>14.1</v>
      </c>
      <c r="C143" t="inlineStr">
        <is>
          <t>4553</t>
        </is>
      </c>
      <c r="D143" t="n">
        <v>45.53</v>
      </c>
      <c r="E143">
        <f>MEDIAN(D123:D163)</f>
        <v/>
      </c>
      <c r="F143">
        <f>E123</f>
        <v/>
      </c>
      <c r="G143">
        <f>F143-E143</f>
        <v/>
      </c>
      <c r="H143">
        <f>IF(OR(NOT(ISNUMBER(D143)),ABS(D143-E143)&gt;$O$3,AND($O$11=1,B143&lt;$O$12)),1,0)</f>
        <v/>
      </c>
      <c r="I143">
        <f>IF(H143=1,NA(),D143)</f>
        <v/>
      </c>
      <c r="J143">
        <f>IF(AND(ISNUMBER(D143),D143&gt;=$O$4,OR($O$11=0,B143&gt;=$O$12)),1,0)</f>
        <v/>
      </c>
      <c r="K143">
        <f>B143-$O$14</f>
        <v/>
      </c>
    </row>
    <row r="144">
      <c r="A144" t="n">
        <v>426</v>
      </c>
      <c r="B144" t="n">
        <v>14.2</v>
      </c>
      <c r="C144" t="inlineStr">
        <is>
          <t>72</t>
        </is>
      </c>
      <c r="D144" t="n">
        <v>0.72</v>
      </c>
      <c r="E144">
        <f>MEDIAN(D124:D164)</f>
        <v/>
      </c>
      <c r="F144">
        <f>E124</f>
        <v/>
      </c>
      <c r="G144">
        <f>F144-E144</f>
        <v/>
      </c>
      <c r="H144">
        <f>IF(OR(NOT(ISNUMBER(D144)),ABS(D144-E144)&gt;$O$3,AND($O$11=1,B144&lt;$O$12)),1,0)</f>
        <v/>
      </c>
      <c r="I144">
        <f>IF(H144=1,NA(),D144)</f>
        <v/>
      </c>
      <c r="J144">
        <f>IF(AND(ISNUMBER(D144),D144&gt;=$O$4,OR($O$11=0,B144&gt;=$O$12)),1,0)</f>
        <v/>
      </c>
      <c r="K144">
        <f>B144-$O$14</f>
        <v/>
      </c>
    </row>
    <row r="145">
      <c r="A145" t="n">
        <v>429</v>
      </c>
      <c r="B145" t="n">
        <v>14.3</v>
      </c>
      <c r="C145" t="inlineStr">
        <is>
          <t>4597</t>
        </is>
      </c>
      <c r="D145" t="n">
        <v>45.97</v>
      </c>
      <c r="E145">
        <f>MEDIAN(D125:D165)</f>
        <v/>
      </c>
      <c r="F145">
        <f>E125</f>
        <v/>
      </c>
      <c r="G145">
        <f>F145-E145</f>
        <v/>
      </c>
      <c r="H145">
        <f>IF(OR(NOT(ISNUMBER(D145)),ABS(D145-E145)&gt;$O$3,AND($O$11=1,B145&lt;$O$12)),1,0)</f>
        <v/>
      </c>
      <c r="I145">
        <f>IF(H145=1,NA(),D145)</f>
        <v/>
      </c>
      <c r="J145">
        <f>IF(AND(ISNUMBER(D145),D145&gt;=$O$4,OR($O$11=0,B145&gt;=$O$12)),1,0)</f>
        <v/>
      </c>
      <c r="K145">
        <f>B145-$O$14</f>
        <v/>
      </c>
    </row>
    <row r="146">
      <c r="A146" t="n">
        <v>432</v>
      </c>
      <c r="B146" t="n">
        <v>14.4</v>
      </c>
      <c r="C146" t="inlineStr">
        <is>
          <t>4605</t>
        </is>
      </c>
      <c r="D146" t="n">
        <v>46.05</v>
      </c>
      <c r="E146">
        <f>MEDIAN(D126:D166)</f>
        <v/>
      </c>
      <c r="F146">
        <f>E126</f>
        <v/>
      </c>
      <c r="G146">
        <f>F146-E146</f>
        <v/>
      </c>
      <c r="H146">
        <f>IF(OR(NOT(ISNUMBER(D146)),ABS(D146-E146)&gt;$O$3,AND($O$11=1,B146&lt;$O$12)),1,0)</f>
        <v/>
      </c>
      <c r="I146">
        <f>IF(H146=1,NA(),D146)</f>
        <v/>
      </c>
      <c r="J146">
        <f>IF(AND(ISNUMBER(D146),D146&gt;=$O$4,OR($O$11=0,B146&gt;=$O$12)),1,0)</f>
        <v/>
      </c>
      <c r="K146">
        <f>B146-$O$14</f>
        <v/>
      </c>
    </row>
    <row r="147">
      <c r="A147" t="n">
        <v>435</v>
      </c>
      <c r="B147" t="n">
        <v>14.5</v>
      </c>
      <c r="C147" t="inlineStr">
        <is>
          <t>4625</t>
        </is>
      </c>
      <c r="D147" t="n">
        <v>46.25</v>
      </c>
      <c r="E147">
        <f>MEDIAN(D127:D167)</f>
        <v/>
      </c>
      <c r="F147">
        <f>E127</f>
        <v/>
      </c>
      <c r="G147">
        <f>F147-E147</f>
        <v/>
      </c>
      <c r="H147">
        <f>IF(OR(NOT(ISNUMBER(D147)),ABS(D147-E147)&gt;$O$3,AND($O$11=1,B147&lt;$O$12)),1,0)</f>
        <v/>
      </c>
      <c r="I147">
        <f>IF(H147=1,NA(),D147)</f>
        <v/>
      </c>
      <c r="J147">
        <f>IF(AND(ISNUMBER(D147),D147&gt;=$O$4,OR($O$11=0,B147&gt;=$O$12)),1,0)</f>
        <v/>
      </c>
      <c r="K147">
        <f>B147-$O$14</f>
        <v/>
      </c>
    </row>
    <row r="148">
      <c r="A148" t="n">
        <v>438</v>
      </c>
      <c r="B148" t="n">
        <v>14.6</v>
      </c>
      <c r="C148" t="inlineStr">
        <is>
          <t>4646</t>
        </is>
      </c>
      <c r="D148" t="n">
        <v>46.46</v>
      </c>
      <c r="E148">
        <f>MEDIAN(D128:D168)</f>
        <v/>
      </c>
      <c r="F148">
        <f>E128</f>
        <v/>
      </c>
      <c r="G148">
        <f>F148-E148</f>
        <v/>
      </c>
      <c r="H148">
        <f>IF(OR(NOT(ISNUMBER(D148)),ABS(D148-E148)&gt;$O$3,AND($O$11=1,B148&lt;$O$12)),1,0)</f>
        <v/>
      </c>
      <c r="I148">
        <f>IF(H148=1,NA(),D148)</f>
        <v/>
      </c>
      <c r="J148">
        <f>IF(AND(ISNUMBER(D148),D148&gt;=$O$4,OR($O$11=0,B148&gt;=$O$12)),1,0)</f>
        <v/>
      </c>
      <c r="K148">
        <f>B148-$O$14</f>
        <v/>
      </c>
    </row>
    <row r="149">
      <c r="A149" t="n">
        <v>441</v>
      </c>
      <c r="B149" t="n">
        <v>14.7</v>
      </c>
      <c r="C149" t="inlineStr">
        <is>
          <t>64</t>
        </is>
      </c>
      <c r="D149" t="n">
        <v>0.64</v>
      </c>
      <c r="E149">
        <f>MEDIAN(D129:D169)</f>
        <v/>
      </c>
      <c r="F149">
        <f>E129</f>
        <v/>
      </c>
      <c r="G149">
        <f>F149-E149</f>
        <v/>
      </c>
      <c r="H149">
        <f>IF(OR(NOT(ISNUMBER(D149)),ABS(D149-E149)&gt;$O$3,AND($O$11=1,B149&lt;$O$12)),1,0)</f>
        <v/>
      </c>
      <c r="I149">
        <f>IF(H149=1,NA(),D149)</f>
        <v/>
      </c>
      <c r="J149">
        <f>IF(AND(ISNUMBER(D149),D149&gt;=$O$4,OR($O$11=0,B149&gt;=$O$12)),1,0)</f>
        <v/>
      </c>
      <c r="K149">
        <f>B149-$O$14</f>
        <v/>
      </c>
    </row>
    <row r="150">
      <c r="A150" t="n">
        <v>444</v>
      </c>
      <c r="B150" t="n">
        <v>14.8</v>
      </c>
      <c r="C150" t="inlineStr">
        <is>
          <t>95</t>
        </is>
      </c>
      <c r="D150" t="n">
        <v>0.95</v>
      </c>
      <c r="E150">
        <f>MEDIAN(D130:D170)</f>
        <v/>
      </c>
      <c r="F150">
        <f>E130</f>
        <v/>
      </c>
      <c r="G150">
        <f>F150-E150</f>
        <v/>
      </c>
      <c r="H150">
        <f>IF(OR(NOT(ISNUMBER(D150)),ABS(D150-E150)&gt;$O$3,AND($O$11=1,B150&lt;$O$12)),1,0)</f>
        <v/>
      </c>
      <c r="I150">
        <f>IF(H150=1,NA(),D150)</f>
        <v/>
      </c>
      <c r="J150">
        <f>IF(AND(ISNUMBER(D150),D150&gt;=$O$4,OR($O$11=0,B150&gt;=$O$12)),1,0)</f>
        <v/>
      </c>
      <c r="K150">
        <f>B150-$O$14</f>
        <v/>
      </c>
    </row>
    <row r="151">
      <c r="A151" t="n">
        <v>447</v>
      </c>
      <c r="B151" t="n">
        <v>14.9</v>
      </c>
      <c r="E151">
        <f>MEDIAN(D131:D171)</f>
        <v/>
      </c>
      <c r="F151">
        <f>E131</f>
        <v/>
      </c>
      <c r="G151">
        <f>F151-E151</f>
        <v/>
      </c>
      <c r="H151">
        <f>IF(OR(NOT(ISNUMBER(D151)),ABS(D151-E151)&gt;$O$3,AND($O$11=1,B151&lt;$O$12)),1,0)</f>
        <v/>
      </c>
      <c r="I151">
        <f>IF(H151=1,NA(),D151)</f>
        <v/>
      </c>
      <c r="J151">
        <f>IF(AND(ISNUMBER(D151),D151&gt;=$O$4,OR($O$11=0,B151&gt;=$O$12)),1,0)</f>
        <v/>
      </c>
      <c r="K151">
        <f>B151-$O$14</f>
        <v/>
      </c>
    </row>
    <row r="152">
      <c r="A152" t="n">
        <v>450</v>
      </c>
      <c r="B152" t="n">
        <v>15</v>
      </c>
      <c r="C152" t="inlineStr">
        <is>
          <t>4?6</t>
        </is>
      </c>
      <c r="E152">
        <f>MEDIAN(D132:D172)</f>
        <v/>
      </c>
      <c r="F152">
        <f>E132</f>
        <v/>
      </c>
      <c r="G152">
        <f>F152-E152</f>
        <v/>
      </c>
      <c r="H152">
        <f>IF(OR(NOT(ISNUMBER(D152)),ABS(D152-E152)&gt;$O$3,AND($O$11=1,B152&lt;$O$12)),1,0)</f>
        <v/>
      </c>
      <c r="I152">
        <f>IF(H152=1,NA(),D152)</f>
        <v/>
      </c>
      <c r="J152">
        <f>IF(AND(ISNUMBER(D152),D152&gt;=$O$4,OR($O$11=0,B152&gt;=$O$12)),1,0)</f>
        <v/>
      </c>
      <c r="K152">
        <f>B152-$O$14</f>
        <v/>
      </c>
    </row>
    <row r="153">
      <c r="A153" t="n">
        <v>453</v>
      </c>
      <c r="B153" t="n">
        <v>15.1</v>
      </c>
      <c r="C153" t="inlineStr">
        <is>
          <t>4135</t>
        </is>
      </c>
      <c r="D153" t="n">
        <v>41.35</v>
      </c>
      <c r="E153">
        <f>MEDIAN(D133:D173)</f>
        <v/>
      </c>
      <c r="F153">
        <f>E133</f>
        <v/>
      </c>
      <c r="G153">
        <f>F153-E153</f>
        <v/>
      </c>
      <c r="H153">
        <f>IF(OR(NOT(ISNUMBER(D153)),ABS(D153-E153)&gt;$O$3,AND($O$11=1,B153&lt;$O$12)),1,0)</f>
        <v/>
      </c>
      <c r="I153">
        <f>IF(H153=1,NA(),D153)</f>
        <v/>
      </c>
      <c r="J153">
        <f>IF(AND(ISNUMBER(D153),D153&gt;=$O$4,OR($O$11=0,B153&gt;=$O$12)),1,0)</f>
        <v/>
      </c>
      <c r="K153">
        <f>B153-$O$14</f>
        <v/>
      </c>
    </row>
    <row r="154">
      <c r="A154" t="n">
        <v>456</v>
      </c>
      <c r="B154" t="n">
        <v>15.2</v>
      </c>
      <c r="C154" t="inlineStr">
        <is>
          <t>4147</t>
        </is>
      </c>
      <c r="D154" t="n">
        <v>41.47</v>
      </c>
      <c r="E154">
        <f>MEDIAN(D134:D174)</f>
        <v/>
      </c>
      <c r="F154">
        <f>E134</f>
        <v/>
      </c>
      <c r="G154">
        <f>F154-E154</f>
        <v/>
      </c>
      <c r="H154">
        <f>IF(OR(NOT(ISNUMBER(D154)),ABS(D154-E154)&gt;$O$3,AND($O$11=1,B154&lt;$O$12)),1,0)</f>
        <v/>
      </c>
      <c r="I154">
        <f>IF(H154=1,NA(),D154)</f>
        <v/>
      </c>
      <c r="J154">
        <f>IF(AND(ISNUMBER(D154),D154&gt;=$O$4,OR($O$11=0,B154&gt;=$O$12)),1,0)</f>
        <v/>
      </c>
      <c r="K154">
        <f>B154-$O$14</f>
        <v/>
      </c>
    </row>
    <row r="155">
      <c r="A155" t="n">
        <v>459</v>
      </c>
      <c r="B155" t="n">
        <v>15.3</v>
      </c>
      <c r="C155" t="inlineStr">
        <is>
          <t>4162</t>
        </is>
      </c>
      <c r="D155" t="n">
        <v>41.62</v>
      </c>
      <c r="E155">
        <f>MEDIAN(D135:D175)</f>
        <v/>
      </c>
      <c r="F155">
        <f>E135</f>
        <v/>
      </c>
      <c r="G155">
        <f>F155-E155</f>
        <v/>
      </c>
      <c r="H155">
        <f>IF(OR(NOT(ISNUMBER(D155)),ABS(D155-E155)&gt;$O$3,AND($O$11=1,B155&lt;$O$12)),1,0)</f>
        <v/>
      </c>
      <c r="I155">
        <f>IF(H155=1,NA(),D155)</f>
        <v/>
      </c>
      <c r="J155">
        <f>IF(AND(ISNUMBER(D155),D155&gt;=$O$4,OR($O$11=0,B155&gt;=$O$12)),1,0)</f>
        <v/>
      </c>
      <c r="K155">
        <f>B155-$O$14</f>
        <v/>
      </c>
    </row>
    <row r="156">
      <c r="A156" t="n">
        <v>462</v>
      </c>
      <c r="B156" t="n">
        <v>15.4</v>
      </c>
      <c r="C156" t="inlineStr">
        <is>
          <t>4176</t>
        </is>
      </c>
      <c r="D156" t="n">
        <v>41.76</v>
      </c>
      <c r="E156">
        <f>MEDIAN(D136:D176)</f>
        <v/>
      </c>
      <c r="F156">
        <f>E136</f>
        <v/>
      </c>
      <c r="G156">
        <f>F156-E156</f>
        <v/>
      </c>
      <c r="H156">
        <f>IF(OR(NOT(ISNUMBER(D156)),ABS(D156-E156)&gt;$O$3,AND($O$11=1,B156&lt;$O$12)),1,0)</f>
        <v/>
      </c>
      <c r="I156">
        <f>IF(H156=1,NA(),D156)</f>
        <v/>
      </c>
      <c r="J156">
        <f>IF(AND(ISNUMBER(D156),D156&gt;=$O$4,OR($O$11=0,B156&gt;=$O$12)),1,0)</f>
        <v/>
      </c>
      <c r="K156">
        <f>B156-$O$14</f>
        <v/>
      </c>
    </row>
    <row r="157">
      <c r="A157" t="n">
        <v>465</v>
      </c>
      <c r="B157" t="n">
        <v>15.5</v>
      </c>
      <c r="C157" t="inlineStr">
        <is>
          <t>4195</t>
        </is>
      </c>
      <c r="D157" t="n">
        <v>41.95</v>
      </c>
      <c r="E157">
        <f>MEDIAN(D137:D177)</f>
        <v/>
      </c>
      <c r="F157">
        <f>E137</f>
        <v/>
      </c>
      <c r="G157">
        <f>F157-E157</f>
        <v/>
      </c>
      <c r="H157">
        <f>IF(OR(NOT(ISNUMBER(D157)),ABS(D157-E157)&gt;$O$3,AND($O$11=1,B157&lt;$O$12)),1,0)</f>
        <v/>
      </c>
      <c r="I157">
        <f>IF(H157=1,NA(),D157)</f>
        <v/>
      </c>
      <c r="J157">
        <f>IF(AND(ISNUMBER(D157),D157&gt;=$O$4,OR($O$11=0,B157&gt;=$O$12)),1,0)</f>
        <v/>
      </c>
      <c r="K157">
        <f>B157-$O$14</f>
        <v/>
      </c>
    </row>
    <row r="158">
      <c r="A158" t="n">
        <v>468</v>
      </c>
      <c r="B158" t="n">
        <v>15.6</v>
      </c>
      <c r="C158" t="inlineStr">
        <is>
          <t>4805</t>
        </is>
      </c>
      <c r="D158" t="n">
        <v>48.05</v>
      </c>
      <c r="E158">
        <f>MEDIAN(D138:D178)</f>
        <v/>
      </c>
      <c r="F158">
        <f>E138</f>
        <v/>
      </c>
      <c r="G158">
        <f>F158-E158</f>
        <v/>
      </c>
      <c r="H158">
        <f>IF(OR(NOT(ISNUMBER(D158)),ABS(D158-E158)&gt;$O$3,AND($O$11=1,B158&lt;$O$12)),1,0)</f>
        <v/>
      </c>
      <c r="I158">
        <f>IF(H158=1,NA(),D158)</f>
        <v/>
      </c>
      <c r="J158">
        <f>IF(AND(ISNUMBER(D158),D158&gt;=$O$4,OR($O$11=0,B158&gt;=$O$12)),1,0)</f>
        <v/>
      </c>
      <c r="K158">
        <f>B158-$O$14</f>
        <v/>
      </c>
    </row>
    <row r="159">
      <c r="A159" t="n">
        <v>471</v>
      </c>
      <c r="B159" t="n">
        <v>15.7</v>
      </c>
      <c r="C159" t="inlineStr">
        <is>
          <t>4825</t>
        </is>
      </c>
      <c r="D159" t="n">
        <v>48.25</v>
      </c>
      <c r="E159">
        <f>MEDIAN(D139:D179)</f>
        <v/>
      </c>
      <c r="F159">
        <f>E139</f>
        <v/>
      </c>
      <c r="G159">
        <f>F159-E159</f>
        <v/>
      </c>
      <c r="H159">
        <f>IF(OR(NOT(ISNUMBER(D159)),ABS(D159-E159)&gt;$O$3,AND($O$11=1,B159&lt;$O$12)),1,0)</f>
        <v/>
      </c>
      <c r="I159">
        <f>IF(H159=1,NA(),D159)</f>
        <v/>
      </c>
      <c r="J159">
        <f>IF(AND(ISNUMBER(D159),D159&gt;=$O$4,OR($O$11=0,B159&gt;=$O$12)),1,0)</f>
        <v/>
      </c>
      <c r="K159">
        <f>B159-$O$14</f>
        <v/>
      </c>
    </row>
    <row r="160">
      <c r="A160" t="n">
        <v>474</v>
      </c>
      <c r="B160" t="n">
        <v>15.8</v>
      </c>
      <c r="C160" t="inlineStr">
        <is>
          <t>4640</t>
        </is>
      </c>
      <c r="D160" t="n">
        <v>46.4</v>
      </c>
      <c r="E160">
        <f>MEDIAN(D140:D180)</f>
        <v/>
      </c>
      <c r="F160">
        <f>E140</f>
        <v/>
      </c>
      <c r="G160">
        <f>F160-E160</f>
        <v/>
      </c>
      <c r="H160">
        <f>IF(OR(NOT(ISNUMBER(D160)),ABS(D160-E160)&gt;$O$3,AND($O$11=1,B160&lt;$O$12)),1,0)</f>
        <v/>
      </c>
      <c r="I160">
        <f>IF(H160=1,NA(),D160)</f>
        <v/>
      </c>
      <c r="J160">
        <f>IF(AND(ISNUMBER(D160),D160&gt;=$O$4,OR($O$11=0,B160&gt;=$O$12)),1,0)</f>
        <v/>
      </c>
      <c r="K160">
        <f>B160-$O$14</f>
        <v/>
      </c>
    </row>
    <row r="161">
      <c r="A161" t="n">
        <v>477</v>
      </c>
      <c r="B161" t="n">
        <v>15.9</v>
      </c>
      <c r="C161" t="inlineStr">
        <is>
          <t>56</t>
        </is>
      </c>
      <c r="D161" t="n">
        <v>0.5600000000000001</v>
      </c>
      <c r="E161">
        <f>MEDIAN(D141:D181)</f>
        <v/>
      </c>
      <c r="F161">
        <f>E141</f>
        <v/>
      </c>
      <c r="G161">
        <f>F161-E161</f>
        <v/>
      </c>
      <c r="H161">
        <f>IF(OR(NOT(ISNUMBER(D161)),ABS(D161-E161)&gt;$O$3,AND($O$11=1,B161&lt;$O$12)),1,0)</f>
        <v/>
      </c>
      <c r="I161">
        <f>IF(H161=1,NA(),D161)</f>
        <v/>
      </c>
      <c r="J161">
        <f>IF(AND(ISNUMBER(D161),D161&gt;=$O$4,OR($O$11=0,B161&gt;=$O$12)),1,0)</f>
        <v/>
      </c>
      <c r="K161">
        <f>B161-$O$14</f>
        <v/>
      </c>
    </row>
    <row r="162">
      <c r="A162" t="n">
        <v>480</v>
      </c>
      <c r="B162" t="n">
        <v>16</v>
      </c>
      <c r="C162" t="inlineStr">
        <is>
          <t>70</t>
        </is>
      </c>
      <c r="D162" t="n">
        <v>0.7</v>
      </c>
      <c r="E162">
        <f>MEDIAN(D142:D182)</f>
        <v/>
      </c>
      <c r="F162">
        <f>E142</f>
        <v/>
      </c>
      <c r="G162">
        <f>F162-E162</f>
        <v/>
      </c>
      <c r="H162">
        <f>IF(OR(NOT(ISNUMBER(D162)),ABS(D162-E162)&gt;$O$3,AND($O$11=1,B162&lt;$O$12)),1,0)</f>
        <v/>
      </c>
      <c r="I162">
        <f>IF(H162=1,NA(),D162)</f>
        <v/>
      </c>
      <c r="J162">
        <f>IF(AND(ISNUMBER(D162),D162&gt;=$O$4,OR($O$11=0,B162&gt;=$O$12)),1,0)</f>
        <v/>
      </c>
      <c r="K162">
        <f>B162-$O$14</f>
        <v/>
      </c>
    </row>
    <row r="163">
      <c r="A163" t="n">
        <v>483</v>
      </c>
      <c r="B163" t="n">
        <v>16.1</v>
      </c>
      <c r="C163" t="inlineStr">
        <is>
          <t>72</t>
        </is>
      </c>
      <c r="D163" t="n">
        <v>0.72</v>
      </c>
      <c r="E163">
        <f>MEDIAN(D143:D183)</f>
        <v/>
      </c>
      <c r="F163">
        <f>E143</f>
        <v/>
      </c>
      <c r="G163">
        <f>F163-E163</f>
        <v/>
      </c>
      <c r="H163">
        <f>IF(OR(NOT(ISNUMBER(D163)),ABS(D163-E163)&gt;$O$3,AND($O$11=1,B163&lt;$O$12)),1,0)</f>
        <v/>
      </c>
      <c r="I163">
        <f>IF(H163=1,NA(),D163)</f>
        <v/>
      </c>
      <c r="J163">
        <f>IF(AND(ISNUMBER(D163),D163&gt;=$O$4,OR($O$11=0,B163&gt;=$O$12)),1,0)</f>
        <v/>
      </c>
      <c r="K163">
        <f>B163-$O$14</f>
        <v/>
      </c>
    </row>
    <row r="164">
      <c r="A164" t="n">
        <v>486</v>
      </c>
      <c r="B164" t="n">
        <v>16.2</v>
      </c>
      <c r="C164" t="inlineStr">
        <is>
          <t>95</t>
        </is>
      </c>
      <c r="D164" t="n">
        <v>0.95</v>
      </c>
      <c r="E164">
        <f>MEDIAN(D144:D184)</f>
        <v/>
      </c>
      <c r="F164">
        <f>E144</f>
        <v/>
      </c>
      <c r="G164">
        <f>F164-E164</f>
        <v/>
      </c>
      <c r="H164">
        <f>IF(OR(NOT(ISNUMBER(D164)),ABS(D164-E164)&gt;$O$3,AND($O$11=1,B164&lt;$O$12)),1,0)</f>
        <v/>
      </c>
      <c r="I164">
        <f>IF(H164=1,NA(),D164)</f>
        <v/>
      </c>
      <c r="J164">
        <f>IF(AND(ISNUMBER(D164),D164&gt;=$O$4,OR($O$11=0,B164&gt;=$O$12)),1,0)</f>
        <v/>
      </c>
      <c r="K164">
        <f>B164-$O$14</f>
        <v/>
      </c>
    </row>
    <row r="165">
      <c r="A165" t="n">
        <v>489</v>
      </c>
      <c r="B165" t="n">
        <v>16.3</v>
      </c>
      <c r="C165" t="inlineStr">
        <is>
          <t>413</t>
        </is>
      </c>
      <c r="D165" t="n">
        <v>4.13</v>
      </c>
      <c r="E165">
        <f>MEDIAN(D145:D185)</f>
        <v/>
      </c>
      <c r="F165">
        <f>E145</f>
        <v/>
      </c>
      <c r="G165">
        <f>F165-E165</f>
        <v/>
      </c>
      <c r="H165">
        <f>IF(OR(NOT(ISNUMBER(D165)),ABS(D165-E165)&gt;$O$3,AND($O$11=1,B165&lt;$O$12)),1,0)</f>
        <v/>
      </c>
      <c r="I165">
        <f>IF(H165=1,NA(),D165)</f>
        <v/>
      </c>
      <c r="J165">
        <f>IF(AND(ISNUMBER(D165),D165&gt;=$O$4,OR($O$11=0,B165&gt;=$O$12)),1,0)</f>
        <v/>
      </c>
      <c r="K165">
        <f>B165-$O$14</f>
        <v/>
      </c>
    </row>
    <row r="166">
      <c r="A166" t="n">
        <v>492</v>
      </c>
      <c r="B166" t="n">
        <v>16.4</v>
      </c>
      <c r="C166" t="inlineStr">
        <is>
          <t>7</t>
        </is>
      </c>
      <c r="D166" t="n">
        <v>0.07000000000000001</v>
      </c>
      <c r="E166">
        <f>MEDIAN(D146:D186)</f>
        <v/>
      </c>
      <c r="F166">
        <f>E146</f>
        <v/>
      </c>
      <c r="G166">
        <f>F166-E166</f>
        <v/>
      </c>
      <c r="H166">
        <f>IF(OR(NOT(ISNUMBER(D166)),ABS(D166-E166)&gt;$O$3,AND($O$11=1,B166&lt;$O$12)),1,0)</f>
        <v/>
      </c>
      <c r="I166">
        <f>IF(H166=1,NA(),D166)</f>
        <v/>
      </c>
      <c r="J166">
        <f>IF(AND(ISNUMBER(D166),D166&gt;=$O$4,OR($O$11=0,B166&gt;=$O$12)),1,0)</f>
        <v/>
      </c>
      <c r="K166">
        <f>B166-$O$14</f>
        <v/>
      </c>
    </row>
    <row r="167">
      <c r="A167" t="n">
        <v>495</v>
      </c>
      <c r="B167" t="n">
        <v>16.5</v>
      </c>
      <c r="C167" t="inlineStr">
        <is>
          <t>4427</t>
        </is>
      </c>
      <c r="D167" t="n">
        <v>44.27</v>
      </c>
      <c r="E167">
        <f>MEDIAN(D147:D187)</f>
        <v/>
      </c>
      <c r="F167">
        <f>E147</f>
        <v/>
      </c>
      <c r="G167">
        <f>F167-E167</f>
        <v/>
      </c>
      <c r="H167">
        <f>IF(OR(NOT(ISNUMBER(D167)),ABS(D167-E167)&gt;$O$3,AND($O$11=1,B167&lt;$O$12)),1,0)</f>
        <v/>
      </c>
      <c r="I167">
        <f>IF(H167=1,NA(),D167)</f>
        <v/>
      </c>
      <c r="J167">
        <f>IF(AND(ISNUMBER(D167),D167&gt;=$O$4,OR($O$11=0,B167&gt;=$O$12)),1,0)</f>
        <v/>
      </c>
      <c r="K167">
        <f>B167-$O$14</f>
        <v/>
      </c>
    </row>
    <row r="168">
      <c r="A168" t="n">
        <v>498</v>
      </c>
      <c r="B168" t="n">
        <v>16.6</v>
      </c>
      <c r="C168" t="inlineStr">
        <is>
          <t>4425</t>
        </is>
      </c>
      <c r="D168" t="n">
        <v>44.25</v>
      </c>
      <c r="E168">
        <f>MEDIAN(D148:D188)</f>
        <v/>
      </c>
      <c r="F168">
        <f>E148</f>
        <v/>
      </c>
      <c r="G168">
        <f>F168-E168</f>
        <v/>
      </c>
      <c r="H168">
        <f>IF(OR(NOT(ISNUMBER(D168)),ABS(D168-E168)&gt;$O$3,AND($O$11=1,B168&lt;$O$12)),1,0)</f>
        <v/>
      </c>
      <c r="I168">
        <f>IF(H168=1,NA(),D168)</f>
        <v/>
      </c>
      <c r="J168">
        <f>IF(AND(ISNUMBER(D168),D168&gt;=$O$4,OR($O$11=0,B168&gt;=$O$12)),1,0)</f>
        <v/>
      </c>
      <c r="K168">
        <f>B168-$O$14</f>
        <v/>
      </c>
    </row>
    <row r="169">
      <c r="A169" t="n">
        <v>501</v>
      </c>
      <c r="B169" t="n">
        <v>16.7</v>
      </c>
      <c r="C169" t="inlineStr">
        <is>
          <t>4455</t>
        </is>
      </c>
      <c r="D169" t="n">
        <v>44.55</v>
      </c>
      <c r="E169">
        <f>MEDIAN(D149:D189)</f>
        <v/>
      </c>
      <c r="F169">
        <f>E149</f>
        <v/>
      </c>
      <c r="G169">
        <f>F169-E169</f>
        <v/>
      </c>
      <c r="H169">
        <f>IF(OR(NOT(ISNUMBER(D169)),ABS(D169-E169)&gt;$O$3,AND($O$11=1,B169&lt;$O$12)),1,0)</f>
        <v/>
      </c>
      <c r="I169">
        <f>IF(H169=1,NA(),D169)</f>
        <v/>
      </c>
      <c r="J169">
        <f>IF(AND(ISNUMBER(D169),D169&gt;=$O$4,OR($O$11=0,B169&gt;=$O$12)),1,0)</f>
        <v/>
      </c>
      <c r="K169">
        <f>B169-$O$14</f>
        <v/>
      </c>
    </row>
    <row r="170">
      <c r="A170" t="n">
        <v>504</v>
      </c>
      <c r="B170" t="n">
        <v>16.8</v>
      </c>
      <c r="C170" t="inlineStr">
        <is>
          <t>4455</t>
        </is>
      </c>
      <c r="D170" t="n">
        <v>44.55</v>
      </c>
      <c r="E170">
        <f>MEDIAN(D150:D190)</f>
        <v/>
      </c>
      <c r="F170">
        <f>E150</f>
        <v/>
      </c>
      <c r="G170">
        <f>F170-E170</f>
        <v/>
      </c>
      <c r="H170">
        <f>IF(OR(NOT(ISNUMBER(D170)),ABS(D170-E170)&gt;$O$3,AND($O$11=1,B170&lt;$O$12)),1,0)</f>
        <v/>
      </c>
      <c r="I170">
        <f>IF(H170=1,NA(),D170)</f>
        <v/>
      </c>
      <c r="J170">
        <f>IF(AND(ISNUMBER(D170),D170&gt;=$O$4,OR($O$11=0,B170&gt;=$O$12)),1,0)</f>
        <v/>
      </c>
      <c r="K170">
        <f>B170-$O$14</f>
        <v/>
      </c>
    </row>
    <row r="171">
      <c r="A171" t="n">
        <v>507</v>
      </c>
      <c r="B171" t="n">
        <v>16.9</v>
      </c>
      <c r="C171" t="inlineStr">
        <is>
          <t>482</t>
        </is>
      </c>
      <c r="D171" t="n">
        <v>4.82</v>
      </c>
      <c r="E171">
        <f>MEDIAN(D151:D191)</f>
        <v/>
      </c>
      <c r="F171">
        <f>E151</f>
        <v/>
      </c>
      <c r="G171">
        <f>F171-E171</f>
        <v/>
      </c>
      <c r="H171">
        <f>IF(OR(NOT(ISNUMBER(D171)),ABS(D171-E171)&gt;$O$3,AND($O$11=1,B171&lt;$O$12)),1,0)</f>
        <v/>
      </c>
      <c r="I171">
        <f>IF(H171=1,NA(),D171)</f>
        <v/>
      </c>
      <c r="J171">
        <f>IF(AND(ISNUMBER(D171),D171&gt;=$O$4,OR($O$11=0,B171&gt;=$O$12)),1,0)</f>
        <v/>
      </c>
      <c r="K171">
        <f>B171-$O$14</f>
        <v/>
      </c>
    </row>
    <row r="172">
      <c r="A172" t="n">
        <v>510</v>
      </c>
      <c r="B172" t="n">
        <v>17</v>
      </c>
      <c r="C172" t="inlineStr">
        <is>
          <t>86</t>
        </is>
      </c>
      <c r="D172" t="n">
        <v>0.86</v>
      </c>
      <c r="E172">
        <f>MEDIAN(D152:D192)</f>
        <v/>
      </c>
      <c r="F172">
        <f>E152</f>
        <v/>
      </c>
      <c r="G172">
        <f>F172-E172</f>
        <v/>
      </c>
      <c r="H172">
        <f>IF(OR(NOT(ISNUMBER(D172)),ABS(D172-E172)&gt;$O$3,AND($O$11=1,B172&lt;$O$12)),1,0)</f>
        <v/>
      </c>
      <c r="I172">
        <f>IF(H172=1,NA(),D172)</f>
        <v/>
      </c>
      <c r="J172">
        <f>IF(AND(ISNUMBER(D172),D172&gt;=$O$4,OR($O$11=0,B172&gt;=$O$12)),1,0)</f>
        <v/>
      </c>
      <c r="K172">
        <f>B172-$O$14</f>
        <v/>
      </c>
    </row>
    <row r="173">
      <c r="A173" t="n">
        <v>513</v>
      </c>
      <c r="B173" t="n">
        <v>17.1</v>
      </c>
      <c r="C173" t="inlineStr">
        <is>
          <t>5005</t>
        </is>
      </c>
      <c r="D173" t="n">
        <v>50.05</v>
      </c>
      <c r="E173">
        <f>MEDIAN(D153:D193)</f>
        <v/>
      </c>
      <c r="F173">
        <f>E153</f>
        <v/>
      </c>
      <c r="G173">
        <f>F173-E173</f>
        <v/>
      </c>
      <c r="H173">
        <f>IF(OR(NOT(ISNUMBER(D173)),ABS(D173-E173)&gt;$O$3,AND($O$11=1,B173&lt;$O$12)),1,0)</f>
        <v/>
      </c>
      <c r="I173">
        <f>IF(H173=1,NA(),D173)</f>
        <v/>
      </c>
      <c r="J173">
        <f>IF(AND(ISNUMBER(D173),D173&gt;=$O$4,OR($O$11=0,B173&gt;=$O$12)),1,0)</f>
        <v/>
      </c>
      <c r="K173">
        <f>B173-$O$14</f>
        <v/>
      </c>
    </row>
    <row r="174">
      <c r="A174" t="n">
        <v>516</v>
      </c>
      <c r="B174" t="n">
        <v>17.2</v>
      </c>
      <c r="C174" t="inlineStr">
        <is>
          <t>7</t>
        </is>
      </c>
      <c r="D174" t="n">
        <v>0.07000000000000001</v>
      </c>
      <c r="E174">
        <f>MEDIAN(D154:D194)</f>
        <v/>
      </c>
      <c r="F174">
        <f>E154</f>
        <v/>
      </c>
      <c r="G174">
        <f>F174-E174</f>
        <v/>
      </c>
      <c r="H174">
        <f>IF(OR(NOT(ISNUMBER(D174)),ABS(D174-E174)&gt;$O$3,AND($O$11=1,B174&lt;$O$12)),1,0)</f>
        <v/>
      </c>
      <c r="I174">
        <f>IF(H174=1,NA(),D174)</f>
        <v/>
      </c>
      <c r="J174">
        <f>IF(AND(ISNUMBER(D174),D174&gt;=$O$4,OR($O$11=0,B174&gt;=$O$12)),1,0)</f>
        <v/>
      </c>
      <c r="K174">
        <f>B174-$O$14</f>
        <v/>
      </c>
    </row>
    <row r="175">
      <c r="A175" t="n">
        <v>519</v>
      </c>
      <c r="B175" t="n">
        <v>17.3</v>
      </c>
      <c r="C175" t="inlineStr">
        <is>
          <t>36</t>
        </is>
      </c>
      <c r="D175" t="n">
        <v>0.36</v>
      </c>
      <c r="E175">
        <f>MEDIAN(D155:D195)</f>
        <v/>
      </c>
      <c r="F175">
        <f>E155</f>
        <v/>
      </c>
      <c r="G175">
        <f>F175-E175</f>
        <v/>
      </c>
      <c r="H175">
        <f>IF(OR(NOT(ISNUMBER(D175)),ABS(D175-E175)&gt;$O$3,AND($O$11=1,B175&lt;$O$12)),1,0)</f>
        <v/>
      </c>
      <c r="I175">
        <f>IF(H175=1,NA(),D175)</f>
        <v/>
      </c>
      <c r="J175">
        <f>IF(AND(ISNUMBER(D175),D175&gt;=$O$4,OR($O$11=0,B175&gt;=$O$12)),1,0)</f>
        <v/>
      </c>
      <c r="K175">
        <f>B175-$O$14</f>
        <v/>
      </c>
    </row>
    <row r="176">
      <c r="A176" t="n">
        <v>522</v>
      </c>
      <c r="B176" t="n">
        <v>17.4</v>
      </c>
      <c r="C176" t="inlineStr">
        <is>
          <t>6</t>
        </is>
      </c>
      <c r="D176" t="n">
        <v>0.06</v>
      </c>
      <c r="E176">
        <f>MEDIAN(D156:D196)</f>
        <v/>
      </c>
      <c r="F176">
        <f>E156</f>
        <v/>
      </c>
      <c r="G176">
        <f>F176-E176</f>
        <v/>
      </c>
      <c r="H176">
        <f>IF(OR(NOT(ISNUMBER(D176)),ABS(D176-E176)&gt;$O$3,AND($O$11=1,B176&lt;$O$12)),1,0)</f>
        <v/>
      </c>
      <c r="I176">
        <f>IF(H176=1,NA(),D176)</f>
        <v/>
      </c>
      <c r="J176">
        <f>IF(AND(ISNUMBER(D176),D176&gt;=$O$4,OR($O$11=0,B176&gt;=$O$12)),1,0)</f>
        <v/>
      </c>
      <c r="K176">
        <f>B176-$O$14</f>
        <v/>
      </c>
    </row>
    <row r="177">
      <c r="A177" t="n">
        <v>525</v>
      </c>
      <c r="B177" t="n">
        <v>17.5</v>
      </c>
      <c r="C177" t="inlineStr">
        <is>
          <t>56</t>
        </is>
      </c>
      <c r="D177" t="n">
        <v>0.5600000000000001</v>
      </c>
      <c r="E177">
        <f>MEDIAN(D157:D197)</f>
        <v/>
      </c>
      <c r="F177">
        <f>E157</f>
        <v/>
      </c>
      <c r="G177">
        <f>F177-E177</f>
        <v/>
      </c>
      <c r="H177">
        <f>IF(OR(NOT(ISNUMBER(D177)),ABS(D177-E177)&gt;$O$3,AND($O$11=1,B177&lt;$O$12)),1,0)</f>
        <v/>
      </c>
      <c r="I177">
        <f>IF(H177=1,NA(),D177)</f>
        <v/>
      </c>
      <c r="J177">
        <f>IF(AND(ISNUMBER(D177),D177&gt;=$O$4,OR($O$11=0,B177&gt;=$O$12)),1,0)</f>
        <v/>
      </c>
      <c r="K177">
        <f>B177-$O$14</f>
        <v/>
      </c>
    </row>
    <row r="178">
      <c r="A178" t="n">
        <v>528</v>
      </c>
      <c r="B178" t="n">
        <v>17.6</v>
      </c>
      <c r="C178" t="inlineStr">
        <is>
          <t>5090</t>
        </is>
      </c>
      <c r="D178" t="n">
        <v>50.9</v>
      </c>
      <c r="E178">
        <f>MEDIAN(D158:D198)</f>
        <v/>
      </c>
      <c r="F178">
        <f>E158</f>
        <v/>
      </c>
      <c r="G178">
        <f>F178-E178</f>
        <v/>
      </c>
      <c r="H178">
        <f>IF(OR(NOT(ISNUMBER(D178)),ABS(D178-E178)&gt;$O$3,AND($O$11=1,B178&lt;$O$12)),1,0)</f>
        <v/>
      </c>
      <c r="I178">
        <f>IF(H178=1,NA(),D178)</f>
        <v/>
      </c>
      <c r="J178">
        <f>IF(AND(ISNUMBER(D178),D178&gt;=$O$4,OR($O$11=0,B178&gt;=$O$12)),1,0)</f>
        <v/>
      </c>
      <c r="K178">
        <f>B178-$O$14</f>
        <v/>
      </c>
    </row>
    <row r="179">
      <c r="A179" t="n">
        <v>531</v>
      </c>
      <c r="B179" t="n">
        <v>17.7</v>
      </c>
      <c r="C179" t="inlineStr">
        <is>
          <t>508?</t>
        </is>
      </c>
      <c r="E179">
        <f>MEDIAN(D159:D199)</f>
        <v/>
      </c>
      <c r="F179">
        <f>E159</f>
        <v/>
      </c>
      <c r="G179">
        <f>F179-E179</f>
        <v/>
      </c>
      <c r="H179">
        <f>IF(OR(NOT(ISNUMBER(D179)),ABS(D179-E179)&gt;$O$3,AND($O$11=1,B179&lt;$O$12)),1,0)</f>
        <v/>
      </c>
      <c r="I179">
        <f>IF(H179=1,NA(),D179)</f>
        <v/>
      </c>
      <c r="J179">
        <f>IF(AND(ISNUMBER(D179),D179&gt;=$O$4,OR($O$11=0,B179&gt;=$O$12)),1,0)</f>
        <v/>
      </c>
      <c r="K179">
        <f>B179-$O$14</f>
        <v/>
      </c>
    </row>
    <row r="180">
      <c r="A180" t="n">
        <v>534</v>
      </c>
      <c r="B180" t="n">
        <v>17.8</v>
      </c>
      <c r="C180" t="inlineStr">
        <is>
          <t>505</t>
        </is>
      </c>
      <c r="D180" t="n">
        <v>5.05</v>
      </c>
      <c r="E180">
        <f>MEDIAN(D160:D200)</f>
        <v/>
      </c>
      <c r="F180">
        <f>E160</f>
        <v/>
      </c>
      <c r="G180">
        <f>F180-E180</f>
        <v/>
      </c>
      <c r="H180">
        <f>IF(OR(NOT(ISNUMBER(D180)),ABS(D180-E180)&gt;$O$3,AND($O$11=1,B180&lt;$O$12)),1,0)</f>
        <v/>
      </c>
      <c r="I180">
        <f>IF(H180=1,NA(),D180)</f>
        <v/>
      </c>
      <c r="J180">
        <f>IF(AND(ISNUMBER(D180),D180&gt;=$O$4,OR($O$11=0,B180&gt;=$O$12)),1,0)</f>
        <v/>
      </c>
      <c r="K180">
        <f>B180-$O$14</f>
        <v/>
      </c>
    </row>
    <row r="181">
      <c r="A181" t="n">
        <v>537</v>
      </c>
      <c r="B181" t="n">
        <v>17.9</v>
      </c>
      <c r="C181" t="inlineStr">
        <is>
          <t>5106</t>
        </is>
      </c>
      <c r="D181" t="n">
        <v>51.06</v>
      </c>
      <c r="E181">
        <f>MEDIAN(D161:D201)</f>
        <v/>
      </c>
      <c r="F181">
        <f>E161</f>
        <v/>
      </c>
      <c r="G181">
        <f>F181-E181</f>
        <v/>
      </c>
      <c r="H181">
        <f>IF(OR(NOT(ISNUMBER(D181)),ABS(D181-E181)&gt;$O$3,AND($O$11=1,B181&lt;$O$12)),1,0)</f>
        <v/>
      </c>
      <c r="I181">
        <f>IF(H181=1,NA(),D181)</f>
        <v/>
      </c>
      <c r="J181">
        <f>IF(AND(ISNUMBER(D181),D181&gt;=$O$4,OR($O$11=0,B181&gt;=$O$12)),1,0)</f>
        <v/>
      </c>
      <c r="K181">
        <f>B181-$O$14</f>
        <v/>
      </c>
    </row>
    <row r="182">
      <c r="A182" t="n">
        <v>540</v>
      </c>
      <c r="B182" t="n">
        <v>18</v>
      </c>
      <c r="C182" t="inlineStr">
        <is>
          <t>5126</t>
        </is>
      </c>
      <c r="D182" t="n">
        <v>51.26</v>
      </c>
      <c r="E182">
        <f>MEDIAN(D162:D202)</f>
        <v/>
      </c>
      <c r="F182">
        <f>E162</f>
        <v/>
      </c>
      <c r="G182">
        <f>F182-E182</f>
        <v/>
      </c>
      <c r="H182">
        <f>IF(OR(NOT(ISNUMBER(D182)),ABS(D182-E182)&gt;$O$3,AND($O$11=1,B182&lt;$O$12)),1,0)</f>
        <v/>
      </c>
      <c r="I182">
        <f>IF(H182=1,NA(),D182)</f>
        <v/>
      </c>
      <c r="J182">
        <f>IF(AND(ISNUMBER(D182),D182&gt;=$O$4,OR($O$11=0,B182&gt;=$O$12)),1,0)</f>
        <v/>
      </c>
      <c r="K182">
        <f>B182-$O$14</f>
        <v/>
      </c>
    </row>
    <row r="183">
      <c r="A183" t="n">
        <v>543</v>
      </c>
      <c r="B183" t="n">
        <v>18.1</v>
      </c>
      <c r="C183" t="inlineStr">
        <is>
          <t>5125</t>
        </is>
      </c>
      <c r="D183" t="n">
        <v>51.25</v>
      </c>
      <c r="E183">
        <f>MEDIAN(D163:D203)</f>
        <v/>
      </c>
      <c r="F183">
        <f>E163</f>
        <v/>
      </c>
      <c r="G183">
        <f>F183-E183</f>
        <v/>
      </c>
      <c r="H183">
        <f>IF(OR(NOT(ISNUMBER(D183)),ABS(D183-E183)&gt;$O$3,AND($O$11=1,B183&lt;$O$12)),1,0)</f>
        <v/>
      </c>
      <c r="I183">
        <f>IF(H183=1,NA(),D183)</f>
        <v/>
      </c>
      <c r="J183">
        <f>IF(AND(ISNUMBER(D183),D183&gt;=$O$4,OR($O$11=0,B183&gt;=$O$12)),1,0)</f>
        <v/>
      </c>
      <c r="K183">
        <f>B183-$O$14</f>
        <v/>
      </c>
    </row>
    <row r="184">
      <c r="A184" t="n">
        <v>546</v>
      </c>
      <c r="B184" t="n">
        <v>18.2</v>
      </c>
      <c r="C184" t="inlineStr">
        <is>
          <t>512</t>
        </is>
      </c>
      <c r="D184" t="n">
        <v>5.12</v>
      </c>
      <c r="E184">
        <f>MEDIAN(D164:D204)</f>
        <v/>
      </c>
      <c r="F184">
        <f>E164</f>
        <v/>
      </c>
      <c r="G184">
        <f>F184-E184</f>
        <v/>
      </c>
      <c r="H184">
        <f>IF(OR(NOT(ISNUMBER(D184)),ABS(D184-E184)&gt;$O$3,AND($O$11=1,B184&lt;$O$12)),1,0)</f>
        <v/>
      </c>
      <c r="I184">
        <f>IF(H184=1,NA(),D184)</f>
        <v/>
      </c>
      <c r="J184">
        <f>IF(AND(ISNUMBER(D184),D184&gt;=$O$4,OR($O$11=0,B184&gt;=$O$12)),1,0)</f>
        <v/>
      </c>
      <c r="K184">
        <f>B184-$O$14</f>
        <v/>
      </c>
    </row>
    <row r="185">
      <c r="A185" t="n">
        <v>549</v>
      </c>
      <c r="B185" t="n">
        <v>18.3</v>
      </c>
      <c r="C185" t="inlineStr">
        <is>
          <t>513</t>
        </is>
      </c>
      <c r="D185" t="n">
        <v>5.13</v>
      </c>
      <c r="E185">
        <f>MEDIAN(D165:D205)</f>
        <v/>
      </c>
      <c r="F185">
        <f>E165</f>
        <v/>
      </c>
      <c r="G185">
        <f>F185-E185</f>
        <v/>
      </c>
      <c r="H185">
        <f>IF(OR(NOT(ISNUMBER(D185)),ABS(D185-E185)&gt;$O$3,AND($O$11=1,B185&lt;$O$12)),1,0)</f>
        <v/>
      </c>
      <c r="I185">
        <f>IF(H185=1,NA(),D185)</f>
        <v/>
      </c>
      <c r="J185">
        <f>IF(AND(ISNUMBER(D185),D185&gt;=$O$4,OR($O$11=0,B185&gt;=$O$12)),1,0)</f>
        <v/>
      </c>
      <c r="K185">
        <f>B185-$O$14</f>
        <v/>
      </c>
    </row>
    <row r="186">
      <c r="A186" t="n">
        <v>552</v>
      </c>
      <c r="B186" t="n">
        <v>18.4</v>
      </c>
      <c r="C186" t="inlineStr">
        <is>
          <t>5176</t>
        </is>
      </c>
      <c r="D186" t="n">
        <v>51.76</v>
      </c>
      <c r="E186">
        <f>MEDIAN(D166:D206)</f>
        <v/>
      </c>
      <c r="F186">
        <f>E166</f>
        <v/>
      </c>
      <c r="G186">
        <f>F186-E186</f>
        <v/>
      </c>
      <c r="H186">
        <f>IF(OR(NOT(ISNUMBER(D186)),ABS(D186-E186)&gt;$O$3,AND($O$11=1,B186&lt;$O$12)),1,0)</f>
        <v/>
      </c>
      <c r="I186">
        <f>IF(H186=1,NA(),D186)</f>
        <v/>
      </c>
      <c r="J186">
        <f>IF(AND(ISNUMBER(D186),D186&gt;=$O$4,OR($O$11=0,B186&gt;=$O$12)),1,0)</f>
        <v/>
      </c>
      <c r="K186">
        <f>B186-$O$14</f>
        <v/>
      </c>
    </row>
    <row r="187">
      <c r="A187" t="n">
        <v>555</v>
      </c>
      <c r="B187" t="n">
        <v>18.5</v>
      </c>
      <c r="C187" t="inlineStr">
        <is>
          <t>517?</t>
        </is>
      </c>
      <c r="E187">
        <f>MEDIAN(D167:D207)</f>
        <v/>
      </c>
      <c r="F187">
        <f>E167</f>
        <v/>
      </c>
      <c r="G187">
        <f>F187-E187</f>
        <v/>
      </c>
      <c r="H187">
        <f>IF(OR(NOT(ISNUMBER(D187)),ABS(D187-E187)&gt;$O$3,AND($O$11=1,B187&lt;$O$12)),1,0)</f>
        <v/>
      </c>
      <c r="I187">
        <f>IF(H187=1,NA(),D187)</f>
        <v/>
      </c>
      <c r="J187">
        <f>IF(AND(ISNUMBER(D187),D187&gt;=$O$4,OR($O$11=0,B187&gt;=$O$12)),1,0)</f>
        <v/>
      </c>
      <c r="K187">
        <f>B187-$O$14</f>
        <v/>
      </c>
    </row>
    <row r="188">
      <c r="A188" t="n">
        <v>558</v>
      </c>
      <c r="B188" t="n">
        <v>18.6</v>
      </c>
      <c r="C188" t="inlineStr">
        <is>
          <t>5195</t>
        </is>
      </c>
      <c r="D188" t="n">
        <v>51.95</v>
      </c>
      <c r="E188">
        <f>MEDIAN(D168:D208)</f>
        <v/>
      </c>
      <c r="F188">
        <f>E168</f>
        <v/>
      </c>
      <c r="G188">
        <f>F188-E188</f>
        <v/>
      </c>
      <c r="H188">
        <f>IF(OR(NOT(ISNUMBER(D188)),ABS(D188-E188)&gt;$O$3,AND($O$11=1,B188&lt;$O$12)),1,0)</f>
        <v/>
      </c>
      <c r="I188">
        <f>IF(H188=1,NA(),D188)</f>
        <v/>
      </c>
      <c r="J188">
        <f>IF(AND(ISNUMBER(D188),D188&gt;=$O$4,OR($O$11=0,B188&gt;=$O$12)),1,0)</f>
        <v/>
      </c>
      <c r="K188">
        <f>B188-$O$14</f>
        <v/>
      </c>
    </row>
    <row r="189">
      <c r="A189" t="n">
        <v>561</v>
      </c>
      <c r="B189" t="n">
        <v>18.7</v>
      </c>
      <c r="C189" t="inlineStr">
        <is>
          <t>5?00</t>
        </is>
      </c>
      <c r="E189">
        <f>MEDIAN(D169:D209)</f>
        <v/>
      </c>
      <c r="F189">
        <f>E169</f>
        <v/>
      </c>
      <c r="G189">
        <f>F189-E189</f>
        <v/>
      </c>
      <c r="H189">
        <f>IF(OR(NOT(ISNUMBER(D189)),ABS(D189-E189)&gt;$O$3,AND($O$11=1,B189&lt;$O$12)),1,0)</f>
        <v/>
      </c>
      <c r="I189">
        <f>IF(H189=1,NA(),D189)</f>
        <v/>
      </c>
      <c r="J189">
        <f>IF(AND(ISNUMBER(D189),D189&gt;=$O$4,OR($O$11=0,B189&gt;=$O$12)),1,0)</f>
        <v/>
      </c>
      <c r="K189">
        <f>B189-$O$14</f>
        <v/>
      </c>
    </row>
    <row r="190">
      <c r="A190" t="n">
        <v>564</v>
      </c>
      <c r="B190" t="n">
        <v>18.8</v>
      </c>
      <c r="C190" t="inlineStr">
        <is>
          <t>23</t>
        </is>
      </c>
      <c r="D190" t="n">
        <v>0.23</v>
      </c>
      <c r="E190">
        <f>MEDIAN(D170:D210)</f>
        <v/>
      </c>
      <c r="F190">
        <f>E170</f>
        <v/>
      </c>
      <c r="G190">
        <f>F190-E190</f>
        <v/>
      </c>
      <c r="H190">
        <f>IF(OR(NOT(ISNUMBER(D190)),ABS(D190-E190)&gt;$O$3,AND($O$11=1,B190&lt;$O$12)),1,0)</f>
        <v/>
      </c>
      <c r="I190">
        <f>IF(H190=1,NA(),D190)</f>
        <v/>
      </c>
      <c r="J190">
        <f>IF(AND(ISNUMBER(D190),D190&gt;=$O$4,OR($O$11=0,B190&gt;=$O$12)),1,0)</f>
        <v/>
      </c>
      <c r="K190">
        <f>B190-$O$14</f>
        <v/>
      </c>
    </row>
    <row r="191">
      <c r="A191" t="n">
        <v>567</v>
      </c>
      <c r="B191" t="n">
        <v>18.9</v>
      </c>
      <c r="E191">
        <f>MEDIAN(D171:D211)</f>
        <v/>
      </c>
      <c r="F191">
        <f>E171</f>
        <v/>
      </c>
      <c r="G191">
        <f>F191-E191</f>
        <v/>
      </c>
      <c r="H191">
        <f>IF(OR(NOT(ISNUMBER(D191)),ABS(D191-E191)&gt;$O$3,AND($O$11=1,B191&lt;$O$12)),1,0)</f>
        <v/>
      </c>
      <c r="I191">
        <f>IF(H191=1,NA(),D191)</f>
        <v/>
      </c>
      <c r="J191">
        <f>IF(AND(ISNUMBER(D191),D191&gt;=$O$4,OR($O$11=0,B191&gt;=$O$12)),1,0)</f>
        <v/>
      </c>
      <c r="K191">
        <f>B191-$O$14</f>
        <v/>
      </c>
    </row>
    <row r="192">
      <c r="A192" t="n">
        <v>570</v>
      </c>
      <c r="B192" t="n">
        <v>19</v>
      </c>
      <c r="C192" t="inlineStr">
        <is>
          <t>46</t>
        </is>
      </c>
      <c r="D192" t="n">
        <v>0.46</v>
      </c>
      <c r="E192">
        <f>MEDIAN(D172:D212)</f>
        <v/>
      </c>
      <c r="F192">
        <f>E172</f>
        <v/>
      </c>
      <c r="G192">
        <f>F192-E192</f>
        <v/>
      </c>
      <c r="H192">
        <f>IF(OR(NOT(ISNUMBER(D192)),ABS(D192-E192)&gt;$O$3,AND($O$11=1,B192&lt;$O$12)),1,0)</f>
        <v/>
      </c>
      <c r="I192">
        <f>IF(H192=1,NA(),D192)</f>
        <v/>
      </c>
      <c r="J192">
        <f>IF(AND(ISNUMBER(D192),D192&gt;=$O$4,OR($O$11=0,B192&gt;=$O$12)),1,0)</f>
        <v/>
      </c>
      <c r="K192">
        <f>B192-$O$14</f>
        <v/>
      </c>
    </row>
    <row r="193">
      <c r="A193" t="n">
        <v>573</v>
      </c>
      <c r="B193" t="n">
        <v>19.1</v>
      </c>
      <c r="C193" t="inlineStr">
        <is>
          <t>47</t>
        </is>
      </c>
      <c r="D193" t="n">
        <v>0.47</v>
      </c>
      <c r="E193">
        <f>MEDIAN(D173:D213)</f>
        <v/>
      </c>
      <c r="F193">
        <f>E173</f>
        <v/>
      </c>
      <c r="G193">
        <f>F193-E193</f>
        <v/>
      </c>
      <c r="H193">
        <f>IF(OR(NOT(ISNUMBER(D193)),ABS(D193-E193)&gt;$O$3,AND($O$11=1,B193&lt;$O$12)),1,0)</f>
        <v/>
      </c>
      <c r="I193">
        <f>IF(H193=1,NA(),D193)</f>
        <v/>
      </c>
      <c r="J193">
        <f>IF(AND(ISNUMBER(D193),D193&gt;=$O$4,OR($O$11=0,B193&gt;=$O$12)),1,0)</f>
        <v/>
      </c>
      <c r="K193">
        <f>B193-$O$14</f>
        <v/>
      </c>
    </row>
    <row r="194">
      <c r="A194" t="n">
        <v>576</v>
      </c>
      <c r="B194" t="n">
        <v>19.2</v>
      </c>
      <c r="C194" t="inlineStr">
        <is>
          <t>566</t>
        </is>
      </c>
      <c r="D194" t="n">
        <v>5.66</v>
      </c>
      <c r="E194">
        <f>MEDIAN(D174:D214)</f>
        <v/>
      </c>
      <c r="F194">
        <f>E174</f>
        <v/>
      </c>
      <c r="G194">
        <f>F194-E194</f>
        <v/>
      </c>
      <c r="H194">
        <f>IF(OR(NOT(ISNUMBER(D194)),ABS(D194-E194)&gt;$O$3,AND($O$11=1,B194&lt;$O$12)),1,0)</f>
        <v/>
      </c>
      <c r="I194">
        <f>IF(H194=1,NA(),D194)</f>
        <v/>
      </c>
      <c r="J194">
        <f>IF(AND(ISNUMBER(D194),D194&gt;=$O$4,OR($O$11=0,B194&gt;=$O$12)),1,0)</f>
        <v/>
      </c>
      <c r="K194">
        <f>B194-$O$14</f>
        <v/>
      </c>
    </row>
    <row r="195">
      <c r="A195" t="n">
        <v>579</v>
      </c>
      <c r="B195" t="n">
        <v>19.3</v>
      </c>
      <c r="C195" t="inlineStr">
        <is>
          <t>5</t>
        </is>
      </c>
      <c r="D195" t="n">
        <v>0.05</v>
      </c>
      <c r="E195">
        <f>MEDIAN(D175:D215)</f>
        <v/>
      </c>
      <c r="F195">
        <f>E175</f>
        <v/>
      </c>
      <c r="G195">
        <f>F195-E195</f>
        <v/>
      </c>
      <c r="H195">
        <f>IF(OR(NOT(ISNUMBER(D195)),ABS(D195-E195)&gt;$O$3,AND($O$11=1,B195&lt;$O$12)),1,0)</f>
        <v/>
      </c>
      <c r="I195">
        <f>IF(H195=1,NA(),D195)</f>
        <v/>
      </c>
      <c r="J195">
        <f>IF(AND(ISNUMBER(D195),D195&gt;=$O$4,OR($O$11=0,B195&gt;=$O$12)),1,0)</f>
        <v/>
      </c>
      <c r="K195">
        <f>B195-$O$14</f>
        <v/>
      </c>
    </row>
    <row r="196">
      <c r="A196" t="n">
        <v>582</v>
      </c>
      <c r="B196" t="n">
        <v>19.4</v>
      </c>
      <c r="E196">
        <f>MEDIAN(D176:D216)</f>
        <v/>
      </c>
      <c r="F196">
        <f>E176</f>
        <v/>
      </c>
      <c r="G196">
        <f>F196-E196</f>
        <v/>
      </c>
      <c r="H196">
        <f>IF(OR(NOT(ISNUMBER(D196)),ABS(D196-E196)&gt;$O$3,AND($O$11=1,B196&lt;$O$12)),1,0)</f>
        <v/>
      </c>
      <c r="I196">
        <f>IF(H196=1,NA(),D196)</f>
        <v/>
      </c>
      <c r="J196">
        <f>IF(AND(ISNUMBER(D196),D196&gt;=$O$4,OR($O$11=0,B196&gt;=$O$12)),1,0)</f>
        <v/>
      </c>
      <c r="K196">
        <f>B196-$O$14</f>
        <v/>
      </c>
    </row>
    <row r="197">
      <c r="A197" t="n">
        <v>585</v>
      </c>
      <c r="B197" t="n">
        <v>19.5</v>
      </c>
      <c r="C197" t="inlineStr">
        <is>
          <t>95</t>
        </is>
      </c>
      <c r="D197" t="n">
        <v>0.95</v>
      </c>
      <c r="E197">
        <f>MEDIAN(D177:D217)</f>
        <v/>
      </c>
      <c r="F197">
        <f>E177</f>
        <v/>
      </c>
      <c r="G197">
        <f>F197-E197</f>
        <v/>
      </c>
      <c r="H197">
        <f>IF(OR(NOT(ISNUMBER(D197)),ABS(D197-E197)&gt;$O$3,AND($O$11=1,B197&lt;$O$12)),1,0)</f>
        <v/>
      </c>
      <c r="I197">
        <f>IF(H197=1,NA(),D197)</f>
        <v/>
      </c>
      <c r="J197">
        <f>IF(AND(ISNUMBER(D197),D197&gt;=$O$4,OR($O$11=0,B197&gt;=$O$12)),1,0)</f>
        <v/>
      </c>
      <c r="K197">
        <f>B197-$O$14</f>
        <v/>
      </c>
    </row>
    <row r="198">
      <c r="A198" t="n">
        <v>588</v>
      </c>
      <c r="B198" t="n">
        <v>19.6</v>
      </c>
      <c r="C198" t="inlineStr">
        <is>
          <t>515</t>
        </is>
      </c>
      <c r="D198" t="n">
        <v>5.15</v>
      </c>
      <c r="E198">
        <f>MEDIAN(D178:D218)</f>
        <v/>
      </c>
      <c r="F198">
        <f>E178</f>
        <v/>
      </c>
      <c r="G198">
        <f>F198-E198</f>
        <v/>
      </c>
      <c r="H198">
        <f>IF(OR(NOT(ISNUMBER(D198)),ABS(D198-E198)&gt;$O$3,AND($O$11=1,B198&lt;$O$12)),1,0)</f>
        <v/>
      </c>
      <c r="I198">
        <f>IF(H198=1,NA(),D198)</f>
        <v/>
      </c>
      <c r="J198">
        <f>IF(AND(ISNUMBER(D198),D198&gt;=$O$4,OR($O$11=0,B198&gt;=$O$12)),1,0)</f>
        <v/>
      </c>
      <c r="K198">
        <f>B198-$O$14</f>
        <v/>
      </c>
    </row>
    <row r="199">
      <c r="A199" t="n">
        <v>591</v>
      </c>
      <c r="B199" t="n">
        <v>19.7</v>
      </c>
      <c r="C199" t="inlineStr">
        <is>
          <t>5312</t>
        </is>
      </c>
      <c r="D199" t="n">
        <v>53.12</v>
      </c>
      <c r="E199">
        <f>MEDIAN(D179:D219)</f>
        <v/>
      </c>
      <c r="F199">
        <f>E179</f>
        <v/>
      </c>
      <c r="G199">
        <f>F199-E199</f>
        <v/>
      </c>
      <c r="H199">
        <f>IF(OR(NOT(ISNUMBER(D199)),ABS(D199-E199)&gt;$O$3,AND($O$11=1,B199&lt;$O$12)),1,0)</f>
        <v/>
      </c>
      <c r="I199">
        <f>IF(H199=1,NA(),D199)</f>
        <v/>
      </c>
      <c r="J199">
        <f>IF(AND(ISNUMBER(D199),D199&gt;=$O$4,OR($O$11=0,B199&gt;=$O$12)),1,0)</f>
        <v/>
      </c>
      <c r="K199">
        <f>B199-$O$14</f>
        <v/>
      </c>
    </row>
    <row r="200">
      <c r="A200" t="n">
        <v>594</v>
      </c>
      <c r="B200" t="n">
        <v>19.8</v>
      </c>
      <c r="C200" t="inlineStr">
        <is>
          <t>52</t>
        </is>
      </c>
      <c r="D200" t="n">
        <v>0.52</v>
      </c>
      <c r="E200">
        <f>MEDIAN(D180:D220)</f>
        <v/>
      </c>
      <c r="F200">
        <f>E180</f>
        <v/>
      </c>
      <c r="G200">
        <f>F200-E200</f>
        <v/>
      </c>
      <c r="H200">
        <f>IF(OR(NOT(ISNUMBER(D200)),ABS(D200-E200)&gt;$O$3,AND($O$11=1,B200&lt;$O$12)),1,0)</f>
        <v/>
      </c>
      <c r="I200">
        <f>IF(H200=1,NA(),D200)</f>
        <v/>
      </c>
      <c r="J200">
        <f>IF(AND(ISNUMBER(D200),D200&gt;=$O$4,OR($O$11=0,B200&gt;=$O$12)),1,0)</f>
        <v/>
      </c>
      <c r="K200">
        <f>B200-$O$14</f>
        <v/>
      </c>
    </row>
    <row r="201">
      <c r="A201" t="n">
        <v>597</v>
      </c>
      <c r="B201" t="n">
        <v>19.9</v>
      </c>
      <c r="C201" t="inlineStr">
        <is>
          <t>533</t>
        </is>
      </c>
      <c r="D201" t="n">
        <v>5.33</v>
      </c>
      <c r="E201">
        <f>MEDIAN(D181:D221)</f>
        <v/>
      </c>
      <c r="F201">
        <f>E181</f>
        <v/>
      </c>
      <c r="G201">
        <f>F201-E201</f>
        <v/>
      </c>
      <c r="H201">
        <f>IF(OR(NOT(ISNUMBER(D201)),ABS(D201-E201)&gt;$O$3,AND($O$11=1,B201&lt;$O$12)),1,0)</f>
        <v/>
      </c>
      <c r="I201">
        <f>IF(H201=1,NA(),D201)</f>
        <v/>
      </c>
      <c r="J201">
        <f>IF(AND(ISNUMBER(D201),D201&gt;=$O$4,OR($O$11=0,B201&gt;=$O$12)),1,0)</f>
        <v/>
      </c>
      <c r="K201">
        <f>B201-$O$14</f>
        <v/>
      </c>
    </row>
    <row r="202">
      <c r="A202" t="n">
        <v>600</v>
      </c>
      <c r="B202" t="n">
        <v>20</v>
      </c>
      <c r="C202" t="inlineStr">
        <is>
          <t>53</t>
        </is>
      </c>
      <c r="D202" t="n">
        <v>0.53</v>
      </c>
      <c r="E202">
        <f>MEDIAN(D182:D222)</f>
        <v/>
      </c>
      <c r="F202">
        <f>E182</f>
        <v/>
      </c>
      <c r="G202">
        <f>F202-E202</f>
        <v/>
      </c>
      <c r="H202">
        <f>IF(OR(NOT(ISNUMBER(D202)),ABS(D202-E202)&gt;$O$3,AND($O$11=1,B202&lt;$O$12)),1,0)</f>
        <v/>
      </c>
      <c r="I202">
        <f>IF(H202=1,NA(),D202)</f>
        <v/>
      </c>
      <c r="J202">
        <f>IF(AND(ISNUMBER(D202),D202&gt;=$O$4,OR($O$11=0,B202&gt;=$O$12)),1,0)</f>
        <v/>
      </c>
      <c r="K202">
        <f>B202-$O$14</f>
        <v/>
      </c>
    </row>
    <row r="203">
      <c r="A203" t="n">
        <v>603</v>
      </c>
      <c r="B203" t="n">
        <v>20.1</v>
      </c>
      <c r="C203" t="inlineStr">
        <is>
          <t>5355</t>
        </is>
      </c>
      <c r="D203" t="n">
        <v>53.55</v>
      </c>
      <c r="E203">
        <f>MEDIAN(D183:D223)</f>
        <v/>
      </c>
      <c r="F203">
        <f>E183</f>
        <v/>
      </c>
      <c r="G203">
        <f>F203-E203</f>
        <v/>
      </c>
      <c r="H203">
        <f>IF(OR(NOT(ISNUMBER(D203)),ABS(D203-E203)&gt;$O$3,AND($O$11=1,B203&lt;$O$12)),1,0)</f>
        <v/>
      </c>
      <c r="I203">
        <f>IF(H203=1,NA(),D203)</f>
        <v/>
      </c>
      <c r="J203">
        <f>IF(AND(ISNUMBER(D203),D203&gt;=$O$4,OR($O$11=0,B203&gt;=$O$12)),1,0)</f>
        <v/>
      </c>
      <c r="K203">
        <f>B203-$O$14</f>
        <v/>
      </c>
    </row>
    <row r="204">
      <c r="A204" t="n">
        <v>606</v>
      </c>
      <c r="B204" t="n">
        <v>20.2</v>
      </c>
      <c r="C204" t="inlineStr">
        <is>
          <t>5373</t>
        </is>
      </c>
      <c r="D204" t="n">
        <v>53.73</v>
      </c>
      <c r="E204">
        <f>MEDIAN(D184:D224)</f>
        <v/>
      </c>
      <c r="F204">
        <f>E184</f>
        <v/>
      </c>
      <c r="G204">
        <f>F204-E204</f>
        <v/>
      </c>
      <c r="H204">
        <f>IF(OR(NOT(ISNUMBER(D204)),ABS(D204-E204)&gt;$O$3,AND($O$11=1,B204&lt;$O$12)),1,0)</f>
        <v/>
      </c>
      <c r="I204">
        <f>IF(H204=1,NA(),D204)</f>
        <v/>
      </c>
      <c r="J204">
        <f>IF(AND(ISNUMBER(D204),D204&gt;=$O$4,OR($O$11=0,B204&gt;=$O$12)),1,0)</f>
        <v/>
      </c>
      <c r="K204">
        <f>B204-$O$14</f>
        <v/>
      </c>
    </row>
    <row r="205">
      <c r="A205" t="n">
        <v>609</v>
      </c>
      <c r="B205" t="n">
        <v>20.3</v>
      </c>
      <c r="C205" t="inlineStr">
        <is>
          <t>57?</t>
        </is>
      </c>
      <c r="E205">
        <f>MEDIAN(D185:D225)</f>
        <v/>
      </c>
      <c r="F205">
        <f>E185</f>
        <v/>
      </c>
      <c r="G205">
        <f>F205-E205</f>
        <v/>
      </c>
      <c r="H205">
        <f>IF(OR(NOT(ISNUMBER(D205)),ABS(D205-E205)&gt;$O$3,AND($O$11=1,B205&lt;$O$12)),1,0)</f>
        <v/>
      </c>
      <c r="I205">
        <f>IF(H205=1,NA(),D205)</f>
        <v/>
      </c>
      <c r="J205">
        <f>IF(AND(ISNUMBER(D205),D205&gt;=$O$4,OR($O$11=0,B205&gt;=$O$12)),1,0)</f>
        <v/>
      </c>
      <c r="K205">
        <f>B205-$O$14</f>
        <v/>
      </c>
    </row>
    <row r="206">
      <c r="A206" t="n">
        <v>612</v>
      </c>
      <c r="B206" t="n">
        <v>20.4</v>
      </c>
      <c r="C206" t="inlineStr">
        <is>
          <t>593</t>
        </is>
      </c>
      <c r="D206" t="n">
        <v>5.93</v>
      </c>
      <c r="E206">
        <f>MEDIAN(D186:D226)</f>
        <v/>
      </c>
      <c r="F206">
        <f>E186</f>
        <v/>
      </c>
      <c r="G206">
        <f>F206-E206</f>
        <v/>
      </c>
      <c r="H206">
        <f>IF(OR(NOT(ISNUMBER(D206)),ABS(D206-E206)&gt;$O$3,AND($O$11=1,B206&lt;$O$12)),1,0)</f>
        <v/>
      </c>
      <c r="I206">
        <f>IF(H206=1,NA(),D206)</f>
        <v/>
      </c>
      <c r="J206">
        <f>IF(AND(ISNUMBER(D206),D206&gt;=$O$4,OR($O$11=0,B206&gt;=$O$12)),1,0)</f>
        <v/>
      </c>
      <c r="K206">
        <f>B206-$O$14</f>
        <v/>
      </c>
    </row>
    <row r="207">
      <c r="A207" t="n">
        <v>615</v>
      </c>
      <c r="B207" t="n">
        <v>20.5</v>
      </c>
      <c r="C207" t="inlineStr">
        <is>
          <t>5?9?</t>
        </is>
      </c>
      <c r="E207">
        <f>MEDIAN(D187:D227)</f>
        <v/>
      </c>
      <c r="F207">
        <f>E187</f>
        <v/>
      </c>
      <c r="G207">
        <f>F207-E207</f>
        <v/>
      </c>
      <c r="H207">
        <f>IF(OR(NOT(ISNUMBER(D207)),ABS(D207-E207)&gt;$O$3,AND($O$11=1,B207&lt;$O$12)),1,0)</f>
        <v/>
      </c>
      <c r="I207">
        <f>IF(H207=1,NA(),D207)</f>
        <v/>
      </c>
      <c r="J207">
        <f>IF(AND(ISNUMBER(D207),D207&gt;=$O$4,OR($O$11=0,B207&gt;=$O$12)),1,0)</f>
        <v/>
      </c>
      <c r="K207">
        <f>B207-$O$14</f>
        <v/>
      </c>
    </row>
    <row r="208">
      <c r="A208" t="n">
        <v>618</v>
      </c>
      <c r="B208" t="n">
        <v>20.6</v>
      </c>
      <c r="C208" t="inlineStr">
        <is>
          <t>5413</t>
        </is>
      </c>
      <c r="D208" t="n">
        <v>54.13</v>
      </c>
      <c r="E208">
        <f>MEDIAN(D188:D228)</f>
        <v/>
      </c>
      <c r="F208">
        <f>E188</f>
        <v/>
      </c>
      <c r="G208">
        <f>F208-E208</f>
        <v/>
      </c>
      <c r="H208">
        <f>IF(OR(NOT(ISNUMBER(D208)),ABS(D208-E208)&gt;$O$3,AND($O$11=1,B208&lt;$O$12)),1,0)</f>
        <v/>
      </c>
      <c r="I208">
        <f>IF(H208=1,NA(),D208)</f>
        <v/>
      </c>
      <c r="J208">
        <f>IF(AND(ISNUMBER(D208),D208&gt;=$O$4,OR($O$11=0,B208&gt;=$O$12)),1,0)</f>
        <v/>
      </c>
      <c r="K208">
        <f>B208-$O$14</f>
        <v/>
      </c>
    </row>
    <row r="209">
      <c r="A209" t="n">
        <v>621</v>
      </c>
      <c r="B209" t="n">
        <v>20.7</v>
      </c>
      <c r="C209" t="inlineStr">
        <is>
          <t>548</t>
        </is>
      </c>
      <c r="D209" t="n">
        <v>5.48</v>
      </c>
      <c r="E209">
        <f>MEDIAN(D189:D229)</f>
        <v/>
      </c>
      <c r="F209">
        <f>E189</f>
        <v/>
      </c>
      <c r="G209">
        <f>F209-E209</f>
        <v/>
      </c>
      <c r="H209">
        <f>IF(OR(NOT(ISNUMBER(D209)),ABS(D209-E209)&gt;$O$3,AND($O$11=1,B209&lt;$O$12)),1,0)</f>
        <v/>
      </c>
      <c r="I209">
        <f>IF(H209=1,NA(),D209)</f>
        <v/>
      </c>
      <c r="J209">
        <f>IF(AND(ISNUMBER(D209),D209&gt;=$O$4,OR($O$11=0,B209&gt;=$O$12)),1,0)</f>
        <v/>
      </c>
      <c r="K209">
        <f>B209-$O$14</f>
        <v/>
      </c>
    </row>
    <row r="210">
      <c r="A210" t="n">
        <v>624</v>
      </c>
      <c r="B210" t="n">
        <v>20.8</v>
      </c>
      <c r="C210" t="inlineStr">
        <is>
          <t>5433</t>
        </is>
      </c>
      <c r="D210" t="n">
        <v>54.33</v>
      </c>
      <c r="E210">
        <f>MEDIAN(D190:D230)</f>
        <v/>
      </c>
      <c r="F210">
        <f>E190</f>
        <v/>
      </c>
      <c r="G210">
        <f>F210-E210</f>
        <v/>
      </c>
      <c r="H210">
        <f>IF(OR(NOT(ISNUMBER(D210)),ABS(D210-E210)&gt;$O$3,AND($O$11=1,B210&lt;$O$12)),1,0)</f>
        <v/>
      </c>
      <c r="I210">
        <f>IF(H210=1,NA(),D210)</f>
        <v/>
      </c>
      <c r="J210">
        <f>IF(AND(ISNUMBER(D210),D210&gt;=$O$4,OR($O$11=0,B210&gt;=$O$12)),1,0)</f>
        <v/>
      </c>
      <c r="K210">
        <f>B210-$O$14</f>
        <v/>
      </c>
    </row>
    <row r="211">
      <c r="A211" t="n">
        <v>627</v>
      </c>
      <c r="B211" t="n">
        <v>20.9</v>
      </c>
      <c r="C211" t="inlineStr">
        <is>
          <t>542?</t>
        </is>
      </c>
      <c r="E211">
        <f>MEDIAN(D191:D231)</f>
        <v/>
      </c>
      <c r="F211">
        <f>E191</f>
        <v/>
      </c>
      <c r="G211">
        <f>F211-E211</f>
        <v/>
      </c>
      <c r="H211">
        <f>IF(OR(NOT(ISNUMBER(D211)),ABS(D211-E211)&gt;$O$3,AND($O$11=1,B211&lt;$O$12)),1,0)</f>
        <v/>
      </c>
      <c r="I211">
        <f>IF(H211=1,NA(),D211)</f>
        <v/>
      </c>
      <c r="J211">
        <f>IF(AND(ISNUMBER(D211),D211&gt;=$O$4,OR($O$11=0,B211&gt;=$O$12)),1,0)</f>
        <v/>
      </c>
      <c r="K211">
        <f>B211-$O$14</f>
        <v/>
      </c>
    </row>
    <row r="212">
      <c r="A212" t="n">
        <v>630</v>
      </c>
      <c r="B212" t="n">
        <v>21</v>
      </c>
      <c r="C212" t="inlineStr">
        <is>
          <t>5453</t>
        </is>
      </c>
      <c r="D212" t="n">
        <v>54.53</v>
      </c>
      <c r="E212">
        <f>MEDIAN(D192:D232)</f>
        <v/>
      </c>
      <c r="F212">
        <f>E192</f>
        <v/>
      </c>
      <c r="G212">
        <f>F212-E212</f>
        <v/>
      </c>
      <c r="H212">
        <f>IF(OR(NOT(ISNUMBER(D212)),ABS(D212-E212)&gt;$O$3,AND($O$11=1,B212&lt;$O$12)),1,0)</f>
        <v/>
      </c>
      <c r="I212">
        <f>IF(H212=1,NA(),D212)</f>
        <v/>
      </c>
      <c r="J212">
        <f>IF(AND(ISNUMBER(D212),D212&gt;=$O$4,OR($O$11=0,B212&gt;=$O$12)),1,0)</f>
        <v/>
      </c>
      <c r="K212">
        <f>B212-$O$14</f>
        <v/>
      </c>
    </row>
    <row r="213">
      <c r="A213" t="n">
        <v>633</v>
      </c>
      <c r="B213" t="n">
        <v>21.1</v>
      </c>
      <c r="C213" t="inlineStr">
        <is>
          <t>5455</t>
        </is>
      </c>
      <c r="D213" t="n">
        <v>54.55</v>
      </c>
      <c r="E213">
        <f>MEDIAN(D193:D233)</f>
        <v/>
      </c>
      <c r="F213">
        <f>E193</f>
        <v/>
      </c>
      <c r="G213">
        <f>F213-E213</f>
        <v/>
      </c>
      <c r="H213">
        <f>IF(OR(NOT(ISNUMBER(D213)),ABS(D213-E213)&gt;$O$3,AND($O$11=1,B213&lt;$O$12)),1,0)</f>
        <v/>
      </c>
      <c r="I213">
        <f>IF(H213=1,NA(),D213)</f>
        <v/>
      </c>
      <c r="J213">
        <f>IF(AND(ISNUMBER(D213),D213&gt;=$O$4,OR($O$11=0,B213&gt;=$O$12)),1,0)</f>
        <v/>
      </c>
      <c r="K213">
        <f>B213-$O$14</f>
        <v/>
      </c>
    </row>
    <row r="214">
      <c r="A214" t="n">
        <v>636</v>
      </c>
      <c r="B214" t="n">
        <v>21.2</v>
      </c>
      <c r="C214" t="inlineStr">
        <is>
          <t>5472</t>
        </is>
      </c>
      <c r="D214" t="n">
        <v>54.72</v>
      </c>
      <c r="E214">
        <f>MEDIAN(D194:D234)</f>
        <v/>
      </c>
      <c r="F214">
        <f>E194</f>
        <v/>
      </c>
      <c r="G214">
        <f>F214-E214</f>
        <v/>
      </c>
      <c r="H214">
        <f>IF(OR(NOT(ISNUMBER(D214)),ABS(D214-E214)&gt;$O$3,AND($O$11=1,B214&lt;$O$12)),1,0)</f>
        <v/>
      </c>
      <c r="I214">
        <f>IF(H214=1,NA(),D214)</f>
        <v/>
      </c>
      <c r="J214">
        <f>IF(AND(ISNUMBER(D214),D214&gt;=$O$4,OR($O$11=0,B214&gt;=$O$12)),1,0)</f>
        <v/>
      </c>
      <c r="K214">
        <f>B214-$O$14</f>
        <v/>
      </c>
    </row>
    <row r="215">
      <c r="A215" t="n">
        <v>639</v>
      </c>
      <c r="B215" t="n">
        <v>21.3</v>
      </c>
      <c r="C215" t="inlineStr">
        <is>
          <t>5473</t>
        </is>
      </c>
      <c r="D215" t="n">
        <v>54.73</v>
      </c>
      <c r="E215">
        <f>MEDIAN(D195:D235)</f>
        <v/>
      </c>
      <c r="F215">
        <f>E195</f>
        <v/>
      </c>
      <c r="G215">
        <f>F215-E215</f>
        <v/>
      </c>
      <c r="H215">
        <f>IF(OR(NOT(ISNUMBER(D215)),ABS(D215-E215)&gt;$O$3,AND($O$11=1,B215&lt;$O$12)),1,0)</f>
        <v/>
      </c>
      <c r="I215">
        <f>IF(H215=1,NA(),D215)</f>
        <v/>
      </c>
      <c r="J215">
        <f>IF(AND(ISNUMBER(D215),D215&gt;=$O$4,OR($O$11=0,B215&gt;=$O$12)),1,0)</f>
        <v/>
      </c>
      <c r="K215">
        <f>B215-$O$14</f>
        <v/>
      </c>
    </row>
    <row r="216">
      <c r="A216" t="n">
        <v>642</v>
      </c>
      <c r="B216" t="n">
        <v>21.4</v>
      </c>
      <c r="C216" t="inlineStr">
        <is>
          <t>5495</t>
        </is>
      </c>
      <c r="D216" t="n">
        <v>54.95</v>
      </c>
      <c r="E216">
        <f>MEDIAN(D196:D236)</f>
        <v/>
      </c>
      <c r="F216">
        <f>E196</f>
        <v/>
      </c>
      <c r="G216">
        <f>F216-E216</f>
        <v/>
      </c>
      <c r="H216">
        <f>IF(OR(NOT(ISNUMBER(D216)),ABS(D216-E216)&gt;$O$3,AND($O$11=1,B216&lt;$O$12)),1,0)</f>
        <v/>
      </c>
      <c r="I216">
        <f>IF(H216=1,NA(),D216)</f>
        <v/>
      </c>
      <c r="J216">
        <f>IF(AND(ISNUMBER(D216),D216&gt;=$O$4,OR($O$11=0,B216&gt;=$O$12)),1,0)</f>
        <v/>
      </c>
      <c r="K216">
        <f>B216-$O$14</f>
        <v/>
      </c>
    </row>
    <row r="217">
      <c r="A217" t="n">
        <v>645</v>
      </c>
      <c r="B217" t="n">
        <v>21.5</v>
      </c>
      <c r="C217" t="inlineStr">
        <is>
          <t>542</t>
        </is>
      </c>
      <c r="D217" t="n">
        <v>5.42</v>
      </c>
      <c r="E217">
        <f>MEDIAN(D197:D237)</f>
        <v/>
      </c>
      <c r="F217">
        <f>E197</f>
        <v/>
      </c>
      <c r="G217">
        <f>F217-E217</f>
        <v/>
      </c>
      <c r="H217">
        <f>IF(OR(NOT(ISNUMBER(D217)),ABS(D217-E217)&gt;$O$3,AND($O$11=1,B217&lt;$O$12)),1,0)</f>
        <v/>
      </c>
      <c r="I217">
        <f>IF(H217=1,NA(),D217)</f>
        <v/>
      </c>
      <c r="J217">
        <f>IF(AND(ISNUMBER(D217),D217&gt;=$O$4,OR($O$11=0,B217&gt;=$O$12)),1,0)</f>
        <v/>
      </c>
      <c r="K217">
        <f>B217-$O$14</f>
        <v/>
      </c>
    </row>
    <row r="218">
      <c r="A218" t="n">
        <v>648</v>
      </c>
      <c r="B218" t="n">
        <v>21.6</v>
      </c>
      <c r="C218" t="inlineStr">
        <is>
          <t>550</t>
        </is>
      </c>
      <c r="D218" t="n">
        <v>5.5</v>
      </c>
      <c r="E218">
        <f>MEDIAN(D198:D238)</f>
        <v/>
      </c>
      <c r="F218">
        <f>E198</f>
        <v/>
      </c>
      <c r="G218">
        <f>F218-E218</f>
        <v/>
      </c>
      <c r="H218">
        <f>IF(OR(NOT(ISNUMBER(D218)),ABS(D218-E218)&gt;$O$3,AND($O$11=1,B218&lt;$O$12)),1,0)</f>
        <v/>
      </c>
      <c r="I218">
        <f>IF(H218=1,NA(),D218)</f>
        <v/>
      </c>
      <c r="J218">
        <f>IF(AND(ISNUMBER(D218),D218&gt;=$O$4,OR($O$11=0,B218&gt;=$O$12)),1,0)</f>
        <v/>
      </c>
      <c r="K218">
        <f>B218-$O$14</f>
        <v/>
      </c>
    </row>
    <row r="219">
      <c r="A219" t="n">
        <v>651</v>
      </c>
      <c r="B219" t="n">
        <v>21.7</v>
      </c>
      <c r="C219" t="inlineStr">
        <is>
          <t>50</t>
        </is>
      </c>
      <c r="D219" t="n">
        <v>0.5</v>
      </c>
      <c r="E219">
        <f>MEDIAN(D199:D239)</f>
        <v/>
      </c>
      <c r="F219">
        <f>E199</f>
        <v/>
      </c>
      <c r="G219">
        <f>F219-E219</f>
        <v/>
      </c>
      <c r="H219">
        <f>IF(OR(NOT(ISNUMBER(D219)),ABS(D219-E219)&gt;$O$3,AND($O$11=1,B219&lt;$O$12)),1,0)</f>
        <v/>
      </c>
      <c r="I219">
        <f>IF(H219=1,NA(),D219)</f>
        <v/>
      </c>
      <c r="J219">
        <f>IF(AND(ISNUMBER(D219),D219&gt;=$O$4,OR($O$11=0,B219&gt;=$O$12)),1,0)</f>
        <v/>
      </c>
      <c r="K219">
        <f>B219-$O$14</f>
        <v/>
      </c>
    </row>
    <row r="220">
      <c r="A220" t="n">
        <v>654</v>
      </c>
      <c r="B220" t="n">
        <v>21.8</v>
      </c>
      <c r="C220" t="inlineStr">
        <is>
          <t>5526</t>
        </is>
      </c>
      <c r="D220" t="n">
        <v>55.26</v>
      </c>
      <c r="E220">
        <f>MEDIAN(D200:D240)</f>
        <v/>
      </c>
      <c r="F220">
        <f>E200</f>
        <v/>
      </c>
      <c r="G220">
        <f>F220-E220</f>
        <v/>
      </c>
      <c r="H220">
        <f>IF(OR(NOT(ISNUMBER(D220)),ABS(D220-E220)&gt;$O$3,AND($O$11=1,B220&lt;$O$12)),1,0)</f>
        <v/>
      </c>
      <c r="I220">
        <f>IF(H220=1,NA(),D220)</f>
        <v/>
      </c>
      <c r="J220">
        <f>IF(AND(ISNUMBER(D220),D220&gt;=$O$4,OR($O$11=0,B220&gt;=$O$12)),1,0)</f>
        <v/>
      </c>
      <c r="K220">
        <f>B220-$O$14</f>
        <v/>
      </c>
    </row>
    <row r="221">
      <c r="A221" t="n">
        <v>657</v>
      </c>
      <c r="B221" t="n">
        <v>21.9</v>
      </c>
      <c r="C221" t="inlineStr">
        <is>
          <t>56</t>
        </is>
      </c>
      <c r="D221" t="n">
        <v>0.5600000000000001</v>
      </c>
      <c r="E221">
        <f>MEDIAN(D201:D241)</f>
        <v/>
      </c>
      <c r="F221">
        <f>E201</f>
        <v/>
      </c>
      <c r="G221">
        <f>F221-E221</f>
        <v/>
      </c>
      <c r="H221">
        <f>IF(OR(NOT(ISNUMBER(D221)),ABS(D221-E221)&gt;$O$3,AND($O$11=1,B221&lt;$O$12)),1,0)</f>
        <v/>
      </c>
      <c r="I221">
        <f>IF(H221=1,NA(),D221)</f>
        <v/>
      </c>
      <c r="J221">
        <f>IF(AND(ISNUMBER(D221),D221&gt;=$O$4,OR($O$11=0,B221&gt;=$O$12)),1,0)</f>
        <v/>
      </c>
      <c r="K221">
        <f>B221-$O$14</f>
        <v/>
      </c>
    </row>
    <row r="222">
      <c r="A222" t="n">
        <v>660</v>
      </c>
      <c r="B222" t="n">
        <v>22</v>
      </c>
      <c r="C222" t="inlineStr">
        <is>
          <t>546</t>
        </is>
      </c>
      <c r="D222" t="n">
        <v>5.46</v>
      </c>
      <c r="E222">
        <f>MEDIAN(D202:D242)</f>
        <v/>
      </c>
      <c r="F222">
        <f>E202</f>
        <v/>
      </c>
      <c r="G222">
        <f>F222-E222</f>
        <v/>
      </c>
      <c r="H222">
        <f>IF(OR(NOT(ISNUMBER(D222)),ABS(D222-E222)&gt;$O$3,AND($O$11=1,B222&lt;$O$12)),1,0)</f>
        <v/>
      </c>
      <c r="I222">
        <f>IF(H222=1,NA(),D222)</f>
        <v/>
      </c>
      <c r="J222">
        <f>IF(AND(ISNUMBER(D222),D222&gt;=$O$4,OR($O$11=0,B222&gt;=$O$12)),1,0)</f>
        <v/>
      </c>
      <c r="K222">
        <f>B222-$O$14</f>
        <v/>
      </c>
    </row>
    <row r="223">
      <c r="A223" t="n">
        <v>663</v>
      </c>
      <c r="B223" t="n">
        <v>22.1</v>
      </c>
      <c r="C223" t="inlineStr">
        <is>
          <t>546</t>
        </is>
      </c>
      <c r="D223" t="n">
        <v>5.46</v>
      </c>
      <c r="E223">
        <f>MEDIAN(D203:D243)</f>
        <v/>
      </c>
      <c r="F223">
        <f>E203</f>
        <v/>
      </c>
      <c r="G223">
        <f>F223-E223</f>
        <v/>
      </c>
      <c r="H223">
        <f>IF(OR(NOT(ISNUMBER(D223)),ABS(D223-E223)&gt;$O$3,AND($O$11=1,B223&lt;$O$12)),1,0)</f>
        <v/>
      </c>
      <c r="I223">
        <f>IF(H223=1,NA(),D223)</f>
        <v/>
      </c>
      <c r="J223">
        <f>IF(AND(ISNUMBER(D223),D223&gt;=$O$4,OR($O$11=0,B223&gt;=$O$12)),1,0)</f>
        <v/>
      </c>
      <c r="K223">
        <f>B223-$O$14</f>
        <v/>
      </c>
    </row>
    <row r="224">
      <c r="A224" t="n">
        <v>666</v>
      </c>
      <c r="B224" t="n">
        <v>22.2</v>
      </c>
      <c r="C224" t="inlineStr">
        <is>
          <t>5562</t>
        </is>
      </c>
      <c r="D224" t="n">
        <v>55.62</v>
      </c>
      <c r="E224">
        <f>MEDIAN(D204:D244)</f>
        <v/>
      </c>
      <c r="F224">
        <f>E204</f>
        <v/>
      </c>
      <c r="G224">
        <f>F224-E224</f>
        <v/>
      </c>
      <c r="H224">
        <f>IF(OR(NOT(ISNUMBER(D224)),ABS(D224-E224)&gt;$O$3,AND($O$11=1,B224&lt;$O$12)),1,0)</f>
        <v/>
      </c>
      <c r="I224">
        <f>IF(H224=1,NA(),D224)</f>
        <v/>
      </c>
      <c r="J224">
        <f>IF(AND(ISNUMBER(D224),D224&gt;=$O$4,OR($O$11=0,B224&gt;=$O$12)),1,0)</f>
        <v/>
      </c>
      <c r="K224">
        <f>B224-$O$14</f>
        <v/>
      </c>
    </row>
    <row r="225">
      <c r="A225" t="n">
        <v>669</v>
      </c>
      <c r="B225" t="n">
        <v>22.3</v>
      </c>
      <c r="C225" t="inlineStr">
        <is>
          <t>5563</t>
        </is>
      </c>
      <c r="D225" t="n">
        <v>55.63</v>
      </c>
      <c r="E225">
        <f>MEDIAN(D205:D245)</f>
        <v/>
      </c>
      <c r="F225">
        <f>E205</f>
        <v/>
      </c>
      <c r="G225">
        <f>F225-E225</f>
        <v/>
      </c>
      <c r="H225">
        <f>IF(OR(NOT(ISNUMBER(D225)),ABS(D225-E225)&gt;$O$3,AND($O$11=1,B225&lt;$O$12)),1,0)</f>
        <v/>
      </c>
      <c r="I225">
        <f>IF(H225=1,NA(),D225)</f>
        <v/>
      </c>
      <c r="J225">
        <f>IF(AND(ISNUMBER(D225),D225&gt;=$O$4,OR($O$11=0,B225&gt;=$O$12)),1,0)</f>
        <v/>
      </c>
      <c r="K225">
        <f>B225-$O$14</f>
        <v/>
      </c>
    </row>
    <row r="226">
      <c r="A226" t="n">
        <v>672</v>
      </c>
      <c r="B226" t="n">
        <v>22.4</v>
      </c>
      <c r="C226" t="inlineStr">
        <is>
          <t>575</t>
        </is>
      </c>
      <c r="D226" t="n">
        <v>5.75</v>
      </c>
      <c r="E226">
        <f>MEDIAN(D206:D246)</f>
        <v/>
      </c>
      <c r="F226">
        <f>E206</f>
        <v/>
      </c>
      <c r="G226">
        <f>F226-E226</f>
        <v/>
      </c>
      <c r="H226">
        <f>IF(OR(NOT(ISNUMBER(D226)),ABS(D226-E226)&gt;$O$3,AND($O$11=1,B226&lt;$O$12)),1,0)</f>
        <v/>
      </c>
      <c r="I226">
        <f>IF(H226=1,NA(),D226)</f>
        <v/>
      </c>
      <c r="J226">
        <f>IF(AND(ISNUMBER(D226),D226&gt;=$O$4,OR($O$11=0,B226&gt;=$O$12)),1,0)</f>
        <v/>
      </c>
      <c r="K226">
        <f>B226-$O$14</f>
        <v/>
      </c>
    </row>
    <row r="227">
      <c r="A227" t="n">
        <v>675</v>
      </c>
      <c r="B227" t="n">
        <v>22.5</v>
      </c>
      <c r="C227" t="inlineStr">
        <is>
          <t>5590</t>
        </is>
      </c>
      <c r="D227" t="n">
        <v>55.9</v>
      </c>
      <c r="E227">
        <f>MEDIAN(D207:D247)</f>
        <v/>
      </c>
      <c r="F227">
        <f>E207</f>
        <v/>
      </c>
      <c r="G227">
        <f>F227-E227</f>
        <v/>
      </c>
      <c r="H227">
        <f>IF(OR(NOT(ISNUMBER(D227)),ABS(D227-E227)&gt;$O$3,AND($O$11=1,B227&lt;$O$12)),1,0)</f>
        <v/>
      </c>
      <c r="I227">
        <f>IF(H227=1,NA(),D227)</f>
        <v/>
      </c>
      <c r="J227">
        <f>IF(AND(ISNUMBER(D227),D227&gt;=$O$4,OR($O$11=0,B227&gt;=$O$12)),1,0)</f>
        <v/>
      </c>
      <c r="K227">
        <f>B227-$O$14</f>
        <v/>
      </c>
    </row>
    <row r="228">
      <c r="A228" t="n">
        <v>678</v>
      </c>
      <c r="B228" t="n">
        <v>22.6</v>
      </c>
      <c r="C228" t="inlineStr">
        <is>
          <t>595</t>
        </is>
      </c>
      <c r="D228" t="n">
        <v>5.95</v>
      </c>
      <c r="E228">
        <f>MEDIAN(D208:D248)</f>
        <v/>
      </c>
      <c r="F228">
        <f>E208</f>
        <v/>
      </c>
      <c r="G228">
        <f>F228-E228</f>
        <v/>
      </c>
      <c r="H228">
        <f>IF(OR(NOT(ISNUMBER(D228)),ABS(D228-E228)&gt;$O$3,AND($O$11=1,B228&lt;$O$12)),1,0)</f>
        <v/>
      </c>
      <c r="I228">
        <f>IF(H228=1,NA(),D228)</f>
        <v/>
      </c>
      <c r="J228">
        <f>IF(AND(ISNUMBER(D228),D228&gt;=$O$4,OR($O$11=0,B228&gt;=$O$12)),1,0)</f>
        <v/>
      </c>
      <c r="K228">
        <f>B228-$O$14</f>
        <v/>
      </c>
    </row>
    <row r="229">
      <c r="A229" t="n">
        <v>681</v>
      </c>
      <c r="B229" t="n">
        <v>22.7</v>
      </c>
      <c r="C229" t="inlineStr">
        <is>
          <t>5</t>
        </is>
      </c>
      <c r="D229" t="n">
        <v>0.05</v>
      </c>
      <c r="E229">
        <f>MEDIAN(D209:D249)</f>
        <v/>
      </c>
      <c r="F229">
        <f>E209</f>
        <v/>
      </c>
      <c r="G229">
        <f>F229-E229</f>
        <v/>
      </c>
      <c r="H229">
        <f>IF(OR(NOT(ISNUMBER(D229)),ABS(D229-E229)&gt;$O$3,AND($O$11=1,B229&lt;$O$12)),1,0)</f>
        <v/>
      </c>
      <c r="I229">
        <f>IF(H229=1,NA(),D229)</f>
        <v/>
      </c>
      <c r="J229">
        <f>IF(AND(ISNUMBER(D229),D229&gt;=$O$4,OR($O$11=0,B229&gt;=$O$12)),1,0)</f>
        <v/>
      </c>
      <c r="K229">
        <f>B229-$O$14</f>
        <v/>
      </c>
    </row>
    <row r="230">
      <c r="A230" t="n">
        <v>684</v>
      </c>
      <c r="B230" t="n">
        <v>22.8</v>
      </c>
      <c r="C230" t="inlineStr">
        <is>
          <t>5615</t>
        </is>
      </c>
      <c r="D230" t="n">
        <v>56.15</v>
      </c>
      <c r="E230">
        <f>MEDIAN(D210:D250)</f>
        <v/>
      </c>
      <c r="F230">
        <f>E210</f>
        <v/>
      </c>
      <c r="G230">
        <f>F230-E230</f>
        <v/>
      </c>
      <c r="H230">
        <f>IF(OR(NOT(ISNUMBER(D230)),ABS(D230-E230)&gt;$O$3,AND($O$11=1,B230&lt;$O$12)),1,0)</f>
        <v/>
      </c>
      <c r="I230">
        <f>IF(H230=1,NA(),D230)</f>
        <v/>
      </c>
      <c r="J230">
        <f>IF(AND(ISNUMBER(D230),D230&gt;=$O$4,OR($O$11=0,B230&gt;=$O$12)),1,0)</f>
        <v/>
      </c>
      <c r="K230">
        <f>B230-$O$14</f>
        <v/>
      </c>
    </row>
    <row r="231">
      <c r="A231" t="n">
        <v>687</v>
      </c>
      <c r="B231" t="n">
        <v>22.9</v>
      </c>
      <c r="C231" t="inlineStr">
        <is>
          <t>12</t>
        </is>
      </c>
      <c r="D231" t="n">
        <v>0.12</v>
      </c>
      <c r="E231">
        <f>MEDIAN(D211:D251)</f>
        <v/>
      </c>
      <c r="F231">
        <f>E211</f>
        <v/>
      </c>
      <c r="G231">
        <f>F231-E231</f>
        <v/>
      </c>
      <c r="H231">
        <f>IF(OR(NOT(ISNUMBER(D231)),ABS(D231-E231)&gt;$O$3,AND($O$11=1,B231&lt;$O$12)),1,0)</f>
        <v/>
      </c>
      <c r="I231">
        <f>IF(H231=1,NA(),D231)</f>
        <v/>
      </c>
      <c r="J231">
        <f>IF(AND(ISNUMBER(D231),D231&gt;=$O$4,OR($O$11=0,B231&gt;=$O$12)),1,0)</f>
        <v/>
      </c>
      <c r="K231">
        <f>B231-$O$14</f>
        <v/>
      </c>
    </row>
    <row r="232">
      <c r="A232" t="n">
        <v>690</v>
      </c>
      <c r="B232" t="n">
        <v>23</v>
      </c>
      <c r="C232" t="inlineStr">
        <is>
          <t>25</t>
        </is>
      </c>
      <c r="D232" t="n">
        <v>0.25</v>
      </c>
      <c r="E232">
        <f>MEDIAN(D212:D252)</f>
        <v/>
      </c>
      <c r="F232">
        <f>E212</f>
        <v/>
      </c>
      <c r="G232">
        <f>F232-E232</f>
        <v/>
      </c>
      <c r="H232">
        <f>IF(OR(NOT(ISNUMBER(D232)),ABS(D232-E232)&gt;$O$3,AND($O$11=1,B232&lt;$O$12)),1,0)</f>
        <v/>
      </c>
      <c r="I232">
        <f>IF(H232=1,NA(),D232)</f>
        <v/>
      </c>
      <c r="J232">
        <f>IF(AND(ISNUMBER(D232),D232&gt;=$O$4,OR($O$11=0,B232&gt;=$O$12)),1,0)</f>
        <v/>
      </c>
      <c r="K232">
        <f>B232-$O$14</f>
        <v/>
      </c>
    </row>
    <row r="233">
      <c r="A233" t="n">
        <v>693</v>
      </c>
      <c r="B233" t="n">
        <v>23.1</v>
      </c>
      <c r="C233" t="inlineStr">
        <is>
          <t>27</t>
        </is>
      </c>
      <c r="D233" t="n">
        <v>0.27</v>
      </c>
      <c r="E233">
        <f>MEDIAN(D213:D253)</f>
        <v/>
      </c>
      <c r="F233">
        <f>E213</f>
        <v/>
      </c>
      <c r="G233">
        <f>F233-E233</f>
        <v/>
      </c>
      <c r="H233">
        <f>IF(OR(NOT(ISNUMBER(D233)),ABS(D233-E233)&gt;$O$3,AND($O$11=1,B233&lt;$O$12)),1,0)</f>
        <v/>
      </c>
      <c r="I233">
        <f>IF(H233=1,NA(),D233)</f>
        <v/>
      </c>
      <c r="J233">
        <f>IF(AND(ISNUMBER(D233),D233&gt;=$O$4,OR($O$11=0,B233&gt;=$O$12)),1,0)</f>
        <v/>
      </c>
      <c r="K233">
        <f>B233-$O$14</f>
        <v/>
      </c>
    </row>
    <row r="234">
      <c r="A234" t="n">
        <v>696</v>
      </c>
      <c r="B234" t="n">
        <v>23.2</v>
      </c>
      <c r="C234" t="inlineStr">
        <is>
          <t>542</t>
        </is>
      </c>
      <c r="D234" t="n">
        <v>5.42</v>
      </c>
      <c r="E234">
        <f>MEDIAN(D214:D254)</f>
        <v/>
      </c>
      <c r="F234">
        <f>E214</f>
        <v/>
      </c>
      <c r="G234">
        <f>F234-E234</f>
        <v/>
      </c>
      <c r="H234">
        <f>IF(OR(NOT(ISNUMBER(D234)),ABS(D234-E234)&gt;$O$3,AND($O$11=1,B234&lt;$O$12)),1,0)</f>
        <v/>
      </c>
      <c r="I234">
        <f>IF(H234=1,NA(),D234)</f>
        <v/>
      </c>
      <c r="J234">
        <f>IF(AND(ISNUMBER(D234),D234&gt;=$O$4,OR($O$11=0,B234&gt;=$O$12)),1,0)</f>
        <v/>
      </c>
      <c r="K234">
        <f>B234-$O$14</f>
        <v/>
      </c>
    </row>
    <row r="235">
      <c r="A235" t="n">
        <v>699</v>
      </c>
      <c r="B235" t="n">
        <v>23.3</v>
      </c>
      <c r="C235" t="inlineStr">
        <is>
          <t>542</t>
        </is>
      </c>
      <c r="D235" t="n">
        <v>5.42</v>
      </c>
      <c r="E235">
        <f>MEDIAN(D215:D255)</f>
        <v/>
      </c>
      <c r="F235">
        <f>E215</f>
        <v/>
      </c>
      <c r="G235">
        <f>F235-E235</f>
        <v/>
      </c>
      <c r="H235">
        <f>IF(OR(NOT(ISNUMBER(D235)),ABS(D235-E235)&gt;$O$3,AND($O$11=1,B235&lt;$O$12)),1,0)</f>
        <v/>
      </c>
      <c r="I235">
        <f>IF(H235=1,NA(),D235)</f>
        <v/>
      </c>
      <c r="J235">
        <f>IF(AND(ISNUMBER(D235),D235&gt;=$O$4,OR($O$11=0,B235&gt;=$O$12)),1,0)</f>
        <v/>
      </c>
      <c r="K235">
        <f>B235-$O$14</f>
        <v/>
      </c>
    </row>
    <row r="236">
      <c r="A236" t="n">
        <v>702</v>
      </c>
      <c r="B236" t="n">
        <v>23.4</v>
      </c>
      <c r="C236" t="inlineStr">
        <is>
          <t>5??</t>
        </is>
      </c>
      <c r="E236">
        <f>MEDIAN(D216:D256)</f>
        <v/>
      </c>
      <c r="F236">
        <f>E216</f>
        <v/>
      </c>
      <c r="G236">
        <f>F236-E236</f>
        <v/>
      </c>
      <c r="H236">
        <f>IF(OR(NOT(ISNUMBER(D236)),ABS(D236-E236)&gt;$O$3,AND($O$11=1,B236&lt;$O$12)),1,0)</f>
        <v/>
      </c>
      <c r="I236">
        <f>IF(H236=1,NA(),D236)</f>
        <v/>
      </c>
      <c r="J236">
        <f>IF(AND(ISNUMBER(D236),D236&gt;=$O$4,OR($O$11=0,B236&gt;=$O$12)),1,0)</f>
        <v/>
      </c>
      <c r="K236">
        <f>B236-$O$14</f>
        <v/>
      </c>
    </row>
    <row r="237">
      <c r="A237" t="n">
        <v>705</v>
      </c>
      <c r="B237" t="n">
        <v>23.5</v>
      </c>
      <c r="C237" t="inlineStr">
        <is>
          <t>5663</t>
        </is>
      </c>
      <c r="D237" t="n">
        <v>56.63</v>
      </c>
      <c r="E237">
        <f>MEDIAN(D217:D257)</f>
        <v/>
      </c>
      <c r="F237">
        <f>E217</f>
        <v/>
      </c>
      <c r="G237">
        <f>F237-E237</f>
        <v/>
      </c>
      <c r="H237">
        <f>IF(OR(NOT(ISNUMBER(D237)),ABS(D237-E237)&gt;$O$3,AND($O$11=1,B237&lt;$O$12)),1,0)</f>
        <v/>
      </c>
      <c r="I237">
        <f>IF(H237=1,NA(),D237)</f>
        <v/>
      </c>
      <c r="J237">
        <f>IF(AND(ISNUMBER(D237),D237&gt;=$O$4,OR($O$11=0,B237&gt;=$O$12)),1,0)</f>
        <v/>
      </c>
      <c r="K237">
        <f>B237-$O$14</f>
        <v/>
      </c>
    </row>
    <row r="238">
      <c r="A238" t="n">
        <v>708</v>
      </c>
      <c r="B238" t="n">
        <v>23.6</v>
      </c>
      <c r="C238" t="inlineStr">
        <is>
          <t>64</t>
        </is>
      </c>
      <c r="D238" t="n">
        <v>0.64</v>
      </c>
      <c r="E238">
        <f>MEDIAN(D218:D258)</f>
        <v/>
      </c>
      <c r="F238">
        <f>E218</f>
        <v/>
      </c>
      <c r="G238">
        <f>F238-E238</f>
        <v/>
      </c>
      <c r="H238">
        <f>IF(OR(NOT(ISNUMBER(D238)),ABS(D238-E238)&gt;$O$3,AND($O$11=1,B238&lt;$O$12)),1,0)</f>
        <v/>
      </c>
      <c r="I238">
        <f>IF(H238=1,NA(),D238)</f>
        <v/>
      </c>
      <c r="J238">
        <f>IF(AND(ISNUMBER(D238),D238&gt;=$O$4,OR($O$11=0,B238&gt;=$O$12)),1,0)</f>
        <v/>
      </c>
      <c r="K238">
        <f>B238-$O$14</f>
        <v/>
      </c>
    </row>
    <row r="239">
      <c r="A239" t="n">
        <v>711</v>
      </c>
      <c r="B239" t="n">
        <v>23.7</v>
      </c>
      <c r="C239" t="inlineStr">
        <is>
          <t>75</t>
        </is>
      </c>
      <c r="D239" t="n">
        <v>0.75</v>
      </c>
      <c r="E239">
        <f>MEDIAN(D219:D259)</f>
        <v/>
      </c>
      <c r="F239">
        <f>E219</f>
        <v/>
      </c>
      <c r="G239">
        <f>F239-E239</f>
        <v/>
      </c>
      <c r="H239">
        <f>IF(OR(NOT(ISNUMBER(D239)),ABS(D239-E239)&gt;$O$3,AND($O$11=1,B239&lt;$O$12)),1,0)</f>
        <v/>
      </c>
      <c r="I239">
        <f>IF(H239=1,NA(),D239)</f>
        <v/>
      </c>
      <c r="J239">
        <f>IF(AND(ISNUMBER(D239),D239&gt;=$O$4,OR($O$11=0,B239&gt;=$O$12)),1,0)</f>
        <v/>
      </c>
      <c r="K239">
        <f>B239-$O$14</f>
        <v/>
      </c>
    </row>
    <row r="240">
      <c r="A240" t="n">
        <v>714</v>
      </c>
      <c r="B240" t="n">
        <v>23.8</v>
      </c>
      <c r="C240" t="inlineStr">
        <is>
          <t>75</t>
        </is>
      </c>
      <c r="D240" t="n">
        <v>0.75</v>
      </c>
      <c r="E240">
        <f>MEDIAN(D220:D260)</f>
        <v/>
      </c>
      <c r="F240">
        <f>E220</f>
        <v/>
      </c>
      <c r="G240">
        <f>F240-E240</f>
        <v/>
      </c>
      <c r="H240">
        <f>IF(OR(NOT(ISNUMBER(D240)),ABS(D240-E240)&gt;$O$3,AND($O$11=1,B240&lt;$O$12)),1,0)</f>
        <v/>
      </c>
      <c r="I240">
        <f>IF(H240=1,NA(),D240)</f>
        <v/>
      </c>
      <c r="J240">
        <f>IF(AND(ISNUMBER(D240),D240&gt;=$O$4,OR($O$11=0,B240&gt;=$O$12)),1,0)</f>
        <v/>
      </c>
      <c r="K240">
        <f>B240-$O$14</f>
        <v/>
      </c>
    </row>
    <row r="241">
      <c r="A241" t="n">
        <v>717</v>
      </c>
      <c r="B241" t="n">
        <v>23.9</v>
      </c>
      <c r="C241" t="inlineStr">
        <is>
          <t>5685</t>
        </is>
      </c>
      <c r="D241" t="n">
        <v>56.85</v>
      </c>
      <c r="E241">
        <f>MEDIAN(D221:D261)</f>
        <v/>
      </c>
      <c r="F241">
        <f>E221</f>
        <v/>
      </c>
      <c r="G241">
        <f>F241-E241</f>
        <v/>
      </c>
      <c r="H241">
        <f>IF(OR(NOT(ISNUMBER(D241)),ABS(D241-E241)&gt;$O$3,AND($O$11=1,B241&lt;$O$12)),1,0)</f>
        <v/>
      </c>
      <c r="I241">
        <f>IF(H241=1,NA(),D241)</f>
        <v/>
      </c>
      <c r="J241">
        <f>IF(AND(ISNUMBER(D241),D241&gt;=$O$4,OR($O$11=0,B241&gt;=$O$12)),1,0)</f>
        <v/>
      </c>
      <c r="K241">
        <f>B241-$O$14</f>
        <v/>
      </c>
    </row>
    <row r="242">
      <c r="A242" t="n">
        <v>720</v>
      </c>
      <c r="B242" t="n">
        <v>24</v>
      </c>
      <c r="C242" t="inlineStr">
        <is>
          <t>50</t>
        </is>
      </c>
      <c r="D242" t="n">
        <v>0.5</v>
      </c>
      <c r="E242">
        <f>MEDIAN(D222:D262)</f>
        <v/>
      </c>
      <c r="F242">
        <f>E222</f>
        <v/>
      </c>
      <c r="G242">
        <f>F242-E242</f>
        <v/>
      </c>
      <c r="H242">
        <f>IF(OR(NOT(ISNUMBER(D242)),ABS(D242-E242)&gt;$O$3,AND($O$11=1,B242&lt;$O$12)),1,0)</f>
        <v/>
      </c>
      <c r="I242">
        <f>IF(H242=1,NA(),D242)</f>
        <v/>
      </c>
      <c r="J242">
        <f>IF(AND(ISNUMBER(D242),D242&gt;=$O$4,OR($O$11=0,B242&gt;=$O$12)),1,0)</f>
        <v/>
      </c>
      <c r="K242">
        <f>B242-$O$14</f>
        <v/>
      </c>
    </row>
    <row r="243">
      <c r="A243" t="n">
        <v>723</v>
      </c>
      <c r="B243" t="n">
        <v>24.1</v>
      </c>
      <c r="C243" t="inlineStr">
        <is>
          <t>5100</t>
        </is>
      </c>
      <c r="D243" t="n">
        <v>51</v>
      </c>
      <c r="E243">
        <f>MEDIAN(D223:D263)</f>
        <v/>
      </c>
      <c r="F243">
        <f>E223</f>
        <v/>
      </c>
      <c r="G243">
        <f>F243-E243</f>
        <v/>
      </c>
      <c r="H243">
        <f>IF(OR(NOT(ISNUMBER(D243)),ABS(D243-E243)&gt;$O$3,AND($O$11=1,B243&lt;$O$12)),1,0)</f>
        <v/>
      </c>
      <c r="I243">
        <f>IF(H243=1,NA(),D243)</f>
        <v/>
      </c>
      <c r="J243">
        <f>IF(AND(ISNUMBER(D243),D243&gt;=$O$4,OR($O$11=0,B243&gt;=$O$12)),1,0)</f>
        <v/>
      </c>
      <c r="K243">
        <f>B243-$O$14</f>
        <v/>
      </c>
    </row>
    <row r="244">
      <c r="A244" t="n">
        <v>726</v>
      </c>
      <c r="B244" t="n">
        <v>24.2</v>
      </c>
      <c r="C244" t="inlineStr">
        <is>
          <t>516</t>
        </is>
      </c>
      <c r="D244" t="n">
        <v>5.16</v>
      </c>
      <c r="E244">
        <f>MEDIAN(D224:D264)</f>
        <v/>
      </c>
      <c r="F244">
        <f>E224</f>
        <v/>
      </c>
      <c r="G244">
        <f>F244-E244</f>
        <v/>
      </c>
      <c r="H244">
        <f>IF(OR(NOT(ISNUMBER(D244)),ABS(D244-E244)&gt;$O$3,AND($O$11=1,B244&lt;$O$12)),1,0)</f>
        <v/>
      </c>
      <c r="I244">
        <f>IF(H244=1,NA(),D244)</f>
        <v/>
      </c>
      <c r="J244">
        <f>IF(AND(ISNUMBER(D244),D244&gt;=$O$4,OR($O$11=0,B244&gt;=$O$12)),1,0)</f>
        <v/>
      </c>
      <c r="K244">
        <f>B244-$O$14</f>
        <v/>
      </c>
    </row>
    <row r="245">
      <c r="A245" t="n">
        <v>729</v>
      </c>
      <c r="B245" t="n">
        <v>24.3</v>
      </c>
      <c r="C245" t="inlineStr">
        <is>
          <t>5?6</t>
        </is>
      </c>
      <c r="E245">
        <f>MEDIAN(D225:D265)</f>
        <v/>
      </c>
      <c r="F245">
        <f>E225</f>
        <v/>
      </c>
      <c r="G245">
        <f>F245-E245</f>
        <v/>
      </c>
      <c r="H245">
        <f>IF(OR(NOT(ISNUMBER(D245)),ABS(D245-E245)&gt;$O$3,AND($O$11=1,B245&lt;$O$12)),1,0)</f>
        <v/>
      </c>
      <c r="I245">
        <f>IF(H245=1,NA(),D245)</f>
        <v/>
      </c>
      <c r="J245">
        <f>IF(AND(ISNUMBER(D245),D245&gt;=$O$4,OR($O$11=0,B245&gt;=$O$12)),1,0)</f>
        <v/>
      </c>
      <c r="K245">
        <f>B245-$O$14</f>
        <v/>
      </c>
    </row>
    <row r="246">
      <c r="A246" t="n">
        <v>732</v>
      </c>
      <c r="B246" t="n">
        <v>24.4</v>
      </c>
      <c r="C246" t="inlineStr">
        <is>
          <t>5117</t>
        </is>
      </c>
      <c r="D246" t="n">
        <v>51.17</v>
      </c>
      <c r="E246">
        <f>MEDIAN(D226:D266)</f>
        <v/>
      </c>
      <c r="F246">
        <f>E226</f>
        <v/>
      </c>
      <c r="G246">
        <f>F246-E246</f>
        <v/>
      </c>
      <c r="H246">
        <f>IF(OR(NOT(ISNUMBER(D246)),ABS(D246-E246)&gt;$O$3,AND($O$11=1,B246&lt;$O$12)),1,0)</f>
        <v/>
      </c>
      <c r="I246">
        <f>IF(H246=1,NA(),D246)</f>
        <v/>
      </c>
      <c r="J246">
        <f>IF(AND(ISNUMBER(D246),D246&gt;=$O$4,OR($O$11=0,B246&gt;=$O$12)),1,0)</f>
        <v/>
      </c>
      <c r="K246">
        <f>B246-$O$14</f>
        <v/>
      </c>
    </row>
    <row r="247">
      <c r="A247" t="n">
        <v>735</v>
      </c>
      <c r="B247" t="n">
        <v>24.5</v>
      </c>
      <c r="C247" t="inlineStr">
        <is>
          <t>5136</t>
        </is>
      </c>
      <c r="D247" t="n">
        <v>51.36</v>
      </c>
      <c r="E247">
        <f>MEDIAN(D227:D267)</f>
        <v/>
      </c>
      <c r="F247">
        <f>E227</f>
        <v/>
      </c>
      <c r="G247">
        <f>F247-E247</f>
        <v/>
      </c>
      <c r="H247">
        <f>IF(OR(NOT(ISNUMBER(D247)),ABS(D247-E247)&gt;$O$3,AND($O$11=1,B247&lt;$O$12)),1,0)</f>
        <v/>
      </c>
      <c r="I247">
        <f>IF(H247=1,NA(),D247)</f>
        <v/>
      </c>
      <c r="J247">
        <f>IF(AND(ISNUMBER(D247),D247&gt;=$O$4,OR($O$11=0,B247&gt;=$O$12)),1,0)</f>
        <v/>
      </c>
      <c r="K247">
        <f>B247-$O$14</f>
        <v/>
      </c>
    </row>
    <row r="248">
      <c r="A248" t="n">
        <v>738</v>
      </c>
      <c r="B248" t="n">
        <v>24.6</v>
      </c>
      <c r="C248" t="inlineStr">
        <is>
          <t>5136</t>
        </is>
      </c>
      <c r="D248" t="n">
        <v>51.36</v>
      </c>
      <c r="E248">
        <f>MEDIAN(D228:D268)</f>
        <v/>
      </c>
      <c r="F248">
        <f>E228</f>
        <v/>
      </c>
      <c r="G248">
        <f>F248-E248</f>
        <v/>
      </c>
      <c r="H248">
        <f>IF(OR(NOT(ISNUMBER(D248)),ABS(D248-E248)&gt;$O$3,AND($O$11=1,B248&lt;$O$12)),1,0)</f>
        <v/>
      </c>
      <c r="I248">
        <f>IF(H248=1,NA(),D248)</f>
        <v/>
      </c>
      <c r="J248">
        <f>IF(AND(ISNUMBER(D248),D248&gt;=$O$4,OR($O$11=0,B248&gt;=$O$12)),1,0)</f>
        <v/>
      </c>
      <c r="K248">
        <f>B248-$O$14</f>
        <v/>
      </c>
    </row>
    <row r="249">
      <c r="A249" t="n">
        <v>741</v>
      </c>
      <c r="B249" t="n">
        <v>24.7</v>
      </c>
      <c r="C249" t="inlineStr">
        <is>
          <t>5137</t>
        </is>
      </c>
      <c r="D249" t="n">
        <v>51.37</v>
      </c>
      <c r="E249">
        <f>MEDIAN(D229:D269)</f>
        <v/>
      </c>
      <c r="F249">
        <f>E229</f>
        <v/>
      </c>
      <c r="G249">
        <f>F249-E249</f>
        <v/>
      </c>
      <c r="H249">
        <f>IF(OR(NOT(ISNUMBER(D249)),ABS(D249-E249)&gt;$O$3,AND($O$11=1,B249&lt;$O$12)),1,0)</f>
        <v/>
      </c>
      <c r="I249">
        <f>IF(H249=1,NA(),D249)</f>
        <v/>
      </c>
      <c r="J249">
        <f>IF(AND(ISNUMBER(D249),D249&gt;=$O$4,OR($O$11=0,B249&gt;=$O$12)),1,0)</f>
        <v/>
      </c>
      <c r="K249">
        <f>B249-$O$14</f>
        <v/>
      </c>
    </row>
    <row r="250">
      <c r="A250" t="n">
        <v>744</v>
      </c>
      <c r="B250" t="n">
        <v>24.8</v>
      </c>
      <c r="C250" t="inlineStr">
        <is>
          <t>5155</t>
        </is>
      </c>
      <c r="D250" t="n">
        <v>51.55</v>
      </c>
      <c r="E250">
        <f>MEDIAN(D230:D270)</f>
        <v/>
      </c>
      <c r="F250">
        <f>E230</f>
        <v/>
      </c>
      <c r="G250">
        <f>F250-E250</f>
        <v/>
      </c>
      <c r="H250">
        <f>IF(OR(NOT(ISNUMBER(D250)),ABS(D250-E250)&gt;$O$3,AND($O$11=1,B250&lt;$O$12)),1,0)</f>
        <v/>
      </c>
      <c r="I250">
        <f>IF(H250=1,NA(),D250)</f>
        <v/>
      </c>
      <c r="J250">
        <f>IF(AND(ISNUMBER(D250),D250&gt;=$O$4,OR($O$11=0,B250&gt;=$O$12)),1,0)</f>
        <v/>
      </c>
      <c r="K250">
        <f>B250-$O$14</f>
        <v/>
      </c>
    </row>
    <row r="251">
      <c r="A251" t="n">
        <v>747</v>
      </c>
      <c r="B251" t="n">
        <v>24.9</v>
      </c>
      <c r="C251" t="inlineStr">
        <is>
          <t>5155</t>
        </is>
      </c>
      <c r="D251" t="n">
        <v>51.55</v>
      </c>
      <c r="E251">
        <f>MEDIAN(D231:D271)</f>
        <v/>
      </c>
      <c r="F251">
        <f>E231</f>
        <v/>
      </c>
      <c r="G251">
        <f>F251-E251</f>
        <v/>
      </c>
      <c r="H251">
        <f>IF(OR(NOT(ISNUMBER(D251)),ABS(D251-E251)&gt;$O$3,AND($O$11=1,B251&lt;$O$12)),1,0)</f>
        <v/>
      </c>
      <c r="I251">
        <f>IF(H251=1,NA(),D251)</f>
        <v/>
      </c>
      <c r="J251">
        <f>IF(AND(ISNUMBER(D251),D251&gt;=$O$4,OR($O$11=0,B251&gt;=$O$12)),1,0)</f>
        <v/>
      </c>
      <c r="K251">
        <f>B251-$O$14</f>
        <v/>
      </c>
    </row>
    <row r="252">
      <c r="A252" t="n">
        <v>750</v>
      </c>
      <c r="B252" t="n">
        <v>25</v>
      </c>
      <c r="C252" t="inlineStr">
        <is>
          <t>5156</t>
        </is>
      </c>
      <c r="D252" t="n">
        <v>51.56</v>
      </c>
      <c r="E252">
        <f>MEDIAN(D232:D272)</f>
        <v/>
      </c>
      <c r="F252">
        <f>E232</f>
        <v/>
      </c>
      <c r="G252">
        <f>F252-E252</f>
        <v/>
      </c>
      <c r="H252">
        <f>IF(OR(NOT(ISNUMBER(D252)),ABS(D252-E252)&gt;$O$3,AND($O$11=1,B252&lt;$O$12)),1,0)</f>
        <v/>
      </c>
      <c r="I252">
        <f>IF(H252=1,NA(),D252)</f>
        <v/>
      </c>
      <c r="J252">
        <f>IF(AND(ISNUMBER(D252),D252&gt;=$O$4,OR($O$11=0,B252&gt;=$O$12)),1,0)</f>
        <v/>
      </c>
      <c r="K252">
        <f>B252-$O$14</f>
        <v/>
      </c>
    </row>
    <row r="253">
      <c r="A253" t="n">
        <v>753</v>
      </c>
      <c r="B253" t="n">
        <v>25.1</v>
      </c>
      <c r="C253" t="inlineStr">
        <is>
          <t>5173</t>
        </is>
      </c>
      <c r="D253" t="n">
        <v>51.73</v>
      </c>
      <c r="E253">
        <f>MEDIAN(D233:D273)</f>
        <v/>
      </c>
      <c r="F253">
        <f>E233</f>
        <v/>
      </c>
      <c r="G253">
        <f>F253-E253</f>
        <v/>
      </c>
      <c r="H253">
        <f>IF(OR(NOT(ISNUMBER(D253)),ABS(D253-E253)&gt;$O$3,AND($O$11=1,B253&lt;$O$12)),1,0)</f>
        <v/>
      </c>
      <c r="I253">
        <f>IF(H253=1,NA(),D253)</f>
        <v/>
      </c>
      <c r="J253">
        <f>IF(AND(ISNUMBER(D253),D253&gt;=$O$4,OR($O$11=0,B253&gt;=$O$12)),1,0)</f>
        <v/>
      </c>
      <c r="K253">
        <f>B253-$O$14</f>
        <v/>
      </c>
    </row>
    <row r="254">
      <c r="A254" t="n">
        <v>756</v>
      </c>
      <c r="B254" t="n">
        <v>25.2</v>
      </c>
      <c r="C254" t="inlineStr">
        <is>
          <t>5173</t>
        </is>
      </c>
      <c r="D254" t="n">
        <v>51.73</v>
      </c>
      <c r="E254">
        <f>MEDIAN(D234:D274)</f>
        <v/>
      </c>
      <c r="F254">
        <f>E234</f>
        <v/>
      </c>
      <c r="G254">
        <f>F254-E254</f>
        <v/>
      </c>
      <c r="H254">
        <f>IF(OR(NOT(ISNUMBER(D254)),ABS(D254-E254)&gt;$O$3,AND($O$11=1,B254&lt;$O$12)),1,0)</f>
        <v/>
      </c>
      <c r="I254">
        <f>IF(H254=1,NA(),D254)</f>
        <v/>
      </c>
      <c r="J254">
        <f>IF(AND(ISNUMBER(D254),D254&gt;=$O$4,OR($O$11=0,B254&gt;=$O$12)),1,0)</f>
        <v/>
      </c>
      <c r="K254">
        <f>B254-$O$14</f>
        <v/>
      </c>
    </row>
    <row r="255">
      <c r="A255" t="n">
        <v>759</v>
      </c>
      <c r="B255" t="n">
        <v>25.3</v>
      </c>
      <c r="C255" t="inlineStr">
        <is>
          <t>517?</t>
        </is>
      </c>
      <c r="E255">
        <f>MEDIAN(D235:D275)</f>
        <v/>
      </c>
      <c r="F255">
        <f>E235</f>
        <v/>
      </c>
      <c r="G255">
        <f>F255-E255</f>
        <v/>
      </c>
      <c r="H255">
        <f>IF(OR(NOT(ISNUMBER(D255)),ABS(D255-E255)&gt;$O$3,AND($O$11=1,B255&lt;$O$12)),1,0)</f>
        <v/>
      </c>
      <c r="I255">
        <f>IF(H255=1,NA(),D255)</f>
        <v/>
      </c>
      <c r="J255">
        <f>IF(AND(ISNUMBER(D255),D255&gt;=$O$4,OR($O$11=0,B255&gt;=$O$12)),1,0)</f>
        <v/>
      </c>
      <c r="K255">
        <f>B255-$O$14</f>
        <v/>
      </c>
    </row>
    <row r="256">
      <c r="A256" t="n">
        <v>762</v>
      </c>
      <c r="B256" t="n">
        <v>25.4</v>
      </c>
      <c r="C256" t="inlineStr">
        <is>
          <t>57</t>
        </is>
      </c>
      <c r="D256" t="n">
        <v>0.57</v>
      </c>
      <c r="E256">
        <f>MEDIAN(D236:D276)</f>
        <v/>
      </c>
      <c r="F256">
        <f>E236</f>
        <v/>
      </c>
      <c r="G256">
        <f>F256-E256</f>
        <v/>
      </c>
      <c r="H256">
        <f>IF(OR(NOT(ISNUMBER(D256)),ABS(D256-E256)&gt;$O$3,AND($O$11=1,B256&lt;$O$12)),1,0)</f>
        <v/>
      </c>
      <c r="I256">
        <f>IF(H256=1,NA(),D256)</f>
        <v/>
      </c>
      <c r="J256">
        <f>IF(AND(ISNUMBER(D256),D256&gt;=$O$4,OR($O$11=0,B256&gt;=$O$12)),1,0)</f>
        <v/>
      </c>
      <c r="K256">
        <f>B256-$O$14</f>
        <v/>
      </c>
    </row>
    <row r="257">
      <c r="A257" t="n">
        <v>765</v>
      </c>
      <c r="B257" t="n">
        <v>25.5</v>
      </c>
      <c r="C257" t="inlineStr">
        <is>
          <t>570</t>
        </is>
      </c>
      <c r="D257" t="n">
        <v>5.7</v>
      </c>
      <c r="E257">
        <f>MEDIAN(D237:D277)</f>
        <v/>
      </c>
      <c r="F257">
        <f>E237</f>
        <v/>
      </c>
      <c r="G257">
        <f>F257-E257</f>
        <v/>
      </c>
      <c r="H257">
        <f>IF(OR(NOT(ISNUMBER(D257)),ABS(D257-E257)&gt;$O$3,AND($O$11=1,B257&lt;$O$12)),1,0)</f>
        <v/>
      </c>
      <c r="I257">
        <f>IF(H257=1,NA(),D257)</f>
        <v/>
      </c>
      <c r="J257">
        <f>IF(AND(ISNUMBER(D257),D257&gt;=$O$4,OR($O$11=0,B257&gt;=$O$12)),1,0)</f>
        <v/>
      </c>
      <c r="K257">
        <f>B257-$O$14</f>
        <v/>
      </c>
    </row>
    <row r="258">
      <c r="A258" t="n">
        <v>768</v>
      </c>
      <c r="B258" t="n">
        <v>25.6</v>
      </c>
      <c r="C258" t="inlineStr">
        <is>
          <t>5195</t>
        </is>
      </c>
      <c r="D258" t="n">
        <v>51.95</v>
      </c>
      <c r="E258">
        <f>MEDIAN(D238:D278)</f>
        <v/>
      </c>
      <c r="F258">
        <f>E238</f>
        <v/>
      </c>
      <c r="G258">
        <f>F258-E258</f>
        <v/>
      </c>
      <c r="H258">
        <f>IF(OR(NOT(ISNUMBER(D258)),ABS(D258-E258)&gt;$O$3,AND($O$11=1,B258&lt;$O$12)),1,0)</f>
        <v/>
      </c>
      <c r="I258">
        <f>IF(H258=1,NA(),D258)</f>
        <v/>
      </c>
      <c r="J258">
        <f>IF(AND(ISNUMBER(D258),D258&gt;=$O$4,OR($O$11=0,B258&gt;=$O$12)),1,0)</f>
        <v/>
      </c>
      <c r="K258">
        <f>B258-$O$14</f>
        <v/>
      </c>
    </row>
    <row r="259">
      <c r="A259" t="n">
        <v>771</v>
      </c>
      <c r="B259" t="n">
        <v>25.7</v>
      </c>
      <c r="C259" t="inlineStr">
        <is>
          <t>5806</t>
        </is>
      </c>
      <c r="D259" t="n">
        <v>58.06</v>
      </c>
      <c r="E259">
        <f>MEDIAN(D239:D279)</f>
        <v/>
      </c>
      <c r="F259">
        <f>E239</f>
        <v/>
      </c>
      <c r="G259">
        <f>F259-E259</f>
        <v/>
      </c>
      <c r="H259">
        <f>IF(OR(NOT(ISNUMBER(D259)),ABS(D259-E259)&gt;$O$3,AND($O$11=1,B259&lt;$O$12)),1,0)</f>
        <v/>
      </c>
      <c r="I259">
        <f>IF(H259=1,NA(),D259)</f>
        <v/>
      </c>
      <c r="J259">
        <f>IF(AND(ISNUMBER(D259),D259&gt;=$O$4,OR($O$11=0,B259&gt;=$O$12)),1,0)</f>
        <v/>
      </c>
      <c r="K259">
        <f>B259-$O$14</f>
        <v/>
      </c>
    </row>
    <row r="260">
      <c r="A260" t="n">
        <v>774</v>
      </c>
      <c r="B260" t="n">
        <v>25.8</v>
      </c>
      <c r="C260" t="inlineStr">
        <is>
          <t>5806</t>
        </is>
      </c>
      <c r="D260" t="n">
        <v>58.06</v>
      </c>
      <c r="E260">
        <f>MEDIAN(D240:D280)</f>
        <v/>
      </c>
      <c r="F260">
        <f>E240</f>
        <v/>
      </c>
      <c r="G260">
        <f>F260-E260</f>
        <v/>
      </c>
      <c r="H260">
        <f>IF(OR(NOT(ISNUMBER(D260)),ABS(D260-E260)&gt;$O$3,AND($O$11=1,B260&lt;$O$12)),1,0)</f>
        <v/>
      </c>
      <c r="I260">
        <f>IF(H260=1,NA(),D260)</f>
        <v/>
      </c>
      <c r="J260">
        <f>IF(AND(ISNUMBER(D260),D260&gt;=$O$4,OR($O$11=0,B260&gt;=$O$12)),1,0)</f>
        <v/>
      </c>
      <c r="K260">
        <f>B260-$O$14</f>
        <v/>
      </c>
    </row>
    <row r="261">
      <c r="A261" t="n">
        <v>777</v>
      </c>
      <c r="B261" t="n">
        <v>25.9</v>
      </c>
      <c r="C261" t="inlineStr">
        <is>
          <t>5807</t>
        </is>
      </c>
      <c r="D261" t="n">
        <v>58.07</v>
      </c>
      <c r="E261">
        <f>MEDIAN(D241:D281)</f>
        <v/>
      </c>
      <c r="F261">
        <f>E241</f>
        <v/>
      </c>
      <c r="G261">
        <f>F261-E261</f>
        <v/>
      </c>
      <c r="H261">
        <f>IF(OR(NOT(ISNUMBER(D261)),ABS(D261-E261)&gt;$O$3,AND($O$11=1,B261&lt;$O$12)),1,0)</f>
        <v/>
      </c>
      <c r="I261">
        <f>IF(H261=1,NA(),D261)</f>
        <v/>
      </c>
      <c r="J261">
        <f>IF(AND(ISNUMBER(D261),D261&gt;=$O$4,OR($O$11=0,B261&gt;=$O$12)),1,0)</f>
        <v/>
      </c>
      <c r="K261">
        <f>B261-$O$14</f>
        <v/>
      </c>
    </row>
    <row r="262">
      <c r="A262" t="n">
        <v>780</v>
      </c>
      <c r="B262" t="n">
        <v>26</v>
      </c>
      <c r="C262" t="inlineStr">
        <is>
          <t>22</t>
        </is>
      </c>
      <c r="D262" t="n">
        <v>0.22</v>
      </c>
      <c r="E262">
        <f>MEDIAN(D242:D282)</f>
        <v/>
      </c>
      <c r="F262">
        <f>E242</f>
        <v/>
      </c>
      <c r="G262">
        <f>F262-E262</f>
        <v/>
      </c>
      <c r="H262">
        <f>IF(OR(NOT(ISNUMBER(D262)),ABS(D262-E262)&gt;$O$3,AND($O$11=1,B262&lt;$O$12)),1,0)</f>
        <v/>
      </c>
      <c r="I262">
        <f>IF(H262=1,NA(),D262)</f>
        <v/>
      </c>
      <c r="J262">
        <f>IF(AND(ISNUMBER(D262),D262&gt;=$O$4,OR($O$11=0,B262&gt;=$O$12)),1,0)</f>
        <v/>
      </c>
      <c r="K262">
        <f>B262-$O$14</f>
        <v/>
      </c>
    </row>
    <row r="263">
      <c r="A263" t="n">
        <v>783</v>
      </c>
      <c r="B263" t="n">
        <v>26.1</v>
      </c>
      <c r="C263" t="inlineStr">
        <is>
          <t>22</t>
        </is>
      </c>
      <c r="D263" t="n">
        <v>0.22</v>
      </c>
      <c r="E263">
        <f>MEDIAN(D243:D283)</f>
        <v/>
      </c>
      <c r="F263">
        <f>E243</f>
        <v/>
      </c>
      <c r="G263">
        <f>F263-E263</f>
        <v/>
      </c>
      <c r="H263">
        <f>IF(OR(NOT(ISNUMBER(D263)),ABS(D263-E263)&gt;$O$3,AND($O$11=1,B263&lt;$O$12)),1,0)</f>
        <v/>
      </c>
      <c r="I263">
        <f>IF(H263=1,NA(),D263)</f>
        <v/>
      </c>
      <c r="J263">
        <f>IF(AND(ISNUMBER(D263),D263&gt;=$O$4,OR($O$11=0,B263&gt;=$O$12)),1,0)</f>
        <v/>
      </c>
      <c r="K263">
        <f>B263-$O$14</f>
        <v/>
      </c>
    </row>
    <row r="264">
      <c r="A264" t="n">
        <v>786</v>
      </c>
      <c r="B264" t="n">
        <v>26.2</v>
      </c>
      <c r="C264" t="inlineStr">
        <is>
          <t>523</t>
        </is>
      </c>
      <c r="D264" t="n">
        <v>5.23</v>
      </c>
      <c r="E264">
        <f>MEDIAN(D244:D284)</f>
        <v/>
      </c>
      <c r="F264">
        <f>E244</f>
        <v/>
      </c>
      <c r="G264">
        <f>F264-E264</f>
        <v/>
      </c>
      <c r="H264">
        <f>IF(OR(NOT(ISNUMBER(D264)),ABS(D264-E264)&gt;$O$3,AND($O$11=1,B264&lt;$O$12)),1,0)</f>
        <v/>
      </c>
      <c r="I264">
        <f>IF(H264=1,NA(),D264)</f>
        <v/>
      </c>
      <c r="J264">
        <f>IF(AND(ISNUMBER(D264),D264&gt;=$O$4,OR($O$11=0,B264&gt;=$O$12)),1,0)</f>
        <v/>
      </c>
      <c r="K264">
        <f>B264-$O$14</f>
        <v/>
      </c>
    </row>
    <row r="265">
      <c r="A265" t="n">
        <v>789</v>
      </c>
      <c r="B265" t="n">
        <v>26.3</v>
      </c>
      <c r="C265" t="inlineStr">
        <is>
          <t>5</t>
        </is>
      </c>
      <c r="D265" t="n">
        <v>0.05</v>
      </c>
      <c r="E265">
        <f>MEDIAN(D245:D285)</f>
        <v/>
      </c>
      <c r="F265">
        <f>E245</f>
        <v/>
      </c>
      <c r="G265">
        <f>F265-E265</f>
        <v/>
      </c>
      <c r="H265">
        <f>IF(OR(NOT(ISNUMBER(D265)),ABS(D265-E265)&gt;$O$3,AND($O$11=1,B265&lt;$O$12)),1,0)</f>
        <v/>
      </c>
      <c r="I265">
        <f>IF(H265=1,NA(),D265)</f>
        <v/>
      </c>
      <c r="J265">
        <f>IF(AND(ISNUMBER(D265),D265&gt;=$O$4,OR($O$11=0,B265&gt;=$O$12)),1,0)</f>
        <v/>
      </c>
      <c r="K265">
        <f>B265-$O$14</f>
        <v/>
      </c>
    </row>
    <row r="266">
      <c r="A266" t="n">
        <v>792</v>
      </c>
      <c r="B266" t="n">
        <v>26.4</v>
      </c>
      <c r="C266" t="inlineStr">
        <is>
          <t>540</t>
        </is>
      </c>
      <c r="D266" t="n">
        <v>5.4</v>
      </c>
      <c r="E266">
        <f>MEDIAN(D246:D286)</f>
        <v/>
      </c>
      <c r="F266">
        <f>E246</f>
        <v/>
      </c>
      <c r="G266">
        <f>F266-E266</f>
        <v/>
      </c>
      <c r="H266">
        <f>IF(OR(NOT(ISNUMBER(D266)),ABS(D266-E266)&gt;$O$3,AND($O$11=1,B266&lt;$O$12)),1,0)</f>
        <v/>
      </c>
      <c r="I266">
        <f>IF(H266=1,NA(),D266)</f>
        <v/>
      </c>
      <c r="J266">
        <f>IF(AND(ISNUMBER(D266),D266&gt;=$O$4,OR($O$11=0,B266&gt;=$O$12)),1,0)</f>
        <v/>
      </c>
      <c r="K266">
        <f>B266-$O$14</f>
        <v/>
      </c>
    </row>
    <row r="267">
      <c r="A267" t="n">
        <v>795</v>
      </c>
      <c r="B267" t="n">
        <v>26.5</v>
      </c>
      <c r="C267" t="inlineStr">
        <is>
          <t>545</t>
        </is>
      </c>
      <c r="D267" t="n">
        <v>5.45</v>
      </c>
      <c r="E267">
        <f>MEDIAN(D247:D287)</f>
        <v/>
      </c>
      <c r="F267">
        <f>E247</f>
        <v/>
      </c>
      <c r="G267">
        <f>F267-E267</f>
        <v/>
      </c>
      <c r="H267">
        <f>IF(OR(NOT(ISNUMBER(D267)),ABS(D267-E267)&gt;$O$3,AND($O$11=1,B267&lt;$O$12)),1,0)</f>
        <v/>
      </c>
      <c r="I267">
        <f>IF(H267=1,NA(),D267)</f>
        <v/>
      </c>
      <c r="J267">
        <f>IF(AND(ISNUMBER(D267),D267&gt;=$O$4,OR($O$11=0,B267&gt;=$O$12)),1,0)</f>
        <v/>
      </c>
      <c r="K267">
        <f>B267-$O$14</f>
        <v/>
      </c>
    </row>
    <row r="268">
      <c r="A268" t="n">
        <v>798</v>
      </c>
      <c r="B268" t="n">
        <v>26.6</v>
      </c>
      <c r="C268" t="inlineStr">
        <is>
          <t>5857</t>
        </is>
      </c>
      <c r="D268" t="n">
        <v>58.57</v>
      </c>
      <c r="E268">
        <f>MEDIAN(D248:D288)</f>
        <v/>
      </c>
      <c r="F268">
        <f>E248</f>
        <v/>
      </c>
      <c r="G268">
        <f>F268-E268</f>
        <v/>
      </c>
      <c r="H268">
        <f>IF(OR(NOT(ISNUMBER(D268)),ABS(D268-E268)&gt;$O$3,AND($O$11=1,B268&lt;$O$12)),1,0)</f>
        <v/>
      </c>
      <c r="I268">
        <f>IF(H268=1,NA(),D268)</f>
        <v/>
      </c>
      <c r="J268">
        <f>IF(AND(ISNUMBER(D268),D268&gt;=$O$4,OR($O$11=0,B268&gt;=$O$12)),1,0)</f>
        <v/>
      </c>
      <c r="K268">
        <f>B268-$O$14</f>
        <v/>
      </c>
    </row>
    <row r="269">
      <c r="A269" t="n">
        <v>801</v>
      </c>
      <c r="B269" t="n">
        <v>26.7</v>
      </c>
      <c r="E269">
        <f>MEDIAN(D249:D289)</f>
        <v/>
      </c>
      <c r="F269">
        <f>E249</f>
        <v/>
      </c>
      <c r="G269">
        <f>F269-E269</f>
        <v/>
      </c>
      <c r="H269">
        <f>IF(OR(NOT(ISNUMBER(D269)),ABS(D269-E269)&gt;$O$3,AND($O$11=1,B269&lt;$O$12)),1,0)</f>
        <v/>
      </c>
      <c r="I269">
        <f>IF(H269=1,NA(),D269)</f>
        <v/>
      </c>
      <c r="J269">
        <f>IF(AND(ISNUMBER(D269),D269&gt;=$O$4,OR($O$11=0,B269&gt;=$O$12)),1,0)</f>
        <v/>
      </c>
      <c r="K269">
        <f>B269-$O$14</f>
        <v/>
      </c>
    </row>
    <row r="270">
      <c r="A270" t="n">
        <v>804</v>
      </c>
      <c r="B270" t="n">
        <v>26.8</v>
      </c>
      <c r="C270" t="inlineStr">
        <is>
          <t>556</t>
        </is>
      </c>
      <c r="D270" t="n">
        <v>5.56</v>
      </c>
      <c r="E270">
        <f>MEDIAN(D250:D290)</f>
        <v/>
      </c>
      <c r="F270">
        <f>E250</f>
        <v/>
      </c>
      <c r="G270">
        <f>F270-E270</f>
        <v/>
      </c>
      <c r="H270">
        <f>IF(OR(NOT(ISNUMBER(D270)),ABS(D270-E270)&gt;$O$3,AND($O$11=1,B270&lt;$O$12)),1,0)</f>
        <v/>
      </c>
      <c r="I270">
        <f>IF(H270=1,NA(),D270)</f>
        <v/>
      </c>
      <c r="J270">
        <f>IF(AND(ISNUMBER(D270),D270&gt;=$O$4,OR($O$11=0,B270&gt;=$O$12)),1,0)</f>
        <v/>
      </c>
      <c r="K270">
        <f>B270-$O$14</f>
        <v/>
      </c>
    </row>
    <row r="271">
      <c r="A271" t="n">
        <v>807</v>
      </c>
      <c r="B271" t="n">
        <v>26.9</v>
      </c>
      <c r="C271" t="inlineStr">
        <is>
          <t>7?</t>
        </is>
      </c>
      <c r="E271">
        <f>MEDIAN(D251:D291)</f>
        <v/>
      </c>
      <c r="F271">
        <f>E251</f>
        <v/>
      </c>
      <c r="G271">
        <f>F271-E271</f>
        <v/>
      </c>
      <c r="H271">
        <f>IF(OR(NOT(ISNUMBER(D271)),ABS(D271-E271)&gt;$O$3,AND($O$11=1,B271&lt;$O$12)),1,0)</f>
        <v/>
      </c>
      <c r="I271">
        <f>IF(H271=1,NA(),D271)</f>
        <v/>
      </c>
      <c r="J271">
        <f>IF(AND(ISNUMBER(D271),D271&gt;=$O$4,OR($O$11=0,B271&gt;=$O$12)),1,0)</f>
        <v/>
      </c>
      <c r="K271">
        <f>B271-$O$14</f>
        <v/>
      </c>
    </row>
    <row r="272">
      <c r="A272" t="n">
        <v>810</v>
      </c>
      <c r="B272" t="n">
        <v>27</v>
      </c>
      <c r="C272" t="inlineStr">
        <is>
          <t>57?</t>
        </is>
      </c>
      <c r="E272">
        <f>MEDIAN(D252:D292)</f>
        <v/>
      </c>
      <c r="F272">
        <f>E252</f>
        <v/>
      </c>
      <c r="G272">
        <f>F272-E272</f>
        <v/>
      </c>
      <c r="H272">
        <f>IF(OR(NOT(ISNUMBER(D272)),ABS(D272-E272)&gt;$O$3,AND($O$11=1,B272&lt;$O$12)),1,0)</f>
        <v/>
      </c>
      <c r="I272">
        <f>IF(H272=1,NA(),D272)</f>
        <v/>
      </c>
      <c r="J272">
        <f>IF(AND(ISNUMBER(D272),D272&gt;=$O$4,OR($O$11=0,B272&gt;=$O$12)),1,0)</f>
        <v/>
      </c>
      <c r="K272">
        <f>B272-$O$14</f>
        <v/>
      </c>
    </row>
    <row r="273">
      <c r="A273" t="n">
        <v>813</v>
      </c>
      <c r="B273" t="n">
        <v>27.1</v>
      </c>
      <c r="C273" t="inlineStr">
        <is>
          <t>5875</t>
        </is>
      </c>
      <c r="D273" t="n">
        <v>58.75</v>
      </c>
      <c r="E273">
        <f>MEDIAN(D253:D293)</f>
        <v/>
      </c>
      <c r="F273">
        <f>E253</f>
        <v/>
      </c>
      <c r="G273">
        <f>F273-E273</f>
        <v/>
      </c>
      <c r="H273">
        <f>IF(OR(NOT(ISNUMBER(D273)),ABS(D273-E273)&gt;$O$3,AND($O$11=1,B273&lt;$O$12)),1,0)</f>
        <v/>
      </c>
      <c r="I273">
        <f>IF(H273=1,NA(),D273)</f>
        <v/>
      </c>
      <c r="J273">
        <f>IF(AND(ISNUMBER(D273),D273&gt;=$O$4,OR($O$11=0,B273&gt;=$O$12)),1,0)</f>
        <v/>
      </c>
      <c r="K273">
        <f>B273-$O$14</f>
        <v/>
      </c>
    </row>
    <row r="274">
      <c r="A274" t="n">
        <v>816</v>
      </c>
      <c r="B274" t="n">
        <v>27.2</v>
      </c>
      <c r="C274" t="inlineStr">
        <is>
          <t>5885</t>
        </is>
      </c>
      <c r="D274" t="n">
        <v>58.85</v>
      </c>
      <c r="E274">
        <f>MEDIAN(D254:D294)</f>
        <v/>
      </c>
      <c r="F274">
        <f>E254</f>
        <v/>
      </c>
      <c r="G274">
        <f>F274-E274</f>
        <v/>
      </c>
      <c r="H274">
        <f>IF(OR(NOT(ISNUMBER(D274)),ABS(D274-E274)&gt;$O$3,AND($O$11=1,B274&lt;$O$12)),1,0)</f>
        <v/>
      </c>
      <c r="I274">
        <f>IF(H274=1,NA(),D274)</f>
        <v/>
      </c>
      <c r="J274">
        <f>IF(AND(ISNUMBER(D274),D274&gt;=$O$4,OR($O$11=0,B274&gt;=$O$12)),1,0)</f>
        <v/>
      </c>
      <c r="K274">
        <f>B274-$O$14</f>
        <v/>
      </c>
    </row>
    <row r="275">
      <c r="A275" t="n">
        <v>819</v>
      </c>
      <c r="B275" t="n">
        <v>27.3</v>
      </c>
      <c r="C275" t="inlineStr">
        <is>
          <t>590</t>
        </is>
      </c>
      <c r="D275" t="n">
        <v>5.9</v>
      </c>
      <c r="E275">
        <f>MEDIAN(D255:D295)</f>
        <v/>
      </c>
      <c r="F275">
        <f>E255</f>
        <v/>
      </c>
      <c r="G275">
        <f>F275-E275</f>
        <v/>
      </c>
      <c r="H275">
        <f>IF(OR(NOT(ISNUMBER(D275)),ABS(D275-E275)&gt;$O$3,AND($O$11=1,B275&lt;$O$12)),1,0)</f>
        <v/>
      </c>
      <c r="I275">
        <f>IF(H275=1,NA(),D275)</f>
        <v/>
      </c>
      <c r="J275">
        <f>IF(AND(ISNUMBER(D275),D275&gt;=$O$4,OR($O$11=0,B275&gt;=$O$12)),1,0)</f>
        <v/>
      </c>
      <c r="K275">
        <f>B275-$O$14</f>
        <v/>
      </c>
    </row>
    <row r="276">
      <c r="A276" t="n">
        <v>822</v>
      </c>
      <c r="B276" t="n">
        <v>27.4</v>
      </c>
      <c r="C276" t="inlineStr">
        <is>
          <t>95</t>
        </is>
      </c>
      <c r="D276" t="n">
        <v>0.95</v>
      </c>
      <c r="E276">
        <f>MEDIAN(D256:D296)</f>
        <v/>
      </c>
      <c r="F276">
        <f>E256</f>
        <v/>
      </c>
      <c r="G276">
        <f>F276-E276</f>
        <v/>
      </c>
      <c r="H276">
        <f>IF(OR(NOT(ISNUMBER(D276)),ABS(D276-E276)&gt;$O$3,AND($O$11=1,B276&lt;$O$12)),1,0)</f>
        <v/>
      </c>
      <c r="I276">
        <f>IF(H276=1,NA(),D276)</f>
        <v/>
      </c>
      <c r="J276">
        <f>IF(AND(ISNUMBER(D276),D276&gt;=$O$4,OR($O$11=0,B276&gt;=$O$12)),1,0)</f>
        <v/>
      </c>
      <c r="K276">
        <f>B276-$O$14</f>
        <v/>
      </c>
    </row>
    <row r="277">
      <c r="A277" t="n">
        <v>825</v>
      </c>
      <c r="B277" t="n">
        <v>27.5</v>
      </c>
      <c r="C277" t="inlineStr">
        <is>
          <t>592</t>
        </is>
      </c>
      <c r="D277" t="n">
        <v>5.92</v>
      </c>
      <c r="E277">
        <f>MEDIAN(D257:D297)</f>
        <v/>
      </c>
      <c r="F277">
        <f>E257</f>
        <v/>
      </c>
      <c r="G277">
        <f>F277-E277</f>
        <v/>
      </c>
      <c r="H277">
        <f>IF(OR(NOT(ISNUMBER(D277)),ABS(D277-E277)&gt;$O$3,AND($O$11=1,B277&lt;$O$12)),1,0)</f>
        <v/>
      </c>
      <c r="I277">
        <f>IF(H277=1,NA(),D277)</f>
        <v/>
      </c>
      <c r="J277">
        <f>IF(AND(ISNUMBER(D277),D277&gt;=$O$4,OR($O$11=0,B277&gt;=$O$12)),1,0)</f>
        <v/>
      </c>
      <c r="K277">
        <f>B277-$O$14</f>
        <v/>
      </c>
    </row>
    <row r="278">
      <c r="A278" t="n">
        <v>828</v>
      </c>
      <c r="B278" t="n">
        <v>27.6</v>
      </c>
      <c r="C278" t="inlineStr">
        <is>
          <t>540</t>
        </is>
      </c>
      <c r="D278" t="n">
        <v>5.4</v>
      </c>
      <c r="E278">
        <f>MEDIAN(D258:D298)</f>
        <v/>
      </c>
      <c r="F278">
        <f>E258</f>
        <v/>
      </c>
      <c r="G278">
        <f>F278-E278</f>
        <v/>
      </c>
      <c r="H278">
        <f>IF(OR(NOT(ISNUMBER(D278)),ABS(D278-E278)&gt;$O$3,AND($O$11=1,B278&lt;$O$12)),1,0)</f>
        <v/>
      </c>
      <c r="I278">
        <f>IF(H278=1,NA(),D278)</f>
        <v/>
      </c>
      <c r="J278">
        <f>IF(AND(ISNUMBER(D278),D278&gt;=$O$4,OR($O$11=0,B278&gt;=$O$12)),1,0)</f>
        <v/>
      </c>
      <c r="K278">
        <f>B278-$O$14</f>
        <v/>
      </c>
    </row>
    <row r="279">
      <c r="A279" t="n">
        <v>831</v>
      </c>
      <c r="B279" t="n">
        <v>27.7</v>
      </c>
      <c r="C279" t="inlineStr">
        <is>
          <t>5410</t>
        </is>
      </c>
      <c r="D279" t="n">
        <v>54.1</v>
      </c>
      <c r="E279">
        <f>MEDIAN(D259:D299)</f>
        <v/>
      </c>
      <c r="F279">
        <f>E259</f>
        <v/>
      </c>
      <c r="G279">
        <f>F279-E279</f>
        <v/>
      </c>
      <c r="H279">
        <f>IF(OR(NOT(ISNUMBER(D279)),ABS(D279-E279)&gt;$O$3,AND($O$11=1,B279&lt;$O$12)),1,0)</f>
        <v/>
      </c>
      <c r="I279">
        <f>IF(H279=1,NA(),D279)</f>
        <v/>
      </c>
      <c r="J279">
        <f>IF(AND(ISNUMBER(D279),D279&gt;=$O$4,OR($O$11=0,B279&gt;=$O$12)),1,0)</f>
        <v/>
      </c>
      <c r="K279">
        <f>B279-$O$14</f>
        <v/>
      </c>
    </row>
    <row r="280">
      <c r="A280" t="n">
        <v>834</v>
      </c>
      <c r="B280" t="n">
        <v>27.8</v>
      </c>
      <c r="C280" t="inlineStr">
        <is>
          <t>515</t>
        </is>
      </c>
      <c r="D280" t="n">
        <v>5.15</v>
      </c>
      <c r="E280">
        <f>MEDIAN(D260:D300)</f>
        <v/>
      </c>
      <c r="F280">
        <f>E260</f>
        <v/>
      </c>
      <c r="G280">
        <f>F280-E280</f>
        <v/>
      </c>
      <c r="H280">
        <f>IF(OR(NOT(ISNUMBER(D280)),ABS(D280-E280)&gt;$O$3,AND($O$11=1,B280&lt;$O$12)),1,0)</f>
        <v/>
      </c>
      <c r="I280">
        <f>IF(H280=1,NA(),D280)</f>
        <v/>
      </c>
      <c r="J280">
        <f>IF(AND(ISNUMBER(D280),D280&gt;=$O$4,OR($O$11=0,B280&gt;=$O$12)),1,0)</f>
        <v/>
      </c>
      <c r="K280">
        <f>B280-$O$14</f>
        <v/>
      </c>
    </row>
    <row r="281">
      <c r="A281" t="n">
        <v>837</v>
      </c>
      <c r="B281" t="n">
        <v>27.9</v>
      </c>
      <c r="C281" t="inlineStr">
        <is>
          <t>512</t>
        </is>
      </c>
      <c r="D281" t="n">
        <v>5.12</v>
      </c>
      <c r="E281">
        <f>MEDIAN(D261:D301)</f>
        <v/>
      </c>
      <c r="F281">
        <f>E261</f>
        <v/>
      </c>
      <c r="G281">
        <f>F281-E281</f>
        <v/>
      </c>
      <c r="H281">
        <f>IF(OR(NOT(ISNUMBER(D281)),ABS(D281-E281)&gt;$O$3,AND($O$11=1,B281&lt;$O$12)),1,0)</f>
        <v/>
      </c>
      <c r="I281">
        <f>IF(H281=1,NA(),D281)</f>
        <v/>
      </c>
      <c r="J281">
        <f>IF(AND(ISNUMBER(D281),D281&gt;=$O$4,OR($O$11=0,B281&gt;=$O$12)),1,0)</f>
        <v/>
      </c>
      <c r="K281">
        <f>B281-$O$14</f>
        <v/>
      </c>
    </row>
    <row r="282">
      <c r="A282" t="n">
        <v>840</v>
      </c>
      <c r="B282" t="n">
        <v>28</v>
      </c>
      <c r="C282" t="inlineStr">
        <is>
          <t>5430</t>
        </is>
      </c>
      <c r="D282" t="n">
        <v>54.3</v>
      </c>
      <c r="E282">
        <f>MEDIAN(D262:D302)</f>
        <v/>
      </c>
      <c r="F282">
        <f>E262</f>
        <v/>
      </c>
      <c r="G282">
        <f>F282-E282</f>
        <v/>
      </c>
      <c r="H282">
        <f>IF(OR(NOT(ISNUMBER(D282)),ABS(D282-E282)&gt;$O$3,AND($O$11=1,B282&lt;$O$12)),1,0)</f>
        <v/>
      </c>
      <c r="I282">
        <f>IF(H282=1,NA(),D282)</f>
        <v/>
      </c>
      <c r="J282">
        <f>IF(AND(ISNUMBER(D282),D282&gt;=$O$4,OR($O$11=0,B282&gt;=$O$12)),1,0)</f>
        <v/>
      </c>
      <c r="K282">
        <f>B282-$O$14</f>
        <v/>
      </c>
    </row>
    <row r="283">
      <c r="A283" t="n">
        <v>843</v>
      </c>
      <c r="B283" t="n">
        <v>28.1</v>
      </c>
      <c r="C283" t="inlineStr">
        <is>
          <t>5</t>
        </is>
      </c>
      <c r="D283" t="n">
        <v>0.05</v>
      </c>
      <c r="E283">
        <f>MEDIAN(D263:D303)</f>
        <v/>
      </c>
      <c r="F283">
        <f>E263</f>
        <v/>
      </c>
      <c r="G283">
        <f>F283-E283</f>
        <v/>
      </c>
      <c r="H283">
        <f>IF(OR(NOT(ISNUMBER(D283)),ABS(D283-E283)&gt;$O$3,AND($O$11=1,B283&lt;$O$12)),1,0)</f>
        <v/>
      </c>
      <c r="I283">
        <f>IF(H283=1,NA(),D283)</f>
        <v/>
      </c>
      <c r="J283">
        <f>IF(AND(ISNUMBER(D283),D283&gt;=$O$4,OR($O$11=0,B283&gt;=$O$12)),1,0)</f>
        <v/>
      </c>
      <c r="K283">
        <f>B283-$O$14</f>
        <v/>
      </c>
    </row>
    <row r="284">
      <c r="A284" t="n">
        <v>846</v>
      </c>
      <c r="B284" t="n">
        <v>28.2</v>
      </c>
      <c r="C284" t="inlineStr">
        <is>
          <t>5435</t>
        </is>
      </c>
      <c r="D284" t="n">
        <v>54.35</v>
      </c>
      <c r="E284">
        <f>MEDIAN(D264:D304)</f>
        <v/>
      </c>
      <c r="F284">
        <f>E264</f>
        <v/>
      </c>
      <c r="G284">
        <f>F284-E284</f>
        <v/>
      </c>
      <c r="H284">
        <f>IF(OR(NOT(ISNUMBER(D284)),ABS(D284-E284)&gt;$O$3,AND($O$11=1,B284&lt;$O$12)),1,0)</f>
        <v/>
      </c>
      <c r="I284">
        <f>IF(H284=1,NA(),D284)</f>
        <v/>
      </c>
      <c r="J284">
        <f>IF(AND(ISNUMBER(D284),D284&gt;=$O$4,OR($O$11=0,B284&gt;=$O$12)),1,0)</f>
        <v/>
      </c>
      <c r="K284">
        <f>B284-$O$14</f>
        <v/>
      </c>
    </row>
    <row r="285">
      <c r="A285" t="n">
        <v>849</v>
      </c>
      <c r="B285" t="n">
        <v>28.3</v>
      </c>
      <c r="C285" t="inlineStr">
        <is>
          <t>5432</t>
        </is>
      </c>
      <c r="D285" t="n">
        <v>54.32</v>
      </c>
      <c r="E285">
        <f>MEDIAN(D265:D305)</f>
        <v/>
      </c>
      <c r="F285">
        <f>E265</f>
        <v/>
      </c>
      <c r="G285">
        <f>F285-E285</f>
        <v/>
      </c>
      <c r="H285">
        <f>IF(OR(NOT(ISNUMBER(D285)),ABS(D285-E285)&gt;$O$3,AND($O$11=1,B285&lt;$O$12)),1,0)</f>
        <v/>
      </c>
      <c r="I285">
        <f>IF(H285=1,NA(),D285)</f>
        <v/>
      </c>
      <c r="J285">
        <f>IF(AND(ISNUMBER(D285),D285&gt;=$O$4,OR($O$11=0,B285&gt;=$O$12)),1,0)</f>
        <v/>
      </c>
      <c r="K285">
        <f>B285-$O$14</f>
        <v/>
      </c>
    </row>
    <row r="286">
      <c r="A286" t="n">
        <v>852</v>
      </c>
      <c r="B286" t="n">
        <v>28.4</v>
      </c>
      <c r="C286" t="inlineStr">
        <is>
          <t>545</t>
        </is>
      </c>
      <c r="D286" t="n">
        <v>5.45</v>
      </c>
      <c r="E286">
        <f>MEDIAN(D266:D306)</f>
        <v/>
      </c>
      <c r="F286">
        <f>E266</f>
        <v/>
      </c>
      <c r="G286">
        <f>F286-E286</f>
        <v/>
      </c>
      <c r="H286">
        <f>IF(OR(NOT(ISNUMBER(D286)),ABS(D286-E286)&gt;$O$3,AND($O$11=1,B286&lt;$O$12)),1,0)</f>
        <v/>
      </c>
      <c r="I286">
        <f>IF(H286=1,NA(),D286)</f>
        <v/>
      </c>
      <c r="J286">
        <f>IF(AND(ISNUMBER(D286),D286&gt;=$O$4,OR($O$11=0,B286&gt;=$O$12)),1,0)</f>
        <v/>
      </c>
      <c r="K286">
        <f>B286-$O$14</f>
        <v/>
      </c>
    </row>
    <row r="287">
      <c r="A287" t="n">
        <v>855</v>
      </c>
      <c r="B287" t="n">
        <v>28.5</v>
      </c>
      <c r="C287" t="inlineStr">
        <is>
          <t>50</t>
        </is>
      </c>
      <c r="D287" t="n">
        <v>0.5</v>
      </c>
      <c r="E287">
        <f>MEDIAN(D267:D307)</f>
        <v/>
      </c>
      <c r="F287">
        <f>E267</f>
        <v/>
      </c>
      <c r="G287">
        <f>F287-E287</f>
        <v/>
      </c>
      <c r="H287">
        <f>IF(OR(NOT(ISNUMBER(D287)),ABS(D287-E287)&gt;$O$3,AND($O$11=1,B287&lt;$O$12)),1,0)</f>
        <v/>
      </c>
      <c r="I287">
        <f>IF(H287=1,NA(),D287)</f>
        <v/>
      </c>
      <c r="J287">
        <f>IF(AND(ISNUMBER(D287),D287&gt;=$O$4,OR($O$11=0,B287&gt;=$O$12)),1,0)</f>
        <v/>
      </c>
      <c r="K287">
        <f>B287-$O$14</f>
        <v/>
      </c>
    </row>
    <row r="288">
      <c r="A288" t="n">
        <v>858</v>
      </c>
      <c r="B288" t="n">
        <v>28.6</v>
      </c>
      <c r="C288" t="inlineStr">
        <is>
          <t>57</t>
        </is>
      </c>
      <c r="D288" t="n">
        <v>0.57</v>
      </c>
      <c r="E288">
        <f>MEDIAN(D268:D308)</f>
        <v/>
      </c>
      <c r="F288">
        <f>E268</f>
        <v/>
      </c>
      <c r="G288">
        <f>F288-E288</f>
        <v/>
      </c>
      <c r="H288">
        <f>IF(OR(NOT(ISNUMBER(D288)),ABS(D288-E288)&gt;$O$3,AND($O$11=1,B288&lt;$O$12)),1,0)</f>
        <v/>
      </c>
      <c r="I288">
        <f>IF(H288=1,NA(),D288)</f>
        <v/>
      </c>
      <c r="J288">
        <f>IF(AND(ISNUMBER(D288),D288&gt;=$O$4,OR($O$11=0,B288&gt;=$O$12)),1,0)</f>
        <v/>
      </c>
      <c r="K288">
        <f>B288-$O$14</f>
        <v/>
      </c>
    </row>
    <row r="289">
      <c r="A289" t="n">
        <v>861</v>
      </c>
      <c r="B289" t="n">
        <v>28.7</v>
      </c>
      <c r="C289" t="inlineStr">
        <is>
          <t>5</t>
        </is>
      </c>
      <c r="D289" t="n">
        <v>0.05</v>
      </c>
      <c r="E289">
        <f>MEDIAN(D269:D309)</f>
        <v/>
      </c>
      <c r="F289">
        <f>E269</f>
        <v/>
      </c>
      <c r="G289">
        <f>F289-E289</f>
        <v/>
      </c>
      <c r="H289">
        <f>IF(OR(NOT(ISNUMBER(D289)),ABS(D289-E289)&gt;$O$3,AND($O$11=1,B289&lt;$O$12)),1,0)</f>
        <v/>
      </c>
      <c r="I289">
        <f>IF(H289=1,NA(),D289)</f>
        <v/>
      </c>
      <c r="J289">
        <f>IF(AND(ISNUMBER(D289),D289&gt;=$O$4,OR($O$11=0,B289&gt;=$O$12)),1,0)</f>
        <v/>
      </c>
      <c r="K289">
        <f>B289-$O$14</f>
        <v/>
      </c>
    </row>
    <row r="290">
      <c r="A290" t="n">
        <v>864</v>
      </c>
      <c r="B290" t="n">
        <v>28.8</v>
      </c>
      <c r="C290" t="inlineStr">
        <is>
          <t>5965</t>
        </is>
      </c>
      <c r="D290" t="n">
        <v>59.65</v>
      </c>
      <c r="E290">
        <f>MEDIAN(D270:D310)</f>
        <v/>
      </c>
      <c r="F290">
        <f>E270</f>
        <v/>
      </c>
      <c r="G290">
        <f>F290-E290</f>
        <v/>
      </c>
      <c r="H290">
        <f>IF(OR(NOT(ISNUMBER(D290)),ABS(D290-E290)&gt;$O$3,AND($O$11=1,B290&lt;$O$12)),1,0)</f>
        <v/>
      </c>
      <c r="I290">
        <f>IF(H290=1,NA(),D290)</f>
        <v/>
      </c>
      <c r="J290">
        <f>IF(AND(ISNUMBER(D290),D290&gt;=$O$4,OR($O$11=0,B290&gt;=$O$12)),1,0)</f>
        <v/>
      </c>
      <c r="K290">
        <f>B290-$O$14</f>
        <v/>
      </c>
    </row>
    <row r="291">
      <c r="A291" t="n">
        <v>867</v>
      </c>
      <c r="B291" t="n">
        <v>28.9</v>
      </c>
      <c r="C291" t="inlineStr">
        <is>
          <t>565</t>
        </is>
      </c>
      <c r="D291" t="n">
        <v>5.65</v>
      </c>
      <c r="E291">
        <f>MEDIAN(D271:D311)</f>
        <v/>
      </c>
      <c r="F291">
        <f>E271</f>
        <v/>
      </c>
      <c r="G291">
        <f>F291-E291</f>
        <v/>
      </c>
      <c r="H291">
        <f>IF(OR(NOT(ISNUMBER(D291)),ABS(D291-E291)&gt;$O$3,AND($O$11=1,B291&lt;$O$12)),1,0)</f>
        <v/>
      </c>
      <c r="I291">
        <f>IF(H291=1,NA(),D291)</f>
        <v/>
      </c>
      <c r="J291">
        <f>IF(AND(ISNUMBER(D291),D291&gt;=$O$4,OR($O$11=0,B291&gt;=$O$12)),1,0)</f>
        <v/>
      </c>
      <c r="K291">
        <f>B291-$O$14</f>
        <v/>
      </c>
    </row>
    <row r="292">
      <c r="A292" t="n">
        <v>870</v>
      </c>
      <c r="B292" t="n">
        <v>29</v>
      </c>
      <c r="C292" t="inlineStr">
        <is>
          <t>5470</t>
        </is>
      </c>
      <c r="D292" t="n">
        <v>54.7</v>
      </c>
      <c r="E292">
        <f>MEDIAN(D272:D312)</f>
        <v/>
      </c>
      <c r="F292">
        <f>E272</f>
        <v/>
      </c>
      <c r="G292">
        <f>F292-E292</f>
        <v/>
      </c>
      <c r="H292">
        <f>IF(OR(NOT(ISNUMBER(D292)),ABS(D292-E292)&gt;$O$3,AND($O$11=1,B292&lt;$O$12)),1,0)</f>
        <v/>
      </c>
      <c r="I292">
        <f>IF(H292=1,NA(),D292)</f>
        <v/>
      </c>
      <c r="J292">
        <f>IF(AND(ISNUMBER(D292),D292&gt;=$O$4,OR($O$11=0,B292&gt;=$O$12)),1,0)</f>
        <v/>
      </c>
      <c r="K292">
        <f>B292-$O$14</f>
        <v/>
      </c>
    </row>
    <row r="293">
      <c r="A293" t="n">
        <v>873</v>
      </c>
      <c r="B293" t="n">
        <v>29.1</v>
      </c>
      <c r="C293" t="inlineStr">
        <is>
          <t>5475</t>
        </is>
      </c>
      <c r="D293" t="n">
        <v>54.75</v>
      </c>
      <c r="E293">
        <f>MEDIAN(D273:D313)</f>
        <v/>
      </c>
      <c r="F293">
        <f>E273</f>
        <v/>
      </c>
      <c r="G293">
        <f>F293-E293</f>
        <v/>
      </c>
      <c r="H293">
        <f>IF(OR(NOT(ISNUMBER(D293)),ABS(D293-E293)&gt;$O$3,AND($O$11=1,B293&lt;$O$12)),1,0)</f>
        <v/>
      </c>
      <c r="I293">
        <f>IF(H293=1,NA(),D293)</f>
        <v/>
      </c>
      <c r="J293">
        <f>IF(AND(ISNUMBER(D293),D293&gt;=$O$4,OR($O$11=0,B293&gt;=$O$12)),1,0)</f>
        <v/>
      </c>
      <c r="K293">
        <f>B293-$O$14</f>
        <v/>
      </c>
    </row>
    <row r="294">
      <c r="A294" t="n">
        <v>876</v>
      </c>
      <c r="B294" t="n">
        <v>29.2</v>
      </c>
      <c r="C294" t="inlineStr">
        <is>
          <t>596</t>
        </is>
      </c>
      <c r="D294" t="n">
        <v>5.96</v>
      </c>
      <c r="E294">
        <f>MEDIAN(D274:D314)</f>
        <v/>
      </c>
      <c r="F294">
        <f>E274</f>
        <v/>
      </c>
      <c r="G294">
        <f>F294-E294</f>
        <v/>
      </c>
      <c r="H294">
        <f>IF(OR(NOT(ISNUMBER(D294)),ABS(D294-E294)&gt;$O$3,AND($O$11=1,B294&lt;$O$12)),1,0)</f>
        <v/>
      </c>
      <c r="I294">
        <f>IF(H294=1,NA(),D294)</f>
        <v/>
      </c>
      <c r="J294">
        <f>IF(AND(ISNUMBER(D294),D294&gt;=$O$4,OR($O$11=0,B294&gt;=$O$12)),1,0)</f>
        <v/>
      </c>
      <c r="K294">
        <f>B294-$O$14</f>
        <v/>
      </c>
    </row>
    <row r="295">
      <c r="A295" t="n">
        <v>879</v>
      </c>
      <c r="B295" t="n">
        <v>29.3</v>
      </c>
      <c r="C295" t="inlineStr">
        <is>
          <t>596</t>
        </is>
      </c>
      <c r="D295" t="n">
        <v>5.96</v>
      </c>
      <c r="E295">
        <f>MEDIAN(D275:D315)</f>
        <v/>
      </c>
      <c r="F295">
        <f>E275</f>
        <v/>
      </c>
      <c r="G295">
        <f>F295-E295</f>
        <v/>
      </c>
      <c r="H295">
        <f>IF(OR(NOT(ISNUMBER(D295)),ABS(D295-E295)&gt;$O$3,AND($O$11=1,B295&lt;$O$12)),1,0)</f>
        <v/>
      </c>
      <c r="I295">
        <f>IF(H295=1,NA(),D295)</f>
        <v/>
      </c>
      <c r="J295">
        <f>IF(AND(ISNUMBER(D295),D295&gt;=$O$4,OR($O$11=0,B295&gt;=$O$12)),1,0)</f>
        <v/>
      </c>
      <c r="K295">
        <f>B295-$O$14</f>
        <v/>
      </c>
    </row>
    <row r="296">
      <c r="A296" t="n">
        <v>882</v>
      </c>
      <c r="B296" t="n">
        <v>29.4</v>
      </c>
      <c r="C296" t="inlineStr">
        <is>
          <t>58?</t>
        </is>
      </c>
      <c r="E296">
        <f>MEDIAN(D276:D316)</f>
        <v/>
      </c>
      <c r="F296">
        <f>E276</f>
        <v/>
      </c>
      <c r="G296">
        <f>F296-E296</f>
        <v/>
      </c>
      <c r="H296">
        <f>IF(OR(NOT(ISNUMBER(D296)),ABS(D296-E296)&gt;$O$3,AND($O$11=1,B296&lt;$O$12)),1,0)</f>
        <v/>
      </c>
      <c r="I296">
        <f>IF(H296=1,NA(),D296)</f>
        <v/>
      </c>
      <c r="J296">
        <f>IF(AND(ISNUMBER(D296),D296&gt;=$O$4,OR($O$11=0,B296&gt;=$O$12)),1,0)</f>
        <v/>
      </c>
      <c r="K296">
        <f>B296-$O$14</f>
        <v/>
      </c>
    </row>
    <row r="297">
      <c r="A297" t="n">
        <v>885</v>
      </c>
      <c r="B297" t="n">
        <v>29.5</v>
      </c>
      <c r="C297" t="inlineStr">
        <is>
          <t>5</t>
        </is>
      </c>
      <c r="D297" t="n">
        <v>0.05</v>
      </c>
      <c r="E297">
        <f>MEDIAN(D277:D317)</f>
        <v/>
      </c>
      <c r="F297">
        <f>E277</f>
        <v/>
      </c>
      <c r="G297">
        <f>F297-E297</f>
        <v/>
      </c>
      <c r="H297">
        <f>IF(OR(NOT(ISNUMBER(D297)),ABS(D297-E297)&gt;$O$3,AND($O$11=1,B297&lt;$O$12)),1,0)</f>
        <v/>
      </c>
      <c r="I297">
        <f>IF(H297=1,NA(),D297)</f>
        <v/>
      </c>
      <c r="J297">
        <f>IF(AND(ISNUMBER(D297),D297&gt;=$O$4,OR($O$11=0,B297&gt;=$O$12)),1,0)</f>
        <v/>
      </c>
      <c r="K297">
        <f>B297-$O$14</f>
        <v/>
      </c>
    </row>
    <row r="298">
      <c r="A298" t="n">
        <v>888</v>
      </c>
      <c r="B298" t="n">
        <v>29.6</v>
      </c>
      <c r="C298" t="inlineStr">
        <is>
          <t>590</t>
        </is>
      </c>
      <c r="D298" t="n">
        <v>5.9</v>
      </c>
      <c r="E298">
        <f>MEDIAN(D278:D318)</f>
        <v/>
      </c>
      <c r="F298">
        <f>E278</f>
        <v/>
      </c>
      <c r="G298">
        <f>F298-E298</f>
        <v/>
      </c>
      <c r="H298">
        <f>IF(OR(NOT(ISNUMBER(D298)),ABS(D298-E298)&gt;$O$3,AND($O$11=1,B298&lt;$O$12)),1,0)</f>
        <v/>
      </c>
      <c r="I298">
        <f>IF(H298=1,NA(),D298)</f>
        <v/>
      </c>
      <c r="J298">
        <f>IF(AND(ISNUMBER(D298),D298&gt;=$O$4,OR($O$11=0,B298&gt;=$O$12)),1,0)</f>
        <v/>
      </c>
      <c r="K298">
        <f>B298-$O$14</f>
        <v/>
      </c>
    </row>
    <row r="299">
      <c r="A299" t="n">
        <v>891</v>
      </c>
      <c r="B299" t="n">
        <v>29.7</v>
      </c>
      <c r="C299" t="inlineStr">
        <is>
          <t>596</t>
        </is>
      </c>
      <c r="D299" t="n">
        <v>5.96</v>
      </c>
      <c r="E299">
        <f>MEDIAN(D279:D319)</f>
        <v/>
      </c>
      <c r="F299">
        <f>E279</f>
        <v/>
      </c>
      <c r="G299">
        <f>F299-E299</f>
        <v/>
      </c>
      <c r="H299">
        <f>IF(OR(NOT(ISNUMBER(D299)),ABS(D299-E299)&gt;$O$3,AND($O$11=1,B299&lt;$O$12)),1,0)</f>
        <v/>
      </c>
      <c r="I299">
        <f>IF(H299=1,NA(),D299)</f>
        <v/>
      </c>
      <c r="J299">
        <f>IF(AND(ISNUMBER(D299),D299&gt;=$O$4,OR($O$11=0,B299&gt;=$O$12)),1,0)</f>
        <v/>
      </c>
      <c r="K299">
        <f>B299-$O$14</f>
        <v/>
      </c>
    </row>
    <row r="300">
      <c r="A300" t="n">
        <v>894</v>
      </c>
      <c r="B300" t="n">
        <v>29.8</v>
      </c>
      <c r="C300" t="inlineStr">
        <is>
          <t>606</t>
        </is>
      </c>
      <c r="D300" t="n">
        <v>6.06</v>
      </c>
      <c r="E300">
        <f>MEDIAN(D280:D320)</f>
        <v/>
      </c>
      <c r="F300">
        <f>E280</f>
        <v/>
      </c>
      <c r="G300">
        <f>F300-E300</f>
        <v/>
      </c>
      <c r="H300">
        <f>IF(OR(NOT(ISNUMBER(D300)),ABS(D300-E300)&gt;$O$3,AND($O$11=1,B300&lt;$O$12)),1,0)</f>
        <v/>
      </c>
      <c r="I300">
        <f>IF(H300=1,NA(),D300)</f>
        <v/>
      </c>
      <c r="J300">
        <f>IF(AND(ISNUMBER(D300),D300&gt;=$O$4,OR($O$11=0,B300&gt;=$O$12)),1,0)</f>
        <v/>
      </c>
      <c r="K300">
        <f>B300-$O$14</f>
        <v/>
      </c>
    </row>
    <row r="301">
      <c r="A301" t="n">
        <v>897</v>
      </c>
      <c r="B301" t="n">
        <v>29.9</v>
      </c>
      <c r="C301" t="inlineStr">
        <is>
          <t>6006</t>
        </is>
      </c>
      <c r="D301" t="n">
        <v>60.06</v>
      </c>
      <c r="E301">
        <f>MEDIAN(D281:D321)</f>
        <v/>
      </c>
      <c r="F301">
        <f>E281</f>
        <v/>
      </c>
      <c r="G301">
        <f>F301-E301</f>
        <v/>
      </c>
      <c r="H301">
        <f>IF(OR(NOT(ISNUMBER(D301)),ABS(D301-E301)&gt;$O$3,AND($O$11=1,B301&lt;$O$12)),1,0)</f>
        <v/>
      </c>
      <c r="I301">
        <f>IF(H301=1,NA(),D301)</f>
        <v/>
      </c>
      <c r="J301">
        <f>IF(AND(ISNUMBER(D301),D301&gt;=$O$4,OR($O$11=0,B301&gt;=$O$12)),1,0)</f>
        <v/>
      </c>
      <c r="K301">
        <f>B301-$O$14</f>
        <v/>
      </c>
    </row>
    <row r="302">
      <c r="A302" t="n">
        <v>900</v>
      </c>
      <c r="B302" t="n">
        <v>30</v>
      </c>
      <c r="C302" t="inlineStr">
        <is>
          <t>05</t>
        </is>
      </c>
      <c r="D302" t="n">
        <v>0.05</v>
      </c>
      <c r="E302">
        <f>MEDIAN(D282:D322)</f>
        <v/>
      </c>
      <c r="F302">
        <f>E282</f>
        <v/>
      </c>
      <c r="G302">
        <f>F302-E302</f>
        <v/>
      </c>
      <c r="H302">
        <f>IF(OR(NOT(ISNUMBER(D302)),ABS(D302-E302)&gt;$O$3,AND($O$11=1,B302&lt;$O$12)),1,0)</f>
        <v/>
      </c>
      <c r="I302">
        <f>IF(H302=1,NA(),D302)</f>
        <v/>
      </c>
      <c r="J302">
        <f>IF(AND(ISNUMBER(D302),D302&gt;=$O$4,OR($O$11=0,B302&gt;=$O$12)),1,0)</f>
        <v/>
      </c>
      <c r="K302">
        <f>B302-$O$14</f>
        <v/>
      </c>
    </row>
    <row r="303">
      <c r="A303" t="n">
        <v>903</v>
      </c>
      <c r="B303" t="n">
        <v>30.1</v>
      </c>
      <c r="C303" t="inlineStr">
        <is>
          <t>6006</t>
        </is>
      </c>
      <c r="D303" t="n">
        <v>60.06</v>
      </c>
      <c r="E303">
        <f>MEDIAN(D283:D323)</f>
        <v/>
      </c>
      <c r="F303">
        <f>E283</f>
        <v/>
      </c>
      <c r="G303">
        <f>F303-E303</f>
        <v/>
      </c>
      <c r="H303">
        <f>IF(OR(NOT(ISNUMBER(D303)),ABS(D303-E303)&gt;$O$3,AND($O$11=1,B303&lt;$O$12)),1,0)</f>
        <v/>
      </c>
      <c r="I303">
        <f>IF(H303=1,NA(),D303)</f>
        <v/>
      </c>
      <c r="J303">
        <f>IF(AND(ISNUMBER(D303),D303&gt;=$O$4,OR($O$11=0,B303&gt;=$O$12)),1,0)</f>
        <v/>
      </c>
      <c r="K303">
        <f>B303-$O$14</f>
        <v/>
      </c>
    </row>
    <row r="304">
      <c r="A304" t="n">
        <v>906</v>
      </c>
      <c r="B304" t="n">
        <v>30.2</v>
      </c>
      <c r="C304" t="inlineStr">
        <is>
          <t>6005</t>
        </is>
      </c>
      <c r="D304" t="n">
        <v>60.05</v>
      </c>
      <c r="E304">
        <f>MEDIAN(D284:D324)</f>
        <v/>
      </c>
      <c r="F304">
        <f>E284</f>
        <v/>
      </c>
      <c r="G304">
        <f>F304-E304</f>
        <v/>
      </c>
      <c r="H304">
        <f>IF(OR(NOT(ISNUMBER(D304)),ABS(D304-E304)&gt;$O$3,AND($O$11=1,B304&lt;$O$12)),1,0)</f>
        <v/>
      </c>
      <c r="I304">
        <f>IF(H304=1,NA(),D304)</f>
        <v/>
      </c>
      <c r="J304">
        <f>IF(AND(ISNUMBER(D304),D304&gt;=$O$4,OR($O$11=0,B304&gt;=$O$12)),1,0)</f>
        <v/>
      </c>
      <c r="K304">
        <f>B304-$O$14</f>
        <v/>
      </c>
    </row>
    <row r="305">
      <c r="A305" t="n">
        <v>909</v>
      </c>
      <c r="B305" t="n">
        <v>30.3</v>
      </c>
      <c r="C305" t="inlineStr">
        <is>
          <t>60</t>
        </is>
      </c>
      <c r="D305" t="n">
        <v>0.6</v>
      </c>
      <c r="E305">
        <f>MEDIAN(D285:D325)</f>
        <v/>
      </c>
      <c r="F305">
        <f>E285</f>
        <v/>
      </c>
      <c r="G305">
        <f>F305-E305</f>
        <v/>
      </c>
      <c r="H305">
        <f>IF(OR(NOT(ISNUMBER(D305)),ABS(D305-E305)&gt;$O$3,AND($O$11=1,B305&lt;$O$12)),1,0)</f>
        <v/>
      </c>
      <c r="I305">
        <f>IF(H305=1,NA(),D305)</f>
        <v/>
      </c>
      <c r="J305">
        <f>IF(AND(ISNUMBER(D305),D305&gt;=$O$4,OR($O$11=0,B305&gt;=$O$12)),1,0)</f>
        <v/>
      </c>
      <c r="K305">
        <f>B305-$O$14</f>
        <v/>
      </c>
    </row>
    <row r="306">
      <c r="A306" t="n">
        <v>912</v>
      </c>
      <c r="B306" t="n">
        <v>30.4</v>
      </c>
      <c r="C306" t="inlineStr">
        <is>
          <t>616</t>
        </is>
      </c>
      <c r="D306" t="n">
        <v>6.16</v>
      </c>
      <c r="E306">
        <f>MEDIAN(D286:D326)</f>
        <v/>
      </c>
      <c r="F306">
        <f>E286</f>
        <v/>
      </c>
      <c r="G306">
        <f>F306-E306</f>
        <v/>
      </c>
      <c r="H306">
        <f>IF(OR(NOT(ISNUMBER(D306)),ABS(D306-E306)&gt;$O$3,AND($O$11=1,B306&lt;$O$12)),1,0)</f>
        <v/>
      </c>
      <c r="I306">
        <f>IF(H306=1,NA(),D306)</f>
        <v/>
      </c>
      <c r="J306">
        <f>IF(AND(ISNUMBER(D306),D306&gt;=$O$4,OR($O$11=0,B306&gt;=$O$12)),1,0)</f>
        <v/>
      </c>
      <c r="K306">
        <f>B306-$O$14</f>
        <v/>
      </c>
    </row>
    <row r="307">
      <c r="A307" t="n">
        <v>915</v>
      </c>
      <c r="B307" t="n">
        <v>30.5</v>
      </c>
      <c r="C307" t="inlineStr">
        <is>
          <t>616</t>
        </is>
      </c>
      <c r="D307" t="n">
        <v>6.16</v>
      </c>
      <c r="E307">
        <f>MEDIAN(D287:D327)</f>
        <v/>
      </c>
      <c r="F307">
        <f>E287</f>
        <v/>
      </c>
      <c r="G307">
        <f>F307-E307</f>
        <v/>
      </c>
      <c r="H307">
        <f>IF(OR(NOT(ISNUMBER(D307)),ABS(D307-E307)&gt;$O$3,AND($O$11=1,B307&lt;$O$12)),1,0)</f>
        <v/>
      </c>
      <c r="I307">
        <f>IF(H307=1,NA(),D307)</f>
        <v/>
      </c>
      <c r="J307">
        <f>IF(AND(ISNUMBER(D307),D307&gt;=$O$4,OR($O$11=0,B307&gt;=$O$12)),1,0)</f>
        <v/>
      </c>
      <c r="K307">
        <f>B307-$O$14</f>
        <v/>
      </c>
    </row>
    <row r="308">
      <c r="A308" t="n">
        <v>918</v>
      </c>
      <c r="B308" t="n">
        <v>30.6</v>
      </c>
      <c r="C308" t="inlineStr">
        <is>
          <t>68</t>
        </is>
      </c>
      <c r="D308" t="n">
        <v>0.68</v>
      </c>
      <c r="E308">
        <f>MEDIAN(D288:D328)</f>
        <v/>
      </c>
      <c r="F308">
        <f>E288</f>
        <v/>
      </c>
      <c r="G308">
        <f>F308-E308</f>
        <v/>
      </c>
      <c r="H308">
        <f>IF(OR(NOT(ISNUMBER(D308)),ABS(D308-E308)&gt;$O$3,AND($O$11=1,B308&lt;$O$12)),1,0)</f>
        <v/>
      </c>
      <c r="I308">
        <f>IF(H308=1,NA(),D308)</f>
        <v/>
      </c>
      <c r="J308">
        <f>IF(AND(ISNUMBER(D308),D308&gt;=$O$4,OR($O$11=0,B308&gt;=$O$12)),1,0)</f>
        <v/>
      </c>
      <c r="K308">
        <f>B308-$O$14</f>
        <v/>
      </c>
    </row>
    <row r="309">
      <c r="A309" t="n">
        <v>921</v>
      </c>
      <c r="B309" t="n">
        <v>30.7</v>
      </c>
      <c r="C309" t="inlineStr">
        <is>
          <t>66</t>
        </is>
      </c>
      <c r="D309" t="n">
        <v>0.66</v>
      </c>
      <c r="E309">
        <f>MEDIAN(D289:D329)</f>
        <v/>
      </c>
      <c r="F309">
        <f>E289</f>
        <v/>
      </c>
      <c r="G309">
        <f>F309-E309</f>
        <v/>
      </c>
      <c r="H309">
        <f>IF(OR(NOT(ISNUMBER(D309)),ABS(D309-E309)&gt;$O$3,AND($O$11=1,B309&lt;$O$12)),1,0)</f>
        <v/>
      </c>
      <c r="I309">
        <f>IF(H309=1,NA(),D309)</f>
        <v/>
      </c>
      <c r="J309">
        <f>IF(AND(ISNUMBER(D309),D309&gt;=$O$4,OR($O$11=0,B309&gt;=$O$12)),1,0)</f>
        <v/>
      </c>
      <c r="K309">
        <f>B309-$O$14</f>
        <v/>
      </c>
    </row>
    <row r="310">
      <c r="A310" t="n">
        <v>924</v>
      </c>
      <c r="B310" t="n">
        <v>30.8</v>
      </c>
      <c r="C310" t="inlineStr">
        <is>
          <t>66</t>
        </is>
      </c>
      <c r="D310" t="n">
        <v>0.66</v>
      </c>
      <c r="E310">
        <f>MEDIAN(D290:D330)</f>
        <v/>
      </c>
      <c r="F310">
        <f>E290</f>
        <v/>
      </c>
      <c r="G310">
        <f>F310-E310</f>
        <v/>
      </c>
      <c r="H310">
        <f>IF(OR(NOT(ISNUMBER(D310)),ABS(D310-E310)&gt;$O$3,AND($O$11=1,B310&lt;$O$12)),1,0)</f>
        <v/>
      </c>
      <c r="I310">
        <f>IF(H310=1,NA(),D310)</f>
        <v/>
      </c>
      <c r="J310">
        <f>IF(AND(ISNUMBER(D310),D310&gt;=$O$4,OR($O$11=0,B310&gt;=$O$12)),1,0)</f>
        <v/>
      </c>
      <c r="K310">
        <f>B310-$O$14</f>
        <v/>
      </c>
    </row>
    <row r="311">
      <c r="A311" t="n">
        <v>927</v>
      </c>
      <c r="B311" t="n">
        <v>30.9</v>
      </c>
      <c r="C311" t="inlineStr">
        <is>
          <t>9</t>
        </is>
      </c>
      <c r="D311" t="n">
        <v>0.09</v>
      </c>
      <c r="E311">
        <f>MEDIAN(D291:D331)</f>
        <v/>
      </c>
      <c r="F311">
        <f>E291</f>
        <v/>
      </c>
      <c r="G311">
        <f>F311-E311</f>
        <v/>
      </c>
      <c r="H311">
        <f>IF(OR(NOT(ISNUMBER(D311)),ABS(D311-E311)&gt;$O$3,AND($O$11=1,B311&lt;$O$12)),1,0)</f>
        <v/>
      </c>
      <c r="I311">
        <f>IF(H311=1,NA(),D311)</f>
        <v/>
      </c>
      <c r="J311">
        <f>IF(AND(ISNUMBER(D311),D311&gt;=$O$4,OR($O$11=0,B311&gt;=$O$12)),1,0)</f>
        <v/>
      </c>
      <c r="K311">
        <f>B311-$O$14</f>
        <v/>
      </c>
    </row>
    <row r="312">
      <c r="A312" t="n">
        <v>930</v>
      </c>
      <c r="B312" t="n">
        <v>31</v>
      </c>
      <c r="C312" t="inlineStr">
        <is>
          <t>625</t>
        </is>
      </c>
      <c r="D312" t="n">
        <v>6.25</v>
      </c>
      <c r="E312">
        <f>MEDIAN(D292:D332)</f>
        <v/>
      </c>
      <c r="F312">
        <f>E292</f>
        <v/>
      </c>
      <c r="G312">
        <f>F312-E312</f>
        <v/>
      </c>
      <c r="H312">
        <f>IF(OR(NOT(ISNUMBER(D312)),ABS(D312-E312)&gt;$O$3,AND($O$11=1,B312&lt;$O$12)),1,0)</f>
        <v/>
      </c>
      <c r="I312">
        <f>IF(H312=1,NA(),D312)</f>
        <v/>
      </c>
      <c r="J312">
        <f>IF(AND(ISNUMBER(D312),D312&gt;=$O$4,OR($O$11=0,B312&gt;=$O$12)),1,0)</f>
        <v/>
      </c>
      <c r="K312">
        <f>B312-$O$14</f>
        <v/>
      </c>
    </row>
    <row r="313">
      <c r="A313" t="n">
        <v>933</v>
      </c>
      <c r="B313" t="n">
        <v>31.1</v>
      </c>
      <c r="C313" t="inlineStr">
        <is>
          <t>66</t>
        </is>
      </c>
      <c r="D313" t="n">
        <v>0.66</v>
      </c>
      <c r="E313">
        <f>MEDIAN(D293:D333)</f>
        <v/>
      </c>
      <c r="F313">
        <f>E293</f>
        <v/>
      </c>
      <c r="G313">
        <f>F313-E313</f>
        <v/>
      </c>
      <c r="H313">
        <f>IF(OR(NOT(ISNUMBER(D313)),ABS(D313-E313)&gt;$O$3,AND($O$11=1,B313&lt;$O$12)),1,0)</f>
        <v/>
      </c>
      <c r="I313">
        <f>IF(H313=1,NA(),D313)</f>
        <v/>
      </c>
      <c r="J313">
        <f>IF(AND(ISNUMBER(D313),D313&gt;=$O$4,OR($O$11=0,B313&gt;=$O$12)),1,0)</f>
        <v/>
      </c>
      <c r="K313">
        <f>B313-$O$14</f>
        <v/>
      </c>
    </row>
    <row r="314">
      <c r="A314" t="n">
        <v>936</v>
      </c>
      <c r="B314" t="n">
        <v>31.2</v>
      </c>
      <c r="C314" t="inlineStr">
        <is>
          <t>623</t>
        </is>
      </c>
      <c r="D314" t="n">
        <v>6.23</v>
      </c>
      <c r="E314">
        <f>MEDIAN(D294:D334)</f>
        <v/>
      </c>
      <c r="F314">
        <f>E294</f>
        <v/>
      </c>
      <c r="G314">
        <f>F314-E314</f>
        <v/>
      </c>
      <c r="H314">
        <f>IF(OR(NOT(ISNUMBER(D314)),ABS(D314-E314)&gt;$O$3,AND($O$11=1,B314&lt;$O$12)),1,0)</f>
        <v/>
      </c>
      <c r="I314">
        <f>IF(H314=1,NA(),D314)</f>
        <v/>
      </c>
      <c r="J314">
        <f>IF(AND(ISNUMBER(D314),D314&gt;=$O$4,OR($O$11=0,B314&gt;=$O$12)),1,0)</f>
        <v/>
      </c>
      <c r="K314">
        <f>B314-$O$14</f>
        <v/>
      </c>
    </row>
    <row r="315">
      <c r="A315" t="n">
        <v>939</v>
      </c>
      <c r="B315" t="n">
        <v>31.3</v>
      </c>
      <c r="C315" t="inlineStr">
        <is>
          <t>6025</t>
        </is>
      </c>
      <c r="D315" t="n">
        <v>60.25</v>
      </c>
      <c r="E315">
        <f>MEDIAN(D295:D335)</f>
        <v/>
      </c>
      <c r="F315">
        <f>E295</f>
        <v/>
      </c>
      <c r="G315">
        <f>F315-E315</f>
        <v/>
      </c>
      <c r="H315">
        <f>IF(OR(NOT(ISNUMBER(D315)),ABS(D315-E315)&gt;$O$3,AND($O$11=1,B315&lt;$O$12)),1,0)</f>
        <v/>
      </c>
      <c r="I315">
        <f>IF(H315=1,NA(),D315)</f>
        <v/>
      </c>
      <c r="J315">
        <f>IF(AND(ISNUMBER(D315),D315&gt;=$O$4,OR($O$11=0,B315&gt;=$O$12)),1,0)</f>
        <v/>
      </c>
      <c r="K315">
        <f>B315-$O$14</f>
        <v/>
      </c>
    </row>
    <row r="316">
      <c r="A316" t="n">
        <v>942</v>
      </c>
      <c r="B316" t="n">
        <v>31.4</v>
      </c>
      <c r="C316" t="inlineStr">
        <is>
          <t>65</t>
        </is>
      </c>
      <c r="D316" t="n">
        <v>0.65</v>
      </c>
      <c r="E316">
        <f>MEDIAN(D296:D336)</f>
        <v/>
      </c>
      <c r="F316">
        <f>E296</f>
        <v/>
      </c>
      <c r="G316">
        <f>F316-E316</f>
        <v/>
      </c>
      <c r="H316">
        <f>IF(OR(NOT(ISNUMBER(D316)),ABS(D316-E316)&gt;$O$3,AND($O$11=1,B316&lt;$O$12)),1,0)</f>
        <v/>
      </c>
      <c r="I316">
        <f>IF(H316=1,NA(),D316)</f>
        <v/>
      </c>
      <c r="J316">
        <f>IF(AND(ISNUMBER(D316),D316&gt;=$O$4,OR($O$11=0,B316&gt;=$O$12)),1,0)</f>
        <v/>
      </c>
      <c r="K316">
        <f>B316-$O$14</f>
        <v/>
      </c>
    </row>
    <row r="317">
      <c r="A317" t="n">
        <v>945</v>
      </c>
      <c r="B317" t="n">
        <v>31.5</v>
      </c>
      <c r="C317" t="inlineStr">
        <is>
          <t>626</t>
        </is>
      </c>
      <c r="D317" t="n">
        <v>6.26</v>
      </c>
      <c r="E317">
        <f>MEDIAN(D297:D337)</f>
        <v/>
      </c>
      <c r="F317">
        <f>E297</f>
        <v/>
      </c>
      <c r="G317">
        <f>F317-E317</f>
        <v/>
      </c>
      <c r="H317">
        <f>IF(OR(NOT(ISNUMBER(D317)),ABS(D317-E317)&gt;$O$3,AND($O$11=1,B317&lt;$O$12)),1,0)</f>
        <v/>
      </c>
      <c r="I317">
        <f>IF(H317=1,NA(),D317)</f>
        <v/>
      </c>
      <c r="J317">
        <f>IF(AND(ISNUMBER(D317),D317&gt;=$O$4,OR($O$11=0,B317&gt;=$O$12)),1,0)</f>
        <v/>
      </c>
      <c r="K317">
        <f>B317-$O$14</f>
        <v/>
      </c>
    </row>
    <row r="318">
      <c r="A318" t="n">
        <v>948</v>
      </c>
      <c r="B318" t="n">
        <v>31.6</v>
      </c>
      <c r="C318" t="inlineStr">
        <is>
          <t>625</t>
        </is>
      </c>
      <c r="D318" t="n">
        <v>6.25</v>
      </c>
      <c r="E318">
        <f>MEDIAN(D298:D338)</f>
        <v/>
      </c>
      <c r="F318">
        <f>E298</f>
        <v/>
      </c>
      <c r="G318">
        <f>F318-E318</f>
        <v/>
      </c>
      <c r="H318">
        <f>IF(OR(NOT(ISNUMBER(D318)),ABS(D318-E318)&gt;$O$3,AND($O$11=1,B318&lt;$O$12)),1,0)</f>
        <v/>
      </c>
      <c r="I318">
        <f>IF(H318=1,NA(),D318)</f>
        <v/>
      </c>
      <c r="J318">
        <f>IF(AND(ISNUMBER(D318),D318&gt;=$O$4,OR($O$11=0,B318&gt;=$O$12)),1,0)</f>
        <v/>
      </c>
      <c r="K318">
        <f>B318-$O$14</f>
        <v/>
      </c>
    </row>
    <row r="319">
      <c r="A319" t="n">
        <v>951</v>
      </c>
      <c r="B319" t="n">
        <v>31.7</v>
      </c>
      <c r="C319" t="inlineStr">
        <is>
          <t>625</t>
        </is>
      </c>
      <c r="D319" t="n">
        <v>6.25</v>
      </c>
      <c r="E319">
        <f>MEDIAN(D299:D339)</f>
        <v/>
      </c>
      <c r="F319">
        <f>E299</f>
        <v/>
      </c>
      <c r="G319">
        <f>F319-E319</f>
        <v/>
      </c>
      <c r="H319">
        <f>IF(OR(NOT(ISNUMBER(D319)),ABS(D319-E319)&gt;$O$3,AND($O$11=1,B319&lt;$O$12)),1,0)</f>
        <v/>
      </c>
      <c r="I319">
        <f>IF(H319=1,NA(),D319)</f>
        <v/>
      </c>
      <c r="J319">
        <f>IF(AND(ISNUMBER(D319),D319&gt;=$O$4,OR($O$11=0,B319&gt;=$O$12)),1,0)</f>
        <v/>
      </c>
      <c r="K319">
        <f>B319-$O$14</f>
        <v/>
      </c>
    </row>
    <row r="320">
      <c r="A320" t="n">
        <v>954</v>
      </c>
      <c r="B320" t="n">
        <v>31.8</v>
      </c>
      <c r="C320" t="inlineStr">
        <is>
          <t>625</t>
        </is>
      </c>
      <c r="D320" t="n">
        <v>6.25</v>
      </c>
      <c r="E320">
        <f>MEDIAN(D300:D340)</f>
        <v/>
      </c>
      <c r="F320">
        <f>E300</f>
        <v/>
      </c>
      <c r="G320">
        <f>F320-E320</f>
        <v/>
      </c>
      <c r="H320">
        <f>IF(OR(NOT(ISNUMBER(D320)),ABS(D320-E320)&gt;$O$3,AND($O$11=1,B320&lt;$O$12)),1,0)</f>
        <v/>
      </c>
      <c r="I320">
        <f>IF(H320=1,NA(),D320)</f>
        <v/>
      </c>
      <c r="J320">
        <f>IF(AND(ISNUMBER(D320),D320&gt;=$O$4,OR($O$11=0,B320&gt;=$O$12)),1,0)</f>
        <v/>
      </c>
      <c r="K320">
        <f>B320-$O$14</f>
        <v/>
      </c>
    </row>
    <row r="321">
      <c r="A321" t="n">
        <v>957</v>
      </c>
      <c r="B321" t="n">
        <v>31.9</v>
      </c>
      <c r="C321" t="inlineStr">
        <is>
          <t>630</t>
        </is>
      </c>
      <c r="D321" t="n">
        <v>6.3</v>
      </c>
      <c r="E321">
        <f>MEDIAN(D301:D341)</f>
        <v/>
      </c>
      <c r="F321">
        <f>E301</f>
        <v/>
      </c>
      <c r="G321">
        <f>F321-E321</f>
        <v/>
      </c>
      <c r="H321">
        <f>IF(OR(NOT(ISNUMBER(D321)),ABS(D321-E321)&gt;$O$3,AND($O$11=1,B321&lt;$O$12)),1,0)</f>
        <v/>
      </c>
      <c r="I321">
        <f>IF(H321=1,NA(),D321)</f>
        <v/>
      </c>
      <c r="J321">
        <f>IF(AND(ISNUMBER(D321),D321&gt;=$O$4,OR($O$11=0,B321&gt;=$O$12)),1,0)</f>
        <v/>
      </c>
      <c r="K321">
        <f>B321-$O$14</f>
        <v/>
      </c>
    </row>
    <row r="322">
      <c r="A322" t="n">
        <v>960</v>
      </c>
      <c r="B322" t="n">
        <v>32</v>
      </c>
      <c r="C322" t="inlineStr">
        <is>
          <t>636</t>
        </is>
      </c>
      <c r="D322" t="n">
        <v>6.36</v>
      </c>
      <c r="E322">
        <f>MEDIAN(D302:D342)</f>
        <v/>
      </c>
      <c r="F322">
        <f>E302</f>
        <v/>
      </c>
      <c r="G322">
        <f>F322-E322</f>
        <v/>
      </c>
      <c r="H322">
        <f>IF(OR(NOT(ISNUMBER(D322)),ABS(D322-E322)&gt;$O$3,AND($O$11=1,B322&lt;$O$12)),1,0)</f>
        <v/>
      </c>
      <c r="I322">
        <f>IF(H322=1,NA(),D322)</f>
        <v/>
      </c>
      <c r="J322">
        <f>IF(AND(ISNUMBER(D322),D322&gt;=$O$4,OR($O$11=0,B322&gt;=$O$12)),1,0)</f>
        <v/>
      </c>
      <c r="K322">
        <f>B322-$O$14</f>
        <v/>
      </c>
    </row>
    <row r="323">
      <c r="A323" t="n">
        <v>963</v>
      </c>
      <c r="B323" t="n">
        <v>32.1</v>
      </c>
      <c r="C323" t="inlineStr">
        <is>
          <t>66</t>
        </is>
      </c>
      <c r="D323" t="n">
        <v>0.66</v>
      </c>
      <c r="E323">
        <f>MEDIAN(D303:D343)</f>
        <v/>
      </c>
      <c r="F323">
        <f>E303</f>
        <v/>
      </c>
      <c r="G323">
        <f>F323-E323</f>
        <v/>
      </c>
      <c r="H323">
        <f>IF(OR(NOT(ISNUMBER(D323)),ABS(D323-E323)&gt;$O$3,AND($O$11=1,B323&lt;$O$12)),1,0)</f>
        <v/>
      </c>
      <c r="I323">
        <f>IF(H323=1,NA(),D323)</f>
        <v/>
      </c>
      <c r="J323">
        <f>IF(AND(ISNUMBER(D323),D323&gt;=$O$4,OR($O$11=0,B323&gt;=$O$12)),1,0)</f>
        <v/>
      </c>
      <c r="K323">
        <f>B323-$O$14</f>
        <v/>
      </c>
    </row>
    <row r="324">
      <c r="A324" t="n">
        <v>966</v>
      </c>
      <c r="B324" t="n">
        <v>32.2</v>
      </c>
      <c r="C324" t="inlineStr">
        <is>
          <t>635</t>
        </is>
      </c>
      <c r="D324" t="n">
        <v>6.35</v>
      </c>
      <c r="E324">
        <f>MEDIAN(D304:D344)</f>
        <v/>
      </c>
      <c r="F324">
        <f>E304</f>
        <v/>
      </c>
      <c r="G324">
        <f>F324-E324</f>
        <v/>
      </c>
      <c r="H324">
        <f>IF(OR(NOT(ISNUMBER(D324)),ABS(D324-E324)&gt;$O$3,AND($O$11=1,B324&lt;$O$12)),1,0)</f>
        <v/>
      </c>
      <c r="I324">
        <f>IF(H324=1,NA(),D324)</f>
        <v/>
      </c>
      <c r="J324">
        <f>IF(AND(ISNUMBER(D324),D324&gt;=$O$4,OR($O$11=0,B324&gt;=$O$12)),1,0)</f>
        <v/>
      </c>
      <c r="K324">
        <f>B324-$O$14</f>
        <v/>
      </c>
    </row>
    <row r="325">
      <c r="A325" t="n">
        <v>969</v>
      </c>
      <c r="B325" t="n">
        <v>32.3</v>
      </c>
      <c r="C325" t="inlineStr">
        <is>
          <t>6035</t>
        </is>
      </c>
      <c r="D325" t="n">
        <v>60.35</v>
      </c>
      <c r="E325">
        <f>MEDIAN(D305:D345)</f>
        <v/>
      </c>
      <c r="F325">
        <f>E305</f>
        <v/>
      </c>
      <c r="G325">
        <f>F325-E325</f>
        <v/>
      </c>
      <c r="H325">
        <f>IF(OR(NOT(ISNUMBER(D325)),ABS(D325-E325)&gt;$O$3,AND($O$11=1,B325&lt;$O$12)),1,0)</f>
        <v/>
      </c>
      <c r="I325">
        <f>IF(H325=1,NA(),D325)</f>
        <v/>
      </c>
      <c r="J325">
        <f>IF(AND(ISNUMBER(D325),D325&gt;=$O$4,OR($O$11=0,B325&gt;=$O$12)),1,0)</f>
        <v/>
      </c>
      <c r="K325">
        <f>B325-$O$14</f>
        <v/>
      </c>
    </row>
    <row r="326">
      <c r="A326" t="n">
        <v>972</v>
      </c>
      <c r="B326" t="n">
        <v>32.4</v>
      </c>
      <c r="C326" t="inlineStr">
        <is>
          <t>636</t>
        </is>
      </c>
      <c r="D326" t="n">
        <v>6.36</v>
      </c>
      <c r="E326">
        <f>MEDIAN(D306:D346)</f>
        <v/>
      </c>
      <c r="F326">
        <f>E306</f>
        <v/>
      </c>
      <c r="G326">
        <f>F326-E326</f>
        <v/>
      </c>
      <c r="H326">
        <f>IF(OR(NOT(ISNUMBER(D326)),ABS(D326-E326)&gt;$O$3,AND($O$11=1,B326&lt;$O$12)),1,0)</f>
        <v/>
      </c>
      <c r="I326">
        <f>IF(H326=1,NA(),D326)</f>
        <v/>
      </c>
      <c r="J326">
        <f>IF(AND(ISNUMBER(D326),D326&gt;=$O$4,OR($O$11=0,B326&gt;=$O$12)),1,0)</f>
        <v/>
      </c>
      <c r="K326">
        <f>B326-$O$14</f>
        <v/>
      </c>
    </row>
    <row r="327">
      <c r="A327" t="n">
        <v>975</v>
      </c>
      <c r="B327" t="n">
        <v>32.5</v>
      </c>
      <c r="C327" t="inlineStr">
        <is>
          <t>635</t>
        </is>
      </c>
      <c r="D327" t="n">
        <v>6.35</v>
      </c>
      <c r="E327">
        <f>MEDIAN(D307:D347)</f>
        <v/>
      </c>
      <c r="F327">
        <f>E307</f>
        <v/>
      </c>
      <c r="G327">
        <f>F327-E327</f>
        <v/>
      </c>
      <c r="H327">
        <f>IF(OR(NOT(ISNUMBER(D327)),ABS(D327-E327)&gt;$O$3,AND($O$11=1,B327&lt;$O$12)),1,0)</f>
        <v/>
      </c>
      <c r="I327">
        <f>IF(H327=1,NA(),D327)</f>
        <v/>
      </c>
      <c r="J327">
        <f>IF(AND(ISNUMBER(D327),D327&gt;=$O$4,OR($O$11=0,B327&gt;=$O$12)),1,0)</f>
        <v/>
      </c>
      <c r="K327">
        <f>B327-$O$14</f>
        <v/>
      </c>
    </row>
    <row r="328">
      <c r="A328" t="n">
        <v>978</v>
      </c>
      <c r="B328" t="n">
        <v>32.6</v>
      </c>
      <c r="C328" t="inlineStr">
        <is>
          <t>635</t>
        </is>
      </c>
      <c r="D328" t="n">
        <v>6.35</v>
      </c>
      <c r="E328">
        <f>MEDIAN(D308:D348)</f>
        <v/>
      </c>
      <c r="F328">
        <f>E308</f>
        <v/>
      </c>
      <c r="G328">
        <f>F328-E328</f>
        <v/>
      </c>
      <c r="H328">
        <f>IF(OR(NOT(ISNUMBER(D328)),ABS(D328-E328)&gt;$O$3,AND($O$11=1,B328&lt;$O$12)),1,0)</f>
        <v/>
      </c>
      <c r="I328">
        <f>IF(H328=1,NA(),D328)</f>
        <v/>
      </c>
      <c r="J328">
        <f>IF(AND(ISNUMBER(D328),D328&gt;=$O$4,OR($O$11=0,B328&gt;=$O$12)),1,0)</f>
        <v/>
      </c>
      <c r="K328">
        <f>B328-$O$14</f>
        <v/>
      </c>
    </row>
    <row r="329">
      <c r="A329" t="n">
        <v>981</v>
      </c>
      <c r="B329" t="n">
        <v>32.7</v>
      </c>
      <c r="C329" t="inlineStr">
        <is>
          <t>40</t>
        </is>
      </c>
      <c r="D329" t="n">
        <v>0.4</v>
      </c>
      <c r="E329">
        <f>MEDIAN(D309:D349)</f>
        <v/>
      </c>
      <c r="F329">
        <f>E309</f>
        <v/>
      </c>
      <c r="G329">
        <f>F329-E329</f>
        <v/>
      </c>
      <c r="H329">
        <f>IF(OR(NOT(ISNUMBER(D329)),ABS(D329-E329)&gt;$O$3,AND($O$11=1,B329&lt;$O$12)),1,0)</f>
        <v/>
      </c>
      <c r="I329">
        <f>IF(H329=1,NA(),D329)</f>
        <v/>
      </c>
      <c r="J329">
        <f>IF(AND(ISNUMBER(D329),D329&gt;=$O$4,OR($O$11=0,B329&gt;=$O$12)),1,0)</f>
        <v/>
      </c>
      <c r="K329">
        <f>B329-$O$14</f>
        <v/>
      </c>
    </row>
    <row r="330">
      <c r="A330" t="n">
        <v>984</v>
      </c>
      <c r="B330" t="n">
        <v>32.8</v>
      </c>
      <c r="C330" t="inlineStr">
        <is>
          <t>648</t>
        </is>
      </c>
      <c r="D330" t="n">
        <v>6.48</v>
      </c>
      <c r="E330">
        <f>MEDIAN(D310:D350)</f>
        <v/>
      </c>
      <c r="F330">
        <f>E310</f>
        <v/>
      </c>
      <c r="G330">
        <f>F330-E330</f>
        <v/>
      </c>
      <c r="H330">
        <f>IF(OR(NOT(ISNUMBER(D330)),ABS(D330-E330)&gt;$O$3,AND($O$11=1,B330&lt;$O$12)),1,0)</f>
        <v/>
      </c>
      <c r="I330">
        <f>IF(H330=1,NA(),D330)</f>
        <v/>
      </c>
      <c r="J330">
        <f>IF(AND(ISNUMBER(D330),D330&gt;=$O$4,OR($O$11=0,B330&gt;=$O$12)),1,0)</f>
        <v/>
      </c>
      <c r="K330">
        <f>B330-$O$14</f>
        <v/>
      </c>
    </row>
    <row r="331">
      <c r="A331" t="n">
        <v>987</v>
      </c>
      <c r="B331" t="n">
        <v>32.9</v>
      </c>
      <c r="C331" t="inlineStr">
        <is>
          <t>646</t>
        </is>
      </c>
      <c r="D331" t="n">
        <v>6.46</v>
      </c>
      <c r="E331">
        <f>MEDIAN(D311:D351)</f>
        <v/>
      </c>
      <c r="F331">
        <f>E311</f>
        <v/>
      </c>
      <c r="G331">
        <f>F331-E331</f>
        <v/>
      </c>
      <c r="H331">
        <f>IF(OR(NOT(ISNUMBER(D331)),ABS(D331-E331)&gt;$O$3,AND($O$11=1,B331&lt;$O$12)),1,0)</f>
        <v/>
      </c>
      <c r="I331">
        <f>IF(H331=1,NA(),D331)</f>
        <v/>
      </c>
      <c r="J331">
        <f>IF(AND(ISNUMBER(D331),D331&gt;=$O$4,OR($O$11=0,B331&gt;=$O$12)),1,0)</f>
        <v/>
      </c>
      <c r="K331">
        <f>B331-$O$14</f>
        <v/>
      </c>
    </row>
    <row r="332">
      <c r="A332" t="n">
        <v>990</v>
      </c>
      <c r="B332" t="n">
        <v>33</v>
      </c>
      <c r="C332" t="inlineStr">
        <is>
          <t>645</t>
        </is>
      </c>
      <c r="D332" t="n">
        <v>6.45</v>
      </c>
      <c r="E332">
        <f>MEDIAN(D312:D352)</f>
        <v/>
      </c>
      <c r="F332">
        <f>E312</f>
        <v/>
      </c>
      <c r="G332">
        <f>F332-E332</f>
        <v/>
      </c>
      <c r="H332">
        <f>IF(OR(NOT(ISNUMBER(D332)),ABS(D332-E332)&gt;$O$3,AND($O$11=1,B332&lt;$O$12)),1,0)</f>
        <v/>
      </c>
      <c r="I332">
        <f>IF(H332=1,NA(),D332)</f>
        <v/>
      </c>
      <c r="J332">
        <f>IF(AND(ISNUMBER(D332),D332&gt;=$O$4,OR($O$11=0,B332&gt;=$O$12)),1,0)</f>
        <v/>
      </c>
      <c r="K332">
        <f>B332-$O$14</f>
        <v/>
      </c>
    </row>
    <row r="333">
      <c r="A333" t="n">
        <v>993</v>
      </c>
      <c r="B333" t="n">
        <v>33.1</v>
      </c>
      <c r="C333" t="inlineStr">
        <is>
          <t>646</t>
        </is>
      </c>
      <c r="D333" t="n">
        <v>6.46</v>
      </c>
      <c r="E333">
        <f>MEDIAN(D313:D353)</f>
        <v/>
      </c>
      <c r="F333">
        <f>E313</f>
        <v/>
      </c>
      <c r="G333">
        <f>F333-E333</f>
        <v/>
      </c>
      <c r="H333">
        <f>IF(OR(NOT(ISNUMBER(D333)),ABS(D333-E333)&gt;$O$3,AND($O$11=1,B333&lt;$O$12)),1,0)</f>
        <v/>
      </c>
      <c r="I333">
        <f>IF(H333=1,NA(),D333)</f>
        <v/>
      </c>
      <c r="J333">
        <f>IF(AND(ISNUMBER(D333),D333&gt;=$O$4,OR($O$11=0,B333&gt;=$O$12)),1,0)</f>
        <v/>
      </c>
      <c r="K333">
        <f>B333-$O$14</f>
        <v/>
      </c>
    </row>
    <row r="334">
      <c r="A334" t="n">
        <v>996</v>
      </c>
      <c r="B334" t="n">
        <v>33.2</v>
      </c>
      <c r="C334" t="inlineStr">
        <is>
          <t>646</t>
        </is>
      </c>
      <c r="D334" t="n">
        <v>6.46</v>
      </c>
      <c r="E334">
        <f>MEDIAN(D314:D354)</f>
        <v/>
      </c>
      <c r="F334">
        <f>E314</f>
        <v/>
      </c>
      <c r="G334">
        <f>F334-E334</f>
        <v/>
      </c>
      <c r="H334">
        <f>IF(OR(NOT(ISNUMBER(D334)),ABS(D334-E334)&gt;$O$3,AND($O$11=1,B334&lt;$O$12)),1,0)</f>
        <v/>
      </c>
      <c r="I334">
        <f>IF(H334=1,NA(),D334)</f>
        <v/>
      </c>
      <c r="J334">
        <f>IF(AND(ISNUMBER(D334),D334&gt;=$O$4,OR($O$11=0,B334&gt;=$O$12)),1,0)</f>
        <v/>
      </c>
      <c r="K334">
        <f>B334-$O$14</f>
        <v/>
      </c>
    </row>
    <row r="335">
      <c r="A335" t="n">
        <v>999</v>
      </c>
      <c r="B335" t="n">
        <v>33.3</v>
      </c>
      <c r="C335" t="inlineStr">
        <is>
          <t>650</t>
        </is>
      </c>
      <c r="D335" t="n">
        <v>6.5</v>
      </c>
      <c r="E335">
        <f>MEDIAN(D315:D355)</f>
        <v/>
      </c>
      <c r="F335">
        <f>E315</f>
        <v/>
      </c>
      <c r="G335">
        <f>F335-E335</f>
        <v/>
      </c>
      <c r="H335">
        <f>IF(OR(NOT(ISNUMBER(D335)),ABS(D335-E335)&gt;$O$3,AND($O$11=1,B335&lt;$O$12)),1,0)</f>
        <v/>
      </c>
      <c r="I335">
        <f>IF(H335=1,NA(),D335)</f>
        <v/>
      </c>
      <c r="J335">
        <f>IF(AND(ISNUMBER(D335),D335&gt;=$O$4,OR($O$11=0,B335&gt;=$O$12)),1,0)</f>
        <v/>
      </c>
      <c r="K335">
        <f>B335-$O$14</f>
        <v/>
      </c>
    </row>
    <row r="336">
      <c r="A336" t="n">
        <v>1002</v>
      </c>
      <c r="B336" t="n">
        <v>33.4</v>
      </c>
      <c r="C336" t="inlineStr">
        <is>
          <t>62</t>
        </is>
      </c>
      <c r="D336" t="n">
        <v>0.62</v>
      </c>
      <c r="E336">
        <f>MEDIAN(D316:D356)</f>
        <v/>
      </c>
      <c r="F336">
        <f>E316</f>
        <v/>
      </c>
      <c r="G336">
        <f>F336-E336</f>
        <v/>
      </c>
      <c r="H336">
        <f>IF(OR(NOT(ISNUMBER(D336)),ABS(D336-E336)&gt;$O$3,AND($O$11=1,B336&lt;$O$12)),1,0)</f>
        <v/>
      </c>
      <c r="I336">
        <f>IF(H336=1,NA(),D336)</f>
        <v/>
      </c>
      <c r="J336">
        <f>IF(AND(ISNUMBER(D336),D336&gt;=$O$4,OR($O$11=0,B336&gt;=$O$12)),1,0)</f>
        <v/>
      </c>
      <c r="K336">
        <f>B336-$O$14</f>
        <v/>
      </c>
    </row>
    <row r="337">
      <c r="A337" t="n">
        <v>1005</v>
      </c>
      <c r="B337" t="n">
        <v>33.5</v>
      </c>
      <c r="C337" t="inlineStr">
        <is>
          <t>6056</t>
        </is>
      </c>
      <c r="D337" t="n">
        <v>60.56</v>
      </c>
      <c r="E337">
        <f>MEDIAN(D317:D357)</f>
        <v/>
      </c>
      <c r="F337">
        <f>E317</f>
        <v/>
      </c>
      <c r="G337">
        <f>F337-E337</f>
        <v/>
      </c>
      <c r="H337">
        <f>IF(OR(NOT(ISNUMBER(D337)),ABS(D337-E337)&gt;$O$3,AND($O$11=1,B337&lt;$O$12)),1,0)</f>
        <v/>
      </c>
      <c r="I337">
        <f>IF(H337=1,NA(),D337)</f>
        <v/>
      </c>
      <c r="J337">
        <f>IF(AND(ISNUMBER(D337),D337&gt;=$O$4,OR($O$11=0,B337&gt;=$O$12)),1,0)</f>
        <v/>
      </c>
      <c r="K337">
        <f>B337-$O$14</f>
        <v/>
      </c>
    </row>
    <row r="338">
      <c r="A338" t="n">
        <v>1008</v>
      </c>
      <c r="B338" t="n">
        <v>33.6</v>
      </c>
      <c r="C338" t="inlineStr">
        <is>
          <t>6066</t>
        </is>
      </c>
      <c r="D338" t="n">
        <v>60.66</v>
      </c>
      <c r="E338">
        <f>MEDIAN(D318:D358)</f>
        <v/>
      </c>
      <c r="F338">
        <f>E318</f>
        <v/>
      </c>
      <c r="G338">
        <f>F338-E338</f>
        <v/>
      </c>
      <c r="H338">
        <f>IF(OR(NOT(ISNUMBER(D338)),ABS(D338-E338)&gt;$O$3,AND($O$11=1,B338&lt;$O$12)),1,0)</f>
        <v/>
      </c>
      <c r="I338">
        <f>IF(H338=1,NA(),D338)</f>
        <v/>
      </c>
      <c r="J338">
        <f>IF(AND(ISNUMBER(D338),D338&gt;=$O$4,OR($O$11=0,B338&gt;=$O$12)),1,0)</f>
        <v/>
      </c>
      <c r="K338">
        <f>B338-$O$14</f>
        <v/>
      </c>
    </row>
    <row r="339">
      <c r="A339" t="n">
        <v>1011</v>
      </c>
      <c r="B339" t="n">
        <v>33.7</v>
      </c>
      <c r="C339" t="inlineStr">
        <is>
          <t>665</t>
        </is>
      </c>
      <c r="D339" t="n">
        <v>6.65</v>
      </c>
      <c r="E339">
        <f>MEDIAN(D319:D359)</f>
        <v/>
      </c>
      <c r="F339">
        <f>E319</f>
        <v/>
      </c>
      <c r="G339">
        <f>F339-E339</f>
        <v/>
      </c>
      <c r="H339">
        <f>IF(OR(NOT(ISNUMBER(D339)),ABS(D339-E339)&gt;$O$3,AND($O$11=1,B339&lt;$O$12)),1,0)</f>
        <v/>
      </c>
      <c r="I339">
        <f>IF(H339=1,NA(),D339)</f>
        <v/>
      </c>
      <c r="J339">
        <f>IF(AND(ISNUMBER(D339),D339&gt;=$O$4,OR($O$11=0,B339&gt;=$O$12)),1,0)</f>
        <v/>
      </c>
      <c r="K339">
        <f>B339-$O$14</f>
        <v/>
      </c>
    </row>
    <row r="340">
      <c r="A340" t="n">
        <v>1014</v>
      </c>
      <c r="B340" t="n">
        <v>33.8</v>
      </c>
      <c r="C340" t="inlineStr">
        <is>
          <t>666</t>
        </is>
      </c>
      <c r="D340" t="n">
        <v>6.66</v>
      </c>
      <c r="E340">
        <f>MEDIAN(D320:D360)</f>
        <v/>
      </c>
      <c r="F340">
        <f>E320</f>
        <v/>
      </c>
      <c r="G340">
        <f>F340-E340</f>
        <v/>
      </c>
      <c r="H340">
        <f>IF(OR(NOT(ISNUMBER(D340)),ABS(D340-E340)&gt;$O$3,AND($O$11=1,B340&lt;$O$12)),1,0)</f>
        <v/>
      </c>
      <c r="I340">
        <f>IF(H340=1,NA(),D340)</f>
        <v/>
      </c>
      <c r="J340">
        <f>IF(AND(ISNUMBER(D340),D340&gt;=$O$4,OR($O$11=0,B340&gt;=$O$12)),1,0)</f>
        <v/>
      </c>
      <c r="K340">
        <f>B340-$O$14</f>
        <v/>
      </c>
    </row>
    <row r="341">
      <c r="A341" t="n">
        <v>1017</v>
      </c>
      <c r="B341" t="n">
        <v>33.9</v>
      </c>
      <c r="C341" t="inlineStr">
        <is>
          <t>670</t>
        </is>
      </c>
      <c r="D341" t="n">
        <v>6.7</v>
      </c>
      <c r="E341">
        <f>MEDIAN(D321:D361)</f>
        <v/>
      </c>
      <c r="F341">
        <f>E321</f>
        <v/>
      </c>
      <c r="G341">
        <f>F341-E341</f>
        <v/>
      </c>
      <c r="H341">
        <f>IF(OR(NOT(ISNUMBER(D341)),ABS(D341-E341)&gt;$O$3,AND($O$11=1,B341&lt;$O$12)),1,0)</f>
        <v/>
      </c>
      <c r="I341">
        <f>IF(H341=1,NA(),D341)</f>
        <v/>
      </c>
      <c r="J341">
        <f>IF(AND(ISNUMBER(D341),D341&gt;=$O$4,OR($O$11=0,B341&gt;=$O$12)),1,0)</f>
        <v/>
      </c>
      <c r="K341">
        <f>B341-$O$14</f>
        <v/>
      </c>
    </row>
    <row r="342">
      <c r="A342" t="n">
        <v>1020</v>
      </c>
      <c r="B342" t="n">
        <v>34</v>
      </c>
      <c r="C342" t="inlineStr">
        <is>
          <t>686</t>
        </is>
      </c>
      <c r="D342" t="n">
        <v>6.86</v>
      </c>
      <c r="E342">
        <f>MEDIAN(D322:D362)</f>
        <v/>
      </c>
      <c r="F342">
        <f>E322</f>
        <v/>
      </c>
      <c r="G342">
        <f>F342-E342</f>
        <v/>
      </c>
      <c r="H342">
        <f>IF(OR(NOT(ISNUMBER(D342)),ABS(D342-E342)&gt;$O$3,AND($O$11=1,B342&lt;$O$12)),1,0)</f>
        <v/>
      </c>
      <c r="I342">
        <f>IF(H342=1,NA(),D342)</f>
        <v/>
      </c>
      <c r="J342">
        <f>IF(AND(ISNUMBER(D342),D342&gt;=$O$4,OR($O$11=0,B342&gt;=$O$12)),1,0)</f>
        <v/>
      </c>
      <c r="K342">
        <f>B342-$O$14</f>
        <v/>
      </c>
    </row>
    <row r="343">
      <c r="A343" t="n">
        <v>1023</v>
      </c>
      <c r="B343" t="n">
        <v>34.1</v>
      </c>
      <c r="C343" t="inlineStr">
        <is>
          <t>686</t>
        </is>
      </c>
      <c r="D343" t="n">
        <v>6.86</v>
      </c>
      <c r="E343">
        <f>MEDIAN(D323:D363)</f>
        <v/>
      </c>
      <c r="F343">
        <f>E323</f>
        <v/>
      </c>
      <c r="G343">
        <f>F343-E343</f>
        <v/>
      </c>
      <c r="H343">
        <f>IF(OR(NOT(ISNUMBER(D343)),ABS(D343-E343)&gt;$O$3,AND($O$11=1,B343&lt;$O$12)),1,0)</f>
        <v/>
      </c>
      <c r="I343">
        <f>IF(H343=1,NA(),D343)</f>
        <v/>
      </c>
      <c r="J343">
        <f>IF(AND(ISNUMBER(D343),D343&gt;=$O$4,OR($O$11=0,B343&gt;=$O$12)),1,0)</f>
        <v/>
      </c>
      <c r="K343">
        <f>B343-$O$14</f>
        <v/>
      </c>
    </row>
    <row r="344">
      <c r="A344" t="n">
        <v>1026</v>
      </c>
      <c r="B344" t="n">
        <v>34.2</v>
      </c>
      <c r="C344" t="inlineStr">
        <is>
          <t>687</t>
        </is>
      </c>
      <c r="D344" t="n">
        <v>6.87</v>
      </c>
      <c r="E344">
        <f>MEDIAN(D324:D364)</f>
        <v/>
      </c>
      <c r="F344">
        <f>E324</f>
        <v/>
      </c>
      <c r="G344">
        <f>F344-E344</f>
        <v/>
      </c>
      <c r="H344">
        <f>IF(OR(NOT(ISNUMBER(D344)),ABS(D344-E344)&gt;$O$3,AND($O$11=1,B344&lt;$O$12)),1,0)</f>
        <v/>
      </c>
      <c r="I344">
        <f>IF(H344=1,NA(),D344)</f>
        <v/>
      </c>
      <c r="J344">
        <f>IF(AND(ISNUMBER(D344),D344&gt;=$O$4,OR($O$11=0,B344&gt;=$O$12)),1,0)</f>
        <v/>
      </c>
      <c r="K344">
        <f>B344-$O$14</f>
        <v/>
      </c>
    </row>
    <row r="345">
      <c r="A345" t="n">
        <v>1029</v>
      </c>
      <c r="B345" t="n">
        <v>34.3</v>
      </c>
      <c r="C345" t="inlineStr">
        <is>
          <t>6085</t>
        </is>
      </c>
      <c r="D345" t="n">
        <v>60.85</v>
      </c>
      <c r="E345">
        <f>MEDIAN(D325:D365)</f>
        <v/>
      </c>
      <c r="F345">
        <f>E325</f>
        <v/>
      </c>
      <c r="G345">
        <f>F345-E345</f>
        <v/>
      </c>
      <c r="H345">
        <f>IF(OR(NOT(ISNUMBER(D345)),ABS(D345-E345)&gt;$O$3,AND($O$11=1,B345&lt;$O$12)),1,0)</f>
        <v/>
      </c>
      <c r="I345">
        <f>IF(H345=1,NA(),D345)</f>
        <v/>
      </c>
      <c r="J345">
        <f>IF(AND(ISNUMBER(D345),D345&gt;=$O$4,OR($O$11=0,B345&gt;=$O$12)),1,0)</f>
        <v/>
      </c>
      <c r="K345">
        <f>B345-$O$14</f>
        <v/>
      </c>
    </row>
    <row r="346">
      <c r="A346" t="n">
        <v>1032</v>
      </c>
      <c r="B346" t="n">
        <v>34.4</v>
      </c>
      <c r="C346" t="inlineStr">
        <is>
          <t>603</t>
        </is>
      </c>
      <c r="D346" t="n">
        <v>6.03</v>
      </c>
      <c r="E346">
        <f>MEDIAN(D326:D366)</f>
        <v/>
      </c>
      <c r="F346">
        <f>E326</f>
        <v/>
      </c>
      <c r="G346">
        <f>F346-E346</f>
        <v/>
      </c>
      <c r="H346">
        <f>IF(OR(NOT(ISNUMBER(D346)),ABS(D346-E346)&gt;$O$3,AND($O$11=1,B346&lt;$O$12)),1,0)</f>
        <v/>
      </c>
      <c r="I346">
        <f>IF(H346=1,NA(),D346)</f>
        <v/>
      </c>
      <c r="J346">
        <f>IF(AND(ISNUMBER(D346),D346&gt;=$O$4,OR($O$11=0,B346&gt;=$O$12)),1,0)</f>
        <v/>
      </c>
      <c r="K346">
        <f>B346-$O$14</f>
        <v/>
      </c>
    </row>
    <row r="347">
      <c r="A347" t="n">
        <v>1035</v>
      </c>
      <c r="B347" t="n">
        <v>34.5</v>
      </c>
      <c r="C347" t="inlineStr">
        <is>
          <t>6103</t>
        </is>
      </c>
      <c r="D347" t="n">
        <v>61.03</v>
      </c>
      <c r="E347">
        <f>MEDIAN(D327:D367)</f>
        <v/>
      </c>
      <c r="F347">
        <f>E327</f>
        <v/>
      </c>
      <c r="G347">
        <f>F347-E347</f>
        <v/>
      </c>
      <c r="H347">
        <f>IF(OR(NOT(ISNUMBER(D347)),ABS(D347-E347)&gt;$O$3,AND($O$11=1,B347&lt;$O$12)),1,0)</f>
        <v/>
      </c>
      <c r="I347">
        <f>IF(H347=1,NA(),D347)</f>
        <v/>
      </c>
      <c r="J347">
        <f>IF(AND(ISNUMBER(D347),D347&gt;=$O$4,OR($O$11=0,B347&gt;=$O$12)),1,0)</f>
        <v/>
      </c>
      <c r="K347">
        <f>B347-$O$14</f>
        <v/>
      </c>
    </row>
    <row r="348">
      <c r="A348" t="n">
        <v>1038</v>
      </c>
      <c r="B348" t="n">
        <v>34.6</v>
      </c>
      <c r="C348" t="inlineStr">
        <is>
          <t>61</t>
        </is>
      </c>
      <c r="D348" t="n">
        <v>0.61</v>
      </c>
      <c r="E348">
        <f>MEDIAN(D328:D368)</f>
        <v/>
      </c>
      <c r="F348">
        <f>E328</f>
        <v/>
      </c>
      <c r="G348">
        <f>F348-E348</f>
        <v/>
      </c>
      <c r="H348">
        <f>IF(OR(NOT(ISNUMBER(D348)),ABS(D348-E348)&gt;$O$3,AND($O$11=1,B348&lt;$O$12)),1,0)</f>
        <v/>
      </c>
      <c r="I348">
        <f>IF(H348=1,NA(),D348)</f>
        <v/>
      </c>
      <c r="J348">
        <f>IF(AND(ISNUMBER(D348),D348&gt;=$O$4,OR($O$11=0,B348&gt;=$O$12)),1,0)</f>
        <v/>
      </c>
      <c r="K348">
        <f>B348-$O$14</f>
        <v/>
      </c>
    </row>
    <row r="349">
      <c r="A349" t="n">
        <v>1041</v>
      </c>
      <c r="B349" t="n">
        <v>34.7</v>
      </c>
      <c r="C349" t="inlineStr">
        <is>
          <t>6105</t>
        </is>
      </c>
      <c r="D349" t="n">
        <v>61.05</v>
      </c>
      <c r="E349">
        <f>MEDIAN(D329:D369)</f>
        <v/>
      </c>
      <c r="F349">
        <f>E329</f>
        <v/>
      </c>
      <c r="G349">
        <f>F349-E349</f>
        <v/>
      </c>
      <c r="H349">
        <f>IF(OR(NOT(ISNUMBER(D349)),ABS(D349-E349)&gt;$O$3,AND($O$11=1,B349&lt;$O$12)),1,0)</f>
        <v/>
      </c>
      <c r="I349">
        <f>IF(H349=1,NA(),D349)</f>
        <v/>
      </c>
      <c r="J349">
        <f>IF(AND(ISNUMBER(D349),D349&gt;=$O$4,OR($O$11=0,B349&gt;=$O$12)),1,0)</f>
        <v/>
      </c>
      <c r="K349">
        <f>B349-$O$14</f>
        <v/>
      </c>
    </row>
    <row r="350">
      <c r="A350" t="n">
        <v>1044</v>
      </c>
      <c r="B350" t="n">
        <v>34.8</v>
      </c>
      <c r="C350" t="inlineStr">
        <is>
          <t>6103</t>
        </is>
      </c>
      <c r="D350" t="n">
        <v>61.03</v>
      </c>
      <c r="E350">
        <f>MEDIAN(D330:D370)</f>
        <v/>
      </c>
      <c r="F350">
        <f>E330</f>
        <v/>
      </c>
      <c r="G350">
        <f>F350-E350</f>
        <v/>
      </c>
      <c r="H350">
        <f>IF(OR(NOT(ISNUMBER(D350)),ABS(D350-E350)&gt;$O$3,AND($O$11=1,B350&lt;$O$12)),1,0)</f>
        <v/>
      </c>
      <c r="I350">
        <f>IF(H350=1,NA(),D350)</f>
        <v/>
      </c>
      <c r="J350">
        <f>IF(AND(ISNUMBER(D350),D350&gt;=$O$4,OR($O$11=0,B350&gt;=$O$12)),1,0)</f>
        <v/>
      </c>
      <c r="K350">
        <f>B350-$O$14</f>
        <v/>
      </c>
    </row>
    <row r="351">
      <c r="A351" t="n">
        <v>1047</v>
      </c>
      <c r="B351" t="n">
        <v>34.9</v>
      </c>
      <c r="C351" t="inlineStr">
        <is>
          <t>6127</t>
        </is>
      </c>
      <c r="D351" t="n">
        <v>61.27</v>
      </c>
      <c r="E351">
        <f>MEDIAN(D331:D371)</f>
        <v/>
      </c>
      <c r="F351">
        <f>E331</f>
        <v/>
      </c>
      <c r="G351">
        <f>F351-E351</f>
        <v/>
      </c>
      <c r="H351">
        <f>IF(OR(NOT(ISNUMBER(D351)),ABS(D351-E351)&gt;$O$3,AND($O$11=1,B351&lt;$O$12)),1,0)</f>
        <v/>
      </c>
      <c r="I351">
        <f>IF(H351=1,NA(),D351)</f>
        <v/>
      </c>
      <c r="J351">
        <f>IF(AND(ISNUMBER(D351),D351&gt;=$O$4,OR($O$11=0,B351&gt;=$O$12)),1,0)</f>
        <v/>
      </c>
      <c r="K351">
        <f>B351-$O$14</f>
        <v/>
      </c>
    </row>
    <row r="352">
      <c r="A352" t="n">
        <v>1050</v>
      </c>
      <c r="B352" t="n">
        <v>35</v>
      </c>
      <c r="C352" t="inlineStr">
        <is>
          <t>615</t>
        </is>
      </c>
      <c r="D352" t="n">
        <v>6.15</v>
      </c>
      <c r="E352">
        <f>MEDIAN(D332:D372)</f>
        <v/>
      </c>
      <c r="F352">
        <f>E332</f>
        <v/>
      </c>
      <c r="G352">
        <f>F352-E352</f>
        <v/>
      </c>
      <c r="H352">
        <f>IF(OR(NOT(ISNUMBER(D352)),ABS(D352-E352)&gt;$O$3,AND($O$11=1,B352&lt;$O$12)),1,0)</f>
        <v/>
      </c>
      <c r="I352">
        <f>IF(H352=1,NA(),D352)</f>
        <v/>
      </c>
      <c r="J352">
        <f>IF(AND(ISNUMBER(D352),D352&gt;=$O$4,OR($O$11=0,B352&gt;=$O$12)),1,0)</f>
        <v/>
      </c>
      <c r="K352">
        <f>B352-$O$14</f>
        <v/>
      </c>
    </row>
    <row r="353">
      <c r="A353" t="n">
        <v>1053</v>
      </c>
      <c r="B353" t="n">
        <v>35.1</v>
      </c>
      <c r="C353" t="inlineStr">
        <is>
          <t>6125</t>
        </is>
      </c>
      <c r="D353" t="n">
        <v>61.25</v>
      </c>
      <c r="E353">
        <f>MEDIAN(D333:D373)</f>
        <v/>
      </c>
      <c r="F353">
        <f>E333</f>
        <v/>
      </c>
      <c r="G353">
        <f>F353-E353</f>
        <v/>
      </c>
      <c r="H353">
        <f>IF(OR(NOT(ISNUMBER(D353)),ABS(D353-E353)&gt;$O$3,AND($O$11=1,B353&lt;$O$12)),1,0)</f>
        <v/>
      </c>
      <c r="I353">
        <f>IF(H353=1,NA(),D353)</f>
        <v/>
      </c>
      <c r="J353">
        <f>IF(AND(ISNUMBER(D353),D353&gt;=$O$4,OR($O$11=0,B353&gt;=$O$12)),1,0)</f>
        <v/>
      </c>
      <c r="K353">
        <f>B353-$O$14</f>
        <v/>
      </c>
    </row>
    <row r="354">
      <c r="A354" t="n">
        <v>1056</v>
      </c>
      <c r="B354" t="n">
        <v>35.2</v>
      </c>
      <c r="C354" t="inlineStr">
        <is>
          <t>612</t>
        </is>
      </c>
      <c r="D354" t="n">
        <v>6.12</v>
      </c>
      <c r="E354">
        <f>MEDIAN(D334:D374)</f>
        <v/>
      </c>
      <c r="F354">
        <f>E334</f>
        <v/>
      </c>
      <c r="G354">
        <f>F354-E354</f>
        <v/>
      </c>
      <c r="H354">
        <f>IF(OR(NOT(ISNUMBER(D354)),ABS(D354-E354)&gt;$O$3,AND($O$11=1,B354&lt;$O$12)),1,0)</f>
        <v/>
      </c>
      <c r="I354">
        <f>IF(H354=1,NA(),D354)</f>
        <v/>
      </c>
      <c r="J354">
        <f>IF(AND(ISNUMBER(D354),D354&gt;=$O$4,OR($O$11=0,B354&gt;=$O$12)),1,0)</f>
        <v/>
      </c>
      <c r="K354">
        <f>B354-$O$14</f>
        <v/>
      </c>
    </row>
    <row r="355">
      <c r="A355" t="n">
        <v>1059</v>
      </c>
      <c r="B355" t="n">
        <v>35.3</v>
      </c>
      <c r="C355" t="inlineStr">
        <is>
          <t>613</t>
        </is>
      </c>
      <c r="D355" t="n">
        <v>6.13</v>
      </c>
      <c r="E355">
        <f>MEDIAN(D335:D375)</f>
        <v/>
      </c>
      <c r="F355">
        <f>E335</f>
        <v/>
      </c>
      <c r="G355">
        <f>F355-E355</f>
        <v/>
      </c>
      <c r="H355">
        <f>IF(OR(NOT(ISNUMBER(D355)),ABS(D355-E355)&gt;$O$3,AND($O$11=1,B355&lt;$O$12)),1,0)</f>
        <v/>
      </c>
      <c r="I355">
        <f>IF(H355=1,NA(),D355)</f>
        <v/>
      </c>
      <c r="J355">
        <f>IF(AND(ISNUMBER(D355),D355&gt;=$O$4,OR($O$11=0,B355&gt;=$O$12)),1,0)</f>
        <v/>
      </c>
      <c r="K355">
        <f>B355-$O$14</f>
        <v/>
      </c>
    </row>
    <row r="356">
      <c r="A356" t="n">
        <v>1062</v>
      </c>
      <c r="B356" t="n">
        <v>35.4</v>
      </c>
      <c r="C356" t="inlineStr">
        <is>
          <t>6125</t>
        </is>
      </c>
      <c r="D356" t="n">
        <v>61.25</v>
      </c>
      <c r="E356">
        <f>MEDIAN(D336:D376)</f>
        <v/>
      </c>
      <c r="F356">
        <f>E336</f>
        <v/>
      </c>
      <c r="G356">
        <f>F356-E356</f>
        <v/>
      </c>
      <c r="H356">
        <f>IF(OR(NOT(ISNUMBER(D356)),ABS(D356-E356)&gt;$O$3,AND($O$11=1,B356&lt;$O$12)),1,0)</f>
        <v/>
      </c>
      <c r="I356">
        <f>IF(H356=1,NA(),D356)</f>
        <v/>
      </c>
      <c r="J356">
        <f>IF(AND(ISNUMBER(D356),D356&gt;=$O$4,OR($O$11=0,B356&gt;=$O$12)),1,0)</f>
        <v/>
      </c>
      <c r="K356">
        <f>B356-$O$14</f>
        <v/>
      </c>
    </row>
    <row r="357">
      <c r="A357" t="n">
        <v>1065</v>
      </c>
      <c r="B357" t="n">
        <v>35.5</v>
      </c>
      <c r="C357" t="inlineStr">
        <is>
          <t>6125</t>
        </is>
      </c>
      <c r="D357" t="n">
        <v>61.25</v>
      </c>
      <c r="E357">
        <f>MEDIAN(D337:D377)</f>
        <v/>
      </c>
      <c r="F357">
        <f>E337</f>
        <v/>
      </c>
      <c r="G357">
        <f>F357-E357</f>
        <v/>
      </c>
      <c r="H357">
        <f>IF(OR(NOT(ISNUMBER(D357)),ABS(D357-E357)&gt;$O$3,AND($O$11=1,B357&lt;$O$12)),1,0)</f>
        <v/>
      </c>
      <c r="I357">
        <f>IF(H357=1,NA(),D357)</f>
        <v/>
      </c>
      <c r="J357">
        <f>IF(AND(ISNUMBER(D357),D357&gt;=$O$4,OR($O$11=0,B357&gt;=$O$12)),1,0)</f>
        <v/>
      </c>
      <c r="K357">
        <f>B357-$O$14</f>
        <v/>
      </c>
    </row>
    <row r="358">
      <c r="A358" t="n">
        <v>1068</v>
      </c>
      <c r="B358" t="n">
        <v>35.6</v>
      </c>
      <c r="C358" t="inlineStr">
        <is>
          <t>6127</t>
        </is>
      </c>
      <c r="D358" t="n">
        <v>61.27</v>
      </c>
      <c r="E358">
        <f>MEDIAN(D338:D378)</f>
        <v/>
      </c>
      <c r="F358">
        <f>E338</f>
        <v/>
      </c>
      <c r="G358">
        <f>F358-E358</f>
        <v/>
      </c>
      <c r="H358">
        <f>IF(OR(NOT(ISNUMBER(D358)),ABS(D358-E358)&gt;$O$3,AND($O$11=1,B358&lt;$O$12)),1,0)</f>
        <v/>
      </c>
      <c r="I358">
        <f>IF(H358=1,NA(),D358)</f>
        <v/>
      </c>
      <c r="J358">
        <f>IF(AND(ISNUMBER(D358),D358&gt;=$O$4,OR($O$11=0,B358&gt;=$O$12)),1,0)</f>
        <v/>
      </c>
      <c r="K358">
        <f>B358-$O$14</f>
        <v/>
      </c>
    </row>
    <row r="359">
      <c r="A359" t="n">
        <v>1071</v>
      </c>
      <c r="B359" t="n">
        <v>35.7</v>
      </c>
      <c r="C359" t="inlineStr">
        <is>
          <t>615</t>
        </is>
      </c>
      <c r="D359" t="n">
        <v>6.15</v>
      </c>
      <c r="E359">
        <f>MEDIAN(D339:D379)</f>
        <v/>
      </c>
      <c r="F359">
        <f>E339</f>
        <v/>
      </c>
      <c r="G359">
        <f>F359-E359</f>
        <v/>
      </c>
      <c r="H359">
        <f>IF(OR(NOT(ISNUMBER(D359)),ABS(D359-E359)&gt;$O$3,AND($O$11=1,B359&lt;$O$12)),1,0)</f>
        <v/>
      </c>
      <c r="I359">
        <f>IF(H359=1,NA(),D359)</f>
        <v/>
      </c>
      <c r="J359">
        <f>IF(AND(ISNUMBER(D359),D359&gt;=$O$4,OR($O$11=0,B359&gt;=$O$12)),1,0)</f>
        <v/>
      </c>
      <c r="K359">
        <f>B359-$O$14</f>
        <v/>
      </c>
    </row>
    <row r="360">
      <c r="A360" t="n">
        <v>1074</v>
      </c>
      <c r="B360" t="n">
        <v>35.8</v>
      </c>
      <c r="C360" t="inlineStr">
        <is>
          <t>61</t>
        </is>
      </c>
      <c r="D360" t="n">
        <v>0.61</v>
      </c>
      <c r="E360">
        <f>MEDIAN(D340:D380)</f>
        <v/>
      </c>
      <c r="F360">
        <f>E340</f>
        <v/>
      </c>
      <c r="G360">
        <f>F360-E360</f>
        <v/>
      </c>
      <c r="H360">
        <f>IF(OR(NOT(ISNUMBER(D360)),ABS(D360-E360)&gt;$O$3,AND($O$11=1,B360&lt;$O$12)),1,0)</f>
        <v/>
      </c>
      <c r="I360">
        <f>IF(H360=1,NA(),D360)</f>
        <v/>
      </c>
      <c r="J360">
        <f>IF(AND(ISNUMBER(D360),D360&gt;=$O$4,OR($O$11=0,B360&gt;=$O$12)),1,0)</f>
        <v/>
      </c>
      <c r="K360">
        <f>B360-$O$14</f>
        <v/>
      </c>
    </row>
    <row r="361">
      <c r="A361" t="n">
        <v>1077</v>
      </c>
      <c r="B361" t="n">
        <v>35.9</v>
      </c>
      <c r="C361" t="inlineStr">
        <is>
          <t>6132</t>
        </is>
      </c>
      <c r="D361" t="n">
        <v>61.32</v>
      </c>
      <c r="E361">
        <f>MEDIAN(D341:D381)</f>
        <v/>
      </c>
      <c r="F361">
        <f>E341</f>
        <v/>
      </c>
      <c r="G361">
        <f>F361-E361</f>
        <v/>
      </c>
      <c r="H361">
        <f>IF(OR(NOT(ISNUMBER(D361)),ABS(D361-E361)&gt;$O$3,AND($O$11=1,B361&lt;$O$12)),1,0)</f>
        <v/>
      </c>
      <c r="I361">
        <f>IF(H361=1,NA(),D361)</f>
        <v/>
      </c>
      <c r="J361">
        <f>IF(AND(ISNUMBER(D361),D361&gt;=$O$4,OR($O$11=0,B361&gt;=$O$12)),1,0)</f>
        <v/>
      </c>
      <c r="K361">
        <f>B361-$O$14</f>
        <v/>
      </c>
    </row>
    <row r="362">
      <c r="A362" t="n">
        <v>1080</v>
      </c>
      <c r="B362" t="n">
        <v>36</v>
      </c>
      <c r="C362" t="inlineStr">
        <is>
          <t>613</t>
        </is>
      </c>
      <c r="D362" t="n">
        <v>6.13</v>
      </c>
      <c r="E362">
        <f>MEDIAN(D342:D382)</f>
        <v/>
      </c>
      <c r="F362">
        <f>E342</f>
        <v/>
      </c>
      <c r="G362">
        <f>F362-E362</f>
        <v/>
      </c>
      <c r="H362">
        <f>IF(OR(NOT(ISNUMBER(D362)),ABS(D362-E362)&gt;$O$3,AND($O$11=1,B362&lt;$O$12)),1,0)</f>
        <v/>
      </c>
      <c r="I362">
        <f>IF(H362=1,NA(),D362)</f>
        <v/>
      </c>
      <c r="J362">
        <f>IF(AND(ISNUMBER(D362),D362&gt;=$O$4,OR($O$11=0,B362&gt;=$O$12)),1,0)</f>
        <v/>
      </c>
      <c r="K362">
        <f>B362-$O$14</f>
        <v/>
      </c>
    </row>
    <row r="363">
      <c r="A363" t="n">
        <v>1083</v>
      </c>
      <c r="B363" t="n">
        <v>36.1</v>
      </c>
      <c r="C363" t="inlineStr">
        <is>
          <t>61</t>
        </is>
      </c>
      <c r="D363" t="n">
        <v>0.61</v>
      </c>
      <c r="E363">
        <f>MEDIAN(D343:D383)</f>
        <v/>
      </c>
      <c r="F363">
        <f>E343</f>
        <v/>
      </c>
      <c r="G363">
        <f>F363-E363</f>
        <v/>
      </c>
      <c r="H363">
        <f>IF(OR(NOT(ISNUMBER(D363)),ABS(D363-E363)&gt;$O$3,AND($O$11=1,B363&lt;$O$12)),1,0)</f>
        <v/>
      </c>
      <c r="I363">
        <f>IF(H363=1,NA(),D363)</f>
        <v/>
      </c>
      <c r="J363">
        <f>IF(AND(ISNUMBER(D363),D363&gt;=$O$4,OR($O$11=0,B363&gt;=$O$12)),1,0)</f>
        <v/>
      </c>
      <c r="K363">
        <f>B363-$O$14</f>
        <v/>
      </c>
    </row>
    <row r="364">
      <c r="A364" t="n">
        <v>1086</v>
      </c>
      <c r="B364" t="n">
        <v>36.2</v>
      </c>
      <c r="C364" t="inlineStr">
        <is>
          <t>61</t>
        </is>
      </c>
      <c r="D364" t="n">
        <v>0.61</v>
      </c>
      <c r="E364">
        <f>MEDIAN(D344:D384)</f>
        <v/>
      </c>
      <c r="F364">
        <f>E344</f>
        <v/>
      </c>
      <c r="G364">
        <f>F364-E364</f>
        <v/>
      </c>
      <c r="H364">
        <f>IF(OR(NOT(ISNUMBER(D364)),ABS(D364-E364)&gt;$O$3,AND($O$11=1,B364&lt;$O$12)),1,0)</f>
        <v/>
      </c>
      <c r="I364">
        <f>IF(H364=1,NA(),D364)</f>
        <v/>
      </c>
      <c r="J364">
        <f>IF(AND(ISNUMBER(D364),D364&gt;=$O$4,OR($O$11=0,B364&gt;=$O$12)),1,0)</f>
        <v/>
      </c>
      <c r="K364">
        <f>B364-$O$14</f>
        <v/>
      </c>
    </row>
    <row r="365">
      <c r="A365" t="n">
        <v>1089</v>
      </c>
      <c r="B365" t="n">
        <v>36.3</v>
      </c>
      <c r="C365" t="inlineStr">
        <is>
          <t>616</t>
        </is>
      </c>
      <c r="D365" t="n">
        <v>6.16</v>
      </c>
      <c r="E365">
        <f>MEDIAN(D345:D385)</f>
        <v/>
      </c>
      <c r="F365">
        <f>E345</f>
        <v/>
      </c>
      <c r="G365">
        <f>F365-E365</f>
        <v/>
      </c>
      <c r="H365">
        <f>IF(OR(NOT(ISNUMBER(D365)),ABS(D365-E365)&gt;$O$3,AND($O$11=1,B365&lt;$O$12)),1,0)</f>
        <v/>
      </c>
      <c r="I365">
        <f>IF(H365=1,NA(),D365)</f>
        <v/>
      </c>
      <c r="J365">
        <f>IF(AND(ISNUMBER(D365),D365&gt;=$O$4,OR($O$11=0,B365&gt;=$O$12)),1,0)</f>
        <v/>
      </c>
      <c r="K365">
        <f>B365-$O$14</f>
        <v/>
      </c>
    </row>
    <row r="366">
      <c r="A366" t="n">
        <v>1092</v>
      </c>
      <c r="B366" t="n">
        <v>36.4</v>
      </c>
      <c r="C366" t="inlineStr">
        <is>
          <t>6136</t>
        </is>
      </c>
      <c r="D366" t="n">
        <v>61.36</v>
      </c>
      <c r="E366">
        <f>MEDIAN(D346:D386)</f>
        <v/>
      </c>
      <c r="F366">
        <f>E346</f>
        <v/>
      </c>
      <c r="G366">
        <f>F366-E366</f>
        <v/>
      </c>
      <c r="H366">
        <f>IF(OR(NOT(ISNUMBER(D366)),ABS(D366-E366)&gt;$O$3,AND($O$11=1,B366&lt;$O$12)),1,0)</f>
        <v/>
      </c>
      <c r="I366">
        <f>IF(H366=1,NA(),D366)</f>
        <v/>
      </c>
      <c r="J366">
        <f>IF(AND(ISNUMBER(D366),D366&gt;=$O$4,OR($O$11=0,B366&gt;=$O$12)),1,0)</f>
        <v/>
      </c>
      <c r="K366">
        <f>B366-$O$14</f>
        <v/>
      </c>
    </row>
    <row r="367">
      <c r="A367" t="n">
        <v>1095</v>
      </c>
      <c r="B367" t="n">
        <v>36.5</v>
      </c>
      <c r="C367" t="inlineStr">
        <is>
          <t>6136</t>
        </is>
      </c>
      <c r="D367" t="n">
        <v>61.36</v>
      </c>
      <c r="E367">
        <f>MEDIAN(D347:D387)</f>
        <v/>
      </c>
      <c r="F367">
        <f>E347</f>
        <v/>
      </c>
      <c r="G367">
        <f>F367-E367</f>
        <v/>
      </c>
      <c r="H367">
        <f>IF(OR(NOT(ISNUMBER(D367)),ABS(D367-E367)&gt;$O$3,AND($O$11=1,B367&lt;$O$12)),1,0)</f>
        <v/>
      </c>
      <c r="I367">
        <f>IF(H367=1,NA(),D367)</f>
        <v/>
      </c>
      <c r="J367">
        <f>IF(AND(ISNUMBER(D367),D367&gt;=$O$4,OR($O$11=0,B367&gt;=$O$12)),1,0)</f>
        <v/>
      </c>
      <c r="K367">
        <f>B367-$O$14</f>
        <v/>
      </c>
    </row>
    <row r="368">
      <c r="A368" t="n">
        <v>1098</v>
      </c>
      <c r="B368" t="n">
        <v>36.6</v>
      </c>
      <c r="C368" t="inlineStr">
        <is>
          <t>6135</t>
        </is>
      </c>
      <c r="D368" t="n">
        <v>61.35</v>
      </c>
      <c r="E368">
        <f>MEDIAN(D348:D388)</f>
        <v/>
      </c>
      <c r="F368">
        <f>E348</f>
        <v/>
      </c>
      <c r="G368">
        <f>F368-E368</f>
        <v/>
      </c>
      <c r="H368">
        <f>IF(OR(NOT(ISNUMBER(D368)),ABS(D368-E368)&gt;$O$3,AND($O$11=1,B368&lt;$O$12)),1,0)</f>
        <v/>
      </c>
      <c r="I368">
        <f>IF(H368=1,NA(),D368)</f>
        <v/>
      </c>
      <c r="J368">
        <f>IF(AND(ISNUMBER(D368),D368&gt;=$O$4,OR($O$11=0,B368&gt;=$O$12)),1,0)</f>
        <v/>
      </c>
      <c r="K368">
        <f>B368-$O$14</f>
        <v/>
      </c>
    </row>
    <row r="369">
      <c r="A369" t="n">
        <v>1101</v>
      </c>
      <c r="B369" t="n">
        <v>36.7</v>
      </c>
      <c r="C369" t="inlineStr">
        <is>
          <t>6140</t>
        </is>
      </c>
      <c r="D369" t="n">
        <v>61.4</v>
      </c>
      <c r="E369">
        <f>MEDIAN(D349:D389)</f>
        <v/>
      </c>
      <c r="F369">
        <f>E349</f>
        <v/>
      </c>
      <c r="G369">
        <f>F369-E369</f>
        <v/>
      </c>
      <c r="H369">
        <f>IF(OR(NOT(ISNUMBER(D369)),ABS(D369-E369)&gt;$O$3,AND($O$11=1,B369&lt;$O$12)),1,0)</f>
        <v/>
      </c>
      <c r="I369">
        <f>IF(H369=1,NA(),D369)</f>
        <v/>
      </c>
      <c r="J369">
        <f>IF(AND(ISNUMBER(D369),D369&gt;=$O$4,OR($O$11=0,B369&gt;=$O$12)),1,0)</f>
        <v/>
      </c>
      <c r="K369">
        <f>B369-$O$14</f>
        <v/>
      </c>
    </row>
    <row r="370">
      <c r="A370" t="n">
        <v>1104</v>
      </c>
      <c r="B370" t="n">
        <v>36.8</v>
      </c>
      <c r="C370" t="inlineStr">
        <is>
          <t>6145</t>
        </is>
      </c>
      <c r="D370" t="n">
        <v>61.45</v>
      </c>
      <c r="E370">
        <f>MEDIAN(D350:D390)</f>
        <v/>
      </c>
      <c r="F370">
        <f>E350</f>
        <v/>
      </c>
      <c r="G370">
        <f>F370-E370</f>
        <v/>
      </c>
      <c r="H370">
        <f>IF(OR(NOT(ISNUMBER(D370)),ABS(D370-E370)&gt;$O$3,AND($O$11=1,B370&lt;$O$12)),1,0)</f>
        <v/>
      </c>
      <c r="I370">
        <f>IF(H370=1,NA(),D370)</f>
        <v/>
      </c>
      <c r="J370">
        <f>IF(AND(ISNUMBER(D370),D370&gt;=$O$4,OR($O$11=0,B370&gt;=$O$12)),1,0)</f>
        <v/>
      </c>
      <c r="K370">
        <f>B370-$O$14</f>
        <v/>
      </c>
    </row>
    <row r="371">
      <c r="A371" t="n">
        <v>1107</v>
      </c>
      <c r="B371" t="n">
        <v>36.9</v>
      </c>
      <c r="C371" t="inlineStr">
        <is>
          <t>6142</t>
        </is>
      </c>
      <c r="D371" t="n">
        <v>61.42</v>
      </c>
      <c r="E371">
        <f>MEDIAN(D351:D391)</f>
        <v/>
      </c>
      <c r="F371">
        <f>E351</f>
        <v/>
      </c>
      <c r="G371">
        <f>F371-E371</f>
        <v/>
      </c>
      <c r="H371">
        <f>IF(OR(NOT(ISNUMBER(D371)),ABS(D371-E371)&gt;$O$3,AND($O$11=1,B371&lt;$O$12)),1,0)</f>
        <v/>
      </c>
      <c r="I371">
        <f>IF(H371=1,NA(),D371)</f>
        <v/>
      </c>
      <c r="J371">
        <f>IF(AND(ISNUMBER(D371),D371&gt;=$O$4,OR($O$11=0,B371&gt;=$O$12)),1,0)</f>
        <v/>
      </c>
      <c r="K371">
        <f>B371-$O$14</f>
        <v/>
      </c>
    </row>
    <row r="372">
      <c r="A372" t="n">
        <v>1110</v>
      </c>
      <c r="B372" t="n">
        <v>37</v>
      </c>
      <c r="C372" t="inlineStr">
        <is>
          <t>6143</t>
        </is>
      </c>
      <c r="D372" t="n">
        <v>61.43</v>
      </c>
      <c r="E372">
        <f>MEDIAN(D352:D392)</f>
        <v/>
      </c>
      <c r="F372">
        <f>E352</f>
        <v/>
      </c>
      <c r="G372">
        <f>F372-E372</f>
        <v/>
      </c>
      <c r="H372">
        <f>IF(OR(NOT(ISNUMBER(D372)),ABS(D372-E372)&gt;$O$3,AND($O$11=1,B372&lt;$O$12)),1,0)</f>
        <v/>
      </c>
      <c r="I372">
        <f>IF(H372=1,NA(),D372)</f>
        <v/>
      </c>
      <c r="J372">
        <f>IF(AND(ISNUMBER(D372),D372&gt;=$O$4,OR($O$11=0,B372&gt;=$O$12)),1,0)</f>
        <v/>
      </c>
      <c r="K372">
        <f>B372-$O$14</f>
        <v/>
      </c>
    </row>
    <row r="373">
      <c r="A373" t="n">
        <v>1113</v>
      </c>
      <c r="B373" t="n">
        <v>37.1</v>
      </c>
      <c r="C373" t="inlineStr">
        <is>
          <t>6145</t>
        </is>
      </c>
      <c r="D373" t="n">
        <v>61.45</v>
      </c>
      <c r="E373">
        <f>MEDIAN(D353:D393)</f>
        <v/>
      </c>
      <c r="F373">
        <f>E353</f>
        <v/>
      </c>
      <c r="G373">
        <f>F373-E373</f>
        <v/>
      </c>
      <c r="H373">
        <f>IF(OR(NOT(ISNUMBER(D373)),ABS(D373-E373)&gt;$O$3,AND($O$11=1,B373&lt;$O$12)),1,0)</f>
        <v/>
      </c>
      <c r="I373">
        <f>IF(H373=1,NA(),D373)</f>
        <v/>
      </c>
      <c r="J373">
        <f>IF(AND(ISNUMBER(D373),D373&gt;=$O$4,OR($O$11=0,B373&gt;=$O$12)),1,0)</f>
        <v/>
      </c>
      <c r="K373">
        <f>B373-$O$14</f>
        <v/>
      </c>
    </row>
    <row r="374">
      <c r="A374" t="n">
        <v>1116</v>
      </c>
      <c r="B374" t="n">
        <v>37.2</v>
      </c>
      <c r="C374" t="inlineStr">
        <is>
          <t>6145</t>
        </is>
      </c>
      <c r="D374" t="n">
        <v>61.45</v>
      </c>
      <c r="E374">
        <f>MEDIAN(D354:D394)</f>
        <v/>
      </c>
      <c r="F374">
        <f>E354</f>
        <v/>
      </c>
      <c r="G374">
        <f>F374-E374</f>
        <v/>
      </c>
      <c r="H374">
        <f>IF(OR(NOT(ISNUMBER(D374)),ABS(D374-E374)&gt;$O$3,AND($O$11=1,B374&lt;$O$12)),1,0)</f>
        <v/>
      </c>
      <c r="I374">
        <f>IF(H374=1,NA(),D374)</f>
        <v/>
      </c>
      <c r="J374">
        <f>IF(AND(ISNUMBER(D374),D374&gt;=$O$4,OR($O$11=0,B374&gt;=$O$12)),1,0)</f>
        <v/>
      </c>
      <c r="K374">
        <f>B374-$O$14</f>
        <v/>
      </c>
    </row>
    <row r="375">
      <c r="A375" t="n">
        <v>1119</v>
      </c>
      <c r="B375" t="n">
        <v>37.3</v>
      </c>
      <c r="C375" t="inlineStr">
        <is>
          <t>6146</t>
        </is>
      </c>
      <c r="D375" t="n">
        <v>61.46</v>
      </c>
      <c r="E375">
        <f>MEDIAN(D355:D395)</f>
        <v/>
      </c>
      <c r="F375">
        <f>E355</f>
        <v/>
      </c>
      <c r="G375">
        <f>F375-E375</f>
        <v/>
      </c>
      <c r="H375">
        <f>IF(OR(NOT(ISNUMBER(D375)),ABS(D375-E375)&gt;$O$3,AND($O$11=1,B375&lt;$O$12)),1,0)</f>
        <v/>
      </c>
      <c r="I375">
        <f>IF(H375=1,NA(),D375)</f>
        <v/>
      </c>
      <c r="J375">
        <f>IF(AND(ISNUMBER(D375),D375&gt;=$O$4,OR($O$11=0,B375&gt;=$O$12)),1,0)</f>
        <v/>
      </c>
      <c r="K375">
        <f>B375-$O$14</f>
        <v/>
      </c>
    </row>
    <row r="376">
      <c r="A376" t="n">
        <v>1122</v>
      </c>
      <c r="B376" t="n">
        <v>37.4</v>
      </c>
      <c r="C376" t="inlineStr">
        <is>
          <t>6146</t>
        </is>
      </c>
      <c r="D376" t="n">
        <v>61.46</v>
      </c>
      <c r="E376">
        <f>MEDIAN(D356:D396)</f>
        <v/>
      </c>
      <c r="F376">
        <f>E356</f>
        <v/>
      </c>
      <c r="G376">
        <f>F376-E376</f>
        <v/>
      </c>
      <c r="H376">
        <f>IF(OR(NOT(ISNUMBER(D376)),ABS(D376-E376)&gt;$O$3,AND($O$11=1,B376&lt;$O$12)),1,0)</f>
        <v/>
      </c>
      <c r="I376">
        <f>IF(H376=1,NA(),D376)</f>
        <v/>
      </c>
      <c r="J376">
        <f>IF(AND(ISNUMBER(D376),D376&gt;=$O$4,OR($O$11=0,B376&gt;=$O$12)),1,0)</f>
        <v/>
      </c>
      <c r="K376">
        <f>B376-$O$14</f>
        <v/>
      </c>
    </row>
    <row r="377">
      <c r="A377" t="n">
        <v>1125</v>
      </c>
      <c r="B377" t="n">
        <v>37.5</v>
      </c>
      <c r="C377" t="inlineStr">
        <is>
          <t>6147</t>
        </is>
      </c>
      <c r="D377" t="n">
        <v>61.47</v>
      </c>
      <c r="E377">
        <f>MEDIAN(D357:D397)</f>
        <v/>
      </c>
      <c r="F377">
        <f>E357</f>
        <v/>
      </c>
      <c r="G377">
        <f>F377-E377</f>
        <v/>
      </c>
      <c r="H377">
        <f>IF(OR(NOT(ISNUMBER(D377)),ABS(D377-E377)&gt;$O$3,AND($O$11=1,B377&lt;$O$12)),1,0)</f>
        <v/>
      </c>
      <c r="I377">
        <f>IF(H377=1,NA(),D377)</f>
        <v/>
      </c>
      <c r="J377">
        <f>IF(AND(ISNUMBER(D377),D377&gt;=$O$4,OR($O$11=0,B377&gt;=$O$12)),1,0)</f>
        <v/>
      </c>
      <c r="K377">
        <f>B377-$O$14</f>
        <v/>
      </c>
    </row>
    <row r="378">
      <c r="A378" t="n">
        <v>1128</v>
      </c>
      <c r="B378" t="n">
        <v>37.6</v>
      </c>
      <c r="C378" t="inlineStr">
        <is>
          <t>6147</t>
        </is>
      </c>
      <c r="D378" t="n">
        <v>61.47</v>
      </c>
      <c r="E378">
        <f>MEDIAN(D358:D398)</f>
        <v/>
      </c>
      <c r="F378">
        <f>E358</f>
        <v/>
      </c>
      <c r="G378">
        <f>F378-E378</f>
        <v/>
      </c>
      <c r="H378">
        <f>IF(OR(NOT(ISNUMBER(D378)),ABS(D378-E378)&gt;$O$3,AND($O$11=1,B378&lt;$O$12)),1,0)</f>
        <v/>
      </c>
      <c r="I378">
        <f>IF(H378=1,NA(),D378)</f>
        <v/>
      </c>
      <c r="J378">
        <f>IF(AND(ISNUMBER(D378),D378&gt;=$O$4,OR($O$11=0,B378&gt;=$O$12)),1,0)</f>
        <v/>
      </c>
      <c r="K378">
        <f>B378-$O$14</f>
        <v/>
      </c>
    </row>
    <row r="379">
      <c r="A379" t="n">
        <v>1131</v>
      </c>
      <c r="B379" t="n">
        <v>37.7</v>
      </c>
      <c r="C379" t="inlineStr">
        <is>
          <t>6146</t>
        </is>
      </c>
      <c r="D379" t="n">
        <v>61.46</v>
      </c>
      <c r="E379">
        <f>MEDIAN(D359:D399)</f>
        <v/>
      </c>
      <c r="F379">
        <f>E359</f>
        <v/>
      </c>
      <c r="G379">
        <f>F379-E379</f>
        <v/>
      </c>
      <c r="H379">
        <f>IF(OR(NOT(ISNUMBER(D379)),ABS(D379-E379)&gt;$O$3,AND($O$11=1,B379&lt;$O$12)),1,0)</f>
        <v/>
      </c>
      <c r="I379">
        <f>IF(H379=1,NA(),D379)</f>
        <v/>
      </c>
      <c r="J379">
        <f>IF(AND(ISNUMBER(D379),D379&gt;=$O$4,OR($O$11=0,B379&gt;=$O$12)),1,0)</f>
        <v/>
      </c>
      <c r="K379">
        <f>B379-$O$14</f>
        <v/>
      </c>
    </row>
    <row r="380">
      <c r="A380" t="n">
        <v>1134</v>
      </c>
      <c r="B380" t="n">
        <v>37.8</v>
      </c>
      <c r="C380" t="inlineStr">
        <is>
          <t>6145</t>
        </is>
      </c>
      <c r="D380" t="n">
        <v>61.45</v>
      </c>
      <c r="E380">
        <f>MEDIAN(D360:D400)</f>
        <v/>
      </c>
      <c r="F380">
        <f>E360</f>
        <v/>
      </c>
      <c r="G380">
        <f>F380-E380</f>
        <v/>
      </c>
      <c r="H380">
        <f>IF(OR(NOT(ISNUMBER(D380)),ABS(D380-E380)&gt;$O$3,AND($O$11=1,B380&lt;$O$12)),1,0)</f>
        <v/>
      </c>
      <c r="I380">
        <f>IF(H380=1,NA(),D380)</f>
        <v/>
      </c>
      <c r="J380">
        <f>IF(AND(ISNUMBER(D380),D380&gt;=$O$4,OR($O$11=0,B380&gt;=$O$12)),1,0)</f>
        <v/>
      </c>
      <c r="K380">
        <f>B380-$O$14</f>
        <v/>
      </c>
    </row>
    <row r="381">
      <c r="A381" t="n">
        <v>1137</v>
      </c>
      <c r="B381" t="n">
        <v>37.9</v>
      </c>
      <c r="C381" t="inlineStr">
        <is>
          <t>610</t>
        </is>
      </c>
      <c r="D381" t="n">
        <v>6.1</v>
      </c>
      <c r="E381">
        <f>MEDIAN(D361:D401)</f>
        <v/>
      </c>
      <c r="F381">
        <f>E361</f>
        <v/>
      </c>
      <c r="G381">
        <f>F381-E381</f>
        <v/>
      </c>
      <c r="H381">
        <f>IF(OR(NOT(ISNUMBER(D381)),ABS(D381-E381)&gt;$O$3,AND($O$11=1,B381&lt;$O$12)),1,0)</f>
        <v/>
      </c>
      <c r="I381">
        <f>IF(H381=1,NA(),D381)</f>
        <v/>
      </c>
      <c r="J381">
        <f>IF(AND(ISNUMBER(D381),D381&gt;=$O$4,OR($O$11=0,B381&gt;=$O$12)),1,0)</f>
        <v/>
      </c>
      <c r="K381">
        <f>B381-$O$14</f>
        <v/>
      </c>
    </row>
    <row r="382">
      <c r="A382" t="n">
        <v>1140</v>
      </c>
      <c r="B382" t="n">
        <v>38</v>
      </c>
      <c r="C382" t="inlineStr">
        <is>
          <t>650</t>
        </is>
      </c>
      <c r="D382" t="n">
        <v>6.5</v>
      </c>
      <c r="E382">
        <f>MEDIAN(D362:D402)</f>
        <v/>
      </c>
      <c r="F382">
        <f>E362</f>
        <v/>
      </c>
      <c r="G382">
        <f>F382-E382</f>
        <v/>
      </c>
      <c r="H382">
        <f>IF(OR(NOT(ISNUMBER(D382)),ABS(D382-E382)&gt;$O$3,AND($O$11=1,B382&lt;$O$12)),1,0)</f>
        <v/>
      </c>
      <c r="I382">
        <f>IF(H382=1,NA(),D382)</f>
        <v/>
      </c>
      <c r="J382">
        <f>IF(AND(ISNUMBER(D382),D382&gt;=$O$4,OR($O$11=0,B382&gt;=$O$12)),1,0)</f>
        <v/>
      </c>
      <c r="K382">
        <f>B382-$O$14</f>
        <v/>
      </c>
    </row>
    <row r="383">
      <c r="A383" t="n">
        <v>1143</v>
      </c>
      <c r="B383" t="n">
        <v>38.1</v>
      </c>
      <c r="C383" t="inlineStr">
        <is>
          <t>6150</t>
        </is>
      </c>
      <c r="D383" t="n">
        <v>61.5</v>
      </c>
      <c r="E383">
        <f>MEDIAN(D363:D403)</f>
        <v/>
      </c>
      <c r="F383">
        <f>E363</f>
        <v/>
      </c>
      <c r="G383">
        <f>F383-E383</f>
        <v/>
      </c>
      <c r="H383">
        <f>IF(OR(NOT(ISNUMBER(D383)),ABS(D383-E383)&gt;$O$3,AND($O$11=1,B383&lt;$O$12)),1,0)</f>
        <v/>
      </c>
      <c r="I383">
        <f>IF(H383=1,NA(),D383)</f>
        <v/>
      </c>
      <c r="J383">
        <f>IF(AND(ISNUMBER(D383),D383&gt;=$O$4,OR($O$11=0,B383&gt;=$O$12)),1,0)</f>
        <v/>
      </c>
      <c r="K383">
        <f>B383-$O$14</f>
        <v/>
      </c>
    </row>
    <row r="384">
      <c r="A384" t="n">
        <v>1146</v>
      </c>
      <c r="B384" t="n">
        <v>38.2</v>
      </c>
      <c r="C384" t="inlineStr">
        <is>
          <t>610</t>
        </is>
      </c>
      <c r="D384" t="n">
        <v>6.1</v>
      </c>
      <c r="E384">
        <f>MEDIAN(D364:D404)</f>
        <v/>
      </c>
      <c r="F384">
        <f>E364</f>
        <v/>
      </c>
      <c r="G384">
        <f>F384-E384</f>
        <v/>
      </c>
      <c r="H384">
        <f>IF(OR(NOT(ISNUMBER(D384)),ABS(D384-E384)&gt;$O$3,AND($O$11=1,B384&lt;$O$12)),1,0)</f>
        <v/>
      </c>
      <c r="I384">
        <f>IF(H384=1,NA(),D384)</f>
        <v/>
      </c>
      <c r="J384">
        <f>IF(AND(ISNUMBER(D384),D384&gt;=$O$4,OR($O$11=0,B384&gt;=$O$12)),1,0)</f>
        <v/>
      </c>
      <c r="K384">
        <f>B384-$O$14</f>
        <v/>
      </c>
    </row>
    <row r="385">
      <c r="A385" t="n">
        <v>1149</v>
      </c>
      <c r="B385" t="n">
        <v>38.3</v>
      </c>
      <c r="C385" t="inlineStr">
        <is>
          <t>6155</t>
        </is>
      </c>
      <c r="D385" t="n">
        <v>61.55</v>
      </c>
      <c r="E385">
        <f>MEDIAN(D365:D405)</f>
        <v/>
      </c>
      <c r="F385">
        <f>E365</f>
        <v/>
      </c>
      <c r="G385">
        <f>F385-E385</f>
        <v/>
      </c>
      <c r="H385">
        <f>IF(OR(NOT(ISNUMBER(D385)),ABS(D385-E385)&gt;$O$3,AND($O$11=1,B385&lt;$O$12)),1,0)</f>
        <v/>
      </c>
      <c r="I385">
        <f>IF(H385=1,NA(),D385)</f>
        <v/>
      </c>
      <c r="J385">
        <f>IF(AND(ISNUMBER(D385),D385&gt;=$O$4,OR($O$11=0,B385&gt;=$O$12)),1,0)</f>
        <v/>
      </c>
      <c r="K385">
        <f>B385-$O$14</f>
        <v/>
      </c>
    </row>
    <row r="386">
      <c r="A386" t="n">
        <v>1152</v>
      </c>
      <c r="B386" t="n">
        <v>38.4</v>
      </c>
      <c r="C386" t="inlineStr">
        <is>
          <t>6155</t>
        </is>
      </c>
      <c r="D386" t="n">
        <v>61.55</v>
      </c>
      <c r="E386">
        <f>MEDIAN(D366:D406)</f>
        <v/>
      </c>
      <c r="F386">
        <f>E366</f>
        <v/>
      </c>
      <c r="G386">
        <f>F386-E386</f>
        <v/>
      </c>
      <c r="H386">
        <f>IF(OR(NOT(ISNUMBER(D386)),ABS(D386-E386)&gt;$O$3,AND($O$11=1,B386&lt;$O$12)),1,0)</f>
        <v/>
      </c>
      <c r="I386">
        <f>IF(H386=1,NA(),D386)</f>
        <v/>
      </c>
      <c r="J386">
        <f>IF(AND(ISNUMBER(D386),D386&gt;=$O$4,OR($O$11=0,B386&gt;=$O$12)),1,0)</f>
        <v/>
      </c>
      <c r="K386">
        <f>B386-$O$14</f>
        <v/>
      </c>
    </row>
    <row r="387">
      <c r="A387" t="n">
        <v>1155</v>
      </c>
      <c r="B387" t="n">
        <v>38.5</v>
      </c>
      <c r="C387" t="inlineStr">
        <is>
          <t>612</t>
        </is>
      </c>
      <c r="D387" t="n">
        <v>6.12</v>
      </c>
      <c r="E387">
        <f>MEDIAN(D367:D407)</f>
        <v/>
      </c>
      <c r="F387">
        <f>E367</f>
        <v/>
      </c>
      <c r="G387">
        <f>F387-E387</f>
        <v/>
      </c>
      <c r="H387">
        <f>IF(OR(NOT(ISNUMBER(D387)),ABS(D387-E387)&gt;$O$3,AND($O$11=1,B387&lt;$O$12)),1,0)</f>
        <v/>
      </c>
      <c r="I387">
        <f>IF(H387=1,NA(),D387)</f>
        <v/>
      </c>
      <c r="J387">
        <f>IF(AND(ISNUMBER(D387),D387&gt;=$O$4,OR($O$11=0,B387&gt;=$O$12)),1,0)</f>
        <v/>
      </c>
      <c r="K387">
        <f>B387-$O$14</f>
        <v/>
      </c>
    </row>
    <row r="388">
      <c r="A388" t="n">
        <v>1158</v>
      </c>
      <c r="B388" t="n">
        <v>38.6</v>
      </c>
      <c r="C388" t="inlineStr">
        <is>
          <t>613</t>
        </is>
      </c>
      <c r="D388" t="n">
        <v>6.13</v>
      </c>
      <c r="E388">
        <f>MEDIAN(D368:D408)</f>
        <v/>
      </c>
      <c r="F388">
        <f>E368</f>
        <v/>
      </c>
      <c r="G388">
        <f>F388-E388</f>
        <v/>
      </c>
      <c r="H388">
        <f>IF(OR(NOT(ISNUMBER(D388)),ABS(D388-E388)&gt;$O$3,AND($O$11=1,B388&lt;$O$12)),1,0)</f>
        <v/>
      </c>
      <c r="I388">
        <f>IF(H388=1,NA(),D388)</f>
        <v/>
      </c>
      <c r="J388">
        <f>IF(AND(ISNUMBER(D388),D388&gt;=$O$4,OR($O$11=0,B388&gt;=$O$12)),1,0)</f>
        <v/>
      </c>
      <c r="K388">
        <f>B388-$O$14</f>
        <v/>
      </c>
    </row>
    <row r="389">
      <c r="A389" t="n">
        <v>1161</v>
      </c>
      <c r="B389" t="n">
        <v>38.7</v>
      </c>
      <c r="C389" t="inlineStr">
        <is>
          <t>6153</t>
        </is>
      </c>
      <c r="D389" t="n">
        <v>61.53</v>
      </c>
      <c r="E389">
        <f>MEDIAN(D369:D409)</f>
        <v/>
      </c>
      <c r="F389">
        <f>E369</f>
        <v/>
      </c>
      <c r="G389">
        <f>F389-E389</f>
        <v/>
      </c>
      <c r="H389">
        <f>IF(OR(NOT(ISNUMBER(D389)),ABS(D389-E389)&gt;$O$3,AND($O$11=1,B389&lt;$O$12)),1,0)</f>
        <v/>
      </c>
      <c r="I389">
        <f>IF(H389=1,NA(),D389)</f>
        <v/>
      </c>
      <c r="J389">
        <f>IF(AND(ISNUMBER(D389),D389&gt;=$O$4,OR($O$11=0,B389&gt;=$O$12)),1,0)</f>
        <v/>
      </c>
      <c r="K389">
        <f>B389-$O$14</f>
        <v/>
      </c>
    </row>
    <row r="390">
      <c r="A390" t="n">
        <v>1164</v>
      </c>
      <c r="B390" t="n">
        <v>38.8</v>
      </c>
      <c r="C390" t="inlineStr">
        <is>
          <t>615</t>
        </is>
      </c>
      <c r="D390" t="n">
        <v>6.15</v>
      </c>
      <c r="E390">
        <f>MEDIAN(D370:D410)</f>
        <v/>
      </c>
      <c r="F390">
        <f>E370</f>
        <v/>
      </c>
      <c r="G390">
        <f>F390-E390</f>
        <v/>
      </c>
      <c r="H390">
        <f>IF(OR(NOT(ISNUMBER(D390)),ABS(D390-E390)&gt;$O$3,AND($O$11=1,B390&lt;$O$12)),1,0)</f>
        <v/>
      </c>
      <c r="I390">
        <f>IF(H390=1,NA(),D390)</f>
        <v/>
      </c>
      <c r="J390">
        <f>IF(AND(ISNUMBER(D390),D390&gt;=$O$4,OR($O$11=0,B390&gt;=$O$12)),1,0)</f>
        <v/>
      </c>
      <c r="K390">
        <f>B390-$O$14</f>
        <v/>
      </c>
    </row>
    <row r="391">
      <c r="A391" t="n">
        <v>1167</v>
      </c>
      <c r="B391" t="n">
        <v>38.9</v>
      </c>
      <c r="C391" t="inlineStr">
        <is>
          <t>6155</t>
        </is>
      </c>
      <c r="D391" t="n">
        <v>61.55</v>
      </c>
      <c r="E391">
        <f>MEDIAN(D371:D411)</f>
        <v/>
      </c>
      <c r="F391">
        <f>E371</f>
        <v/>
      </c>
      <c r="G391">
        <f>F391-E391</f>
        <v/>
      </c>
      <c r="H391">
        <f>IF(OR(NOT(ISNUMBER(D391)),ABS(D391-E391)&gt;$O$3,AND($O$11=1,B391&lt;$O$12)),1,0)</f>
        <v/>
      </c>
      <c r="I391">
        <f>IF(H391=1,NA(),D391)</f>
        <v/>
      </c>
      <c r="J391">
        <f>IF(AND(ISNUMBER(D391),D391&gt;=$O$4,OR($O$11=0,B391&gt;=$O$12)),1,0)</f>
        <v/>
      </c>
      <c r="K391">
        <f>B391-$O$14</f>
        <v/>
      </c>
    </row>
    <row r="392">
      <c r="A392" t="n">
        <v>1170</v>
      </c>
      <c r="B392" t="n">
        <v>39</v>
      </c>
      <c r="C392" t="inlineStr">
        <is>
          <t>615</t>
        </is>
      </c>
      <c r="D392" t="n">
        <v>6.15</v>
      </c>
      <c r="E392">
        <f>MEDIAN(D372:D412)</f>
        <v/>
      </c>
      <c r="F392">
        <f>E372</f>
        <v/>
      </c>
      <c r="G392">
        <f>F392-E392</f>
        <v/>
      </c>
      <c r="H392">
        <f>IF(OR(NOT(ISNUMBER(D392)),ABS(D392-E392)&gt;$O$3,AND($O$11=1,B392&lt;$O$12)),1,0)</f>
        <v/>
      </c>
      <c r="I392">
        <f>IF(H392=1,NA(),D392)</f>
        <v/>
      </c>
      <c r="J392">
        <f>IF(AND(ISNUMBER(D392),D392&gt;=$O$4,OR($O$11=0,B392&gt;=$O$12)),1,0)</f>
        <v/>
      </c>
      <c r="K392">
        <f>B392-$O$14</f>
        <v/>
      </c>
    </row>
    <row r="393">
      <c r="A393" t="n">
        <v>1173</v>
      </c>
      <c r="B393" t="n">
        <v>39.1</v>
      </c>
      <c r="C393" t="inlineStr">
        <is>
          <t>6155</t>
        </is>
      </c>
      <c r="D393" t="n">
        <v>61.55</v>
      </c>
      <c r="E393">
        <f>MEDIAN(D373:D413)</f>
        <v/>
      </c>
      <c r="F393">
        <f>E373</f>
        <v/>
      </c>
      <c r="G393">
        <f>F393-E393</f>
        <v/>
      </c>
      <c r="H393">
        <f>IF(OR(NOT(ISNUMBER(D393)),ABS(D393-E393)&gt;$O$3,AND($O$11=1,B393&lt;$O$12)),1,0)</f>
        <v/>
      </c>
      <c r="I393">
        <f>IF(H393=1,NA(),D393)</f>
        <v/>
      </c>
      <c r="J393">
        <f>IF(AND(ISNUMBER(D393),D393&gt;=$O$4,OR($O$11=0,B393&gt;=$O$12)),1,0)</f>
        <v/>
      </c>
      <c r="K393">
        <f>B393-$O$14</f>
        <v/>
      </c>
    </row>
    <row r="394">
      <c r="A394" t="n">
        <v>1176</v>
      </c>
      <c r="B394" t="n">
        <v>39.2</v>
      </c>
      <c r="C394" t="inlineStr">
        <is>
          <t>616</t>
        </is>
      </c>
      <c r="D394" t="n">
        <v>6.16</v>
      </c>
      <c r="E394">
        <f>MEDIAN(D374:D414)</f>
        <v/>
      </c>
      <c r="F394">
        <f>E374</f>
        <v/>
      </c>
      <c r="G394">
        <f>F394-E394</f>
        <v/>
      </c>
      <c r="H394">
        <f>IF(OR(NOT(ISNUMBER(D394)),ABS(D394-E394)&gt;$O$3,AND($O$11=1,B394&lt;$O$12)),1,0)</f>
        <v/>
      </c>
      <c r="I394">
        <f>IF(H394=1,NA(),D394)</f>
        <v/>
      </c>
      <c r="J394">
        <f>IF(AND(ISNUMBER(D394),D394&gt;=$O$4,OR($O$11=0,B394&gt;=$O$12)),1,0)</f>
        <v/>
      </c>
      <c r="K394">
        <f>B394-$O$14</f>
        <v/>
      </c>
    </row>
    <row r="395">
      <c r="A395" t="n">
        <v>1179</v>
      </c>
      <c r="B395" t="n">
        <v>39.3</v>
      </c>
      <c r="C395" t="inlineStr">
        <is>
          <t>6156</t>
        </is>
      </c>
      <c r="D395" t="n">
        <v>61.56</v>
      </c>
      <c r="E395">
        <f>MEDIAN(D375:D415)</f>
        <v/>
      </c>
      <c r="F395">
        <f>E375</f>
        <v/>
      </c>
      <c r="G395">
        <f>F395-E395</f>
        <v/>
      </c>
      <c r="H395">
        <f>IF(OR(NOT(ISNUMBER(D395)),ABS(D395-E395)&gt;$O$3,AND($O$11=1,B395&lt;$O$12)),1,0)</f>
        <v/>
      </c>
      <c r="I395">
        <f>IF(H395=1,NA(),D395)</f>
        <v/>
      </c>
      <c r="J395">
        <f>IF(AND(ISNUMBER(D395),D395&gt;=$O$4,OR($O$11=0,B395&gt;=$O$12)),1,0)</f>
        <v/>
      </c>
      <c r="K395">
        <f>B395-$O$14</f>
        <v/>
      </c>
    </row>
    <row r="396">
      <c r="A396" t="n">
        <v>1182</v>
      </c>
      <c r="B396" t="n">
        <v>39.4</v>
      </c>
      <c r="C396" t="inlineStr">
        <is>
          <t>6156</t>
        </is>
      </c>
      <c r="D396" t="n">
        <v>61.56</v>
      </c>
      <c r="E396">
        <f>MEDIAN(D376:D416)</f>
        <v/>
      </c>
      <c r="F396">
        <f>E376</f>
        <v/>
      </c>
      <c r="G396">
        <f>F396-E396</f>
        <v/>
      </c>
      <c r="H396">
        <f>IF(OR(NOT(ISNUMBER(D396)),ABS(D396-E396)&gt;$O$3,AND($O$11=1,B396&lt;$O$12)),1,0)</f>
        <v/>
      </c>
      <c r="I396">
        <f>IF(H396=1,NA(),D396)</f>
        <v/>
      </c>
      <c r="J396">
        <f>IF(AND(ISNUMBER(D396),D396&gt;=$O$4,OR($O$11=0,B396&gt;=$O$12)),1,0)</f>
        <v/>
      </c>
      <c r="K396">
        <f>B396-$O$14</f>
        <v/>
      </c>
    </row>
    <row r="397">
      <c r="A397" t="n">
        <v>1185</v>
      </c>
      <c r="B397" t="n">
        <v>39.5</v>
      </c>
      <c r="C397" t="inlineStr">
        <is>
          <t>6156</t>
        </is>
      </c>
      <c r="D397" t="n">
        <v>61.56</v>
      </c>
      <c r="E397">
        <f>MEDIAN(D377:D417)</f>
        <v/>
      </c>
      <c r="F397">
        <f>E377</f>
        <v/>
      </c>
      <c r="G397">
        <f>F397-E397</f>
        <v/>
      </c>
      <c r="H397">
        <f>IF(OR(NOT(ISNUMBER(D397)),ABS(D397-E397)&gt;$O$3,AND($O$11=1,B397&lt;$O$12)),1,0)</f>
        <v/>
      </c>
      <c r="I397">
        <f>IF(H397=1,NA(),D397)</f>
        <v/>
      </c>
      <c r="J397">
        <f>IF(AND(ISNUMBER(D397),D397&gt;=$O$4,OR($O$11=0,B397&gt;=$O$12)),1,0)</f>
        <v/>
      </c>
      <c r="K397">
        <f>B397-$O$14</f>
        <v/>
      </c>
    </row>
    <row r="398">
      <c r="A398" t="n">
        <v>1188</v>
      </c>
      <c r="B398" t="n">
        <v>39.6</v>
      </c>
      <c r="C398" t="inlineStr">
        <is>
          <t>617</t>
        </is>
      </c>
      <c r="D398" t="n">
        <v>6.17</v>
      </c>
      <c r="E398">
        <f>MEDIAN(D378:D418)</f>
        <v/>
      </c>
      <c r="F398">
        <f>E378</f>
        <v/>
      </c>
      <c r="G398">
        <f>F398-E398</f>
        <v/>
      </c>
      <c r="H398">
        <f>IF(OR(NOT(ISNUMBER(D398)),ABS(D398-E398)&gt;$O$3,AND($O$11=1,B398&lt;$O$12)),1,0)</f>
        <v/>
      </c>
      <c r="I398">
        <f>IF(H398=1,NA(),D398)</f>
        <v/>
      </c>
      <c r="J398">
        <f>IF(AND(ISNUMBER(D398),D398&gt;=$O$4,OR($O$11=0,B398&gt;=$O$12)),1,0)</f>
        <v/>
      </c>
      <c r="K398">
        <f>B398-$O$14</f>
        <v/>
      </c>
    </row>
    <row r="399">
      <c r="A399" t="n">
        <v>1191</v>
      </c>
      <c r="B399" t="n">
        <v>39.7</v>
      </c>
      <c r="C399" t="inlineStr">
        <is>
          <t>617</t>
        </is>
      </c>
      <c r="D399" t="n">
        <v>6.17</v>
      </c>
      <c r="E399">
        <f>MEDIAN(D379:D419)</f>
        <v/>
      </c>
      <c r="F399">
        <f>E379</f>
        <v/>
      </c>
      <c r="G399">
        <f>F399-E399</f>
        <v/>
      </c>
      <c r="H399">
        <f>IF(OR(NOT(ISNUMBER(D399)),ABS(D399-E399)&gt;$O$3,AND($O$11=1,B399&lt;$O$12)),1,0)</f>
        <v/>
      </c>
      <c r="I399">
        <f>IF(H399=1,NA(),D399)</f>
        <v/>
      </c>
      <c r="J399">
        <f>IF(AND(ISNUMBER(D399),D399&gt;=$O$4,OR($O$11=0,B399&gt;=$O$12)),1,0)</f>
        <v/>
      </c>
      <c r="K399">
        <f>B399-$O$14</f>
        <v/>
      </c>
    </row>
    <row r="400">
      <c r="A400" t="n">
        <v>1194</v>
      </c>
      <c r="B400" t="n">
        <v>39.8</v>
      </c>
      <c r="C400" t="inlineStr">
        <is>
          <t>6156</t>
        </is>
      </c>
      <c r="D400" t="n">
        <v>61.56</v>
      </c>
      <c r="E400">
        <f>MEDIAN(D380:D420)</f>
        <v/>
      </c>
      <c r="F400">
        <f>E380</f>
        <v/>
      </c>
      <c r="G400">
        <f>F400-E400</f>
        <v/>
      </c>
      <c r="H400">
        <f>IF(OR(NOT(ISNUMBER(D400)),ABS(D400-E400)&gt;$O$3,AND($O$11=1,B400&lt;$O$12)),1,0)</f>
        <v/>
      </c>
      <c r="I400">
        <f>IF(H400=1,NA(),D400)</f>
        <v/>
      </c>
      <c r="J400">
        <f>IF(AND(ISNUMBER(D400),D400&gt;=$O$4,OR($O$11=0,B400&gt;=$O$12)),1,0)</f>
        <v/>
      </c>
      <c r="K400">
        <f>B400-$O$14</f>
        <v/>
      </c>
    </row>
    <row r="401">
      <c r="A401" t="n">
        <v>1197</v>
      </c>
      <c r="B401" t="n">
        <v>39.9</v>
      </c>
      <c r="C401" t="inlineStr">
        <is>
          <t>616</t>
        </is>
      </c>
      <c r="D401" t="n">
        <v>6.16</v>
      </c>
      <c r="E401">
        <f>MEDIAN(D381:D421)</f>
        <v/>
      </c>
      <c r="F401">
        <f>E381</f>
        <v/>
      </c>
      <c r="G401">
        <f>F401-E401</f>
        <v/>
      </c>
      <c r="H401">
        <f>IF(OR(NOT(ISNUMBER(D401)),ABS(D401-E401)&gt;$O$3,AND($O$11=1,B401&lt;$O$12)),1,0)</f>
        <v/>
      </c>
      <c r="I401">
        <f>IF(H401=1,NA(),D401)</f>
        <v/>
      </c>
      <c r="J401">
        <f>IF(AND(ISNUMBER(D401),D401&gt;=$O$4,OR($O$11=0,B401&gt;=$O$12)),1,0)</f>
        <v/>
      </c>
      <c r="K401">
        <f>B401-$O$14</f>
        <v/>
      </c>
    </row>
    <row r="402">
      <c r="A402" t="n">
        <v>1200</v>
      </c>
      <c r="B402" t="n">
        <v>40</v>
      </c>
      <c r="C402" t="inlineStr">
        <is>
          <t>615</t>
        </is>
      </c>
      <c r="D402" t="n">
        <v>6.15</v>
      </c>
      <c r="E402">
        <f>MEDIAN(D382:D422)</f>
        <v/>
      </c>
      <c r="F402">
        <f>E382</f>
        <v/>
      </c>
      <c r="G402">
        <f>F402-E402</f>
        <v/>
      </c>
      <c r="H402">
        <f>IF(OR(NOT(ISNUMBER(D402)),ABS(D402-E402)&gt;$O$3,AND($O$11=1,B402&lt;$O$12)),1,0)</f>
        <v/>
      </c>
      <c r="I402">
        <f>IF(H402=1,NA(),D402)</f>
        <v/>
      </c>
      <c r="J402">
        <f>IF(AND(ISNUMBER(D402),D402&gt;=$O$4,OR($O$11=0,B402&gt;=$O$12)),1,0)</f>
        <v/>
      </c>
      <c r="K402">
        <f>B402-$O$14</f>
        <v/>
      </c>
    </row>
    <row r="403">
      <c r="A403" t="n">
        <v>1203</v>
      </c>
      <c r="B403" t="n">
        <v>40.1</v>
      </c>
      <c r="C403" t="inlineStr">
        <is>
          <t>616</t>
        </is>
      </c>
      <c r="D403" t="n">
        <v>6.16</v>
      </c>
      <c r="E403">
        <f>MEDIAN(D383:D423)</f>
        <v/>
      </c>
      <c r="F403">
        <f>E383</f>
        <v/>
      </c>
      <c r="G403">
        <f>F403-E403</f>
        <v/>
      </c>
      <c r="H403">
        <f>IF(OR(NOT(ISNUMBER(D403)),ABS(D403-E403)&gt;$O$3,AND($O$11=1,B403&lt;$O$12)),1,0)</f>
        <v/>
      </c>
      <c r="I403">
        <f>IF(H403=1,NA(),D403)</f>
        <v/>
      </c>
      <c r="J403">
        <f>IF(AND(ISNUMBER(D403),D403&gt;=$O$4,OR($O$11=0,B403&gt;=$O$12)),1,0)</f>
        <v/>
      </c>
      <c r="K403">
        <f>B403-$O$14</f>
        <v/>
      </c>
    </row>
    <row r="404">
      <c r="A404" t="n">
        <v>1206</v>
      </c>
      <c r="B404" t="n">
        <v>40.2</v>
      </c>
      <c r="C404" t="inlineStr">
        <is>
          <t>615</t>
        </is>
      </c>
      <c r="D404" t="n">
        <v>6.15</v>
      </c>
      <c r="E404">
        <f>MEDIAN(D384:D424)</f>
        <v/>
      </c>
      <c r="F404">
        <f>E384</f>
        <v/>
      </c>
      <c r="G404">
        <f>F404-E404</f>
        <v/>
      </c>
      <c r="H404">
        <f>IF(OR(NOT(ISNUMBER(D404)),ABS(D404-E404)&gt;$O$3,AND($O$11=1,B404&lt;$O$12)),1,0)</f>
        <v/>
      </c>
      <c r="I404">
        <f>IF(H404=1,NA(),D404)</f>
        <v/>
      </c>
      <c r="J404">
        <f>IF(AND(ISNUMBER(D404),D404&gt;=$O$4,OR($O$11=0,B404&gt;=$O$12)),1,0)</f>
        <v/>
      </c>
      <c r="K404">
        <f>B404-$O$14</f>
        <v/>
      </c>
    </row>
    <row r="405">
      <c r="A405" t="n">
        <v>1209</v>
      </c>
      <c r="B405" t="n">
        <v>40.3</v>
      </c>
      <c r="C405" t="inlineStr">
        <is>
          <t>615</t>
        </is>
      </c>
      <c r="D405" t="n">
        <v>6.15</v>
      </c>
      <c r="E405">
        <f>MEDIAN(D385:D425)</f>
        <v/>
      </c>
      <c r="F405">
        <f>E385</f>
        <v/>
      </c>
      <c r="G405">
        <f>F405-E405</f>
        <v/>
      </c>
      <c r="H405">
        <f>IF(OR(NOT(ISNUMBER(D405)),ABS(D405-E405)&gt;$O$3,AND($O$11=1,B405&lt;$O$12)),1,0)</f>
        <v/>
      </c>
      <c r="I405">
        <f>IF(H405=1,NA(),D405)</f>
        <v/>
      </c>
      <c r="J405">
        <f>IF(AND(ISNUMBER(D405),D405&gt;=$O$4,OR($O$11=0,B405&gt;=$O$12)),1,0)</f>
        <v/>
      </c>
      <c r="K405">
        <f>B405-$O$14</f>
        <v/>
      </c>
    </row>
    <row r="406">
      <c r="A406" t="n">
        <v>1212</v>
      </c>
      <c r="B406" t="n">
        <v>40.4</v>
      </c>
      <c r="C406" t="inlineStr">
        <is>
          <t>610</t>
        </is>
      </c>
      <c r="D406" t="n">
        <v>6.1</v>
      </c>
      <c r="E406">
        <f>MEDIAN(D386:D426)</f>
        <v/>
      </c>
      <c r="F406">
        <f>E386</f>
        <v/>
      </c>
      <c r="G406">
        <f>F406-E406</f>
        <v/>
      </c>
      <c r="H406">
        <f>IF(OR(NOT(ISNUMBER(D406)),ABS(D406-E406)&gt;$O$3,AND($O$11=1,B406&lt;$O$12)),1,0)</f>
        <v/>
      </c>
      <c r="I406">
        <f>IF(H406=1,NA(),D406)</f>
        <v/>
      </c>
      <c r="J406">
        <f>IF(AND(ISNUMBER(D406),D406&gt;=$O$4,OR($O$11=0,B406&gt;=$O$12)),1,0)</f>
        <v/>
      </c>
      <c r="K406">
        <f>B406-$O$14</f>
        <v/>
      </c>
    </row>
    <row r="407">
      <c r="A407" t="n">
        <v>1215</v>
      </c>
      <c r="B407" t="n">
        <v>40.5</v>
      </c>
      <c r="C407" t="inlineStr">
        <is>
          <t>616</t>
        </is>
      </c>
      <c r="D407" t="n">
        <v>6.16</v>
      </c>
      <c r="E407">
        <f>MEDIAN(D387:D427)</f>
        <v/>
      </c>
      <c r="F407">
        <f>E387</f>
        <v/>
      </c>
      <c r="G407">
        <f>F407-E407</f>
        <v/>
      </c>
      <c r="H407">
        <f>IF(OR(NOT(ISNUMBER(D407)),ABS(D407-E407)&gt;$O$3,AND($O$11=1,B407&lt;$O$12)),1,0)</f>
        <v/>
      </c>
      <c r="I407">
        <f>IF(H407=1,NA(),D407)</f>
        <v/>
      </c>
      <c r="J407">
        <f>IF(AND(ISNUMBER(D407),D407&gt;=$O$4,OR($O$11=0,B407&gt;=$O$12)),1,0)</f>
        <v/>
      </c>
      <c r="K407">
        <f>B407-$O$14</f>
        <v/>
      </c>
    </row>
    <row r="408">
      <c r="A408" t="n">
        <v>1218</v>
      </c>
      <c r="B408" t="n">
        <v>40.6</v>
      </c>
      <c r="C408" t="inlineStr">
        <is>
          <t>6165</t>
        </is>
      </c>
      <c r="D408" t="n">
        <v>61.65</v>
      </c>
      <c r="E408">
        <f>MEDIAN(D388:D428)</f>
        <v/>
      </c>
      <c r="F408">
        <f>E388</f>
        <v/>
      </c>
      <c r="G408">
        <f>F408-E408</f>
        <v/>
      </c>
      <c r="H408">
        <f>IF(OR(NOT(ISNUMBER(D408)),ABS(D408-E408)&gt;$O$3,AND($O$11=1,B408&lt;$O$12)),1,0)</f>
        <v/>
      </c>
      <c r="I408">
        <f>IF(H408=1,NA(),D408)</f>
        <v/>
      </c>
      <c r="J408">
        <f>IF(AND(ISNUMBER(D408),D408&gt;=$O$4,OR($O$11=0,B408&gt;=$O$12)),1,0)</f>
        <v/>
      </c>
      <c r="K408">
        <f>B408-$O$14</f>
        <v/>
      </c>
    </row>
    <row r="409">
      <c r="A409" t="n">
        <v>1221</v>
      </c>
      <c r="B409" t="n">
        <v>40.7</v>
      </c>
      <c r="C409" t="inlineStr">
        <is>
          <t>615</t>
        </is>
      </c>
      <c r="D409" t="n">
        <v>6.15</v>
      </c>
      <c r="E409">
        <f>MEDIAN(D389:D429)</f>
        <v/>
      </c>
      <c r="F409">
        <f>E389</f>
        <v/>
      </c>
      <c r="G409">
        <f>F409-E409</f>
        <v/>
      </c>
      <c r="H409">
        <f>IF(OR(NOT(ISNUMBER(D409)),ABS(D409-E409)&gt;$O$3,AND($O$11=1,B409&lt;$O$12)),1,0)</f>
        <v/>
      </c>
      <c r="I409">
        <f>IF(H409=1,NA(),D409)</f>
        <v/>
      </c>
      <c r="J409">
        <f>IF(AND(ISNUMBER(D409),D409&gt;=$O$4,OR($O$11=0,B409&gt;=$O$12)),1,0)</f>
        <v/>
      </c>
      <c r="K409">
        <f>B409-$O$14</f>
        <v/>
      </c>
    </row>
    <row r="410">
      <c r="A410" t="n">
        <v>1224</v>
      </c>
      <c r="B410" t="n">
        <v>40.8</v>
      </c>
      <c r="C410" t="inlineStr">
        <is>
          <t>6162</t>
        </is>
      </c>
      <c r="D410" t="n">
        <v>61.62</v>
      </c>
      <c r="E410">
        <f>MEDIAN(D390:D430)</f>
        <v/>
      </c>
      <c r="F410">
        <f>E390</f>
        <v/>
      </c>
      <c r="G410">
        <f>F410-E410</f>
        <v/>
      </c>
      <c r="H410">
        <f>IF(OR(NOT(ISNUMBER(D410)),ABS(D410-E410)&gt;$O$3,AND($O$11=1,B410&lt;$O$12)),1,0)</f>
        <v/>
      </c>
      <c r="I410">
        <f>IF(H410=1,NA(),D410)</f>
        <v/>
      </c>
      <c r="J410">
        <f>IF(AND(ISNUMBER(D410),D410&gt;=$O$4,OR($O$11=0,B410&gt;=$O$12)),1,0)</f>
        <v/>
      </c>
      <c r="K410">
        <f>B410-$O$14</f>
        <v/>
      </c>
    </row>
    <row r="411">
      <c r="A411" t="n">
        <v>1227</v>
      </c>
      <c r="B411" t="n">
        <v>40.9</v>
      </c>
      <c r="C411" t="inlineStr">
        <is>
          <t>615</t>
        </is>
      </c>
      <c r="D411" t="n">
        <v>6.15</v>
      </c>
      <c r="E411">
        <f>MEDIAN(D391:D431)</f>
        <v/>
      </c>
      <c r="F411">
        <f>E391</f>
        <v/>
      </c>
      <c r="G411">
        <f>F411-E411</f>
        <v/>
      </c>
      <c r="H411">
        <f>IF(OR(NOT(ISNUMBER(D411)),ABS(D411-E411)&gt;$O$3,AND($O$11=1,B411&lt;$O$12)),1,0)</f>
        <v/>
      </c>
      <c r="I411">
        <f>IF(H411=1,NA(),D411)</f>
        <v/>
      </c>
      <c r="J411">
        <f>IF(AND(ISNUMBER(D411),D411&gt;=$O$4,OR($O$11=0,B411&gt;=$O$12)),1,0)</f>
        <v/>
      </c>
      <c r="K411">
        <f>B411-$O$14</f>
        <v/>
      </c>
    </row>
    <row r="412">
      <c r="A412" t="n">
        <v>1230</v>
      </c>
      <c r="B412" t="n">
        <v>41</v>
      </c>
      <c r="C412" t="inlineStr">
        <is>
          <t>6165</t>
        </is>
      </c>
      <c r="D412" t="n">
        <v>61.65</v>
      </c>
      <c r="E412">
        <f>MEDIAN(D392:D432)</f>
        <v/>
      </c>
      <c r="F412">
        <f>E392</f>
        <v/>
      </c>
      <c r="G412">
        <f>F412-E412</f>
        <v/>
      </c>
      <c r="H412">
        <f>IF(OR(NOT(ISNUMBER(D412)),ABS(D412-E412)&gt;$O$3,AND($O$11=1,B412&lt;$O$12)),1,0)</f>
        <v/>
      </c>
      <c r="I412">
        <f>IF(H412=1,NA(),D412)</f>
        <v/>
      </c>
      <c r="J412">
        <f>IF(AND(ISNUMBER(D412),D412&gt;=$O$4,OR($O$11=0,B412&gt;=$O$12)),1,0)</f>
        <v/>
      </c>
      <c r="K412">
        <f>B412-$O$14</f>
        <v/>
      </c>
    </row>
    <row r="413">
      <c r="A413" t="n">
        <v>1233</v>
      </c>
      <c r="B413" t="n">
        <v>41.1</v>
      </c>
      <c r="C413" t="inlineStr">
        <is>
          <t>6165</t>
        </is>
      </c>
      <c r="D413" t="n">
        <v>61.65</v>
      </c>
      <c r="E413">
        <f>MEDIAN(D393:D433)</f>
        <v/>
      </c>
      <c r="F413">
        <f>E393</f>
        <v/>
      </c>
      <c r="G413">
        <f>F413-E413</f>
        <v/>
      </c>
      <c r="H413">
        <f>IF(OR(NOT(ISNUMBER(D413)),ABS(D413-E413)&gt;$O$3,AND($O$11=1,B413&lt;$O$12)),1,0)</f>
        <v/>
      </c>
      <c r="I413">
        <f>IF(H413=1,NA(),D413)</f>
        <v/>
      </c>
      <c r="J413">
        <f>IF(AND(ISNUMBER(D413),D413&gt;=$O$4,OR($O$11=0,B413&gt;=$O$12)),1,0)</f>
        <v/>
      </c>
      <c r="K413">
        <f>B413-$O$14</f>
        <v/>
      </c>
    </row>
    <row r="414">
      <c r="A414" t="n">
        <v>1236</v>
      </c>
      <c r="B414" t="n">
        <v>41.2</v>
      </c>
      <c r="C414" t="inlineStr">
        <is>
          <t>6165</t>
        </is>
      </c>
      <c r="D414" t="n">
        <v>61.65</v>
      </c>
      <c r="E414">
        <f>MEDIAN(D394:D434)</f>
        <v/>
      </c>
      <c r="F414">
        <f>E394</f>
        <v/>
      </c>
      <c r="G414">
        <f>F414-E414</f>
        <v/>
      </c>
      <c r="H414">
        <f>IF(OR(NOT(ISNUMBER(D414)),ABS(D414-E414)&gt;$O$3,AND($O$11=1,B414&lt;$O$12)),1,0)</f>
        <v/>
      </c>
      <c r="I414">
        <f>IF(H414=1,NA(),D414)</f>
        <v/>
      </c>
      <c r="J414">
        <f>IF(AND(ISNUMBER(D414),D414&gt;=$O$4,OR($O$11=0,B414&gt;=$O$12)),1,0)</f>
        <v/>
      </c>
      <c r="K414">
        <f>B414-$O$14</f>
        <v/>
      </c>
    </row>
    <row r="415">
      <c r="A415" t="n">
        <v>1239</v>
      </c>
      <c r="B415" t="n">
        <v>41.3</v>
      </c>
      <c r="C415" t="inlineStr">
        <is>
          <t>6165</t>
        </is>
      </c>
      <c r="D415" t="n">
        <v>61.65</v>
      </c>
      <c r="E415">
        <f>MEDIAN(D395:D435)</f>
        <v/>
      </c>
      <c r="F415">
        <f>E395</f>
        <v/>
      </c>
      <c r="G415">
        <f>F415-E415</f>
        <v/>
      </c>
      <c r="H415">
        <f>IF(OR(NOT(ISNUMBER(D415)),ABS(D415-E415)&gt;$O$3,AND($O$11=1,B415&lt;$O$12)),1,0)</f>
        <v/>
      </c>
      <c r="I415">
        <f>IF(H415=1,NA(),D415)</f>
        <v/>
      </c>
      <c r="J415">
        <f>IF(AND(ISNUMBER(D415),D415&gt;=$O$4,OR($O$11=0,B415&gt;=$O$12)),1,0)</f>
        <v/>
      </c>
      <c r="K415">
        <f>B415-$O$14</f>
        <v/>
      </c>
    </row>
    <row r="416">
      <c r="A416" t="n">
        <v>1242</v>
      </c>
      <c r="B416" t="n">
        <v>41.4</v>
      </c>
      <c r="C416" t="inlineStr">
        <is>
          <t>6165</t>
        </is>
      </c>
      <c r="D416" t="n">
        <v>61.65</v>
      </c>
      <c r="E416">
        <f>MEDIAN(D396:D436)</f>
        <v/>
      </c>
      <c r="F416">
        <f>E396</f>
        <v/>
      </c>
      <c r="G416">
        <f>F416-E416</f>
        <v/>
      </c>
      <c r="H416">
        <f>IF(OR(NOT(ISNUMBER(D416)),ABS(D416-E416)&gt;$O$3,AND($O$11=1,B416&lt;$O$12)),1,0)</f>
        <v/>
      </c>
      <c r="I416">
        <f>IF(H416=1,NA(),D416)</f>
        <v/>
      </c>
      <c r="J416">
        <f>IF(AND(ISNUMBER(D416),D416&gt;=$O$4,OR($O$11=0,B416&gt;=$O$12)),1,0)</f>
        <v/>
      </c>
      <c r="K416">
        <f>B416-$O$14</f>
        <v/>
      </c>
    </row>
    <row r="417">
      <c r="A417" t="n">
        <v>1245</v>
      </c>
      <c r="B417" t="n">
        <v>41.5</v>
      </c>
      <c r="C417" t="inlineStr">
        <is>
          <t>6165</t>
        </is>
      </c>
      <c r="D417" t="n">
        <v>61.65</v>
      </c>
      <c r="E417">
        <f>MEDIAN(D397:D437)</f>
        <v/>
      </c>
      <c r="F417">
        <f>E397</f>
        <v/>
      </c>
      <c r="G417">
        <f>F417-E417</f>
        <v/>
      </c>
      <c r="H417">
        <f>IF(OR(NOT(ISNUMBER(D417)),ABS(D417-E417)&gt;$O$3,AND($O$11=1,B417&lt;$O$12)),1,0)</f>
        <v/>
      </c>
      <c r="I417">
        <f>IF(H417=1,NA(),D417)</f>
        <v/>
      </c>
      <c r="J417">
        <f>IF(AND(ISNUMBER(D417),D417&gt;=$O$4,OR($O$11=0,B417&gt;=$O$12)),1,0)</f>
        <v/>
      </c>
      <c r="K417">
        <f>B417-$O$14</f>
        <v/>
      </c>
    </row>
    <row r="418">
      <c r="A418" t="n">
        <v>1248</v>
      </c>
      <c r="B418" t="n">
        <v>41.6</v>
      </c>
      <c r="C418" t="inlineStr">
        <is>
          <t>6165</t>
        </is>
      </c>
      <c r="D418" t="n">
        <v>61.65</v>
      </c>
      <c r="E418">
        <f>MEDIAN(D398:D438)</f>
        <v/>
      </c>
      <c r="F418">
        <f>E398</f>
        <v/>
      </c>
      <c r="G418">
        <f>F418-E418</f>
        <v/>
      </c>
      <c r="H418">
        <f>IF(OR(NOT(ISNUMBER(D418)),ABS(D418-E418)&gt;$O$3,AND($O$11=1,B418&lt;$O$12)),1,0)</f>
        <v/>
      </c>
      <c r="I418">
        <f>IF(H418=1,NA(),D418)</f>
        <v/>
      </c>
      <c r="J418">
        <f>IF(AND(ISNUMBER(D418),D418&gt;=$O$4,OR($O$11=0,B418&gt;=$O$12)),1,0)</f>
        <v/>
      </c>
      <c r="K418">
        <f>B418-$O$14</f>
        <v/>
      </c>
    </row>
    <row r="419">
      <c r="A419" t="n">
        <v>1251</v>
      </c>
      <c r="B419" t="n">
        <v>41.7</v>
      </c>
      <c r="C419" t="inlineStr">
        <is>
          <t>615</t>
        </is>
      </c>
      <c r="D419" t="n">
        <v>6.15</v>
      </c>
      <c r="E419">
        <f>MEDIAN(D399:D439)</f>
        <v/>
      </c>
      <c r="F419">
        <f>E399</f>
        <v/>
      </c>
      <c r="G419">
        <f>F419-E419</f>
        <v/>
      </c>
      <c r="H419">
        <f>IF(OR(NOT(ISNUMBER(D419)),ABS(D419-E419)&gt;$O$3,AND($O$11=1,B419&lt;$O$12)),1,0)</f>
        <v/>
      </c>
      <c r="I419">
        <f>IF(H419=1,NA(),D419)</f>
        <v/>
      </c>
      <c r="J419">
        <f>IF(AND(ISNUMBER(D419),D419&gt;=$O$4,OR($O$11=0,B419&gt;=$O$12)),1,0)</f>
        <v/>
      </c>
      <c r="K419">
        <f>B419-$O$14</f>
        <v/>
      </c>
    </row>
    <row r="420">
      <c r="A420" t="n">
        <v>1254</v>
      </c>
      <c r="B420" t="n">
        <v>41.8</v>
      </c>
      <c r="C420" t="inlineStr">
        <is>
          <t>6165</t>
        </is>
      </c>
      <c r="D420" t="n">
        <v>61.65</v>
      </c>
      <c r="E420">
        <f>MEDIAN(D400:D440)</f>
        <v/>
      </c>
      <c r="F420">
        <f>E400</f>
        <v/>
      </c>
      <c r="G420">
        <f>F420-E420</f>
        <v/>
      </c>
      <c r="H420">
        <f>IF(OR(NOT(ISNUMBER(D420)),ABS(D420-E420)&gt;$O$3,AND($O$11=1,B420&lt;$O$12)),1,0)</f>
        <v/>
      </c>
      <c r="I420">
        <f>IF(H420=1,NA(),D420)</f>
        <v/>
      </c>
      <c r="J420">
        <f>IF(AND(ISNUMBER(D420),D420&gt;=$O$4,OR($O$11=0,B420&gt;=$O$12)),1,0)</f>
        <v/>
      </c>
      <c r="K420">
        <f>B420-$O$14</f>
        <v/>
      </c>
    </row>
    <row r="421">
      <c r="A421" t="n">
        <v>1257</v>
      </c>
      <c r="B421" t="n">
        <v>41.9</v>
      </c>
      <c r="C421" t="inlineStr">
        <is>
          <t>615</t>
        </is>
      </c>
      <c r="D421" t="n">
        <v>6.15</v>
      </c>
      <c r="E421">
        <f>MEDIAN(D401:D441)</f>
        <v/>
      </c>
      <c r="F421">
        <f>E401</f>
        <v/>
      </c>
      <c r="G421">
        <f>F421-E421</f>
        <v/>
      </c>
      <c r="H421">
        <f>IF(OR(NOT(ISNUMBER(D421)),ABS(D421-E421)&gt;$O$3,AND($O$11=1,B421&lt;$O$12)),1,0)</f>
        <v/>
      </c>
      <c r="I421">
        <f>IF(H421=1,NA(),D421)</f>
        <v/>
      </c>
      <c r="J421">
        <f>IF(AND(ISNUMBER(D421),D421&gt;=$O$4,OR($O$11=0,B421&gt;=$O$12)),1,0)</f>
        <v/>
      </c>
      <c r="K421">
        <f>B421-$O$14</f>
        <v/>
      </c>
    </row>
    <row r="422">
      <c r="A422" t="n">
        <v>1260</v>
      </c>
      <c r="B422" t="n">
        <v>42</v>
      </c>
      <c r="C422" t="inlineStr">
        <is>
          <t>6166</t>
        </is>
      </c>
      <c r="D422" t="n">
        <v>61.66</v>
      </c>
      <c r="E422">
        <f>MEDIAN(D402:D442)</f>
        <v/>
      </c>
      <c r="F422">
        <f>E402</f>
        <v/>
      </c>
      <c r="G422">
        <f>F422-E422</f>
        <v/>
      </c>
      <c r="H422">
        <f>IF(OR(NOT(ISNUMBER(D422)),ABS(D422-E422)&gt;$O$3,AND($O$11=1,B422&lt;$O$12)),1,0)</f>
        <v/>
      </c>
      <c r="I422">
        <f>IF(H422=1,NA(),D422)</f>
        <v/>
      </c>
      <c r="J422">
        <f>IF(AND(ISNUMBER(D422),D422&gt;=$O$4,OR($O$11=0,B422&gt;=$O$12)),1,0)</f>
        <v/>
      </c>
      <c r="K422">
        <f>B422-$O$14</f>
        <v/>
      </c>
    </row>
    <row r="423">
      <c r="A423" t="n">
        <v>1263</v>
      </c>
      <c r="B423" t="n">
        <v>42.1</v>
      </c>
      <c r="C423" t="inlineStr">
        <is>
          <t>6166</t>
        </is>
      </c>
      <c r="D423" t="n">
        <v>61.66</v>
      </c>
      <c r="E423">
        <f>MEDIAN(D403:D443)</f>
        <v/>
      </c>
      <c r="F423">
        <f>E403</f>
        <v/>
      </c>
      <c r="G423">
        <f>F423-E423</f>
        <v/>
      </c>
      <c r="H423">
        <f>IF(OR(NOT(ISNUMBER(D423)),ABS(D423-E423)&gt;$O$3,AND($O$11=1,B423&lt;$O$12)),1,0)</f>
        <v/>
      </c>
      <c r="I423">
        <f>IF(H423=1,NA(),D423)</f>
        <v/>
      </c>
      <c r="J423">
        <f>IF(AND(ISNUMBER(D423),D423&gt;=$O$4,OR($O$11=0,B423&gt;=$O$12)),1,0)</f>
        <v/>
      </c>
      <c r="K423">
        <f>B423-$O$14</f>
        <v/>
      </c>
    </row>
    <row r="424">
      <c r="A424" t="n">
        <v>1266</v>
      </c>
      <c r="B424" t="n">
        <v>42.2</v>
      </c>
      <c r="C424" t="inlineStr">
        <is>
          <t>6166</t>
        </is>
      </c>
      <c r="D424" t="n">
        <v>61.66</v>
      </c>
      <c r="E424">
        <f>MEDIAN(D404:D444)</f>
        <v/>
      </c>
      <c r="F424">
        <f>E404</f>
        <v/>
      </c>
      <c r="G424">
        <f>F424-E424</f>
        <v/>
      </c>
      <c r="H424">
        <f>IF(OR(NOT(ISNUMBER(D424)),ABS(D424-E424)&gt;$O$3,AND($O$11=1,B424&lt;$O$12)),1,0)</f>
        <v/>
      </c>
      <c r="I424">
        <f>IF(H424=1,NA(),D424)</f>
        <v/>
      </c>
      <c r="J424">
        <f>IF(AND(ISNUMBER(D424),D424&gt;=$O$4,OR($O$11=0,B424&gt;=$O$12)),1,0)</f>
        <v/>
      </c>
      <c r="K424">
        <f>B424-$O$14</f>
        <v/>
      </c>
    </row>
    <row r="425">
      <c r="A425" t="n">
        <v>1269</v>
      </c>
      <c r="B425" t="n">
        <v>42.3</v>
      </c>
      <c r="C425" t="inlineStr">
        <is>
          <t>6166</t>
        </is>
      </c>
      <c r="D425" t="n">
        <v>61.66</v>
      </c>
      <c r="E425">
        <f>MEDIAN(D405:D445)</f>
        <v/>
      </c>
      <c r="F425">
        <f>E405</f>
        <v/>
      </c>
      <c r="G425">
        <f>F425-E425</f>
        <v/>
      </c>
      <c r="H425">
        <f>IF(OR(NOT(ISNUMBER(D425)),ABS(D425-E425)&gt;$O$3,AND($O$11=1,B425&lt;$O$12)),1,0)</f>
        <v/>
      </c>
      <c r="I425">
        <f>IF(H425=1,NA(),D425)</f>
        <v/>
      </c>
      <c r="J425">
        <f>IF(AND(ISNUMBER(D425),D425&gt;=$O$4,OR($O$11=0,B425&gt;=$O$12)),1,0)</f>
        <v/>
      </c>
      <c r="K425">
        <f>B425-$O$14</f>
        <v/>
      </c>
    </row>
    <row r="426">
      <c r="A426" t="n">
        <v>1272</v>
      </c>
      <c r="B426" t="n">
        <v>42.4</v>
      </c>
      <c r="C426" t="inlineStr">
        <is>
          <t>6166</t>
        </is>
      </c>
      <c r="D426" t="n">
        <v>61.66</v>
      </c>
      <c r="E426">
        <f>MEDIAN(D406:D446)</f>
        <v/>
      </c>
      <c r="F426">
        <f>E406</f>
        <v/>
      </c>
      <c r="G426">
        <f>F426-E426</f>
        <v/>
      </c>
      <c r="H426">
        <f>IF(OR(NOT(ISNUMBER(D426)),ABS(D426-E426)&gt;$O$3,AND($O$11=1,B426&lt;$O$12)),1,0)</f>
        <v/>
      </c>
      <c r="I426">
        <f>IF(H426=1,NA(),D426)</f>
        <v/>
      </c>
      <c r="J426">
        <f>IF(AND(ISNUMBER(D426),D426&gt;=$O$4,OR($O$11=0,B426&gt;=$O$12)),1,0)</f>
        <v/>
      </c>
      <c r="K426">
        <f>B426-$O$14</f>
        <v/>
      </c>
    </row>
    <row r="427">
      <c r="A427" t="n">
        <v>1275</v>
      </c>
      <c r="B427" t="n">
        <v>42.5</v>
      </c>
      <c r="C427" t="inlineStr">
        <is>
          <t>616</t>
        </is>
      </c>
      <c r="D427" t="n">
        <v>6.16</v>
      </c>
      <c r="E427">
        <f>MEDIAN(D407:D447)</f>
        <v/>
      </c>
      <c r="F427">
        <f>E407</f>
        <v/>
      </c>
      <c r="G427">
        <f>F427-E427</f>
        <v/>
      </c>
      <c r="H427">
        <f>IF(OR(NOT(ISNUMBER(D427)),ABS(D427-E427)&gt;$O$3,AND($O$11=1,B427&lt;$O$12)),1,0)</f>
        <v/>
      </c>
      <c r="I427">
        <f>IF(H427=1,NA(),D427)</f>
        <v/>
      </c>
      <c r="J427">
        <f>IF(AND(ISNUMBER(D427),D427&gt;=$O$4,OR($O$11=0,B427&gt;=$O$12)),1,0)</f>
        <v/>
      </c>
      <c r="K427">
        <f>B427-$O$14</f>
        <v/>
      </c>
    </row>
    <row r="428">
      <c r="A428" t="n">
        <v>1278</v>
      </c>
      <c r="B428" t="n">
        <v>42.6</v>
      </c>
      <c r="C428" t="inlineStr">
        <is>
          <t>6166</t>
        </is>
      </c>
      <c r="D428" t="n">
        <v>61.66</v>
      </c>
      <c r="E428">
        <f>MEDIAN(D408:D448)</f>
        <v/>
      </c>
      <c r="F428">
        <f>E408</f>
        <v/>
      </c>
      <c r="G428">
        <f>F428-E428</f>
        <v/>
      </c>
      <c r="H428">
        <f>IF(OR(NOT(ISNUMBER(D428)),ABS(D428-E428)&gt;$O$3,AND($O$11=1,B428&lt;$O$12)),1,0)</f>
        <v/>
      </c>
      <c r="I428">
        <f>IF(H428=1,NA(),D428)</f>
        <v/>
      </c>
      <c r="J428">
        <f>IF(AND(ISNUMBER(D428),D428&gt;=$O$4,OR($O$11=0,B428&gt;=$O$12)),1,0)</f>
        <v/>
      </c>
      <c r="K428">
        <f>B428-$O$14</f>
        <v/>
      </c>
    </row>
    <row r="429">
      <c r="A429" t="n">
        <v>1281</v>
      </c>
      <c r="B429" t="n">
        <v>42.7</v>
      </c>
      <c r="C429" t="inlineStr">
        <is>
          <t>6167</t>
        </is>
      </c>
      <c r="D429" t="n">
        <v>61.67</v>
      </c>
      <c r="E429">
        <f>MEDIAN(D409:D449)</f>
        <v/>
      </c>
      <c r="F429">
        <f>E409</f>
        <v/>
      </c>
      <c r="G429">
        <f>F429-E429</f>
        <v/>
      </c>
      <c r="H429">
        <f>IF(OR(NOT(ISNUMBER(D429)),ABS(D429-E429)&gt;$O$3,AND($O$11=1,B429&lt;$O$12)),1,0)</f>
        <v/>
      </c>
      <c r="I429">
        <f>IF(H429=1,NA(),D429)</f>
        <v/>
      </c>
      <c r="J429">
        <f>IF(AND(ISNUMBER(D429),D429&gt;=$O$4,OR($O$11=0,B429&gt;=$O$12)),1,0)</f>
        <v/>
      </c>
      <c r="K429">
        <f>B429-$O$14</f>
        <v/>
      </c>
    </row>
    <row r="430">
      <c r="A430" t="n">
        <v>1284</v>
      </c>
      <c r="B430" t="n">
        <v>42.8</v>
      </c>
      <c r="C430" t="inlineStr">
        <is>
          <t>617</t>
        </is>
      </c>
      <c r="D430" t="n">
        <v>6.17</v>
      </c>
      <c r="E430">
        <f>MEDIAN(D410:D450)</f>
        <v/>
      </c>
      <c r="F430">
        <f>E410</f>
        <v/>
      </c>
      <c r="G430">
        <f>F430-E430</f>
        <v/>
      </c>
      <c r="H430">
        <f>IF(OR(NOT(ISNUMBER(D430)),ABS(D430-E430)&gt;$O$3,AND($O$11=1,B430&lt;$O$12)),1,0)</f>
        <v/>
      </c>
      <c r="I430">
        <f>IF(H430=1,NA(),D430)</f>
        <v/>
      </c>
      <c r="J430">
        <f>IF(AND(ISNUMBER(D430),D430&gt;=$O$4,OR($O$11=0,B430&gt;=$O$12)),1,0)</f>
        <v/>
      </c>
      <c r="K430">
        <f>B430-$O$14</f>
        <v/>
      </c>
    </row>
    <row r="431">
      <c r="A431" t="n">
        <v>1287</v>
      </c>
      <c r="B431" t="n">
        <v>42.9</v>
      </c>
      <c r="C431" t="inlineStr">
        <is>
          <t>6166</t>
        </is>
      </c>
      <c r="D431" t="n">
        <v>61.66</v>
      </c>
      <c r="E431">
        <f>MEDIAN(D411:D451)</f>
        <v/>
      </c>
      <c r="F431">
        <f>E411</f>
        <v/>
      </c>
      <c r="G431">
        <f>F431-E431</f>
        <v/>
      </c>
      <c r="H431">
        <f>IF(OR(NOT(ISNUMBER(D431)),ABS(D431-E431)&gt;$O$3,AND($O$11=1,B431&lt;$O$12)),1,0)</f>
        <v/>
      </c>
      <c r="I431">
        <f>IF(H431=1,NA(),D431)</f>
        <v/>
      </c>
      <c r="J431">
        <f>IF(AND(ISNUMBER(D431),D431&gt;=$O$4,OR($O$11=0,B431&gt;=$O$12)),1,0)</f>
        <v/>
      </c>
      <c r="K431">
        <f>B431-$O$14</f>
        <v/>
      </c>
    </row>
    <row r="432">
      <c r="A432" t="n">
        <v>1290</v>
      </c>
      <c r="B432" t="n">
        <v>43</v>
      </c>
      <c r="C432" t="inlineStr">
        <is>
          <t>6166</t>
        </is>
      </c>
      <c r="D432" t="n">
        <v>61.66</v>
      </c>
      <c r="E432">
        <f>MEDIAN(D412:D452)</f>
        <v/>
      </c>
      <c r="F432">
        <f>E412</f>
        <v/>
      </c>
      <c r="G432">
        <f>F432-E432</f>
        <v/>
      </c>
      <c r="H432">
        <f>IF(OR(NOT(ISNUMBER(D432)),ABS(D432-E432)&gt;$O$3,AND($O$11=1,B432&lt;$O$12)),1,0)</f>
        <v/>
      </c>
      <c r="I432">
        <f>IF(H432=1,NA(),D432)</f>
        <v/>
      </c>
      <c r="J432">
        <f>IF(AND(ISNUMBER(D432),D432&gt;=$O$4,OR($O$11=0,B432&gt;=$O$12)),1,0)</f>
        <v/>
      </c>
      <c r="K432">
        <f>B432-$O$14</f>
        <v/>
      </c>
    </row>
    <row r="433">
      <c r="A433" t="n">
        <v>1293</v>
      </c>
      <c r="B433" t="n">
        <v>43.1</v>
      </c>
      <c r="C433" t="inlineStr">
        <is>
          <t>6166</t>
        </is>
      </c>
      <c r="D433" t="n">
        <v>61.66</v>
      </c>
      <c r="E433">
        <f>MEDIAN(D413:D453)</f>
        <v/>
      </c>
      <c r="F433">
        <f>E413</f>
        <v/>
      </c>
      <c r="G433">
        <f>F433-E433</f>
        <v/>
      </c>
      <c r="H433">
        <f>IF(OR(NOT(ISNUMBER(D433)),ABS(D433-E433)&gt;$O$3,AND($O$11=1,B433&lt;$O$12)),1,0)</f>
        <v/>
      </c>
      <c r="I433">
        <f>IF(H433=1,NA(),D433)</f>
        <v/>
      </c>
      <c r="J433">
        <f>IF(AND(ISNUMBER(D433),D433&gt;=$O$4,OR($O$11=0,B433&gt;=$O$12)),1,0)</f>
        <v/>
      </c>
      <c r="K433">
        <f>B433-$O$14</f>
        <v/>
      </c>
    </row>
    <row r="434">
      <c r="A434" t="n">
        <v>1296</v>
      </c>
      <c r="B434" t="n">
        <v>43.2</v>
      </c>
      <c r="C434" t="inlineStr">
        <is>
          <t>6165</t>
        </is>
      </c>
      <c r="D434" t="n">
        <v>61.65</v>
      </c>
      <c r="E434">
        <f>MEDIAN(D414:D454)</f>
        <v/>
      </c>
      <c r="F434">
        <f>E414</f>
        <v/>
      </c>
      <c r="G434">
        <f>F434-E434</f>
        <v/>
      </c>
      <c r="H434">
        <f>IF(OR(NOT(ISNUMBER(D434)),ABS(D434-E434)&gt;$O$3,AND($O$11=1,B434&lt;$O$12)),1,0)</f>
        <v/>
      </c>
      <c r="I434">
        <f>IF(H434=1,NA(),D434)</f>
        <v/>
      </c>
      <c r="J434">
        <f>IF(AND(ISNUMBER(D434),D434&gt;=$O$4,OR($O$11=0,B434&gt;=$O$12)),1,0)</f>
        <v/>
      </c>
      <c r="K434">
        <f>B434-$O$14</f>
        <v/>
      </c>
    </row>
    <row r="435">
      <c r="A435" t="n">
        <v>1299</v>
      </c>
      <c r="B435" t="n">
        <v>43.3</v>
      </c>
      <c r="C435" t="inlineStr">
        <is>
          <t>6170</t>
        </is>
      </c>
      <c r="D435" t="n">
        <v>61.7</v>
      </c>
      <c r="E435">
        <f>MEDIAN(D415:D455)</f>
        <v/>
      </c>
      <c r="F435">
        <f>E415</f>
        <v/>
      </c>
      <c r="G435">
        <f>F435-E435</f>
        <v/>
      </c>
      <c r="H435">
        <f>IF(OR(NOT(ISNUMBER(D435)),ABS(D435-E435)&gt;$O$3,AND($O$11=1,B435&lt;$O$12)),1,0)</f>
        <v/>
      </c>
      <c r="I435">
        <f>IF(H435=1,NA(),D435)</f>
        <v/>
      </c>
      <c r="J435">
        <f>IF(AND(ISNUMBER(D435),D435&gt;=$O$4,OR($O$11=0,B435&gt;=$O$12)),1,0)</f>
        <v/>
      </c>
      <c r="K435">
        <f>B435-$O$14</f>
        <v/>
      </c>
    </row>
    <row r="436">
      <c r="A436" t="n">
        <v>1302</v>
      </c>
      <c r="B436" t="n">
        <v>43.4</v>
      </c>
      <c r="C436" t="inlineStr">
        <is>
          <t>6176</t>
        </is>
      </c>
      <c r="D436" t="n">
        <v>61.76</v>
      </c>
      <c r="E436">
        <f>MEDIAN(D416:D456)</f>
        <v/>
      </c>
      <c r="F436">
        <f>E416</f>
        <v/>
      </c>
      <c r="G436">
        <f>F436-E436</f>
        <v/>
      </c>
      <c r="H436">
        <f>IF(OR(NOT(ISNUMBER(D436)),ABS(D436-E436)&gt;$O$3,AND($O$11=1,B436&lt;$O$12)),1,0)</f>
        <v/>
      </c>
      <c r="I436">
        <f>IF(H436=1,NA(),D436)</f>
        <v/>
      </c>
      <c r="J436">
        <f>IF(AND(ISNUMBER(D436),D436&gt;=$O$4,OR($O$11=0,B436&gt;=$O$12)),1,0)</f>
        <v/>
      </c>
      <c r="K436">
        <f>B436-$O$14</f>
        <v/>
      </c>
    </row>
    <row r="437">
      <c r="A437" t="n">
        <v>1305</v>
      </c>
      <c r="B437" t="n">
        <v>43.5</v>
      </c>
      <c r="C437" t="inlineStr">
        <is>
          <t>6175</t>
        </is>
      </c>
      <c r="D437" t="n">
        <v>61.75</v>
      </c>
      <c r="E437">
        <f>MEDIAN(D417:D457)</f>
        <v/>
      </c>
      <c r="F437">
        <f>E417</f>
        <v/>
      </c>
      <c r="G437">
        <f>F437-E437</f>
        <v/>
      </c>
      <c r="H437">
        <f>IF(OR(NOT(ISNUMBER(D437)),ABS(D437-E437)&gt;$O$3,AND($O$11=1,B437&lt;$O$12)),1,0)</f>
        <v/>
      </c>
      <c r="I437">
        <f>IF(H437=1,NA(),D437)</f>
        <v/>
      </c>
      <c r="J437">
        <f>IF(AND(ISNUMBER(D437),D437&gt;=$O$4,OR($O$11=0,B437&gt;=$O$12)),1,0)</f>
        <v/>
      </c>
      <c r="K437">
        <f>B437-$O$14</f>
        <v/>
      </c>
    </row>
    <row r="438">
      <c r="A438" t="n">
        <v>1308</v>
      </c>
      <c r="B438" t="n">
        <v>43.6</v>
      </c>
      <c r="C438" t="inlineStr">
        <is>
          <t>6172</t>
        </is>
      </c>
      <c r="D438" t="n">
        <v>61.72</v>
      </c>
      <c r="E438">
        <f>MEDIAN(D418:D458)</f>
        <v/>
      </c>
      <c r="F438">
        <f>E418</f>
        <v/>
      </c>
      <c r="G438">
        <f>F438-E438</f>
        <v/>
      </c>
      <c r="H438">
        <f>IF(OR(NOT(ISNUMBER(D438)),ABS(D438-E438)&gt;$O$3,AND($O$11=1,B438&lt;$O$12)),1,0)</f>
        <v/>
      </c>
      <c r="I438">
        <f>IF(H438=1,NA(),D438)</f>
        <v/>
      </c>
      <c r="J438">
        <f>IF(AND(ISNUMBER(D438),D438&gt;=$O$4,OR($O$11=0,B438&gt;=$O$12)),1,0)</f>
        <v/>
      </c>
      <c r="K438">
        <f>B438-$O$14</f>
        <v/>
      </c>
    </row>
    <row r="439">
      <c r="A439" t="n">
        <v>1311</v>
      </c>
      <c r="B439" t="n">
        <v>43.7</v>
      </c>
      <c r="C439" t="inlineStr">
        <is>
          <t>6172</t>
        </is>
      </c>
      <c r="D439" t="n">
        <v>61.72</v>
      </c>
      <c r="E439">
        <f>MEDIAN(D419:D459)</f>
        <v/>
      </c>
      <c r="F439">
        <f>E419</f>
        <v/>
      </c>
      <c r="G439">
        <f>F439-E439</f>
        <v/>
      </c>
      <c r="H439">
        <f>IF(OR(NOT(ISNUMBER(D439)),ABS(D439-E439)&gt;$O$3,AND($O$11=1,B439&lt;$O$12)),1,0)</f>
        <v/>
      </c>
      <c r="I439">
        <f>IF(H439=1,NA(),D439)</f>
        <v/>
      </c>
      <c r="J439">
        <f>IF(AND(ISNUMBER(D439),D439&gt;=$O$4,OR($O$11=0,B439&gt;=$O$12)),1,0)</f>
        <v/>
      </c>
      <c r="K439">
        <f>B439-$O$14</f>
        <v/>
      </c>
    </row>
    <row r="440">
      <c r="A440" t="n">
        <v>1314</v>
      </c>
      <c r="B440" t="n">
        <v>43.8</v>
      </c>
      <c r="C440" t="inlineStr">
        <is>
          <t>6173</t>
        </is>
      </c>
      <c r="D440" t="n">
        <v>61.73</v>
      </c>
      <c r="E440">
        <f>MEDIAN(D420:D460)</f>
        <v/>
      </c>
      <c r="F440">
        <f>E420</f>
        <v/>
      </c>
      <c r="G440">
        <f>F440-E440</f>
        <v/>
      </c>
      <c r="H440">
        <f>IF(OR(NOT(ISNUMBER(D440)),ABS(D440-E440)&gt;$O$3,AND($O$11=1,B440&lt;$O$12)),1,0)</f>
        <v/>
      </c>
      <c r="I440">
        <f>IF(H440=1,NA(),D440)</f>
        <v/>
      </c>
      <c r="J440">
        <f>IF(AND(ISNUMBER(D440),D440&gt;=$O$4,OR($O$11=0,B440&gt;=$O$12)),1,0)</f>
        <v/>
      </c>
      <c r="K440">
        <f>B440-$O$14</f>
        <v/>
      </c>
    </row>
    <row r="441">
      <c r="A441" t="n">
        <v>1317</v>
      </c>
      <c r="B441" t="n">
        <v>43.9</v>
      </c>
      <c r="C441" t="inlineStr">
        <is>
          <t>6173</t>
        </is>
      </c>
      <c r="D441" t="n">
        <v>61.73</v>
      </c>
      <c r="E441">
        <f>MEDIAN(D421:D461)</f>
        <v/>
      </c>
      <c r="F441">
        <f>E421</f>
        <v/>
      </c>
      <c r="G441">
        <f>F441-E441</f>
        <v/>
      </c>
      <c r="H441">
        <f>IF(OR(NOT(ISNUMBER(D441)),ABS(D441-E441)&gt;$O$3,AND($O$11=1,B441&lt;$O$12)),1,0)</f>
        <v/>
      </c>
      <c r="I441">
        <f>IF(H441=1,NA(),D441)</f>
        <v/>
      </c>
      <c r="J441">
        <f>IF(AND(ISNUMBER(D441),D441&gt;=$O$4,OR($O$11=0,B441&gt;=$O$12)),1,0)</f>
        <v/>
      </c>
      <c r="K441">
        <f>B441-$O$14</f>
        <v/>
      </c>
    </row>
    <row r="442">
      <c r="A442" t="n">
        <v>1320</v>
      </c>
      <c r="B442" t="n">
        <v>44</v>
      </c>
      <c r="C442" t="inlineStr">
        <is>
          <t>617?</t>
        </is>
      </c>
      <c r="E442">
        <f>MEDIAN(D422:D462)</f>
        <v/>
      </c>
      <c r="F442">
        <f>E422</f>
        <v/>
      </c>
      <c r="G442">
        <f>F442-E442</f>
        <v/>
      </c>
      <c r="H442">
        <f>IF(OR(NOT(ISNUMBER(D442)),ABS(D442-E442)&gt;$O$3,AND($O$11=1,B442&lt;$O$12)),1,0)</f>
        <v/>
      </c>
      <c r="I442">
        <f>IF(H442=1,NA(),D442)</f>
        <v/>
      </c>
      <c r="J442">
        <f>IF(AND(ISNUMBER(D442),D442&gt;=$O$4,OR($O$11=0,B442&gt;=$O$12)),1,0)</f>
        <v/>
      </c>
      <c r="K442">
        <f>B442-$O$14</f>
        <v/>
      </c>
    </row>
    <row r="443">
      <c r="A443" t="n">
        <v>1323</v>
      </c>
      <c r="B443" t="n">
        <v>44.1</v>
      </c>
      <c r="C443" t="inlineStr">
        <is>
          <t>617?</t>
        </is>
      </c>
      <c r="E443">
        <f>MEDIAN(D423:D463)</f>
        <v/>
      </c>
      <c r="F443">
        <f>E423</f>
        <v/>
      </c>
      <c r="G443">
        <f>F443-E443</f>
        <v/>
      </c>
      <c r="H443">
        <f>IF(OR(NOT(ISNUMBER(D443)),ABS(D443-E443)&gt;$O$3,AND($O$11=1,B443&lt;$O$12)),1,0)</f>
        <v/>
      </c>
      <c r="I443">
        <f>IF(H443=1,NA(),D443)</f>
        <v/>
      </c>
      <c r="J443">
        <f>IF(AND(ISNUMBER(D443),D443&gt;=$O$4,OR($O$11=0,B443&gt;=$O$12)),1,0)</f>
        <v/>
      </c>
      <c r="K443">
        <f>B443-$O$14</f>
        <v/>
      </c>
    </row>
    <row r="444">
      <c r="A444" t="n">
        <v>1326</v>
      </c>
      <c r="B444" t="n">
        <v>44.2</v>
      </c>
      <c r="C444" t="inlineStr">
        <is>
          <t>617?</t>
        </is>
      </c>
      <c r="E444">
        <f>MEDIAN(D424:D464)</f>
        <v/>
      </c>
      <c r="F444">
        <f>E424</f>
        <v/>
      </c>
      <c r="G444">
        <f>F444-E444</f>
        <v/>
      </c>
      <c r="H444">
        <f>IF(OR(NOT(ISNUMBER(D444)),ABS(D444-E444)&gt;$O$3,AND($O$11=1,B444&lt;$O$12)),1,0)</f>
        <v/>
      </c>
      <c r="I444">
        <f>IF(H444=1,NA(),D444)</f>
        <v/>
      </c>
      <c r="J444">
        <f>IF(AND(ISNUMBER(D444),D444&gt;=$O$4,OR($O$11=0,B444&gt;=$O$12)),1,0)</f>
        <v/>
      </c>
      <c r="K444">
        <f>B444-$O$14</f>
        <v/>
      </c>
    </row>
    <row r="445">
      <c r="A445" t="n">
        <v>1329</v>
      </c>
      <c r="B445" t="n">
        <v>44.3</v>
      </c>
      <c r="C445" t="inlineStr">
        <is>
          <t>6175</t>
        </is>
      </c>
      <c r="D445" t="n">
        <v>61.75</v>
      </c>
      <c r="E445">
        <f>MEDIAN(D425:D465)</f>
        <v/>
      </c>
      <c r="F445">
        <f>E425</f>
        <v/>
      </c>
      <c r="G445">
        <f>F445-E445</f>
        <v/>
      </c>
      <c r="H445">
        <f>IF(OR(NOT(ISNUMBER(D445)),ABS(D445-E445)&gt;$O$3,AND($O$11=1,B445&lt;$O$12)),1,0)</f>
        <v/>
      </c>
      <c r="I445">
        <f>IF(H445=1,NA(),D445)</f>
        <v/>
      </c>
      <c r="J445">
        <f>IF(AND(ISNUMBER(D445),D445&gt;=$O$4,OR($O$11=0,B445&gt;=$O$12)),1,0)</f>
        <v/>
      </c>
      <c r="K445">
        <f>B445-$O$14</f>
        <v/>
      </c>
    </row>
    <row r="446">
      <c r="A446" t="n">
        <v>1332</v>
      </c>
      <c r="B446" t="n">
        <v>44.4</v>
      </c>
      <c r="C446" t="inlineStr">
        <is>
          <t>6173</t>
        </is>
      </c>
      <c r="D446" t="n">
        <v>61.73</v>
      </c>
      <c r="E446">
        <f>MEDIAN(D426:D466)</f>
        <v/>
      </c>
      <c r="F446">
        <f>E426</f>
        <v/>
      </c>
      <c r="G446">
        <f>F446-E446</f>
        <v/>
      </c>
      <c r="H446">
        <f>IF(OR(NOT(ISNUMBER(D446)),ABS(D446-E446)&gt;$O$3,AND($O$11=1,B446&lt;$O$12)),1,0)</f>
        <v/>
      </c>
      <c r="I446">
        <f>IF(H446=1,NA(),D446)</f>
        <v/>
      </c>
      <c r="J446">
        <f>IF(AND(ISNUMBER(D446),D446&gt;=$O$4,OR($O$11=0,B446&gt;=$O$12)),1,0)</f>
        <v/>
      </c>
      <c r="K446">
        <f>B446-$O$14</f>
        <v/>
      </c>
    </row>
    <row r="447">
      <c r="A447" t="n">
        <v>1335</v>
      </c>
      <c r="B447" t="n">
        <v>44.5</v>
      </c>
      <c r="C447" t="inlineStr">
        <is>
          <t>6173</t>
        </is>
      </c>
      <c r="D447" t="n">
        <v>61.73</v>
      </c>
      <c r="E447">
        <f>MEDIAN(D427:D467)</f>
        <v/>
      </c>
      <c r="F447">
        <f>E427</f>
        <v/>
      </c>
      <c r="G447">
        <f>F447-E447</f>
        <v/>
      </c>
      <c r="H447">
        <f>IF(OR(NOT(ISNUMBER(D447)),ABS(D447-E447)&gt;$O$3,AND($O$11=1,B447&lt;$O$12)),1,0)</f>
        <v/>
      </c>
      <c r="I447">
        <f>IF(H447=1,NA(),D447)</f>
        <v/>
      </c>
      <c r="J447">
        <f>IF(AND(ISNUMBER(D447),D447&gt;=$O$4,OR($O$11=0,B447&gt;=$O$12)),1,0)</f>
        <v/>
      </c>
      <c r="K447">
        <f>B447-$O$14</f>
        <v/>
      </c>
    </row>
    <row r="448">
      <c r="A448" t="n">
        <v>1338</v>
      </c>
      <c r="B448" t="n">
        <v>44.6</v>
      </c>
      <c r="C448" t="inlineStr">
        <is>
          <t>6174</t>
        </is>
      </c>
      <c r="D448" t="n">
        <v>61.74</v>
      </c>
      <c r="E448">
        <f>MEDIAN(D428:D468)</f>
        <v/>
      </c>
      <c r="F448">
        <f>E428</f>
        <v/>
      </c>
      <c r="G448">
        <f>F448-E448</f>
        <v/>
      </c>
      <c r="H448">
        <f>IF(OR(NOT(ISNUMBER(D448)),ABS(D448-E448)&gt;$O$3,AND($O$11=1,B448&lt;$O$12)),1,0)</f>
        <v/>
      </c>
      <c r="I448">
        <f>IF(H448=1,NA(),D448)</f>
        <v/>
      </c>
      <c r="J448">
        <f>IF(AND(ISNUMBER(D448),D448&gt;=$O$4,OR($O$11=0,B448&gt;=$O$12)),1,0)</f>
        <v/>
      </c>
      <c r="K448">
        <f>B448-$O$14</f>
        <v/>
      </c>
    </row>
    <row r="449">
      <c r="A449" t="n">
        <v>1341</v>
      </c>
      <c r="B449" t="n">
        <v>44.7</v>
      </c>
      <c r="C449" t="inlineStr">
        <is>
          <t>617?</t>
        </is>
      </c>
      <c r="E449">
        <f>MEDIAN(D429:D469)</f>
        <v/>
      </c>
      <c r="F449">
        <f>E429</f>
        <v/>
      </c>
      <c r="G449">
        <f>F449-E449</f>
        <v/>
      </c>
      <c r="H449">
        <f>IF(OR(NOT(ISNUMBER(D449)),ABS(D449-E449)&gt;$O$3,AND($O$11=1,B449&lt;$O$12)),1,0)</f>
        <v/>
      </c>
      <c r="I449">
        <f>IF(H449=1,NA(),D449)</f>
        <v/>
      </c>
      <c r="J449">
        <f>IF(AND(ISNUMBER(D449),D449&gt;=$O$4,OR($O$11=0,B449&gt;=$O$12)),1,0)</f>
        <v/>
      </c>
      <c r="K449">
        <f>B449-$O$14</f>
        <v/>
      </c>
    </row>
    <row r="450">
      <c r="A450" t="n">
        <v>1344</v>
      </c>
      <c r="B450" t="n">
        <v>44.8</v>
      </c>
      <c r="C450" t="inlineStr">
        <is>
          <t>617?</t>
        </is>
      </c>
      <c r="E450">
        <f>MEDIAN(D430:D470)</f>
        <v/>
      </c>
      <c r="F450">
        <f>E430</f>
        <v/>
      </c>
      <c r="G450">
        <f>F450-E450</f>
        <v/>
      </c>
      <c r="H450">
        <f>IF(OR(NOT(ISNUMBER(D450)),ABS(D450-E450)&gt;$O$3,AND($O$11=1,B450&lt;$O$12)),1,0)</f>
        <v/>
      </c>
      <c r="I450">
        <f>IF(H450=1,NA(),D450)</f>
        <v/>
      </c>
      <c r="J450">
        <f>IF(AND(ISNUMBER(D450),D450&gt;=$O$4,OR($O$11=0,B450&gt;=$O$12)),1,0)</f>
        <v/>
      </c>
      <c r="K450">
        <f>B450-$O$14</f>
        <v/>
      </c>
    </row>
    <row r="451">
      <c r="A451" t="n">
        <v>1347</v>
      </c>
      <c r="B451" t="n">
        <v>44.9</v>
      </c>
      <c r="C451" t="inlineStr">
        <is>
          <t>617?</t>
        </is>
      </c>
      <c r="E451">
        <f>MEDIAN(D431:D471)</f>
        <v/>
      </c>
      <c r="F451">
        <f>E431</f>
        <v/>
      </c>
      <c r="G451">
        <f>F451-E451</f>
        <v/>
      </c>
      <c r="H451">
        <f>IF(OR(NOT(ISNUMBER(D451)),ABS(D451-E451)&gt;$O$3,AND($O$11=1,B451&lt;$O$12)),1,0)</f>
        <v/>
      </c>
      <c r="I451">
        <f>IF(H451=1,NA(),D451)</f>
        <v/>
      </c>
      <c r="J451">
        <f>IF(AND(ISNUMBER(D451),D451&gt;=$O$4,OR($O$11=0,B451&gt;=$O$12)),1,0)</f>
        <v/>
      </c>
      <c r="K451">
        <f>B451-$O$14</f>
        <v/>
      </c>
    </row>
    <row r="452">
      <c r="A452" t="n">
        <v>1350</v>
      </c>
      <c r="B452" t="n">
        <v>45</v>
      </c>
      <c r="C452" t="inlineStr">
        <is>
          <t>67?</t>
        </is>
      </c>
      <c r="E452">
        <f>MEDIAN(D432:D472)</f>
        <v/>
      </c>
      <c r="F452">
        <f>E432</f>
        <v/>
      </c>
      <c r="G452">
        <f>F452-E452</f>
        <v/>
      </c>
      <c r="H452">
        <f>IF(OR(NOT(ISNUMBER(D452)),ABS(D452-E452)&gt;$O$3,AND($O$11=1,B452&lt;$O$12)),1,0)</f>
        <v/>
      </c>
      <c r="I452">
        <f>IF(H452=1,NA(),D452)</f>
        <v/>
      </c>
      <c r="J452">
        <f>IF(AND(ISNUMBER(D452),D452&gt;=$O$4,OR($O$11=0,B452&gt;=$O$12)),1,0)</f>
        <v/>
      </c>
      <c r="K452">
        <f>B452-$O$14</f>
        <v/>
      </c>
    </row>
    <row r="453">
      <c r="A453" t="n">
        <v>1353</v>
      </c>
      <c r="B453" t="n">
        <v>45.1</v>
      </c>
      <c r="C453" t="inlineStr">
        <is>
          <t>6175</t>
        </is>
      </c>
      <c r="D453" t="n">
        <v>61.75</v>
      </c>
      <c r="E453">
        <f>MEDIAN(D433:D473)</f>
        <v/>
      </c>
      <c r="F453">
        <f>E433</f>
        <v/>
      </c>
      <c r="G453">
        <f>F453-E453</f>
        <v/>
      </c>
      <c r="H453">
        <f>IF(OR(NOT(ISNUMBER(D453)),ABS(D453-E453)&gt;$O$3,AND($O$11=1,B453&lt;$O$12)),1,0)</f>
        <v/>
      </c>
      <c r="I453">
        <f>IF(H453=1,NA(),D453)</f>
        <v/>
      </c>
      <c r="J453">
        <f>IF(AND(ISNUMBER(D453),D453&gt;=$O$4,OR($O$11=0,B453&gt;=$O$12)),1,0)</f>
        <v/>
      </c>
      <c r="K453">
        <f>B453-$O$14</f>
        <v/>
      </c>
    </row>
    <row r="454">
      <c r="A454" t="n">
        <v>1356</v>
      </c>
      <c r="B454" t="n">
        <v>45.2</v>
      </c>
      <c r="C454" t="inlineStr">
        <is>
          <t>617?</t>
        </is>
      </c>
      <c r="E454">
        <f>MEDIAN(D434:D474)</f>
        <v/>
      </c>
      <c r="F454">
        <f>E434</f>
        <v/>
      </c>
      <c r="G454">
        <f>F454-E454</f>
        <v/>
      </c>
      <c r="H454">
        <f>IF(OR(NOT(ISNUMBER(D454)),ABS(D454-E454)&gt;$O$3,AND($O$11=1,B454&lt;$O$12)),1,0)</f>
        <v/>
      </c>
      <c r="I454">
        <f>IF(H454=1,NA(),D454)</f>
        <v/>
      </c>
      <c r="J454">
        <f>IF(AND(ISNUMBER(D454),D454&gt;=$O$4,OR($O$11=0,B454&gt;=$O$12)),1,0)</f>
        <v/>
      </c>
      <c r="K454">
        <f>B454-$O$14</f>
        <v/>
      </c>
    </row>
    <row r="455">
      <c r="A455" t="n">
        <v>1359</v>
      </c>
      <c r="B455" t="n">
        <v>45.3</v>
      </c>
      <c r="C455" t="inlineStr">
        <is>
          <t>617?</t>
        </is>
      </c>
      <c r="E455">
        <f>MEDIAN(D435:D475)</f>
        <v/>
      </c>
      <c r="F455">
        <f>E435</f>
        <v/>
      </c>
      <c r="G455">
        <f>F455-E455</f>
        <v/>
      </c>
      <c r="H455">
        <f>IF(OR(NOT(ISNUMBER(D455)),ABS(D455-E455)&gt;$O$3,AND($O$11=1,B455&lt;$O$12)),1,0)</f>
        <v/>
      </c>
      <c r="I455">
        <f>IF(H455=1,NA(),D455)</f>
        <v/>
      </c>
      <c r="J455">
        <f>IF(AND(ISNUMBER(D455),D455&gt;=$O$4,OR($O$11=0,B455&gt;=$O$12)),1,0)</f>
        <v/>
      </c>
      <c r="K455">
        <f>B455-$O$14</f>
        <v/>
      </c>
    </row>
    <row r="456">
      <c r="A456" t="n">
        <v>1362</v>
      </c>
      <c r="B456" t="n">
        <v>45.4</v>
      </c>
      <c r="C456" t="inlineStr">
        <is>
          <t>617?</t>
        </is>
      </c>
      <c r="E456">
        <f>MEDIAN(D436:D476)</f>
        <v/>
      </c>
      <c r="F456">
        <f>E436</f>
        <v/>
      </c>
      <c r="G456">
        <f>F456-E456</f>
        <v/>
      </c>
      <c r="H456">
        <f>IF(OR(NOT(ISNUMBER(D456)),ABS(D456-E456)&gt;$O$3,AND($O$11=1,B456&lt;$O$12)),1,0)</f>
        <v/>
      </c>
      <c r="I456">
        <f>IF(H456=1,NA(),D456)</f>
        <v/>
      </c>
      <c r="J456">
        <f>IF(AND(ISNUMBER(D456),D456&gt;=$O$4,OR($O$11=0,B456&gt;=$O$12)),1,0)</f>
        <v/>
      </c>
      <c r="K456">
        <f>B456-$O$14</f>
        <v/>
      </c>
    </row>
    <row r="457">
      <c r="A457" t="n">
        <v>1365</v>
      </c>
      <c r="B457" t="n">
        <v>45.5</v>
      </c>
      <c r="C457" t="inlineStr">
        <is>
          <t>617?</t>
        </is>
      </c>
      <c r="E457">
        <f>MEDIAN(D437:D477)</f>
        <v/>
      </c>
      <c r="F457">
        <f>E437</f>
        <v/>
      </c>
      <c r="G457">
        <f>F457-E457</f>
        <v/>
      </c>
      <c r="H457">
        <f>IF(OR(NOT(ISNUMBER(D457)),ABS(D457-E457)&gt;$O$3,AND($O$11=1,B457&lt;$O$12)),1,0)</f>
        <v/>
      </c>
      <c r="I457">
        <f>IF(H457=1,NA(),D457)</f>
        <v/>
      </c>
      <c r="J457">
        <f>IF(AND(ISNUMBER(D457),D457&gt;=$O$4,OR($O$11=0,B457&gt;=$O$12)),1,0)</f>
        <v/>
      </c>
      <c r="K457">
        <f>B457-$O$14</f>
        <v/>
      </c>
    </row>
    <row r="458">
      <c r="A458" t="n">
        <v>1368</v>
      </c>
      <c r="B458" t="n">
        <v>45.6</v>
      </c>
      <c r="C458" t="inlineStr">
        <is>
          <t>67?</t>
        </is>
      </c>
      <c r="E458">
        <f>MEDIAN(D438:D478)</f>
        <v/>
      </c>
      <c r="F458">
        <f>E438</f>
        <v/>
      </c>
      <c r="G458">
        <f>F458-E458</f>
        <v/>
      </c>
      <c r="H458">
        <f>IF(OR(NOT(ISNUMBER(D458)),ABS(D458-E458)&gt;$O$3,AND($O$11=1,B458&lt;$O$12)),1,0)</f>
        <v/>
      </c>
      <c r="I458">
        <f>IF(H458=1,NA(),D458)</f>
        <v/>
      </c>
      <c r="J458">
        <f>IF(AND(ISNUMBER(D458),D458&gt;=$O$4,OR($O$11=0,B458&gt;=$O$12)),1,0)</f>
        <v/>
      </c>
      <c r="K458">
        <f>B458-$O$14</f>
        <v/>
      </c>
    </row>
    <row r="459">
      <c r="A459" t="n">
        <v>1371</v>
      </c>
      <c r="B459" t="n">
        <v>45.7</v>
      </c>
      <c r="C459" t="inlineStr">
        <is>
          <t>6175</t>
        </is>
      </c>
      <c r="D459" t="n">
        <v>61.75</v>
      </c>
      <c r="E459">
        <f>MEDIAN(D439:D479)</f>
        <v/>
      </c>
      <c r="F459">
        <f>E439</f>
        <v/>
      </c>
      <c r="G459">
        <f>F459-E459</f>
        <v/>
      </c>
      <c r="H459">
        <f>IF(OR(NOT(ISNUMBER(D459)),ABS(D459-E459)&gt;$O$3,AND($O$11=1,B459&lt;$O$12)),1,0)</f>
        <v/>
      </c>
      <c r="I459">
        <f>IF(H459=1,NA(),D459)</f>
        <v/>
      </c>
      <c r="J459">
        <f>IF(AND(ISNUMBER(D459),D459&gt;=$O$4,OR($O$11=0,B459&gt;=$O$12)),1,0)</f>
        <v/>
      </c>
      <c r="K459">
        <f>B459-$O$14</f>
        <v/>
      </c>
    </row>
    <row r="460">
      <c r="A460" t="n">
        <v>1374</v>
      </c>
      <c r="B460" t="n">
        <v>45.8</v>
      </c>
      <c r="C460" t="inlineStr">
        <is>
          <t>673</t>
        </is>
      </c>
      <c r="D460" t="n">
        <v>6.73</v>
      </c>
      <c r="E460">
        <f>MEDIAN(D440:D480)</f>
        <v/>
      </c>
      <c r="F460">
        <f>E440</f>
        <v/>
      </c>
      <c r="G460">
        <f>F460-E460</f>
        <v/>
      </c>
      <c r="H460">
        <f>IF(OR(NOT(ISNUMBER(D460)),ABS(D460-E460)&gt;$O$3,AND($O$11=1,B460&lt;$O$12)),1,0)</f>
        <v/>
      </c>
      <c r="I460">
        <f>IF(H460=1,NA(),D460)</f>
        <v/>
      </c>
      <c r="J460">
        <f>IF(AND(ISNUMBER(D460),D460&gt;=$O$4,OR($O$11=0,B460&gt;=$O$12)),1,0)</f>
        <v/>
      </c>
      <c r="K460">
        <f>B460-$O$14</f>
        <v/>
      </c>
    </row>
    <row r="461">
      <c r="A461" t="n">
        <v>1377</v>
      </c>
      <c r="B461" t="n">
        <v>45.9</v>
      </c>
      <c r="C461" t="inlineStr">
        <is>
          <t>6173</t>
        </is>
      </c>
      <c r="D461" t="n">
        <v>61.73</v>
      </c>
      <c r="E461">
        <f>MEDIAN(D441:D481)</f>
        <v/>
      </c>
      <c r="F461">
        <f>E441</f>
        <v/>
      </c>
      <c r="G461">
        <f>F461-E461</f>
        <v/>
      </c>
      <c r="H461">
        <f>IF(OR(NOT(ISNUMBER(D461)),ABS(D461-E461)&gt;$O$3,AND($O$11=1,B461&lt;$O$12)),1,0)</f>
        <v/>
      </c>
      <c r="I461">
        <f>IF(H461=1,NA(),D461)</f>
        <v/>
      </c>
      <c r="J461">
        <f>IF(AND(ISNUMBER(D461),D461&gt;=$O$4,OR($O$11=0,B461&gt;=$O$12)),1,0)</f>
        <v/>
      </c>
      <c r="K461">
        <f>B461-$O$14</f>
        <v/>
      </c>
    </row>
    <row r="462">
      <c r="A462" t="n">
        <v>1380</v>
      </c>
      <c r="B462" t="n">
        <v>46</v>
      </c>
      <c r="C462" t="inlineStr">
        <is>
          <t>6173</t>
        </is>
      </c>
      <c r="D462" t="n">
        <v>61.73</v>
      </c>
      <c r="E462">
        <f>MEDIAN(D442:D482)</f>
        <v/>
      </c>
      <c r="F462">
        <f>E442</f>
        <v/>
      </c>
      <c r="G462">
        <f>F462-E462</f>
        <v/>
      </c>
      <c r="H462">
        <f>IF(OR(NOT(ISNUMBER(D462)),ABS(D462-E462)&gt;$O$3,AND($O$11=1,B462&lt;$O$12)),1,0)</f>
        <v/>
      </c>
      <c r="I462">
        <f>IF(H462=1,NA(),D462)</f>
        <v/>
      </c>
      <c r="J462">
        <f>IF(AND(ISNUMBER(D462),D462&gt;=$O$4,OR($O$11=0,B462&gt;=$O$12)),1,0)</f>
        <v/>
      </c>
      <c r="K462">
        <f>B462-$O$14</f>
        <v/>
      </c>
    </row>
    <row r="463">
      <c r="A463" t="n">
        <v>1383</v>
      </c>
      <c r="B463" t="n">
        <v>46.1</v>
      </c>
      <c r="C463" t="inlineStr">
        <is>
          <t>673</t>
        </is>
      </c>
      <c r="D463" t="n">
        <v>6.73</v>
      </c>
      <c r="E463">
        <f>MEDIAN(D443:D483)</f>
        <v/>
      </c>
      <c r="F463">
        <f>E443</f>
        <v/>
      </c>
      <c r="G463">
        <f>F463-E463</f>
        <v/>
      </c>
      <c r="H463">
        <f>IF(OR(NOT(ISNUMBER(D463)),ABS(D463-E463)&gt;$O$3,AND($O$11=1,B463&lt;$O$12)),1,0)</f>
        <v/>
      </c>
      <c r="I463">
        <f>IF(H463=1,NA(),D463)</f>
        <v/>
      </c>
      <c r="J463">
        <f>IF(AND(ISNUMBER(D463),D463&gt;=$O$4,OR($O$11=0,B463&gt;=$O$12)),1,0)</f>
        <v/>
      </c>
      <c r="K463">
        <f>B463-$O$14</f>
        <v/>
      </c>
    </row>
    <row r="464">
      <c r="A464" t="n">
        <v>1386</v>
      </c>
      <c r="B464" t="n">
        <v>46.2</v>
      </c>
      <c r="C464" t="inlineStr">
        <is>
          <t>6173</t>
        </is>
      </c>
      <c r="D464" t="n">
        <v>61.73</v>
      </c>
      <c r="E464">
        <f>MEDIAN(D444:D484)</f>
        <v/>
      </c>
      <c r="F464">
        <f>E444</f>
        <v/>
      </c>
      <c r="G464">
        <f>F464-E464</f>
        <v/>
      </c>
      <c r="H464">
        <f>IF(OR(NOT(ISNUMBER(D464)),ABS(D464-E464)&gt;$O$3,AND($O$11=1,B464&lt;$O$12)),1,0)</f>
        <v/>
      </c>
      <c r="I464">
        <f>IF(H464=1,NA(),D464)</f>
        <v/>
      </c>
      <c r="J464">
        <f>IF(AND(ISNUMBER(D464),D464&gt;=$O$4,OR($O$11=0,B464&gt;=$O$12)),1,0)</f>
        <v/>
      </c>
      <c r="K464">
        <f>B464-$O$14</f>
        <v/>
      </c>
    </row>
    <row r="465">
      <c r="A465" t="n">
        <v>1389</v>
      </c>
      <c r="B465" t="n">
        <v>46.3</v>
      </c>
      <c r="C465" t="inlineStr">
        <is>
          <t>6173</t>
        </is>
      </c>
      <c r="D465" t="n">
        <v>61.73</v>
      </c>
      <c r="E465">
        <f>MEDIAN(D445:D485)</f>
        <v/>
      </c>
      <c r="F465">
        <f>E445</f>
        <v/>
      </c>
      <c r="G465">
        <f>F465-E465</f>
        <v/>
      </c>
      <c r="H465">
        <f>IF(OR(NOT(ISNUMBER(D465)),ABS(D465-E465)&gt;$O$3,AND($O$11=1,B465&lt;$O$12)),1,0)</f>
        <v/>
      </c>
      <c r="I465">
        <f>IF(H465=1,NA(),D465)</f>
        <v/>
      </c>
      <c r="J465">
        <f>IF(AND(ISNUMBER(D465),D465&gt;=$O$4,OR($O$11=0,B465&gt;=$O$12)),1,0)</f>
        <v/>
      </c>
      <c r="K465">
        <f>B465-$O$14</f>
        <v/>
      </c>
    </row>
    <row r="466">
      <c r="A466" t="n">
        <v>1392</v>
      </c>
      <c r="B466" t="n">
        <v>46.4</v>
      </c>
      <c r="C466" t="inlineStr">
        <is>
          <t>673</t>
        </is>
      </c>
      <c r="D466" t="n">
        <v>6.73</v>
      </c>
      <c r="E466">
        <f>MEDIAN(D446:D486)</f>
        <v/>
      </c>
      <c r="F466">
        <f>E446</f>
        <v/>
      </c>
      <c r="G466">
        <f>F466-E466</f>
        <v/>
      </c>
      <c r="H466">
        <f>IF(OR(NOT(ISNUMBER(D466)),ABS(D466-E466)&gt;$O$3,AND($O$11=1,B466&lt;$O$12)),1,0)</f>
        <v/>
      </c>
      <c r="I466">
        <f>IF(H466=1,NA(),D466)</f>
        <v/>
      </c>
      <c r="J466">
        <f>IF(AND(ISNUMBER(D466),D466&gt;=$O$4,OR($O$11=0,B466&gt;=$O$12)),1,0)</f>
        <v/>
      </c>
      <c r="K466">
        <f>B466-$O$14</f>
        <v/>
      </c>
    </row>
    <row r="467">
      <c r="A467" t="n">
        <v>1395</v>
      </c>
      <c r="B467" t="n">
        <v>46.5</v>
      </c>
      <c r="C467" t="inlineStr">
        <is>
          <t>6173</t>
        </is>
      </c>
      <c r="D467" t="n">
        <v>61.73</v>
      </c>
      <c r="E467">
        <f>MEDIAN(D447:D487)</f>
        <v/>
      </c>
      <c r="F467">
        <f>E447</f>
        <v/>
      </c>
      <c r="G467">
        <f>F467-E467</f>
        <v/>
      </c>
      <c r="H467">
        <f>IF(OR(NOT(ISNUMBER(D467)),ABS(D467-E467)&gt;$O$3,AND($O$11=1,B467&lt;$O$12)),1,0)</f>
        <v/>
      </c>
      <c r="I467">
        <f>IF(H467=1,NA(),D467)</f>
        <v/>
      </c>
      <c r="J467">
        <f>IF(AND(ISNUMBER(D467),D467&gt;=$O$4,OR($O$11=0,B467&gt;=$O$12)),1,0)</f>
        <v/>
      </c>
      <c r="K467">
        <f>B467-$O$14</f>
        <v/>
      </c>
    </row>
    <row r="468">
      <c r="A468" t="n">
        <v>1398</v>
      </c>
      <c r="B468" t="n">
        <v>46.6</v>
      </c>
      <c r="C468" t="inlineStr">
        <is>
          <t>6173</t>
        </is>
      </c>
      <c r="D468" t="n">
        <v>61.73</v>
      </c>
      <c r="E468">
        <f>MEDIAN(D448:D488)</f>
        <v/>
      </c>
      <c r="F468">
        <f>E448</f>
        <v/>
      </c>
      <c r="G468">
        <f>F468-E468</f>
        <v/>
      </c>
      <c r="H468">
        <f>IF(OR(NOT(ISNUMBER(D468)),ABS(D468-E468)&gt;$O$3,AND($O$11=1,B468&lt;$O$12)),1,0)</f>
        <v/>
      </c>
      <c r="I468">
        <f>IF(H468=1,NA(),D468)</f>
        <v/>
      </c>
      <c r="J468">
        <f>IF(AND(ISNUMBER(D468),D468&gt;=$O$4,OR($O$11=0,B468&gt;=$O$12)),1,0)</f>
        <v/>
      </c>
      <c r="K468">
        <f>B468-$O$14</f>
        <v/>
      </c>
    </row>
    <row r="469">
      <c r="A469" t="n">
        <v>1401</v>
      </c>
      <c r="B469" t="n">
        <v>46.7</v>
      </c>
      <c r="C469" t="inlineStr">
        <is>
          <t>6173</t>
        </is>
      </c>
      <c r="D469" t="n">
        <v>61.73</v>
      </c>
      <c r="E469">
        <f>MEDIAN(D449:D489)</f>
        <v/>
      </c>
      <c r="F469">
        <f>E449</f>
        <v/>
      </c>
      <c r="G469">
        <f>F469-E469</f>
        <v/>
      </c>
      <c r="H469">
        <f>IF(OR(NOT(ISNUMBER(D469)),ABS(D469-E469)&gt;$O$3,AND($O$11=1,B469&lt;$O$12)),1,0)</f>
        <v/>
      </c>
      <c r="I469">
        <f>IF(H469=1,NA(),D469)</f>
        <v/>
      </c>
      <c r="J469">
        <f>IF(AND(ISNUMBER(D469),D469&gt;=$O$4,OR($O$11=0,B469&gt;=$O$12)),1,0)</f>
        <v/>
      </c>
      <c r="K469">
        <f>B469-$O$14</f>
        <v/>
      </c>
    </row>
    <row r="470">
      <c r="A470" t="n">
        <v>1404</v>
      </c>
      <c r="B470" t="n">
        <v>46.8</v>
      </c>
      <c r="C470" t="inlineStr">
        <is>
          <t>673</t>
        </is>
      </c>
      <c r="D470" t="n">
        <v>6.73</v>
      </c>
      <c r="E470">
        <f>MEDIAN(D450:D490)</f>
        <v/>
      </c>
      <c r="F470">
        <f>E450</f>
        <v/>
      </c>
      <c r="G470">
        <f>F470-E470</f>
        <v/>
      </c>
      <c r="H470">
        <f>IF(OR(NOT(ISNUMBER(D470)),ABS(D470-E470)&gt;$O$3,AND($O$11=1,B470&lt;$O$12)),1,0)</f>
        <v/>
      </c>
      <c r="I470">
        <f>IF(H470=1,NA(),D470)</f>
        <v/>
      </c>
      <c r="J470">
        <f>IF(AND(ISNUMBER(D470),D470&gt;=$O$4,OR($O$11=0,B470&gt;=$O$12)),1,0)</f>
        <v/>
      </c>
      <c r="K470">
        <f>B470-$O$14</f>
        <v/>
      </c>
    </row>
    <row r="471">
      <c r="A471" t="n">
        <v>1407</v>
      </c>
      <c r="B471" t="n">
        <v>46.9</v>
      </c>
      <c r="C471" t="inlineStr">
        <is>
          <t>6175</t>
        </is>
      </c>
      <c r="D471" t="n">
        <v>61.75</v>
      </c>
      <c r="E471">
        <f>MEDIAN(D451:D491)</f>
        <v/>
      </c>
      <c r="F471">
        <f>E451</f>
        <v/>
      </c>
      <c r="G471">
        <f>F471-E471</f>
        <v/>
      </c>
      <c r="H471">
        <f>IF(OR(NOT(ISNUMBER(D471)),ABS(D471-E471)&gt;$O$3,AND($O$11=1,B471&lt;$O$12)),1,0)</f>
        <v/>
      </c>
      <c r="I471">
        <f>IF(H471=1,NA(),D471)</f>
        <v/>
      </c>
      <c r="J471">
        <f>IF(AND(ISNUMBER(D471),D471&gt;=$O$4,OR($O$11=0,B471&gt;=$O$12)),1,0)</f>
        <v/>
      </c>
      <c r="K471">
        <f>B471-$O$14</f>
        <v/>
      </c>
    </row>
    <row r="472">
      <c r="A472" t="n">
        <v>1410</v>
      </c>
      <c r="B472" t="n">
        <v>47</v>
      </c>
      <c r="C472" t="inlineStr">
        <is>
          <t>617?</t>
        </is>
      </c>
      <c r="E472">
        <f>MEDIAN(D452:D492)</f>
        <v/>
      </c>
      <c r="F472">
        <f>E452</f>
        <v/>
      </c>
      <c r="G472">
        <f>F472-E472</f>
        <v/>
      </c>
      <c r="H472">
        <f>IF(OR(NOT(ISNUMBER(D472)),ABS(D472-E472)&gt;$O$3,AND($O$11=1,B472&lt;$O$12)),1,0)</f>
        <v/>
      </c>
      <c r="I472">
        <f>IF(H472=1,NA(),D472)</f>
        <v/>
      </c>
      <c r="J472">
        <f>IF(AND(ISNUMBER(D472),D472&gt;=$O$4,OR($O$11=0,B472&gt;=$O$12)),1,0)</f>
        <v/>
      </c>
      <c r="K472">
        <f>B472-$O$14</f>
        <v/>
      </c>
    </row>
    <row r="473">
      <c r="A473" t="n">
        <v>1413</v>
      </c>
      <c r="B473" t="n">
        <v>47.1</v>
      </c>
      <c r="C473" t="inlineStr">
        <is>
          <t>6174</t>
        </is>
      </c>
      <c r="D473" t="n">
        <v>61.74</v>
      </c>
      <c r="E473">
        <f>MEDIAN(D453:D493)</f>
        <v/>
      </c>
      <c r="F473">
        <f>E453</f>
        <v/>
      </c>
      <c r="G473">
        <f>F473-E473</f>
        <v/>
      </c>
      <c r="H473">
        <f>IF(OR(NOT(ISNUMBER(D473)),ABS(D473-E473)&gt;$O$3,AND($O$11=1,B473&lt;$O$12)),1,0)</f>
        <v/>
      </c>
      <c r="I473">
        <f>IF(H473=1,NA(),D473)</f>
        <v/>
      </c>
      <c r="J473">
        <f>IF(AND(ISNUMBER(D473),D473&gt;=$O$4,OR($O$11=0,B473&gt;=$O$12)),1,0)</f>
        <v/>
      </c>
      <c r="K473">
        <f>B473-$O$14</f>
        <v/>
      </c>
    </row>
    <row r="474">
      <c r="A474" t="n">
        <v>1416</v>
      </c>
      <c r="B474" t="n">
        <v>47.2</v>
      </c>
      <c r="C474" t="inlineStr">
        <is>
          <t>6174</t>
        </is>
      </c>
      <c r="D474" t="n">
        <v>61.74</v>
      </c>
      <c r="E474">
        <f>MEDIAN(D454:D494)</f>
        <v/>
      </c>
      <c r="F474">
        <f>E454</f>
        <v/>
      </c>
      <c r="G474">
        <f>F474-E474</f>
        <v/>
      </c>
      <c r="H474">
        <f>IF(OR(NOT(ISNUMBER(D474)),ABS(D474-E474)&gt;$O$3,AND($O$11=1,B474&lt;$O$12)),1,0)</f>
        <v/>
      </c>
      <c r="I474">
        <f>IF(H474=1,NA(),D474)</f>
        <v/>
      </c>
      <c r="J474">
        <f>IF(AND(ISNUMBER(D474),D474&gt;=$O$4,OR($O$11=0,B474&gt;=$O$12)),1,0)</f>
        <v/>
      </c>
      <c r="K474">
        <f>B474-$O$14</f>
        <v/>
      </c>
    </row>
    <row r="475">
      <c r="A475" t="n">
        <v>1419</v>
      </c>
      <c r="B475" t="n">
        <v>47.3</v>
      </c>
      <c r="C475" t="inlineStr">
        <is>
          <t>617?</t>
        </is>
      </c>
      <c r="E475">
        <f>MEDIAN(D455:D495)</f>
        <v/>
      </c>
      <c r="F475">
        <f>E455</f>
        <v/>
      </c>
      <c r="G475">
        <f>F475-E475</f>
        <v/>
      </c>
      <c r="H475">
        <f>IF(OR(NOT(ISNUMBER(D475)),ABS(D475-E475)&gt;$O$3,AND($O$11=1,B475&lt;$O$12)),1,0)</f>
        <v/>
      </c>
      <c r="I475">
        <f>IF(H475=1,NA(),D475)</f>
        <v/>
      </c>
      <c r="J475">
        <f>IF(AND(ISNUMBER(D475),D475&gt;=$O$4,OR($O$11=0,B475&gt;=$O$12)),1,0)</f>
        <v/>
      </c>
      <c r="K475">
        <f>B475-$O$14</f>
        <v/>
      </c>
    </row>
    <row r="476">
      <c r="A476" t="n">
        <v>1422</v>
      </c>
      <c r="B476" t="n">
        <v>47.4</v>
      </c>
      <c r="C476" t="inlineStr">
        <is>
          <t>617?</t>
        </is>
      </c>
      <c r="E476">
        <f>MEDIAN(D456:D496)</f>
        <v/>
      </c>
      <c r="F476">
        <f>E456</f>
        <v/>
      </c>
      <c r="G476">
        <f>F476-E476</f>
        <v/>
      </c>
      <c r="H476">
        <f>IF(OR(NOT(ISNUMBER(D476)),ABS(D476-E476)&gt;$O$3,AND($O$11=1,B476&lt;$O$12)),1,0)</f>
        <v/>
      </c>
      <c r="I476">
        <f>IF(H476=1,NA(),D476)</f>
        <v/>
      </c>
      <c r="J476">
        <f>IF(AND(ISNUMBER(D476),D476&gt;=$O$4,OR($O$11=0,B476&gt;=$O$12)),1,0)</f>
        <v/>
      </c>
      <c r="K476">
        <f>B476-$O$14</f>
        <v/>
      </c>
    </row>
    <row r="477">
      <c r="A477" t="n">
        <v>1425</v>
      </c>
      <c r="B477" t="n">
        <v>47.5</v>
      </c>
      <c r="C477" t="inlineStr">
        <is>
          <t>617?</t>
        </is>
      </c>
      <c r="E477">
        <f>MEDIAN(D457:D497)</f>
        <v/>
      </c>
      <c r="F477">
        <f>E457</f>
        <v/>
      </c>
      <c r="G477">
        <f>F477-E477</f>
        <v/>
      </c>
      <c r="H477">
        <f>IF(OR(NOT(ISNUMBER(D477)),ABS(D477-E477)&gt;$O$3,AND($O$11=1,B477&lt;$O$12)),1,0)</f>
        <v/>
      </c>
      <c r="I477">
        <f>IF(H477=1,NA(),D477)</f>
        <v/>
      </c>
      <c r="J477">
        <f>IF(AND(ISNUMBER(D477),D477&gt;=$O$4,OR($O$11=0,B477&gt;=$O$12)),1,0)</f>
        <v/>
      </c>
      <c r="K477">
        <f>B477-$O$14</f>
        <v/>
      </c>
    </row>
    <row r="478">
      <c r="A478" t="n">
        <v>1428</v>
      </c>
      <c r="B478" t="n">
        <v>47.6</v>
      </c>
      <c r="C478" t="inlineStr">
        <is>
          <t>617?</t>
        </is>
      </c>
      <c r="E478">
        <f>MEDIAN(D458:D498)</f>
        <v/>
      </c>
      <c r="F478">
        <f>E458</f>
        <v/>
      </c>
      <c r="G478">
        <f>F478-E478</f>
        <v/>
      </c>
      <c r="H478">
        <f>IF(OR(NOT(ISNUMBER(D478)),ABS(D478-E478)&gt;$O$3,AND($O$11=1,B478&lt;$O$12)),1,0)</f>
        <v/>
      </c>
      <c r="I478">
        <f>IF(H478=1,NA(),D478)</f>
        <v/>
      </c>
      <c r="J478">
        <f>IF(AND(ISNUMBER(D478),D478&gt;=$O$4,OR($O$11=0,B478&gt;=$O$12)),1,0)</f>
        <v/>
      </c>
      <c r="K478">
        <f>B478-$O$14</f>
        <v/>
      </c>
    </row>
    <row r="479">
      <c r="A479" t="n">
        <v>1431</v>
      </c>
      <c r="B479" t="n">
        <v>47.7</v>
      </c>
      <c r="C479" t="inlineStr">
        <is>
          <t>617?</t>
        </is>
      </c>
      <c r="E479">
        <f>MEDIAN(D459:D499)</f>
        <v/>
      </c>
      <c r="F479">
        <f>E459</f>
        <v/>
      </c>
      <c r="G479">
        <f>F479-E479</f>
        <v/>
      </c>
      <c r="H479">
        <f>IF(OR(NOT(ISNUMBER(D479)),ABS(D479-E479)&gt;$O$3,AND($O$11=1,B479&lt;$O$12)),1,0)</f>
        <v/>
      </c>
      <c r="I479">
        <f>IF(H479=1,NA(),D479)</f>
        <v/>
      </c>
      <c r="J479">
        <f>IF(AND(ISNUMBER(D479),D479&gt;=$O$4,OR($O$11=0,B479&gt;=$O$12)),1,0)</f>
        <v/>
      </c>
      <c r="K479">
        <f>B479-$O$14</f>
        <v/>
      </c>
    </row>
    <row r="480">
      <c r="A480" t="n">
        <v>1434</v>
      </c>
      <c r="B480" t="n">
        <v>47.8</v>
      </c>
      <c r="C480" t="inlineStr">
        <is>
          <t>617?</t>
        </is>
      </c>
      <c r="E480">
        <f>MEDIAN(D460:D500)</f>
        <v/>
      </c>
      <c r="F480">
        <f>E460</f>
        <v/>
      </c>
      <c r="G480">
        <f>F480-E480</f>
        <v/>
      </c>
      <c r="H480">
        <f>IF(OR(NOT(ISNUMBER(D480)),ABS(D480-E480)&gt;$O$3,AND($O$11=1,B480&lt;$O$12)),1,0)</f>
        <v/>
      </c>
      <c r="I480">
        <f>IF(H480=1,NA(),D480)</f>
        <v/>
      </c>
      <c r="J480">
        <f>IF(AND(ISNUMBER(D480),D480&gt;=$O$4,OR($O$11=0,B480&gt;=$O$12)),1,0)</f>
        <v/>
      </c>
      <c r="K480">
        <f>B480-$O$14</f>
        <v/>
      </c>
    </row>
    <row r="481">
      <c r="A481" t="n">
        <v>1437</v>
      </c>
      <c r="B481" t="n">
        <v>47.9</v>
      </c>
      <c r="C481" t="inlineStr">
        <is>
          <t>67?</t>
        </is>
      </c>
      <c r="E481">
        <f>MEDIAN(D461:D501)</f>
        <v/>
      </c>
      <c r="F481">
        <f>E461</f>
        <v/>
      </c>
      <c r="G481">
        <f>F481-E481</f>
        <v/>
      </c>
      <c r="H481">
        <f>IF(OR(NOT(ISNUMBER(D481)),ABS(D481-E481)&gt;$O$3,AND($O$11=1,B481&lt;$O$12)),1,0)</f>
        <v/>
      </c>
      <c r="I481">
        <f>IF(H481=1,NA(),D481)</f>
        <v/>
      </c>
      <c r="J481">
        <f>IF(AND(ISNUMBER(D481),D481&gt;=$O$4,OR($O$11=0,B481&gt;=$O$12)),1,0)</f>
        <v/>
      </c>
      <c r="K481">
        <f>B481-$O$14</f>
        <v/>
      </c>
    </row>
    <row r="482">
      <c r="A482" t="n">
        <v>1440</v>
      </c>
      <c r="B482" t="n">
        <v>48</v>
      </c>
      <c r="C482" t="inlineStr">
        <is>
          <t>61?</t>
        </is>
      </c>
      <c r="E482">
        <f>MEDIAN(D462:D502)</f>
        <v/>
      </c>
      <c r="F482">
        <f>E462</f>
        <v/>
      </c>
      <c r="G482">
        <f>F482-E482</f>
        <v/>
      </c>
      <c r="H482">
        <f>IF(OR(NOT(ISNUMBER(D482)),ABS(D482-E482)&gt;$O$3,AND($O$11=1,B482&lt;$O$12)),1,0)</f>
        <v/>
      </c>
      <c r="I482">
        <f>IF(H482=1,NA(),D482)</f>
        <v/>
      </c>
      <c r="J482">
        <f>IF(AND(ISNUMBER(D482),D482&gt;=$O$4,OR($O$11=0,B482&gt;=$O$12)),1,0)</f>
        <v/>
      </c>
      <c r="K482">
        <f>B482-$O$14</f>
        <v/>
      </c>
    </row>
    <row r="483">
      <c r="A483" t="n">
        <v>1443</v>
      </c>
      <c r="B483" t="n">
        <v>48.1</v>
      </c>
      <c r="C483" t="inlineStr">
        <is>
          <t>617?</t>
        </is>
      </c>
      <c r="E483">
        <f>MEDIAN(D463:D503)</f>
        <v/>
      </c>
      <c r="F483">
        <f>E463</f>
        <v/>
      </c>
      <c r="G483">
        <f>F483-E483</f>
        <v/>
      </c>
      <c r="H483">
        <f>IF(OR(NOT(ISNUMBER(D483)),ABS(D483-E483)&gt;$O$3,AND($O$11=1,B483&lt;$O$12)),1,0)</f>
        <v/>
      </c>
      <c r="I483">
        <f>IF(H483=1,NA(),D483)</f>
        <v/>
      </c>
      <c r="J483">
        <f>IF(AND(ISNUMBER(D483),D483&gt;=$O$4,OR($O$11=0,B483&gt;=$O$12)),1,0)</f>
        <v/>
      </c>
      <c r="K483">
        <f>B483-$O$14</f>
        <v/>
      </c>
    </row>
    <row r="484">
      <c r="A484" t="n">
        <v>1446</v>
      </c>
      <c r="B484" t="n">
        <v>48.2</v>
      </c>
      <c r="C484" t="inlineStr">
        <is>
          <t>617?</t>
        </is>
      </c>
      <c r="E484">
        <f>MEDIAN(D464:D503)</f>
        <v/>
      </c>
      <c r="F484">
        <f>E464</f>
        <v/>
      </c>
      <c r="G484">
        <f>F484-E484</f>
        <v/>
      </c>
      <c r="H484">
        <f>IF(OR(NOT(ISNUMBER(D484)),ABS(D484-E484)&gt;$O$3,AND($O$11=1,B484&lt;$O$12)),1,0)</f>
        <v/>
      </c>
      <c r="I484">
        <f>IF(H484=1,NA(),D484)</f>
        <v/>
      </c>
      <c r="J484">
        <f>IF(AND(ISNUMBER(D484),D484&gt;=$O$4,OR($O$11=0,B484&gt;=$O$12)),1,0)</f>
        <v/>
      </c>
      <c r="K484">
        <f>B484-$O$14</f>
        <v/>
      </c>
    </row>
    <row r="485">
      <c r="A485" t="n">
        <v>1449</v>
      </c>
      <c r="B485" t="n">
        <v>48.3</v>
      </c>
      <c r="C485" t="inlineStr">
        <is>
          <t>617?</t>
        </is>
      </c>
      <c r="E485">
        <f>MEDIAN(D465:D503)</f>
        <v/>
      </c>
      <c r="F485">
        <f>E465</f>
        <v/>
      </c>
      <c r="G485">
        <f>F485-E485</f>
        <v/>
      </c>
      <c r="H485">
        <f>IF(OR(NOT(ISNUMBER(D485)),ABS(D485-E485)&gt;$O$3,AND($O$11=1,B485&lt;$O$12)),1,0)</f>
        <v/>
      </c>
      <c r="I485">
        <f>IF(H485=1,NA(),D485)</f>
        <v/>
      </c>
      <c r="J485">
        <f>IF(AND(ISNUMBER(D485),D485&gt;=$O$4,OR($O$11=0,B485&gt;=$O$12)),1,0)</f>
        <v/>
      </c>
      <c r="K485">
        <f>B485-$O$14</f>
        <v/>
      </c>
    </row>
    <row r="486">
      <c r="A486" t="n">
        <v>1452</v>
      </c>
      <c r="B486" t="n">
        <v>48.4</v>
      </c>
      <c r="C486" t="inlineStr">
        <is>
          <t>617?</t>
        </is>
      </c>
      <c r="E486">
        <f>MEDIAN(D466:D503)</f>
        <v/>
      </c>
      <c r="F486">
        <f>E466</f>
        <v/>
      </c>
      <c r="G486">
        <f>F486-E486</f>
        <v/>
      </c>
      <c r="H486">
        <f>IF(OR(NOT(ISNUMBER(D486)),ABS(D486-E486)&gt;$O$3,AND($O$11=1,B486&lt;$O$12)),1,0)</f>
        <v/>
      </c>
      <c r="I486">
        <f>IF(H486=1,NA(),D486)</f>
        <v/>
      </c>
      <c r="J486">
        <f>IF(AND(ISNUMBER(D486),D486&gt;=$O$4,OR($O$11=0,B486&gt;=$O$12)),1,0)</f>
        <v/>
      </c>
      <c r="K486">
        <f>B486-$O$14</f>
        <v/>
      </c>
    </row>
    <row r="487">
      <c r="A487" t="n">
        <v>1455</v>
      </c>
      <c r="B487" t="n">
        <v>48.5</v>
      </c>
      <c r="C487" t="inlineStr">
        <is>
          <t>617?</t>
        </is>
      </c>
      <c r="E487">
        <f>MEDIAN(D467:D503)</f>
        <v/>
      </c>
      <c r="F487">
        <f>E467</f>
        <v/>
      </c>
      <c r="G487">
        <f>F487-E487</f>
        <v/>
      </c>
      <c r="H487">
        <f>IF(OR(NOT(ISNUMBER(D487)),ABS(D487-E487)&gt;$O$3,AND($O$11=1,B487&lt;$O$12)),1,0)</f>
        <v/>
      </c>
      <c r="I487">
        <f>IF(H487=1,NA(),D487)</f>
        <v/>
      </c>
      <c r="J487">
        <f>IF(AND(ISNUMBER(D487),D487&gt;=$O$4,OR($O$11=0,B487&gt;=$O$12)),1,0)</f>
        <v/>
      </c>
      <c r="K487">
        <f>B487-$O$14</f>
        <v/>
      </c>
    </row>
    <row r="488">
      <c r="A488" t="n">
        <v>1458</v>
      </c>
      <c r="B488" t="n">
        <v>48.6</v>
      </c>
      <c r="C488" t="inlineStr">
        <is>
          <t>617?</t>
        </is>
      </c>
      <c r="E488">
        <f>MEDIAN(D468:D503)</f>
        <v/>
      </c>
      <c r="F488">
        <f>E468</f>
        <v/>
      </c>
      <c r="G488">
        <f>F488-E488</f>
        <v/>
      </c>
      <c r="H488">
        <f>IF(OR(NOT(ISNUMBER(D488)),ABS(D488-E488)&gt;$O$3,AND($O$11=1,B488&lt;$O$12)),1,0)</f>
        <v/>
      </c>
      <c r="I488">
        <f>IF(H488=1,NA(),D488)</f>
        <v/>
      </c>
      <c r="J488">
        <f>IF(AND(ISNUMBER(D488),D488&gt;=$O$4,OR($O$11=0,B488&gt;=$O$12)),1,0)</f>
        <v/>
      </c>
      <c r="K488">
        <f>B488-$O$14</f>
        <v/>
      </c>
    </row>
    <row r="489">
      <c r="A489" t="n">
        <v>1461</v>
      </c>
      <c r="B489" t="n">
        <v>48.7</v>
      </c>
      <c r="C489" t="inlineStr">
        <is>
          <t>617?</t>
        </is>
      </c>
      <c r="E489">
        <f>MEDIAN(D469:D503)</f>
        <v/>
      </c>
      <c r="F489">
        <f>E469</f>
        <v/>
      </c>
      <c r="G489">
        <f>F489-E489</f>
        <v/>
      </c>
      <c r="H489">
        <f>IF(OR(NOT(ISNUMBER(D489)),ABS(D489-E489)&gt;$O$3,AND($O$11=1,B489&lt;$O$12)),1,0)</f>
        <v/>
      </c>
      <c r="I489">
        <f>IF(H489=1,NA(),D489)</f>
        <v/>
      </c>
      <c r="J489">
        <f>IF(AND(ISNUMBER(D489),D489&gt;=$O$4,OR($O$11=0,B489&gt;=$O$12)),1,0)</f>
        <v/>
      </c>
      <c r="K489">
        <f>B489-$O$14</f>
        <v/>
      </c>
    </row>
    <row r="490">
      <c r="A490" t="n">
        <v>1464</v>
      </c>
      <c r="B490" t="n">
        <v>48.8</v>
      </c>
      <c r="C490" t="inlineStr">
        <is>
          <t>617?</t>
        </is>
      </c>
      <c r="E490">
        <f>MEDIAN(D470:D503)</f>
        <v/>
      </c>
      <c r="F490">
        <f>E470</f>
        <v/>
      </c>
      <c r="G490">
        <f>F490-E490</f>
        <v/>
      </c>
      <c r="H490">
        <f>IF(OR(NOT(ISNUMBER(D490)),ABS(D490-E490)&gt;$O$3,AND($O$11=1,B490&lt;$O$12)),1,0)</f>
        <v/>
      </c>
      <c r="I490">
        <f>IF(H490=1,NA(),D490)</f>
        <v/>
      </c>
      <c r="J490">
        <f>IF(AND(ISNUMBER(D490),D490&gt;=$O$4,OR($O$11=0,B490&gt;=$O$12)),1,0)</f>
        <v/>
      </c>
      <c r="K490">
        <f>B490-$O$14</f>
        <v/>
      </c>
    </row>
    <row r="491">
      <c r="A491" t="n">
        <v>1467</v>
      </c>
      <c r="B491" t="n">
        <v>48.9</v>
      </c>
      <c r="C491" t="inlineStr">
        <is>
          <t>67?</t>
        </is>
      </c>
      <c r="E491">
        <f>MEDIAN(D471:D503)</f>
        <v/>
      </c>
      <c r="F491">
        <f>E471</f>
        <v/>
      </c>
      <c r="G491">
        <f>F491-E491</f>
        <v/>
      </c>
      <c r="H491">
        <f>IF(OR(NOT(ISNUMBER(D491)),ABS(D491-E491)&gt;$O$3,AND($O$11=1,B491&lt;$O$12)),1,0)</f>
        <v/>
      </c>
      <c r="I491">
        <f>IF(H491=1,NA(),D491)</f>
        <v/>
      </c>
      <c r="J491">
        <f>IF(AND(ISNUMBER(D491),D491&gt;=$O$4,OR($O$11=0,B491&gt;=$O$12)),1,0)</f>
        <v/>
      </c>
      <c r="K491">
        <f>B491-$O$14</f>
        <v/>
      </c>
    </row>
    <row r="492">
      <c r="A492" t="n">
        <v>1470</v>
      </c>
      <c r="B492" t="n">
        <v>49</v>
      </c>
      <c r="C492" t="inlineStr">
        <is>
          <t>615</t>
        </is>
      </c>
      <c r="D492" t="n">
        <v>6.15</v>
      </c>
      <c r="E492">
        <f>MEDIAN(D472:D503)</f>
        <v/>
      </c>
      <c r="F492">
        <f>E472</f>
        <v/>
      </c>
      <c r="G492">
        <f>F492-E492</f>
        <v/>
      </c>
      <c r="H492">
        <f>IF(OR(NOT(ISNUMBER(D492)),ABS(D492-E492)&gt;$O$3,AND($O$11=1,B492&lt;$O$12)),1,0)</f>
        <v/>
      </c>
      <c r="I492">
        <f>IF(H492=1,NA(),D492)</f>
        <v/>
      </c>
      <c r="J492">
        <f>IF(AND(ISNUMBER(D492),D492&gt;=$O$4,OR($O$11=0,B492&gt;=$O$12)),1,0)</f>
        <v/>
      </c>
      <c r="K492">
        <f>B492-$O$14</f>
        <v/>
      </c>
    </row>
    <row r="493">
      <c r="A493" t="n">
        <v>1473</v>
      </c>
      <c r="B493" t="n">
        <v>49.1</v>
      </c>
      <c r="C493" t="inlineStr">
        <is>
          <t>6175</t>
        </is>
      </c>
      <c r="D493" t="n">
        <v>61.75</v>
      </c>
      <c r="E493">
        <f>MEDIAN(D473:D503)</f>
        <v/>
      </c>
      <c r="F493">
        <f>E473</f>
        <v/>
      </c>
      <c r="G493">
        <f>F493-E493</f>
        <v/>
      </c>
      <c r="H493">
        <f>IF(OR(NOT(ISNUMBER(D493)),ABS(D493-E493)&gt;$O$3,AND($O$11=1,B493&lt;$O$12)),1,0)</f>
        <v/>
      </c>
      <c r="I493">
        <f>IF(H493=1,NA(),D493)</f>
        <v/>
      </c>
      <c r="J493">
        <f>IF(AND(ISNUMBER(D493),D493&gt;=$O$4,OR($O$11=0,B493&gt;=$O$12)),1,0)</f>
        <v/>
      </c>
      <c r="K493">
        <f>B493-$O$14</f>
        <v/>
      </c>
    </row>
    <row r="494">
      <c r="A494" t="n">
        <v>1476</v>
      </c>
      <c r="B494" t="n">
        <v>49.2</v>
      </c>
      <c r="C494" t="inlineStr">
        <is>
          <t>6175</t>
        </is>
      </c>
      <c r="D494" t="n">
        <v>61.75</v>
      </c>
      <c r="E494">
        <f>MEDIAN(D474:D503)</f>
        <v/>
      </c>
      <c r="F494">
        <f>E474</f>
        <v/>
      </c>
      <c r="G494">
        <f>F494-E494</f>
        <v/>
      </c>
      <c r="H494">
        <f>IF(OR(NOT(ISNUMBER(D494)),ABS(D494-E494)&gt;$O$3,AND($O$11=1,B494&lt;$O$12)),1,0)</f>
        <v/>
      </c>
      <c r="I494">
        <f>IF(H494=1,NA(),D494)</f>
        <v/>
      </c>
      <c r="J494">
        <f>IF(AND(ISNUMBER(D494),D494&gt;=$O$4,OR($O$11=0,B494&gt;=$O$12)),1,0)</f>
        <v/>
      </c>
      <c r="K494">
        <f>B494-$O$14</f>
        <v/>
      </c>
    </row>
    <row r="495">
      <c r="A495" t="n">
        <v>1479</v>
      </c>
      <c r="B495" t="n">
        <v>49.3</v>
      </c>
      <c r="C495" t="inlineStr">
        <is>
          <t>6175</t>
        </is>
      </c>
      <c r="D495" t="n">
        <v>61.75</v>
      </c>
      <c r="E495">
        <f>MEDIAN(D475:D503)</f>
        <v/>
      </c>
      <c r="F495">
        <f>E475</f>
        <v/>
      </c>
      <c r="G495">
        <f>F495-E495</f>
        <v/>
      </c>
      <c r="H495">
        <f>IF(OR(NOT(ISNUMBER(D495)),ABS(D495-E495)&gt;$O$3,AND($O$11=1,B495&lt;$O$12)),1,0)</f>
        <v/>
      </c>
      <c r="I495">
        <f>IF(H495=1,NA(),D495)</f>
        <v/>
      </c>
      <c r="J495">
        <f>IF(AND(ISNUMBER(D495),D495&gt;=$O$4,OR($O$11=0,B495&gt;=$O$12)),1,0)</f>
        <v/>
      </c>
      <c r="K495">
        <f>B495-$O$14</f>
        <v/>
      </c>
    </row>
    <row r="496">
      <c r="A496" t="n">
        <v>1482</v>
      </c>
      <c r="B496" t="n">
        <v>49.4</v>
      </c>
      <c r="C496" t="inlineStr">
        <is>
          <t>675</t>
        </is>
      </c>
      <c r="D496" t="n">
        <v>6.75</v>
      </c>
      <c r="E496">
        <f>MEDIAN(D476:D503)</f>
        <v/>
      </c>
      <c r="F496">
        <f>E476</f>
        <v/>
      </c>
      <c r="G496">
        <f>F496-E496</f>
        <v/>
      </c>
      <c r="H496">
        <f>IF(OR(NOT(ISNUMBER(D496)),ABS(D496-E496)&gt;$O$3,AND($O$11=1,B496&lt;$O$12)),1,0)</f>
        <v/>
      </c>
      <c r="I496">
        <f>IF(H496=1,NA(),D496)</f>
        <v/>
      </c>
      <c r="J496">
        <f>IF(AND(ISNUMBER(D496),D496&gt;=$O$4,OR($O$11=0,B496&gt;=$O$12)),1,0)</f>
        <v/>
      </c>
      <c r="K496">
        <f>B496-$O$14</f>
        <v/>
      </c>
    </row>
    <row r="497">
      <c r="A497" t="n">
        <v>1485</v>
      </c>
      <c r="B497" t="n">
        <v>49.5</v>
      </c>
      <c r="C497" t="inlineStr">
        <is>
          <t>6175</t>
        </is>
      </c>
      <c r="D497" t="n">
        <v>61.75</v>
      </c>
      <c r="E497">
        <f>MEDIAN(D477:D503)</f>
        <v/>
      </c>
      <c r="F497">
        <f>E477</f>
        <v/>
      </c>
      <c r="G497">
        <f>F497-E497</f>
        <v/>
      </c>
      <c r="H497">
        <f>IF(OR(NOT(ISNUMBER(D497)),ABS(D497-E497)&gt;$O$3,AND($O$11=1,B497&lt;$O$12)),1,0)</f>
        <v/>
      </c>
      <c r="I497">
        <f>IF(H497=1,NA(),D497)</f>
        <v/>
      </c>
      <c r="J497">
        <f>IF(AND(ISNUMBER(D497),D497&gt;=$O$4,OR($O$11=0,B497&gt;=$O$12)),1,0)</f>
        <v/>
      </c>
      <c r="K497">
        <f>B497-$O$14</f>
        <v/>
      </c>
    </row>
    <row r="498">
      <c r="A498" t="n">
        <v>1488</v>
      </c>
      <c r="B498" t="n">
        <v>49.6</v>
      </c>
      <c r="C498" t="inlineStr">
        <is>
          <t>675</t>
        </is>
      </c>
      <c r="D498" t="n">
        <v>6.75</v>
      </c>
      <c r="E498">
        <f>MEDIAN(D478:D503)</f>
        <v/>
      </c>
      <c r="F498">
        <f>E478</f>
        <v/>
      </c>
      <c r="G498">
        <f>F498-E498</f>
        <v/>
      </c>
      <c r="H498">
        <f>IF(OR(NOT(ISNUMBER(D498)),ABS(D498-E498)&gt;$O$3,AND($O$11=1,B498&lt;$O$12)),1,0)</f>
        <v/>
      </c>
      <c r="I498">
        <f>IF(H498=1,NA(),D498)</f>
        <v/>
      </c>
      <c r="J498">
        <f>IF(AND(ISNUMBER(D498),D498&gt;=$O$4,OR($O$11=0,B498&gt;=$O$12)),1,0)</f>
        <v/>
      </c>
      <c r="K498">
        <f>B498-$O$14</f>
        <v/>
      </c>
    </row>
    <row r="499">
      <c r="A499" t="n">
        <v>1491</v>
      </c>
      <c r="B499" t="n">
        <v>49.7</v>
      </c>
      <c r="C499" t="inlineStr">
        <is>
          <t>675</t>
        </is>
      </c>
      <c r="D499" t="n">
        <v>6.75</v>
      </c>
      <c r="E499">
        <f>MEDIAN(D479:D503)</f>
        <v/>
      </c>
      <c r="F499">
        <f>E479</f>
        <v/>
      </c>
      <c r="G499">
        <f>F499-E499</f>
        <v/>
      </c>
      <c r="H499">
        <f>IF(OR(NOT(ISNUMBER(D499)),ABS(D499-E499)&gt;$O$3,AND($O$11=1,B499&lt;$O$12)),1,0)</f>
        <v/>
      </c>
      <c r="I499">
        <f>IF(H499=1,NA(),D499)</f>
        <v/>
      </c>
      <c r="J499">
        <f>IF(AND(ISNUMBER(D499),D499&gt;=$O$4,OR($O$11=0,B499&gt;=$O$12)),1,0)</f>
        <v/>
      </c>
      <c r="K499">
        <f>B499-$O$14</f>
        <v/>
      </c>
    </row>
    <row r="500">
      <c r="A500" t="n">
        <v>1494</v>
      </c>
      <c r="B500" t="n">
        <v>49.8</v>
      </c>
      <c r="C500" t="inlineStr">
        <is>
          <t>6175</t>
        </is>
      </c>
      <c r="D500" t="n">
        <v>61.75</v>
      </c>
      <c r="E500">
        <f>MEDIAN(D480:D503)</f>
        <v/>
      </c>
      <c r="F500">
        <f>E480</f>
        <v/>
      </c>
      <c r="G500">
        <f>F500-E500</f>
        <v/>
      </c>
      <c r="H500">
        <f>IF(OR(NOT(ISNUMBER(D500)),ABS(D500-E500)&gt;$O$3,AND($O$11=1,B500&lt;$O$12)),1,0)</f>
        <v/>
      </c>
      <c r="I500">
        <f>IF(H500=1,NA(),D500)</f>
        <v/>
      </c>
      <c r="J500">
        <f>IF(AND(ISNUMBER(D500),D500&gt;=$O$4,OR($O$11=0,B500&gt;=$O$12)),1,0)</f>
        <v/>
      </c>
      <c r="K500">
        <f>B500-$O$14</f>
        <v/>
      </c>
    </row>
    <row r="501">
      <c r="A501" t="n">
        <v>1497</v>
      </c>
      <c r="B501" t="n">
        <v>49.9</v>
      </c>
      <c r="C501" t="inlineStr">
        <is>
          <t>6175</t>
        </is>
      </c>
      <c r="D501" t="n">
        <v>61.75</v>
      </c>
      <c r="E501">
        <f>MEDIAN(D481:D503)</f>
        <v/>
      </c>
      <c r="F501">
        <f>E481</f>
        <v/>
      </c>
      <c r="G501">
        <f>F501-E501</f>
        <v/>
      </c>
      <c r="H501">
        <f>IF(OR(NOT(ISNUMBER(D501)),ABS(D501-E501)&gt;$O$3,AND($O$11=1,B501&lt;$O$12)),1,0)</f>
        <v/>
      </c>
      <c r="I501">
        <f>IF(H501=1,NA(),D501)</f>
        <v/>
      </c>
      <c r="J501">
        <f>IF(AND(ISNUMBER(D501),D501&gt;=$O$4,OR($O$11=0,B501&gt;=$O$12)),1,0)</f>
        <v/>
      </c>
      <c r="K501">
        <f>B501-$O$14</f>
        <v/>
      </c>
    </row>
    <row r="502">
      <c r="A502" t="n">
        <v>1500</v>
      </c>
      <c r="B502" t="n">
        <v>50</v>
      </c>
      <c r="C502" t="inlineStr">
        <is>
          <t>6175</t>
        </is>
      </c>
      <c r="D502" t="n">
        <v>61.75</v>
      </c>
      <c r="E502">
        <f>MEDIAN(D482:D503)</f>
        <v/>
      </c>
      <c r="F502">
        <f>E482</f>
        <v/>
      </c>
      <c r="G502">
        <f>F502-E502</f>
        <v/>
      </c>
      <c r="H502">
        <f>IF(OR(NOT(ISNUMBER(D502)),ABS(D502-E502)&gt;$O$3,AND($O$11=1,B502&lt;$O$12)),1,0)</f>
        <v/>
      </c>
      <c r="I502">
        <f>IF(H502=1,NA(),D502)</f>
        <v/>
      </c>
      <c r="J502">
        <f>IF(AND(ISNUMBER(D502),D502&gt;=$O$4,OR($O$11=0,B502&gt;=$O$12)),1,0)</f>
        <v/>
      </c>
      <c r="K502">
        <f>B502-$O$14</f>
        <v/>
      </c>
    </row>
    <row r="503">
      <c r="A503" t="n">
        <v>1503</v>
      </c>
      <c r="B503" t="n">
        <v>50.1</v>
      </c>
      <c r="C503" t="inlineStr">
        <is>
          <t>675</t>
        </is>
      </c>
      <c r="D503" t="n">
        <v>6.75</v>
      </c>
      <c r="E503">
        <f>MEDIAN(D483:D503)</f>
        <v/>
      </c>
      <c r="F503">
        <f>E483</f>
        <v/>
      </c>
      <c r="G503">
        <f>F503-E503</f>
        <v/>
      </c>
      <c r="H503">
        <f>IF(OR(NOT(ISNUMBER(D503)),ABS(D503-E503)&gt;$O$3,AND($O$11=1,B503&lt;$O$12)),1,0)</f>
        <v/>
      </c>
      <c r="I503">
        <f>IF(H503=1,NA(),D503)</f>
        <v/>
      </c>
      <c r="J503">
        <f>IF(AND(ISNUMBER(D503),D503&gt;=$O$4,OR($O$11=0,B503&gt;=$O$12)),1,0)</f>
        <v/>
      </c>
      <c r="K503">
        <f>B503-$O$14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time_corrected_s</t>
        </is>
      </c>
      <c r="B1" s="1" t="inlineStr">
        <is>
          <t>remaining_volume_mL</t>
        </is>
      </c>
    </row>
    <row r="2">
      <c r="A2">
        <f>Sheet1!K2</f>
        <v/>
      </c>
      <c r="B2">
        <f>IF(ISNA(Sheet1!I2),NA(),Sheet1!$O$5-(Sheet1!I2/Sheet1!$O$6))</f>
        <v/>
      </c>
    </row>
    <row r="3">
      <c r="A3">
        <f>Sheet1!K3</f>
        <v/>
      </c>
      <c r="B3">
        <f>IF(ISNA(Sheet1!I3),NA(),Sheet1!$O$5-(Sheet1!I3/Sheet1!$O$6))</f>
        <v/>
      </c>
    </row>
    <row r="4">
      <c r="A4">
        <f>Sheet1!K4</f>
        <v/>
      </c>
      <c r="B4">
        <f>IF(ISNA(Sheet1!I4),NA(),Sheet1!$O$5-(Sheet1!I4/Sheet1!$O$6))</f>
        <v/>
      </c>
    </row>
    <row r="5">
      <c r="A5">
        <f>Sheet1!K5</f>
        <v/>
      </c>
      <c r="B5">
        <f>IF(ISNA(Sheet1!I5),NA(),Sheet1!$O$5-(Sheet1!I5/Sheet1!$O$6))</f>
        <v/>
      </c>
    </row>
    <row r="6">
      <c r="A6">
        <f>Sheet1!K6</f>
        <v/>
      </c>
      <c r="B6">
        <f>IF(ISNA(Sheet1!I6),NA(),Sheet1!$O$5-(Sheet1!I6/Sheet1!$O$6))</f>
        <v/>
      </c>
    </row>
    <row r="7">
      <c r="A7">
        <f>Sheet1!K7</f>
        <v/>
      </c>
      <c r="B7">
        <f>IF(ISNA(Sheet1!I7),NA(),Sheet1!$O$5-(Sheet1!I7/Sheet1!$O$6))</f>
        <v/>
      </c>
    </row>
    <row r="8">
      <c r="A8">
        <f>Sheet1!K8</f>
        <v/>
      </c>
      <c r="B8">
        <f>IF(ISNA(Sheet1!I8),NA(),Sheet1!$O$5-(Sheet1!I8/Sheet1!$O$6))</f>
        <v/>
      </c>
    </row>
    <row r="9">
      <c r="A9">
        <f>Sheet1!K9</f>
        <v/>
      </c>
      <c r="B9">
        <f>IF(ISNA(Sheet1!I9),NA(),Sheet1!$O$5-(Sheet1!I9/Sheet1!$O$6))</f>
        <v/>
      </c>
    </row>
    <row r="10">
      <c r="A10">
        <f>Sheet1!K10</f>
        <v/>
      </c>
      <c r="B10">
        <f>IF(ISNA(Sheet1!I10),NA(),Sheet1!$O$5-(Sheet1!I10/Sheet1!$O$6))</f>
        <v/>
      </c>
    </row>
    <row r="11">
      <c r="A11">
        <f>Sheet1!K11</f>
        <v/>
      </c>
      <c r="B11">
        <f>IF(ISNA(Sheet1!I11),NA(),Sheet1!$O$5-(Sheet1!I11/Sheet1!$O$6))</f>
        <v/>
      </c>
    </row>
    <row r="12">
      <c r="A12">
        <f>Sheet1!K12</f>
        <v/>
      </c>
      <c r="B12">
        <f>IF(ISNA(Sheet1!I12),NA(),Sheet1!$O$5-(Sheet1!I12/Sheet1!$O$6))</f>
        <v/>
      </c>
    </row>
    <row r="13">
      <c r="A13">
        <f>Sheet1!K13</f>
        <v/>
      </c>
      <c r="B13">
        <f>IF(ISNA(Sheet1!I13),NA(),Sheet1!$O$5-(Sheet1!I13/Sheet1!$O$6))</f>
        <v/>
      </c>
    </row>
    <row r="14">
      <c r="A14">
        <f>Sheet1!K14</f>
        <v/>
      </c>
      <c r="B14">
        <f>IF(ISNA(Sheet1!I14),NA(),Sheet1!$O$5-(Sheet1!I14/Sheet1!$O$6))</f>
        <v/>
      </c>
    </row>
    <row r="15">
      <c r="A15">
        <f>Sheet1!K15</f>
        <v/>
      </c>
      <c r="B15">
        <f>IF(ISNA(Sheet1!I15),NA(),Sheet1!$O$5-(Sheet1!I15/Sheet1!$O$6))</f>
        <v/>
      </c>
    </row>
    <row r="16">
      <c r="A16">
        <f>Sheet1!K16</f>
        <v/>
      </c>
      <c r="B16">
        <f>IF(ISNA(Sheet1!I16),NA(),Sheet1!$O$5-(Sheet1!I16/Sheet1!$O$6))</f>
        <v/>
      </c>
    </row>
    <row r="17">
      <c r="A17">
        <f>Sheet1!K17</f>
        <v/>
      </c>
      <c r="B17">
        <f>IF(ISNA(Sheet1!I17),NA(),Sheet1!$O$5-(Sheet1!I17/Sheet1!$O$6))</f>
        <v/>
      </c>
    </row>
    <row r="18">
      <c r="A18">
        <f>Sheet1!K18</f>
        <v/>
      </c>
      <c r="B18">
        <f>IF(ISNA(Sheet1!I18),NA(),Sheet1!$O$5-(Sheet1!I18/Sheet1!$O$6))</f>
        <v/>
      </c>
    </row>
    <row r="19">
      <c r="A19">
        <f>Sheet1!K19</f>
        <v/>
      </c>
      <c r="B19">
        <f>IF(ISNA(Sheet1!I19),NA(),Sheet1!$O$5-(Sheet1!I19/Sheet1!$O$6))</f>
        <v/>
      </c>
    </row>
    <row r="20">
      <c r="A20">
        <f>Sheet1!K20</f>
        <v/>
      </c>
      <c r="B20">
        <f>IF(ISNA(Sheet1!I20),NA(),Sheet1!$O$5-(Sheet1!I20/Sheet1!$O$6))</f>
        <v/>
      </c>
    </row>
    <row r="21">
      <c r="A21">
        <f>Sheet1!K21</f>
        <v/>
      </c>
      <c r="B21">
        <f>IF(ISNA(Sheet1!I21),NA(),Sheet1!$O$5-(Sheet1!I21/Sheet1!$O$6))</f>
        <v/>
      </c>
    </row>
    <row r="22">
      <c r="A22">
        <f>Sheet1!K22</f>
        <v/>
      </c>
      <c r="B22">
        <f>IF(ISNA(Sheet1!I22),NA(),Sheet1!$O$5-(Sheet1!I22/Sheet1!$O$6))</f>
        <v/>
      </c>
    </row>
    <row r="23">
      <c r="A23">
        <f>Sheet1!K23</f>
        <v/>
      </c>
      <c r="B23">
        <f>IF(ISNA(Sheet1!I23),NA(),Sheet1!$O$5-(Sheet1!I23/Sheet1!$O$6))</f>
        <v/>
      </c>
    </row>
    <row r="24">
      <c r="A24">
        <f>Sheet1!K24</f>
        <v/>
      </c>
      <c r="B24">
        <f>IF(ISNA(Sheet1!I24),NA(),Sheet1!$O$5-(Sheet1!I24/Sheet1!$O$6))</f>
        <v/>
      </c>
    </row>
    <row r="25">
      <c r="A25">
        <f>Sheet1!K25</f>
        <v/>
      </c>
      <c r="B25">
        <f>IF(ISNA(Sheet1!I25),NA(),Sheet1!$O$5-(Sheet1!I25/Sheet1!$O$6))</f>
        <v/>
      </c>
    </row>
    <row r="26">
      <c r="A26">
        <f>Sheet1!K26</f>
        <v/>
      </c>
      <c r="B26">
        <f>IF(ISNA(Sheet1!I26),NA(),Sheet1!$O$5-(Sheet1!I26/Sheet1!$O$6))</f>
        <v/>
      </c>
    </row>
    <row r="27">
      <c r="A27">
        <f>Sheet1!K27</f>
        <v/>
      </c>
      <c r="B27">
        <f>IF(ISNA(Sheet1!I27),NA(),Sheet1!$O$5-(Sheet1!I27/Sheet1!$O$6))</f>
        <v/>
      </c>
    </row>
    <row r="28">
      <c r="A28">
        <f>Sheet1!K28</f>
        <v/>
      </c>
      <c r="B28">
        <f>IF(ISNA(Sheet1!I28),NA(),Sheet1!$O$5-(Sheet1!I28/Sheet1!$O$6))</f>
        <v/>
      </c>
    </row>
    <row r="29">
      <c r="A29">
        <f>Sheet1!K29</f>
        <v/>
      </c>
      <c r="B29">
        <f>IF(ISNA(Sheet1!I29),NA(),Sheet1!$O$5-(Sheet1!I29/Sheet1!$O$6))</f>
        <v/>
      </c>
    </row>
    <row r="30">
      <c r="A30">
        <f>Sheet1!K30</f>
        <v/>
      </c>
      <c r="B30">
        <f>IF(ISNA(Sheet1!I30),NA(),Sheet1!$O$5-(Sheet1!I30/Sheet1!$O$6))</f>
        <v/>
      </c>
    </row>
    <row r="31">
      <c r="A31">
        <f>Sheet1!K31</f>
        <v/>
      </c>
      <c r="B31">
        <f>IF(ISNA(Sheet1!I31),NA(),Sheet1!$O$5-(Sheet1!I31/Sheet1!$O$6))</f>
        <v/>
      </c>
    </row>
    <row r="32">
      <c r="A32">
        <f>Sheet1!K32</f>
        <v/>
      </c>
      <c r="B32">
        <f>IF(ISNA(Sheet1!I32),NA(),Sheet1!$O$5-(Sheet1!I32/Sheet1!$O$6))</f>
        <v/>
      </c>
    </row>
    <row r="33">
      <c r="A33">
        <f>Sheet1!K33</f>
        <v/>
      </c>
      <c r="B33">
        <f>IF(ISNA(Sheet1!I33),NA(),Sheet1!$O$5-(Sheet1!I33/Sheet1!$O$6))</f>
        <v/>
      </c>
    </row>
    <row r="34">
      <c r="A34">
        <f>Sheet1!K34</f>
        <v/>
      </c>
      <c r="B34">
        <f>IF(ISNA(Sheet1!I34),NA(),Sheet1!$O$5-(Sheet1!I34/Sheet1!$O$6))</f>
        <v/>
      </c>
    </row>
    <row r="35">
      <c r="A35">
        <f>Sheet1!K35</f>
        <v/>
      </c>
      <c r="B35">
        <f>IF(ISNA(Sheet1!I35),NA(),Sheet1!$O$5-(Sheet1!I35/Sheet1!$O$6))</f>
        <v/>
      </c>
    </row>
    <row r="36">
      <c r="A36">
        <f>Sheet1!K36</f>
        <v/>
      </c>
      <c r="B36">
        <f>IF(ISNA(Sheet1!I36),NA(),Sheet1!$O$5-(Sheet1!I36/Sheet1!$O$6))</f>
        <v/>
      </c>
    </row>
    <row r="37">
      <c r="A37">
        <f>Sheet1!K37</f>
        <v/>
      </c>
      <c r="B37">
        <f>IF(ISNA(Sheet1!I37),NA(),Sheet1!$O$5-(Sheet1!I37/Sheet1!$O$6))</f>
        <v/>
      </c>
    </row>
    <row r="38">
      <c r="A38">
        <f>Sheet1!K38</f>
        <v/>
      </c>
      <c r="B38">
        <f>IF(ISNA(Sheet1!I38),NA(),Sheet1!$O$5-(Sheet1!I38/Sheet1!$O$6))</f>
        <v/>
      </c>
    </row>
    <row r="39">
      <c r="A39">
        <f>Sheet1!K39</f>
        <v/>
      </c>
      <c r="B39">
        <f>IF(ISNA(Sheet1!I39),NA(),Sheet1!$O$5-(Sheet1!I39/Sheet1!$O$6))</f>
        <v/>
      </c>
    </row>
    <row r="40">
      <c r="A40">
        <f>Sheet1!K40</f>
        <v/>
      </c>
      <c r="B40">
        <f>IF(ISNA(Sheet1!I40),NA(),Sheet1!$O$5-(Sheet1!I40/Sheet1!$O$6))</f>
        <v/>
      </c>
    </row>
    <row r="41">
      <c r="A41">
        <f>Sheet1!K41</f>
        <v/>
      </c>
      <c r="B41">
        <f>IF(ISNA(Sheet1!I41),NA(),Sheet1!$O$5-(Sheet1!I41/Sheet1!$O$6))</f>
        <v/>
      </c>
    </row>
    <row r="42">
      <c r="A42">
        <f>Sheet1!K42</f>
        <v/>
      </c>
      <c r="B42">
        <f>IF(ISNA(Sheet1!I42),NA(),Sheet1!$O$5-(Sheet1!I42/Sheet1!$O$6))</f>
        <v/>
      </c>
    </row>
    <row r="43">
      <c r="A43">
        <f>Sheet1!K43</f>
        <v/>
      </c>
      <c r="B43">
        <f>IF(ISNA(Sheet1!I43),NA(),Sheet1!$O$5-(Sheet1!I43/Sheet1!$O$6))</f>
        <v/>
      </c>
    </row>
    <row r="44">
      <c r="A44">
        <f>Sheet1!K44</f>
        <v/>
      </c>
      <c r="B44">
        <f>IF(ISNA(Sheet1!I44),NA(),Sheet1!$O$5-(Sheet1!I44/Sheet1!$O$6))</f>
        <v/>
      </c>
    </row>
    <row r="45">
      <c r="A45">
        <f>Sheet1!K45</f>
        <v/>
      </c>
      <c r="B45">
        <f>IF(ISNA(Sheet1!I45),NA(),Sheet1!$O$5-(Sheet1!I45/Sheet1!$O$6))</f>
        <v/>
      </c>
    </row>
    <row r="46">
      <c r="A46">
        <f>Sheet1!K46</f>
        <v/>
      </c>
      <c r="B46">
        <f>IF(ISNA(Sheet1!I46),NA(),Sheet1!$O$5-(Sheet1!I46/Sheet1!$O$6))</f>
        <v/>
      </c>
    </row>
    <row r="47">
      <c r="A47">
        <f>Sheet1!K47</f>
        <v/>
      </c>
      <c r="B47">
        <f>IF(ISNA(Sheet1!I47),NA(),Sheet1!$O$5-(Sheet1!I47/Sheet1!$O$6))</f>
        <v/>
      </c>
    </row>
    <row r="48">
      <c r="A48">
        <f>Sheet1!K48</f>
        <v/>
      </c>
      <c r="B48">
        <f>IF(ISNA(Sheet1!I48),NA(),Sheet1!$O$5-(Sheet1!I48/Sheet1!$O$6))</f>
        <v/>
      </c>
    </row>
    <row r="49">
      <c r="A49">
        <f>Sheet1!K49</f>
        <v/>
      </c>
      <c r="B49">
        <f>IF(ISNA(Sheet1!I49),NA(),Sheet1!$O$5-(Sheet1!I49/Sheet1!$O$6))</f>
        <v/>
      </c>
    </row>
    <row r="50">
      <c r="A50">
        <f>Sheet1!K50</f>
        <v/>
      </c>
      <c r="B50">
        <f>IF(ISNA(Sheet1!I50),NA(),Sheet1!$O$5-(Sheet1!I50/Sheet1!$O$6))</f>
        <v/>
      </c>
    </row>
    <row r="51">
      <c r="A51">
        <f>Sheet1!K51</f>
        <v/>
      </c>
      <c r="B51">
        <f>IF(ISNA(Sheet1!I51),NA(),Sheet1!$O$5-(Sheet1!I51/Sheet1!$O$6))</f>
        <v/>
      </c>
    </row>
    <row r="52">
      <c r="A52">
        <f>Sheet1!K52</f>
        <v/>
      </c>
      <c r="B52">
        <f>IF(ISNA(Sheet1!I52),NA(),Sheet1!$O$5-(Sheet1!I52/Sheet1!$O$6))</f>
        <v/>
      </c>
    </row>
    <row r="53">
      <c r="A53">
        <f>Sheet1!K53</f>
        <v/>
      </c>
      <c r="B53">
        <f>IF(ISNA(Sheet1!I53),NA(),Sheet1!$O$5-(Sheet1!I53/Sheet1!$O$6))</f>
        <v/>
      </c>
    </row>
    <row r="54">
      <c r="A54">
        <f>Sheet1!K54</f>
        <v/>
      </c>
      <c r="B54">
        <f>IF(ISNA(Sheet1!I54),NA(),Sheet1!$O$5-(Sheet1!I54/Sheet1!$O$6))</f>
        <v/>
      </c>
    </row>
    <row r="55">
      <c r="A55">
        <f>Sheet1!K55</f>
        <v/>
      </c>
      <c r="B55">
        <f>IF(ISNA(Sheet1!I55),NA(),Sheet1!$O$5-(Sheet1!I55/Sheet1!$O$6))</f>
        <v/>
      </c>
    </row>
    <row r="56">
      <c r="A56">
        <f>Sheet1!K56</f>
        <v/>
      </c>
      <c r="B56">
        <f>IF(ISNA(Sheet1!I56),NA(),Sheet1!$O$5-(Sheet1!I56/Sheet1!$O$6))</f>
        <v/>
      </c>
    </row>
    <row r="57">
      <c r="A57">
        <f>Sheet1!K57</f>
        <v/>
      </c>
      <c r="B57">
        <f>IF(ISNA(Sheet1!I57),NA(),Sheet1!$O$5-(Sheet1!I57/Sheet1!$O$6))</f>
        <v/>
      </c>
    </row>
    <row r="58">
      <c r="A58">
        <f>Sheet1!K58</f>
        <v/>
      </c>
      <c r="B58">
        <f>IF(ISNA(Sheet1!I58),NA(),Sheet1!$O$5-(Sheet1!I58/Sheet1!$O$6))</f>
        <v/>
      </c>
    </row>
    <row r="59">
      <c r="A59">
        <f>Sheet1!K59</f>
        <v/>
      </c>
      <c r="B59">
        <f>IF(ISNA(Sheet1!I59),NA(),Sheet1!$O$5-(Sheet1!I59/Sheet1!$O$6))</f>
        <v/>
      </c>
    </row>
    <row r="60">
      <c r="A60">
        <f>Sheet1!K60</f>
        <v/>
      </c>
      <c r="B60">
        <f>IF(ISNA(Sheet1!I60),NA(),Sheet1!$O$5-(Sheet1!I60/Sheet1!$O$6))</f>
        <v/>
      </c>
    </row>
    <row r="61">
      <c r="A61">
        <f>Sheet1!K61</f>
        <v/>
      </c>
      <c r="B61">
        <f>IF(ISNA(Sheet1!I61),NA(),Sheet1!$O$5-(Sheet1!I61/Sheet1!$O$6))</f>
        <v/>
      </c>
    </row>
    <row r="62">
      <c r="A62">
        <f>Sheet1!K62</f>
        <v/>
      </c>
      <c r="B62">
        <f>IF(ISNA(Sheet1!I62),NA(),Sheet1!$O$5-(Sheet1!I62/Sheet1!$O$6))</f>
        <v/>
      </c>
    </row>
    <row r="63">
      <c r="A63">
        <f>Sheet1!K63</f>
        <v/>
      </c>
      <c r="B63">
        <f>IF(ISNA(Sheet1!I63),NA(),Sheet1!$O$5-(Sheet1!I63/Sheet1!$O$6))</f>
        <v/>
      </c>
    </row>
    <row r="64">
      <c r="A64">
        <f>Sheet1!K64</f>
        <v/>
      </c>
      <c r="B64">
        <f>IF(ISNA(Sheet1!I64),NA(),Sheet1!$O$5-(Sheet1!I64/Sheet1!$O$6))</f>
        <v/>
      </c>
    </row>
    <row r="65">
      <c r="A65">
        <f>Sheet1!K65</f>
        <v/>
      </c>
      <c r="B65">
        <f>IF(ISNA(Sheet1!I65),NA(),Sheet1!$O$5-(Sheet1!I65/Sheet1!$O$6))</f>
        <v/>
      </c>
    </row>
    <row r="66">
      <c r="A66">
        <f>Sheet1!K66</f>
        <v/>
      </c>
      <c r="B66">
        <f>IF(ISNA(Sheet1!I66),NA(),Sheet1!$O$5-(Sheet1!I66/Sheet1!$O$6))</f>
        <v/>
      </c>
    </row>
    <row r="67">
      <c r="A67">
        <f>Sheet1!K67</f>
        <v/>
      </c>
      <c r="B67">
        <f>IF(ISNA(Sheet1!I67),NA(),Sheet1!$O$5-(Sheet1!I67/Sheet1!$O$6))</f>
        <v/>
      </c>
    </row>
    <row r="68">
      <c r="A68">
        <f>Sheet1!K68</f>
        <v/>
      </c>
      <c r="B68">
        <f>IF(ISNA(Sheet1!I68),NA(),Sheet1!$O$5-(Sheet1!I68/Sheet1!$O$6))</f>
        <v/>
      </c>
    </row>
    <row r="69">
      <c r="A69">
        <f>Sheet1!K69</f>
        <v/>
      </c>
      <c r="B69">
        <f>IF(ISNA(Sheet1!I69),NA(),Sheet1!$O$5-(Sheet1!I69/Sheet1!$O$6))</f>
        <v/>
      </c>
    </row>
    <row r="70">
      <c r="A70">
        <f>Sheet1!K70</f>
        <v/>
      </c>
      <c r="B70">
        <f>IF(ISNA(Sheet1!I70),NA(),Sheet1!$O$5-(Sheet1!I70/Sheet1!$O$6))</f>
        <v/>
      </c>
    </row>
    <row r="71">
      <c r="A71">
        <f>Sheet1!K71</f>
        <v/>
      </c>
      <c r="B71">
        <f>IF(ISNA(Sheet1!I71),NA(),Sheet1!$O$5-(Sheet1!I71/Sheet1!$O$6))</f>
        <v/>
      </c>
    </row>
    <row r="72">
      <c r="A72">
        <f>Sheet1!K72</f>
        <v/>
      </c>
      <c r="B72">
        <f>IF(ISNA(Sheet1!I72),NA(),Sheet1!$O$5-(Sheet1!I72/Sheet1!$O$6))</f>
        <v/>
      </c>
    </row>
    <row r="73">
      <c r="A73">
        <f>Sheet1!K73</f>
        <v/>
      </c>
      <c r="B73">
        <f>IF(ISNA(Sheet1!I73),NA(),Sheet1!$O$5-(Sheet1!I73/Sheet1!$O$6))</f>
        <v/>
      </c>
    </row>
    <row r="74">
      <c r="A74">
        <f>Sheet1!K74</f>
        <v/>
      </c>
      <c r="B74">
        <f>IF(ISNA(Sheet1!I74),NA(),Sheet1!$O$5-(Sheet1!I74/Sheet1!$O$6))</f>
        <v/>
      </c>
    </row>
    <row r="75">
      <c r="A75">
        <f>Sheet1!K75</f>
        <v/>
      </c>
      <c r="B75">
        <f>IF(ISNA(Sheet1!I75),NA(),Sheet1!$O$5-(Sheet1!I75/Sheet1!$O$6))</f>
        <v/>
      </c>
    </row>
    <row r="76">
      <c r="A76">
        <f>Sheet1!K76</f>
        <v/>
      </c>
      <c r="B76">
        <f>IF(ISNA(Sheet1!I76),NA(),Sheet1!$O$5-(Sheet1!I76/Sheet1!$O$6))</f>
        <v/>
      </c>
    </row>
    <row r="77">
      <c r="A77">
        <f>Sheet1!K77</f>
        <v/>
      </c>
      <c r="B77">
        <f>IF(ISNA(Sheet1!I77),NA(),Sheet1!$O$5-(Sheet1!I77/Sheet1!$O$6))</f>
        <v/>
      </c>
    </row>
    <row r="78">
      <c r="A78">
        <f>Sheet1!K78</f>
        <v/>
      </c>
      <c r="B78">
        <f>IF(ISNA(Sheet1!I78),NA(),Sheet1!$O$5-(Sheet1!I78/Sheet1!$O$6))</f>
        <v/>
      </c>
    </row>
    <row r="79">
      <c r="A79">
        <f>Sheet1!K79</f>
        <v/>
      </c>
      <c r="B79">
        <f>IF(ISNA(Sheet1!I79),NA(),Sheet1!$O$5-(Sheet1!I79/Sheet1!$O$6))</f>
        <v/>
      </c>
    </row>
    <row r="80">
      <c r="A80">
        <f>Sheet1!K80</f>
        <v/>
      </c>
      <c r="B80">
        <f>IF(ISNA(Sheet1!I80),NA(),Sheet1!$O$5-(Sheet1!I80/Sheet1!$O$6))</f>
        <v/>
      </c>
    </row>
    <row r="81">
      <c r="A81">
        <f>Sheet1!K81</f>
        <v/>
      </c>
      <c r="B81">
        <f>IF(ISNA(Sheet1!I81),NA(),Sheet1!$O$5-(Sheet1!I81/Sheet1!$O$6))</f>
        <v/>
      </c>
    </row>
    <row r="82">
      <c r="A82">
        <f>Sheet1!K82</f>
        <v/>
      </c>
      <c r="B82">
        <f>IF(ISNA(Sheet1!I82),NA(),Sheet1!$O$5-(Sheet1!I82/Sheet1!$O$6))</f>
        <v/>
      </c>
    </row>
    <row r="83">
      <c r="A83">
        <f>Sheet1!K83</f>
        <v/>
      </c>
      <c r="B83">
        <f>IF(ISNA(Sheet1!I83),NA(),Sheet1!$O$5-(Sheet1!I83/Sheet1!$O$6))</f>
        <v/>
      </c>
    </row>
    <row r="84">
      <c r="A84">
        <f>Sheet1!K84</f>
        <v/>
      </c>
      <c r="B84">
        <f>IF(ISNA(Sheet1!I84),NA(),Sheet1!$O$5-(Sheet1!I84/Sheet1!$O$6))</f>
        <v/>
      </c>
    </row>
    <row r="85">
      <c r="A85">
        <f>Sheet1!K85</f>
        <v/>
      </c>
      <c r="B85">
        <f>IF(ISNA(Sheet1!I85),NA(),Sheet1!$O$5-(Sheet1!I85/Sheet1!$O$6))</f>
        <v/>
      </c>
    </row>
    <row r="86">
      <c r="A86">
        <f>Sheet1!K86</f>
        <v/>
      </c>
      <c r="B86">
        <f>IF(ISNA(Sheet1!I86),NA(),Sheet1!$O$5-(Sheet1!I86/Sheet1!$O$6))</f>
        <v/>
      </c>
    </row>
    <row r="87">
      <c r="A87">
        <f>Sheet1!K87</f>
        <v/>
      </c>
      <c r="B87">
        <f>IF(ISNA(Sheet1!I87),NA(),Sheet1!$O$5-(Sheet1!I87/Sheet1!$O$6))</f>
        <v/>
      </c>
    </row>
    <row r="88">
      <c r="A88">
        <f>Sheet1!K88</f>
        <v/>
      </c>
      <c r="B88">
        <f>IF(ISNA(Sheet1!I88),NA(),Sheet1!$O$5-(Sheet1!I88/Sheet1!$O$6))</f>
        <v/>
      </c>
    </row>
    <row r="89">
      <c r="A89">
        <f>Sheet1!K89</f>
        <v/>
      </c>
      <c r="B89">
        <f>IF(ISNA(Sheet1!I89),NA(),Sheet1!$O$5-(Sheet1!I89/Sheet1!$O$6))</f>
        <v/>
      </c>
    </row>
    <row r="90">
      <c r="A90">
        <f>Sheet1!K90</f>
        <v/>
      </c>
      <c r="B90">
        <f>IF(ISNA(Sheet1!I90),NA(),Sheet1!$O$5-(Sheet1!I90/Sheet1!$O$6))</f>
        <v/>
      </c>
    </row>
    <row r="91">
      <c r="A91">
        <f>Sheet1!K91</f>
        <v/>
      </c>
      <c r="B91">
        <f>IF(ISNA(Sheet1!I91),NA(),Sheet1!$O$5-(Sheet1!I91/Sheet1!$O$6))</f>
        <v/>
      </c>
    </row>
    <row r="92">
      <c r="A92">
        <f>Sheet1!K92</f>
        <v/>
      </c>
      <c r="B92">
        <f>IF(ISNA(Sheet1!I92),NA(),Sheet1!$O$5-(Sheet1!I92/Sheet1!$O$6))</f>
        <v/>
      </c>
    </row>
    <row r="93">
      <c r="A93">
        <f>Sheet1!K93</f>
        <v/>
      </c>
      <c r="B93">
        <f>IF(ISNA(Sheet1!I93),NA(),Sheet1!$O$5-(Sheet1!I93/Sheet1!$O$6))</f>
        <v/>
      </c>
    </row>
    <row r="94">
      <c r="A94">
        <f>Sheet1!K94</f>
        <v/>
      </c>
      <c r="B94">
        <f>IF(ISNA(Sheet1!I94),NA(),Sheet1!$O$5-(Sheet1!I94/Sheet1!$O$6))</f>
        <v/>
      </c>
    </row>
    <row r="95">
      <c r="A95">
        <f>Sheet1!K95</f>
        <v/>
      </c>
      <c r="B95">
        <f>IF(ISNA(Sheet1!I95),NA(),Sheet1!$O$5-(Sheet1!I95/Sheet1!$O$6))</f>
        <v/>
      </c>
    </row>
    <row r="96">
      <c r="A96">
        <f>Sheet1!K96</f>
        <v/>
      </c>
      <c r="B96">
        <f>IF(ISNA(Sheet1!I96),NA(),Sheet1!$O$5-(Sheet1!I96/Sheet1!$O$6))</f>
        <v/>
      </c>
    </row>
    <row r="97">
      <c r="A97">
        <f>Sheet1!K97</f>
        <v/>
      </c>
      <c r="B97">
        <f>IF(ISNA(Sheet1!I97),NA(),Sheet1!$O$5-(Sheet1!I97/Sheet1!$O$6))</f>
        <v/>
      </c>
    </row>
    <row r="98">
      <c r="A98">
        <f>Sheet1!K98</f>
        <v/>
      </c>
      <c r="B98">
        <f>IF(ISNA(Sheet1!I98),NA(),Sheet1!$O$5-(Sheet1!I98/Sheet1!$O$6))</f>
        <v/>
      </c>
    </row>
    <row r="99">
      <c r="A99">
        <f>Sheet1!K99</f>
        <v/>
      </c>
      <c r="B99">
        <f>IF(ISNA(Sheet1!I99),NA(),Sheet1!$O$5-(Sheet1!I99/Sheet1!$O$6))</f>
        <v/>
      </c>
    </row>
    <row r="100">
      <c r="A100">
        <f>Sheet1!K100</f>
        <v/>
      </c>
      <c r="B100">
        <f>IF(ISNA(Sheet1!I100),NA(),Sheet1!$O$5-(Sheet1!I100/Sheet1!$O$6))</f>
        <v/>
      </c>
    </row>
    <row r="101">
      <c r="A101">
        <f>Sheet1!K101</f>
        <v/>
      </c>
      <c r="B101">
        <f>IF(ISNA(Sheet1!I101),NA(),Sheet1!$O$5-(Sheet1!I101/Sheet1!$O$6))</f>
        <v/>
      </c>
    </row>
    <row r="102">
      <c r="A102">
        <f>Sheet1!K102</f>
        <v/>
      </c>
      <c r="B102">
        <f>IF(ISNA(Sheet1!I102),NA(),Sheet1!$O$5-(Sheet1!I102/Sheet1!$O$6))</f>
        <v/>
      </c>
    </row>
    <row r="103">
      <c r="A103">
        <f>Sheet1!K103</f>
        <v/>
      </c>
      <c r="B103">
        <f>IF(ISNA(Sheet1!I103),NA(),Sheet1!$O$5-(Sheet1!I103/Sheet1!$O$6))</f>
        <v/>
      </c>
    </row>
    <row r="104">
      <c r="A104">
        <f>Sheet1!K104</f>
        <v/>
      </c>
      <c r="B104">
        <f>IF(ISNA(Sheet1!I104),NA(),Sheet1!$O$5-(Sheet1!I104/Sheet1!$O$6))</f>
        <v/>
      </c>
    </row>
    <row r="105">
      <c r="A105">
        <f>Sheet1!K105</f>
        <v/>
      </c>
      <c r="B105">
        <f>IF(ISNA(Sheet1!I105),NA(),Sheet1!$O$5-(Sheet1!I105/Sheet1!$O$6))</f>
        <v/>
      </c>
    </row>
    <row r="106">
      <c r="A106">
        <f>Sheet1!K106</f>
        <v/>
      </c>
      <c r="B106">
        <f>IF(ISNA(Sheet1!I106),NA(),Sheet1!$O$5-(Sheet1!I106/Sheet1!$O$6))</f>
        <v/>
      </c>
    </row>
    <row r="107">
      <c r="A107">
        <f>Sheet1!K107</f>
        <v/>
      </c>
      <c r="B107">
        <f>IF(ISNA(Sheet1!I107),NA(),Sheet1!$O$5-(Sheet1!I107/Sheet1!$O$6))</f>
        <v/>
      </c>
    </row>
    <row r="108">
      <c r="A108">
        <f>Sheet1!K108</f>
        <v/>
      </c>
      <c r="B108">
        <f>IF(ISNA(Sheet1!I108),NA(),Sheet1!$O$5-(Sheet1!I108/Sheet1!$O$6))</f>
        <v/>
      </c>
    </row>
    <row r="109">
      <c r="A109">
        <f>Sheet1!K109</f>
        <v/>
      </c>
      <c r="B109">
        <f>IF(ISNA(Sheet1!I109),NA(),Sheet1!$O$5-(Sheet1!I109/Sheet1!$O$6))</f>
        <v/>
      </c>
    </row>
    <row r="110">
      <c r="A110">
        <f>Sheet1!K110</f>
        <v/>
      </c>
      <c r="B110">
        <f>IF(ISNA(Sheet1!I110),NA(),Sheet1!$O$5-(Sheet1!I110/Sheet1!$O$6))</f>
        <v/>
      </c>
    </row>
    <row r="111">
      <c r="A111">
        <f>Sheet1!K111</f>
        <v/>
      </c>
      <c r="B111">
        <f>IF(ISNA(Sheet1!I111),NA(),Sheet1!$O$5-(Sheet1!I111/Sheet1!$O$6))</f>
        <v/>
      </c>
    </row>
    <row r="112">
      <c r="A112">
        <f>Sheet1!K112</f>
        <v/>
      </c>
      <c r="B112">
        <f>IF(ISNA(Sheet1!I112),NA(),Sheet1!$O$5-(Sheet1!I112/Sheet1!$O$6))</f>
        <v/>
      </c>
    </row>
    <row r="113">
      <c r="A113">
        <f>Sheet1!K113</f>
        <v/>
      </c>
      <c r="B113">
        <f>IF(ISNA(Sheet1!I113),NA(),Sheet1!$O$5-(Sheet1!I113/Sheet1!$O$6))</f>
        <v/>
      </c>
    </row>
    <row r="114">
      <c r="A114">
        <f>Sheet1!K114</f>
        <v/>
      </c>
      <c r="B114">
        <f>IF(ISNA(Sheet1!I114),NA(),Sheet1!$O$5-(Sheet1!I114/Sheet1!$O$6))</f>
        <v/>
      </c>
    </row>
    <row r="115">
      <c r="A115">
        <f>Sheet1!K115</f>
        <v/>
      </c>
      <c r="B115">
        <f>IF(ISNA(Sheet1!I115),NA(),Sheet1!$O$5-(Sheet1!I115/Sheet1!$O$6))</f>
        <v/>
      </c>
    </row>
    <row r="116">
      <c r="A116">
        <f>Sheet1!K116</f>
        <v/>
      </c>
      <c r="B116">
        <f>IF(ISNA(Sheet1!I116),NA(),Sheet1!$O$5-(Sheet1!I116/Sheet1!$O$6))</f>
        <v/>
      </c>
    </row>
    <row r="117">
      <c r="A117">
        <f>Sheet1!K117</f>
        <v/>
      </c>
      <c r="B117">
        <f>IF(ISNA(Sheet1!I117),NA(),Sheet1!$O$5-(Sheet1!I117/Sheet1!$O$6))</f>
        <v/>
      </c>
    </row>
    <row r="118">
      <c r="A118">
        <f>Sheet1!K118</f>
        <v/>
      </c>
      <c r="B118">
        <f>IF(ISNA(Sheet1!I118),NA(),Sheet1!$O$5-(Sheet1!I118/Sheet1!$O$6))</f>
        <v/>
      </c>
    </row>
    <row r="119">
      <c r="A119">
        <f>Sheet1!K119</f>
        <v/>
      </c>
      <c r="B119">
        <f>IF(ISNA(Sheet1!I119),NA(),Sheet1!$O$5-(Sheet1!I119/Sheet1!$O$6))</f>
        <v/>
      </c>
    </row>
    <row r="120">
      <c r="A120">
        <f>Sheet1!K120</f>
        <v/>
      </c>
      <c r="B120">
        <f>IF(ISNA(Sheet1!I120),NA(),Sheet1!$O$5-(Sheet1!I120/Sheet1!$O$6))</f>
        <v/>
      </c>
    </row>
    <row r="121">
      <c r="A121">
        <f>Sheet1!K121</f>
        <v/>
      </c>
      <c r="B121">
        <f>IF(ISNA(Sheet1!I121),NA(),Sheet1!$O$5-(Sheet1!I121/Sheet1!$O$6))</f>
        <v/>
      </c>
    </row>
    <row r="122">
      <c r="A122">
        <f>Sheet1!K122</f>
        <v/>
      </c>
      <c r="B122">
        <f>IF(ISNA(Sheet1!I122),NA(),Sheet1!$O$5-(Sheet1!I122/Sheet1!$O$6))</f>
        <v/>
      </c>
    </row>
    <row r="123">
      <c r="A123">
        <f>Sheet1!K123</f>
        <v/>
      </c>
      <c r="B123">
        <f>IF(ISNA(Sheet1!I123),NA(),Sheet1!$O$5-(Sheet1!I123/Sheet1!$O$6))</f>
        <v/>
      </c>
    </row>
    <row r="124">
      <c r="A124">
        <f>Sheet1!K124</f>
        <v/>
      </c>
      <c r="B124">
        <f>IF(ISNA(Sheet1!I124),NA(),Sheet1!$O$5-(Sheet1!I124/Sheet1!$O$6))</f>
        <v/>
      </c>
    </row>
    <row r="125">
      <c r="A125">
        <f>Sheet1!K125</f>
        <v/>
      </c>
      <c r="B125">
        <f>IF(ISNA(Sheet1!I125),NA(),Sheet1!$O$5-(Sheet1!I125/Sheet1!$O$6))</f>
        <v/>
      </c>
    </row>
    <row r="126">
      <c r="A126">
        <f>Sheet1!K126</f>
        <v/>
      </c>
      <c r="B126">
        <f>IF(ISNA(Sheet1!I126),NA(),Sheet1!$O$5-(Sheet1!I126/Sheet1!$O$6))</f>
        <v/>
      </c>
    </row>
    <row r="127">
      <c r="A127">
        <f>Sheet1!K127</f>
        <v/>
      </c>
      <c r="B127">
        <f>IF(ISNA(Sheet1!I127),NA(),Sheet1!$O$5-(Sheet1!I127/Sheet1!$O$6))</f>
        <v/>
      </c>
    </row>
    <row r="128">
      <c r="A128">
        <f>Sheet1!K128</f>
        <v/>
      </c>
      <c r="B128">
        <f>IF(ISNA(Sheet1!I128),NA(),Sheet1!$O$5-(Sheet1!I128/Sheet1!$O$6))</f>
        <v/>
      </c>
    </row>
    <row r="129">
      <c r="A129">
        <f>Sheet1!K129</f>
        <v/>
      </c>
      <c r="B129">
        <f>IF(ISNA(Sheet1!I129),NA(),Sheet1!$O$5-(Sheet1!I129/Sheet1!$O$6))</f>
        <v/>
      </c>
    </row>
    <row r="130">
      <c r="A130">
        <f>Sheet1!K130</f>
        <v/>
      </c>
      <c r="B130">
        <f>IF(ISNA(Sheet1!I130),NA(),Sheet1!$O$5-(Sheet1!I130/Sheet1!$O$6))</f>
        <v/>
      </c>
    </row>
    <row r="131">
      <c r="A131">
        <f>Sheet1!K131</f>
        <v/>
      </c>
      <c r="B131">
        <f>IF(ISNA(Sheet1!I131),NA(),Sheet1!$O$5-(Sheet1!I131/Sheet1!$O$6))</f>
        <v/>
      </c>
    </row>
    <row r="132">
      <c r="A132">
        <f>Sheet1!K132</f>
        <v/>
      </c>
      <c r="B132">
        <f>IF(ISNA(Sheet1!I132),NA(),Sheet1!$O$5-(Sheet1!I132/Sheet1!$O$6))</f>
        <v/>
      </c>
    </row>
    <row r="133">
      <c r="A133">
        <f>Sheet1!K133</f>
        <v/>
      </c>
      <c r="B133">
        <f>IF(ISNA(Sheet1!I133),NA(),Sheet1!$O$5-(Sheet1!I133/Sheet1!$O$6))</f>
        <v/>
      </c>
    </row>
    <row r="134">
      <c r="A134">
        <f>Sheet1!K134</f>
        <v/>
      </c>
      <c r="B134">
        <f>IF(ISNA(Sheet1!I134),NA(),Sheet1!$O$5-(Sheet1!I134/Sheet1!$O$6))</f>
        <v/>
      </c>
    </row>
    <row r="135">
      <c r="A135">
        <f>Sheet1!K135</f>
        <v/>
      </c>
      <c r="B135">
        <f>IF(ISNA(Sheet1!I135),NA(),Sheet1!$O$5-(Sheet1!I135/Sheet1!$O$6))</f>
        <v/>
      </c>
    </row>
    <row r="136">
      <c r="A136">
        <f>Sheet1!K136</f>
        <v/>
      </c>
      <c r="B136">
        <f>IF(ISNA(Sheet1!I136),NA(),Sheet1!$O$5-(Sheet1!I136/Sheet1!$O$6))</f>
        <v/>
      </c>
    </row>
    <row r="137">
      <c r="A137">
        <f>Sheet1!K137</f>
        <v/>
      </c>
      <c r="B137">
        <f>IF(ISNA(Sheet1!I137),NA(),Sheet1!$O$5-(Sheet1!I137/Sheet1!$O$6))</f>
        <v/>
      </c>
    </row>
    <row r="138">
      <c r="A138">
        <f>Sheet1!K138</f>
        <v/>
      </c>
      <c r="B138">
        <f>IF(ISNA(Sheet1!I138),NA(),Sheet1!$O$5-(Sheet1!I138/Sheet1!$O$6))</f>
        <v/>
      </c>
    </row>
    <row r="139">
      <c r="A139">
        <f>Sheet1!K139</f>
        <v/>
      </c>
      <c r="B139">
        <f>IF(ISNA(Sheet1!I139),NA(),Sheet1!$O$5-(Sheet1!I139/Sheet1!$O$6))</f>
        <v/>
      </c>
    </row>
    <row r="140">
      <c r="A140">
        <f>Sheet1!K140</f>
        <v/>
      </c>
      <c r="B140">
        <f>IF(ISNA(Sheet1!I140),NA(),Sheet1!$O$5-(Sheet1!I140/Sheet1!$O$6))</f>
        <v/>
      </c>
    </row>
    <row r="141">
      <c r="A141">
        <f>Sheet1!K141</f>
        <v/>
      </c>
      <c r="B141">
        <f>IF(ISNA(Sheet1!I141),NA(),Sheet1!$O$5-(Sheet1!I141/Sheet1!$O$6))</f>
        <v/>
      </c>
    </row>
    <row r="142">
      <c r="A142">
        <f>Sheet1!K142</f>
        <v/>
      </c>
      <c r="B142">
        <f>IF(ISNA(Sheet1!I142),NA(),Sheet1!$O$5-(Sheet1!I142/Sheet1!$O$6))</f>
        <v/>
      </c>
    </row>
    <row r="143">
      <c r="A143">
        <f>Sheet1!K143</f>
        <v/>
      </c>
      <c r="B143">
        <f>IF(ISNA(Sheet1!I143),NA(),Sheet1!$O$5-(Sheet1!I143/Sheet1!$O$6))</f>
        <v/>
      </c>
    </row>
    <row r="144">
      <c r="A144">
        <f>Sheet1!K144</f>
        <v/>
      </c>
      <c r="B144">
        <f>IF(ISNA(Sheet1!I144),NA(),Sheet1!$O$5-(Sheet1!I144/Sheet1!$O$6))</f>
        <v/>
      </c>
    </row>
    <row r="145">
      <c r="A145">
        <f>Sheet1!K145</f>
        <v/>
      </c>
      <c r="B145">
        <f>IF(ISNA(Sheet1!I145),NA(),Sheet1!$O$5-(Sheet1!I145/Sheet1!$O$6))</f>
        <v/>
      </c>
    </row>
    <row r="146">
      <c r="A146">
        <f>Sheet1!K146</f>
        <v/>
      </c>
      <c r="B146">
        <f>IF(ISNA(Sheet1!I146),NA(),Sheet1!$O$5-(Sheet1!I146/Sheet1!$O$6))</f>
        <v/>
      </c>
    </row>
    <row r="147">
      <c r="A147">
        <f>Sheet1!K147</f>
        <v/>
      </c>
      <c r="B147">
        <f>IF(ISNA(Sheet1!I147),NA(),Sheet1!$O$5-(Sheet1!I147/Sheet1!$O$6))</f>
        <v/>
      </c>
    </row>
    <row r="148">
      <c r="A148">
        <f>Sheet1!K148</f>
        <v/>
      </c>
      <c r="B148">
        <f>IF(ISNA(Sheet1!I148),NA(),Sheet1!$O$5-(Sheet1!I148/Sheet1!$O$6))</f>
        <v/>
      </c>
    </row>
    <row r="149">
      <c r="A149">
        <f>Sheet1!K149</f>
        <v/>
      </c>
      <c r="B149">
        <f>IF(ISNA(Sheet1!I149),NA(),Sheet1!$O$5-(Sheet1!I149/Sheet1!$O$6))</f>
        <v/>
      </c>
    </row>
    <row r="150">
      <c r="A150">
        <f>Sheet1!K150</f>
        <v/>
      </c>
      <c r="B150">
        <f>IF(ISNA(Sheet1!I150),NA(),Sheet1!$O$5-(Sheet1!I150/Sheet1!$O$6))</f>
        <v/>
      </c>
    </row>
    <row r="151">
      <c r="A151">
        <f>Sheet1!K151</f>
        <v/>
      </c>
      <c r="B151">
        <f>IF(ISNA(Sheet1!I151),NA(),Sheet1!$O$5-(Sheet1!I151/Sheet1!$O$6))</f>
        <v/>
      </c>
    </row>
    <row r="152">
      <c r="A152">
        <f>Sheet1!K152</f>
        <v/>
      </c>
      <c r="B152">
        <f>IF(ISNA(Sheet1!I152),NA(),Sheet1!$O$5-(Sheet1!I152/Sheet1!$O$6))</f>
        <v/>
      </c>
    </row>
    <row r="153">
      <c r="A153">
        <f>Sheet1!K153</f>
        <v/>
      </c>
      <c r="B153">
        <f>IF(ISNA(Sheet1!I153),NA(),Sheet1!$O$5-(Sheet1!I153/Sheet1!$O$6))</f>
        <v/>
      </c>
    </row>
    <row r="154">
      <c r="A154">
        <f>Sheet1!K154</f>
        <v/>
      </c>
      <c r="B154">
        <f>IF(ISNA(Sheet1!I154),NA(),Sheet1!$O$5-(Sheet1!I154/Sheet1!$O$6))</f>
        <v/>
      </c>
    </row>
    <row r="155">
      <c r="A155">
        <f>Sheet1!K155</f>
        <v/>
      </c>
      <c r="B155">
        <f>IF(ISNA(Sheet1!I155),NA(),Sheet1!$O$5-(Sheet1!I155/Sheet1!$O$6))</f>
        <v/>
      </c>
    </row>
    <row r="156">
      <c r="A156">
        <f>Sheet1!K156</f>
        <v/>
      </c>
      <c r="B156">
        <f>IF(ISNA(Sheet1!I156),NA(),Sheet1!$O$5-(Sheet1!I156/Sheet1!$O$6))</f>
        <v/>
      </c>
    </row>
    <row r="157">
      <c r="A157">
        <f>Sheet1!K157</f>
        <v/>
      </c>
      <c r="B157">
        <f>IF(ISNA(Sheet1!I157),NA(),Sheet1!$O$5-(Sheet1!I157/Sheet1!$O$6))</f>
        <v/>
      </c>
    </row>
    <row r="158">
      <c r="A158">
        <f>Sheet1!K158</f>
        <v/>
      </c>
      <c r="B158">
        <f>IF(ISNA(Sheet1!I158),NA(),Sheet1!$O$5-(Sheet1!I158/Sheet1!$O$6))</f>
        <v/>
      </c>
    </row>
    <row r="159">
      <c r="A159">
        <f>Sheet1!K159</f>
        <v/>
      </c>
      <c r="B159">
        <f>IF(ISNA(Sheet1!I159),NA(),Sheet1!$O$5-(Sheet1!I159/Sheet1!$O$6))</f>
        <v/>
      </c>
    </row>
    <row r="160">
      <c r="A160">
        <f>Sheet1!K160</f>
        <v/>
      </c>
      <c r="B160">
        <f>IF(ISNA(Sheet1!I160),NA(),Sheet1!$O$5-(Sheet1!I160/Sheet1!$O$6))</f>
        <v/>
      </c>
    </row>
    <row r="161">
      <c r="A161">
        <f>Sheet1!K161</f>
        <v/>
      </c>
      <c r="B161">
        <f>IF(ISNA(Sheet1!I161),NA(),Sheet1!$O$5-(Sheet1!I161/Sheet1!$O$6))</f>
        <v/>
      </c>
    </row>
    <row r="162">
      <c r="A162">
        <f>Sheet1!K162</f>
        <v/>
      </c>
      <c r="B162">
        <f>IF(ISNA(Sheet1!I162),NA(),Sheet1!$O$5-(Sheet1!I162/Sheet1!$O$6))</f>
        <v/>
      </c>
    </row>
    <row r="163">
      <c r="A163">
        <f>Sheet1!K163</f>
        <v/>
      </c>
      <c r="B163">
        <f>IF(ISNA(Sheet1!I163),NA(),Sheet1!$O$5-(Sheet1!I163/Sheet1!$O$6))</f>
        <v/>
      </c>
    </row>
    <row r="164">
      <c r="A164">
        <f>Sheet1!K164</f>
        <v/>
      </c>
      <c r="B164">
        <f>IF(ISNA(Sheet1!I164),NA(),Sheet1!$O$5-(Sheet1!I164/Sheet1!$O$6))</f>
        <v/>
      </c>
    </row>
    <row r="165">
      <c r="A165">
        <f>Sheet1!K165</f>
        <v/>
      </c>
      <c r="B165">
        <f>IF(ISNA(Sheet1!I165),NA(),Sheet1!$O$5-(Sheet1!I165/Sheet1!$O$6))</f>
        <v/>
      </c>
    </row>
    <row r="166">
      <c r="A166">
        <f>Sheet1!K166</f>
        <v/>
      </c>
      <c r="B166">
        <f>IF(ISNA(Sheet1!I166),NA(),Sheet1!$O$5-(Sheet1!I166/Sheet1!$O$6))</f>
        <v/>
      </c>
    </row>
    <row r="167">
      <c r="A167">
        <f>Sheet1!K167</f>
        <v/>
      </c>
      <c r="B167">
        <f>IF(ISNA(Sheet1!I167),NA(),Sheet1!$O$5-(Sheet1!I167/Sheet1!$O$6))</f>
        <v/>
      </c>
    </row>
    <row r="168">
      <c r="A168">
        <f>Sheet1!K168</f>
        <v/>
      </c>
      <c r="B168">
        <f>IF(ISNA(Sheet1!I168),NA(),Sheet1!$O$5-(Sheet1!I168/Sheet1!$O$6))</f>
        <v/>
      </c>
    </row>
    <row r="169">
      <c r="A169">
        <f>Sheet1!K169</f>
        <v/>
      </c>
      <c r="B169">
        <f>IF(ISNA(Sheet1!I169),NA(),Sheet1!$O$5-(Sheet1!I169/Sheet1!$O$6))</f>
        <v/>
      </c>
    </row>
    <row r="170">
      <c r="A170">
        <f>Sheet1!K170</f>
        <v/>
      </c>
      <c r="B170">
        <f>IF(ISNA(Sheet1!I170),NA(),Sheet1!$O$5-(Sheet1!I170/Sheet1!$O$6))</f>
        <v/>
      </c>
    </row>
    <row r="171">
      <c r="A171">
        <f>Sheet1!K171</f>
        <v/>
      </c>
      <c r="B171">
        <f>IF(ISNA(Sheet1!I171),NA(),Sheet1!$O$5-(Sheet1!I171/Sheet1!$O$6))</f>
        <v/>
      </c>
    </row>
    <row r="172">
      <c r="A172">
        <f>Sheet1!K172</f>
        <v/>
      </c>
      <c r="B172">
        <f>IF(ISNA(Sheet1!I172),NA(),Sheet1!$O$5-(Sheet1!I172/Sheet1!$O$6))</f>
        <v/>
      </c>
    </row>
    <row r="173">
      <c r="A173">
        <f>Sheet1!K173</f>
        <v/>
      </c>
      <c r="B173">
        <f>IF(ISNA(Sheet1!I173),NA(),Sheet1!$O$5-(Sheet1!I173/Sheet1!$O$6))</f>
        <v/>
      </c>
    </row>
    <row r="174">
      <c r="A174">
        <f>Sheet1!K174</f>
        <v/>
      </c>
      <c r="B174">
        <f>IF(ISNA(Sheet1!I174),NA(),Sheet1!$O$5-(Sheet1!I174/Sheet1!$O$6))</f>
        <v/>
      </c>
    </row>
    <row r="175">
      <c r="A175">
        <f>Sheet1!K175</f>
        <v/>
      </c>
      <c r="B175">
        <f>IF(ISNA(Sheet1!I175),NA(),Sheet1!$O$5-(Sheet1!I175/Sheet1!$O$6))</f>
        <v/>
      </c>
    </row>
    <row r="176">
      <c r="A176">
        <f>Sheet1!K176</f>
        <v/>
      </c>
      <c r="B176">
        <f>IF(ISNA(Sheet1!I176),NA(),Sheet1!$O$5-(Sheet1!I176/Sheet1!$O$6))</f>
        <v/>
      </c>
    </row>
    <row r="177">
      <c r="A177">
        <f>Sheet1!K177</f>
        <v/>
      </c>
      <c r="B177">
        <f>IF(ISNA(Sheet1!I177),NA(),Sheet1!$O$5-(Sheet1!I177/Sheet1!$O$6))</f>
        <v/>
      </c>
    </row>
    <row r="178">
      <c r="A178">
        <f>Sheet1!K178</f>
        <v/>
      </c>
      <c r="B178">
        <f>IF(ISNA(Sheet1!I178),NA(),Sheet1!$O$5-(Sheet1!I178/Sheet1!$O$6))</f>
        <v/>
      </c>
    </row>
    <row r="179">
      <c r="A179">
        <f>Sheet1!K179</f>
        <v/>
      </c>
      <c r="B179">
        <f>IF(ISNA(Sheet1!I179),NA(),Sheet1!$O$5-(Sheet1!I179/Sheet1!$O$6))</f>
        <v/>
      </c>
    </row>
    <row r="180">
      <c r="A180">
        <f>Sheet1!K180</f>
        <v/>
      </c>
      <c r="B180">
        <f>IF(ISNA(Sheet1!I180),NA(),Sheet1!$O$5-(Sheet1!I180/Sheet1!$O$6))</f>
        <v/>
      </c>
    </row>
    <row r="181">
      <c r="A181">
        <f>Sheet1!K181</f>
        <v/>
      </c>
      <c r="B181">
        <f>IF(ISNA(Sheet1!I181),NA(),Sheet1!$O$5-(Sheet1!I181/Sheet1!$O$6))</f>
        <v/>
      </c>
    </row>
    <row r="182">
      <c r="A182">
        <f>Sheet1!K182</f>
        <v/>
      </c>
      <c r="B182">
        <f>IF(ISNA(Sheet1!I182),NA(),Sheet1!$O$5-(Sheet1!I182/Sheet1!$O$6))</f>
        <v/>
      </c>
    </row>
    <row r="183">
      <c r="A183">
        <f>Sheet1!K183</f>
        <v/>
      </c>
      <c r="B183">
        <f>IF(ISNA(Sheet1!I183),NA(),Sheet1!$O$5-(Sheet1!I183/Sheet1!$O$6))</f>
        <v/>
      </c>
    </row>
    <row r="184">
      <c r="A184">
        <f>Sheet1!K184</f>
        <v/>
      </c>
      <c r="B184">
        <f>IF(ISNA(Sheet1!I184),NA(),Sheet1!$O$5-(Sheet1!I184/Sheet1!$O$6))</f>
        <v/>
      </c>
    </row>
    <row r="185">
      <c r="A185">
        <f>Sheet1!K185</f>
        <v/>
      </c>
      <c r="B185">
        <f>IF(ISNA(Sheet1!I185),NA(),Sheet1!$O$5-(Sheet1!I185/Sheet1!$O$6))</f>
        <v/>
      </c>
    </row>
    <row r="186">
      <c r="A186">
        <f>Sheet1!K186</f>
        <v/>
      </c>
      <c r="B186">
        <f>IF(ISNA(Sheet1!I186),NA(),Sheet1!$O$5-(Sheet1!I186/Sheet1!$O$6))</f>
        <v/>
      </c>
    </row>
    <row r="187">
      <c r="A187">
        <f>Sheet1!K187</f>
        <v/>
      </c>
      <c r="B187">
        <f>IF(ISNA(Sheet1!I187),NA(),Sheet1!$O$5-(Sheet1!I187/Sheet1!$O$6))</f>
        <v/>
      </c>
    </row>
    <row r="188">
      <c r="A188">
        <f>Sheet1!K188</f>
        <v/>
      </c>
      <c r="B188">
        <f>IF(ISNA(Sheet1!I188),NA(),Sheet1!$O$5-(Sheet1!I188/Sheet1!$O$6))</f>
        <v/>
      </c>
    </row>
    <row r="189">
      <c r="A189">
        <f>Sheet1!K189</f>
        <v/>
      </c>
      <c r="B189">
        <f>IF(ISNA(Sheet1!I189),NA(),Sheet1!$O$5-(Sheet1!I189/Sheet1!$O$6))</f>
        <v/>
      </c>
    </row>
    <row r="190">
      <c r="A190">
        <f>Sheet1!K190</f>
        <v/>
      </c>
      <c r="B190">
        <f>IF(ISNA(Sheet1!I190),NA(),Sheet1!$O$5-(Sheet1!I190/Sheet1!$O$6))</f>
        <v/>
      </c>
    </row>
    <row r="191">
      <c r="A191">
        <f>Sheet1!K191</f>
        <v/>
      </c>
      <c r="B191">
        <f>IF(ISNA(Sheet1!I191),NA(),Sheet1!$O$5-(Sheet1!I191/Sheet1!$O$6))</f>
        <v/>
      </c>
    </row>
    <row r="192">
      <c r="A192">
        <f>Sheet1!K192</f>
        <v/>
      </c>
      <c r="B192">
        <f>IF(ISNA(Sheet1!I192),NA(),Sheet1!$O$5-(Sheet1!I192/Sheet1!$O$6))</f>
        <v/>
      </c>
    </row>
    <row r="193">
      <c r="A193">
        <f>Sheet1!K193</f>
        <v/>
      </c>
      <c r="B193">
        <f>IF(ISNA(Sheet1!I193),NA(),Sheet1!$O$5-(Sheet1!I193/Sheet1!$O$6))</f>
        <v/>
      </c>
    </row>
    <row r="194">
      <c r="A194">
        <f>Sheet1!K194</f>
        <v/>
      </c>
      <c r="B194">
        <f>IF(ISNA(Sheet1!I194),NA(),Sheet1!$O$5-(Sheet1!I194/Sheet1!$O$6))</f>
        <v/>
      </c>
    </row>
    <row r="195">
      <c r="A195">
        <f>Sheet1!K195</f>
        <v/>
      </c>
      <c r="B195">
        <f>IF(ISNA(Sheet1!I195),NA(),Sheet1!$O$5-(Sheet1!I195/Sheet1!$O$6))</f>
        <v/>
      </c>
    </row>
    <row r="196">
      <c r="A196">
        <f>Sheet1!K196</f>
        <v/>
      </c>
      <c r="B196">
        <f>IF(ISNA(Sheet1!I196),NA(),Sheet1!$O$5-(Sheet1!I196/Sheet1!$O$6))</f>
        <v/>
      </c>
    </row>
    <row r="197">
      <c r="A197">
        <f>Sheet1!K197</f>
        <v/>
      </c>
      <c r="B197">
        <f>IF(ISNA(Sheet1!I197),NA(),Sheet1!$O$5-(Sheet1!I197/Sheet1!$O$6))</f>
        <v/>
      </c>
    </row>
    <row r="198">
      <c r="A198">
        <f>Sheet1!K198</f>
        <v/>
      </c>
      <c r="B198">
        <f>IF(ISNA(Sheet1!I198),NA(),Sheet1!$O$5-(Sheet1!I198/Sheet1!$O$6))</f>
        <v/>
      </c>
    </row>
    <row r="199">
      <c r="A199">
        <f>Sheet1!K199</f>
        <v/>
      </c>
      <c r="B199">
        <f>IF(ISNA(Sheet1!I199),NA(),Sheet1!$O$5-(Sheet1!I199/Sheet1!$O$6))</f>
        <v/>
      </c>
    </row>
    <row r="200">
      <c r="A200">
        <f>Sheet1!K200</f>
        <v/>
      </c>
      <c r="B200">
        <f>IF(ISNA(Sheet1!I200),NA(),Sheet1!$O$5-(Sheet1!I200/Sheet1!$O$6))</f>
        <v/>
      </c>
    </row>
    <row r="201">
      <c r="A201">
        <f>Sheet1!K201</f>
        <v/>
      </c>
      <c r="B201">
        <f>IF(ISNA(Sheet1!I201),NA(),Sheet1!$O$5-(Sheet1!I201/Sheet1!$O$6))</f>
        <v/>
      </c>
    </row>
    <row r="202">
      <c r="A202">
        <f>Sheet1!K202</f>
        <v/>
      </c>
      <c r="B202">
        <f>IF(ISNA(Sheet1!I202),NA(),Sheet1!$O$5-(Sheet1!I202/Sheet1!$O$6))</f>
        <v/>
      </c>
    </row>
    <row r="203">
      <c r="A203">
        <f>Sheet1!K203</f>
        <v/>
      </c>
      <c r="B203">
        <f>IF(ISNA(Sheet1!I203),NA(),Sheet1!$O$5-(Sheet1!I203/Sheet1!$O$6))</f>
        <v/>
      </c>
    </row>
    <row r="204">
      <c r="A204">
        <f>Sheet1!K204</f>
        <v/>
      </c>
      <c r="B204">
        <f>IF(ISNA(Sheet1!I204),NA(),Sheet1!$O$5-(Sheet1!I204/Sheet1!$O$6))</f>
        <v/>
      </c>
    </row>
    <row r="205">
      <c r="A205">
        <f>Sheet1!K205</f>
        <v/>
      </c>
      <c r="B205">
        <f>IF(ISNA(Sheet1!I205),NA(),Sheet1!$O$5-(Sheet1!I205/Sheet1!$O$6))</f>
        <v/>
      </c>
    </row>
    <row r="206">
      <c r="A206">
        <f>Sheet1!K206</f>
        <v/>
      </c>
      <c r="B206">
        <f>IF(ISNA(Sheet1!I206),NA(),Sheet1!$O$5-(Sheet1!I206/Sheet1!$O$6))</f>
        <v/>
      </c>
    </row>
    <row r="207">
      <c r="A207">
        <f>Sheet1!K207</f>
        <v/>
      </c>
      <c r="B207">
        <f>IF(ISNA(Sheet1!I207),NA(),Sheet1!$O$5-(Sheet1!I207/Sheet1!$O$6))</f>
        <v/>
      </c>
    </row>
    <row r="208">
      <c r="A208">
        <f>Sheet1!K208</f>
        <v/>
      </c>
      <c r="B208">
        <f>IF(ISNA(Sheet1!I208),NA(),Sheet1!$O$5-(Sheet1!I208/Sheet1!$O$6))</f>
        <v/>
      </c>
    </row>
    <row r="209">
      <c r="A209">
        <f>Sheet1!K209</f>
        <v/>
      </c>
      <c r="B209">
        <f>IF(ISNA(Sheet1!I209),NA(),Sheet1!$O$5-(Sheet1!I209/Sheet1!$O$6))</f>
        <v/>
      </c>
    </row>
    <row r="210">
      <c r="A210">
        <f>Sheet1!K210</f>
        <v/>
      </c>
      <c r="B210">
        <f>IF(ISNA(Sheet1!I210),NA(),Sheet1!$O$5-(Sheet1!I210/Sheet1!$O$6))</f>
        <v/>
      </c>
    </row>
    <row r="211">
      <c r="A211">
        <f>Sheet1!K211</f>
        <v/>
      </c>
      <c r="B211">
        <f>IF(ISNA(Sheet1!I211),NA(),Sheet1!$O$5-(Sheet1!I211/Sheet1!$O$6))</f>
        <v/>
      </c>
    </row>
    <row r="212">
      <c r="A212">
        <f>Sheet1!K212</f>
        <v/>
      </c>
      <c r="B212">
        <f>IF(ISNA(Sheet1!I212),NA(),Sheet1!$O$5-(Sheet1!I212/Sheet1!$O$6))</f>
        <v/>
      </c>
    </row>
    <row r="213">
      <c r="A213">
        <f>Sheet1!K213</f>
        <v/>
      </c>
      <c r="B213">
        <f>IF(ISNA(Sheet1!I213),NA(),Sheet1!$O$5-(Sheet1!I213/Sheet1!$O$6))</f>
        <v/>
      </c>
    </row>
    <row r="214">
      <c r="A214">
        <f>Sheet1!K214</f>
        <v/>
      </c>
      <c r="B214">
        <f>IF(ISNA(Sheet1!I214),NA(),Sheet1!$O$5-(Sheet1!I214/Sheet1!$O$6))</f>
        <v/>
      </c>
    </row>
    <row r="215">
      <c r="A215">
        <f>Sheet1!K215</f>
        <v/>
      </c>
      <c r="B215">
        <f>IF(ISNA(Sheet1!I215),NA(),Sheet1!$O$5-(Sheet1!I215/Sheet1!$O$6))</f>
        <v/>
      </c>
    </row>
    <row r="216">
      <c r="A216">
        <f>Sheet1!K216</f>
        <v/>
      </c>
      <c r="B216">
        <f>IF(ISNA(Sheet1!I216),NA(),Sheet1!$O$5-(Sheet1!I216/Sheet1!$O$6))</f>
        <v/>
      </c>
    </row>
    <row r="217">
      <c r="A217">
        <f>Sheet1!K217</f>
        <v/>
      </c>
      <c r="B217">
        <f>IF(ISNA(Sheet1!I217),NA(),Sheet1!$O$5-(Sheet1!I217/Sheet1!$O$6))</f>
        <v/>
      </c>
    </row>
    <row r="218">
      <c r="A218">
        <f>Sheet1!K218</f>
        <v/>
      </c>
      <c r="B218">
        <f>IF(ISNA(Sheet1!I218),NA(),Sheet1!$O$5-(Sheet1!I218/Sheet1!$O$6))</f>
        <v/>
      </c>
    </row>
    <row r="219">
      <c r="A219">
        <f>Sheet1!K219</f>
        <v/>
      </c>
      <c r="B219">
        <f>IF(ISNA(Sheet1!I219),NA(),Sheet1!$O$5-(Sheet1!I219/Sheet1!$O$6))</f>
        <v/>
      </c>
    </row>
    <row r="220">
      <c r="A220">
        <f>Sheet1!K220</f>
        <v/>
      </c>
      <c r="B220">
        <f>IF(ISNA(Sheet1!I220),NA(),Sheet1!$O$5-(Sheet1!I220/Sheet1!$O$6))</f>
        <v/>
      </c>
    </row>
    <row r="221">
      <c r="A221">
        <f>Sheet1!K221</f>
        <v/>
      </c>
      <c r="B221">
        <f>IF(ISNA(Sheet1!I221),NA(),Sheet1!$O$5-(Sheet1!I221/Sheet1!$O$6))</f>
        <v/>
      </c>
    </row>
    <row r="222">
      <c r="A222">
        <f>Sheet1!K222</f>
        <v/>
      </c>
      <c r="B222">
        <f>IF(ISNA(Sheet1!I222),NA(),Sheet1!$O$5-(Sheet1!I222/Sheet1!$O$6))</f>
        <v/>
      </c>
    </row>
    <row r="223">
      <c r="A223">
        <f>Sheet1!K223</f>
        <v/>
      </c>
      <c r="B223">
        <f>IF(ISNA(Sheet1!I223),NA(),Sheet1!$O$5-(Sheet1!I223/Sheet1!$O$6))</f>
        <v/>
      </c>
    </row>
    <row r="224">
      <c r="A224">
        <f>Sheet1!K224</f>
        <v/>
      </c>
      <c r="B224">
        <f>IF(ISNA(Sheet1!I224),NA(),Sheet1!$O$5-(Sheet1!I224/Sheet1!$O$6))</f>
        <v/>
      </c>
    </row>
    <row r="225">
      <c r="A225">
        <f>Sheet1!K225</f>
        <v/>
      </c>
      <c r="B225">
        <f>IF(ISNA(Sheet1!I225),NA(),Sheet1!$O$5-(Sheet1!I225/Sheet1!$O$6))</f>
        <v/>
      </c>
    </row>
    <row r="226">
      <c r="A226">
        <f>Sheet1!K226</f>
        <v/>
      </c>
      <c r="B226">
        <f>IF(ISNA(Sheet1!I226),NA(),Sheet1!$O$5-(Sheet1!I226/Sheet1!$O$6))</f>
        <v/>
      </c>
    </row>
    <row r="227">
      <c r="A227">
        <f>Sheet1!K227</f>
        <v/>
      </c>
      <c r="B227">
        <f>IF(ISNA(Sheet1!I227),NA(),Sheet1!$O$5-(Sheet1!I227/Sheet1!$O$6))</f>
        <v/>
      </c>
    </row>
    <row r="228">
      <c r="A228">
        <f>Sheet1!K228</f>
        <v/>
      </c>
      <c r="B228">
        <f>IF(ISNA(Sheet1!I228),NA(),Sheet1!$O$5-(Sheet1!I228/Sheet1!$O$6))</f>
        <v/>
      </c>
    </row>
    <row r="229">
      <c r="A229">
        <f>Sheet1!K229</f>
        <v/>
      </c>
      <c r="B229">
        <f>IF(ISNA(Sheet1!I229),NA(),Sheet1!$O$5-(Sheet1!I229/Sheet1!$O$6))</f>
        <v/>
      </c>
    </row>
    <row r="230">
      <c r="A230">
        <f>Sheet1!K230</f>
        <v/>
      </c>
      <c r="B230">
        <f>IF(ISNA(Sheet1!I230),NA(),Sheet1!$O$5-(Sheet1!I230/Sheet1!$O$6))</f>
        <v/>
      </c>
    </row>
    <row r="231">
      <c r="A231">
        <f>Sheet1!K231</f>
        <v/>
      </c>
      <c r="B231">
        <f>IF(ISNA(Sheet1!I231),NA(),Sheet1!$O$5-(Sheet1!I231/Sheet1!$O$6))</f>
        <v/>
      </c>
    </row>
    <row r="232">
      <c r="A232">
        <f>Sheet1!K232</f>
        <v/>
      </c>
      <c r="B232">
        <f>IF(ISNA(Sheet1!I232),NA(),Sheet1!$O$5-(Sheet1!I232/Sheet1!$O$6))</f>
        <v/>
      </c>
    </row>
    <row r="233">
      <c r="A233">
        <f>Sheet1!K233</f>
        <v/>
      </c>
      <c r="B233">
        <f>IF(ISNA(Sheet1!I233),NA(),Sheet1!$O$5-(Sheet1!I233/Sheet1!$O$6))</f>
        <v/>
      </c>
    </row>
    <row r="234">
      <c r="A234">
        <f>Sheet1!K234</f>
        <v/>
      </c>
      <c r="B234">
        <f>IF(ISNA(Sheet1!I234),NA(),Sheet1!$O$5-(Sheet1!I234/Sheet1!$O$6))</f>
        <v/>
      </c>
    </row>
    <row r="235">
      <c r="A235">
        <f>Sheet1!K235</f>
        <v/>
      </c>
      <c r="B235">
        <f>IF(ISNA(Sheet1!I235),NA(),Sheet1!$O$5-(Sheet1!I235/Sheet1!$O$6))</f>
        <v/>
      </c>
    </row>
    <row r="236">
      <c r="A236">
        <f>Sheet1!K236</f>
        <v/>
      </c>
      <c r="B236">
        <f>IF(ISNA(Sheet1!I236),NA(),Sheet1!$O$5-(Sheet1!I236/Sheet1!$O$6))</f>
        <v/>
      </c>
    </row>
    <row r="237">
      <c r="A237">
        <f>Sheet1!K237</f>
        <v/>
      </c>
      <c r="B237">
        <f>IF(ISNA(Sheet1!I237),NA(),Sheet1!$O$5-(Sheet1!I237/Sheet1!$O$6))</f>
        <v/>
      </c>
    </row>
    <row r="238">
      <c r="A238">
        <f>Sheet1!K238</f>
        <v/>
      </c>
      <c r="B238">
        <f>IF(ISNA(Sheet1!I238),NA(),Sheet1!$O$5-(Sheet1!I238/Sheet1!$O$6))</f>
        <v/>
      </c>
    </row>
    <row r="239">
      <c r="A239">
        <f>Sheet1!K239</f>
        <v/>
      </c>
      <c r="B239">
        <f>IF(ISNA(Sheet1!I239),NA(),Sheet1!$O$5-(Sheet1!I239/Sheet1!$O$6))</f>
        <v/>
      </c>
    </row>
    <row r="240">
      <c r="A240">
        <f>Sheet1!K240</f>
        <v/>
      </c>
      <c r="B240">
        <f>IF(ISNA(Sheet1!I240),NA(),Sheet1!$O$5-(Sheet1!I240/Sheet1!$O$6))</f>
        <v/>
      </c>
    </row>
    <row r="241">
      <c r="A241">
        <f>Sheet1!K241</f>
        <v/>
      </c>
      <c r="B241">
        <f>IF(ISNA(Sheet1!I241),NA(),Sheet1!$O$5-(Sheet1!I241/Sheet1!$O$6))</f>
        <v/>
      </c>
    </row>
    <row r="242">
      <c r="A242">
        <f>Sheet1!K242</f>
        <v/>
      </c>
      <c r="B242">
        <f>IF(ISNA(Sheet1!I242),NA(),Sheet1!$O$5-(Sheet1!I242/Sheet1!$O$6))</f>
        <v/>
      </c>
    </row>
    <row r="243">
      <c r="A243">
        <f>Sheet1!K243</f>
        <v/>
      </c>
      <c r="B243">
        <f>IF(ISNA(Sheet1!I243),NA(),Sheet1!$O$5-(Sheet1!I243/Sheet1!$O$6))</f>
        <v/>
      </c>
    </row>
    <row r="244">
      <c r="A244">
        <f>Sheet1!K244</f>
        <v/>
      </c>
      <c r="B244">
        <f>IF(ISNA(Sheet1!I244),NA(),Sheet1!$O$5-(Sheet1!I244/Sheet1!$O$6))</f>
        <v/>
      </c>
    </row>
    <row r="245">
      <c r="A245">
        <f>Sheet1!K245</f>
        <v/>
      </c>
      <c r="B245">
        <f>IF(ISNA(Sheet1!I245),NA(),Sheet1!$O$5-(Sheet1!I245/Sheet1!$O$6))</f>
        <v/>
      </c>
    </row>
    <row r="246">
      <c r="A246">
        <f>Sheet1!K246</f>
        <v/>
      </c>
      <c r="B246">
        <f>IF(ISNA(Sheet1!I246),NA(),Sheet1!$O$5-(Sheet1!I246/Sheet1!$O$6))</f>
        <v/>
      </c>
    </row>
    <row r="247">
      <c r="A247">
        <f>Sheet1!K247</f>
        <v/>
      </c>
      <c r="B247">
        <f>IF(ISNA(Sheet1!I247),NA(),Sheet1!$O$5-(Sheet1!I247/Sheet1!$O$6))</f>
        <v/>
      </c>
    </row>
    <row r="248">
      <c r="A248">
        <f>Sheet1!K248</f>
        <v/>
      </c>
      <c r="B248">
        <f>IF(ISNA(Sheet1!I248),NA(),Sheet1!$O$5-(Sheet1!I248/Sheet1!$O$6))</f>
        <v/>
      </c>
    </row>
    <row r="249">
      <c r="A249">
        <f>Sheet1!K249</f>
        <v/>
      </c>
      <c r="B249">
        <f>IF(ISNA(Sheet1!I249),NA(),Sheet1!$O$5-(Sheet1!I249/Sheet1!$O$6))</f>
        <v/>
      </c>
    </row>
    <row r="250">
      <c r="A250">
        <f>Sheet1!K250</f>
        <v/>
      </c>
      <c r="B250">
        <f>IF(ISNA(Sheet1!I250),NA(),Sheet1!$O$5-(Sheet1!I250/Sheet1!$O$6))</f>
        <v/>
      </c>
    </row>
    <row r="251">
      <c r="A251">
        <f>Sheet1!K251</f>
        <v/>
      </c>
      <c r="B251">
        <f>IF(ISNA(Sheet1!I251),NA(),Sheet1!$O$5-(Sheet1!I251/Sheet1!$O$6))</f>
        <v/>
      </c>
    </row>
    <row r="252">
      <c r="A252">
        <f>Sheet1!K252</f>
        <v/>
      </c>
      <c r="B252">
        <f>IF(ISNA(Sheet1!I252),NA(),Sheet1!$O$5-(Sheet1!I252/Sheet1!$O$6))</f>
        <v/>
      </c>
    </row>
    <row r="253">
      <c r="A253">
        <f>Sheet1!K253</f>
        <v/>
      </c>
      <c r="B253">
        <f>IF(ISNA(Sheet1!I253),NA(),Sheet1!$O$5-(Sheet1!I253/Sheet1!$O$6))</f>
        <v/>
      </c>
    </row>
    <row r="254">
      <c r="A254">
        <f>Sheet1!K254</f>
        <v/>
      </c>
      <c r="B254">
        <f>IF(ISNA(Sheet1!I254),NA(),Sheet1!$O$5-(Sheet1!I254/Sheet1!$O$6))</f>
        <v/>
      </c>
    </row>
    <row r="255">
      <c r="A255">
        <f>Sheet1!K255</f>
        <v/>
      </c>
      <c r="B255">
        <f>IF(ISNA(Sheet1!I255),NA(),Sheet1!$O$5-(Sheet1!I255/Sheet1!$O$6))</f>
        <v/>
      </c>
    </row>
    <row r="256">
      <c r="A256">
        <f>Sheet1!K256</f>
        <v/>
      </c>
      <c r="B256">
        <f>IF(ISNA(Sheet1!I256),NA(),Sheet1!$O$5-(Sheet1!I256/Sheet1!$O$6))</f>
        <v/>
      </c>
    </row>
    <row r="257">
      <c r="A257">
        <f>Sheet1!K257</f>
        <v/>
      </c>
      <c r="B257">
        <f>IF(ISNA(Sheet1!I257),NA(),Sheet1!$O$5-(Sheet1!I257/Sheet1!$O$6))</f>
        <v/>
      </c>
    </row>
    <row r="258">
      <c r="A258">
        <f>Sheet1!K258</f>
        <v/>
      </c>
      <c r="B258">
        <f>IF(ISNA(Sheet1!I258),NA(),Sheet1!$O$5-(Sheet1!I258/Sheet1!$O$6))</f>
        <v/>
      </c>
    </row>
    <row r="259">
      <c r="A259">
        <f>Sheet1!K259</f>
        <v/>
      </c>
      <c r="B259">
        <f>IF(ISNA(Sheet1!I259),NA(),Sheet1!$O$5-(Sheet1!I259/Sheet1!$O$6))</f>
        <v/>
      </c>
    </row>
    <row r="260">
      <c r="A260">
        <f>Sheet1!K260</f>
        <v/>
      </c>
      <c r="B260">
        <f>IF(ISNA(Sheet1!I260),NA(),Sheet1!$O$5-(Sheet1!I260/Sheet1!$O$6))</f>
        <v/>
      </c>
    </row>
    <row r="261">
      <c r="A261">
        <f>Sheet1!K261</f>
        <v/>
      </c>
      <c r="B261">
        <f>IF(ISNA(Sheet1!I261),NA(),Sheet1!$O$5-(Sheet1!I261/Sheet1!$O$6))</f>
        <v/>
      </c>
    </row>
    <row r="262">
      <c r="A262">
        <f>Sheet1!K262</f>
        <v/>
      </c>
      <c r="B262">
        <f>IF(ISNA(Sheet1!I262),NA(),Sheet1!$O$5-(Sheet1!I262/Sheet1!$O$6))</f>
        <v/>
      </c>
    </row>
    <row r="263">
      <c r="A263">
        <f>Sheet1!K263</f>
        <v/>
      </c>
      <c r="B263">
        <f>IF(ISNA(Sheet1!I263),NA(),Sheet1!$O$5-(Sheet1!I263/Sheet1!$O$6))</f>
        <v/>
      </c>
    </row>
    <row r="264">
      <c r="A264">
        <f>Sheet1!K264</f>
        <v/>
      </c>
      <c r="B264">
        <f>IF(ISNA(Sheet1!I264),NA(),Sheet1!$O$5-(Sheet1!I264/Sheet1!$O$6))</f>
        <v/>
      </c>
    </row>
    <row r="265">
      <c r="A265">
        <f>Sheet1!K265</f>
        <v/>
      </c>
      <c r="B265">
        <f>IF(ISNA(Sheet1!I265),NA(),Sheet1!$O$5-(Sheet1!I265/Sheet1!$O$6))</f>
        <v/>
      </c>
    </row>
    <row r="266">
      <c r="A266">
        <f>Sheet1!K266</f>
        <v/>
      </c>
      <c r="B266">
        <f>IF(ISNA(Sheet1!I266),NA(),Sheet1!$O$5-(Sheet1!I266/Sheet1!$O$6))</f>
        <v/>
      </c>
    </row>
    <row r="267">
      <c r="A267">
        <f>Sheet1!K267</f>
        <v/>
      </c>
      <c r="B267">
        <f>IF(ISNA(Sheet1!I267),NA(),Sheet1!$O$5-(Sheet1!I267/Sheet1!$O$6))</f>
        <v/>
      </c>
    </row>
    <row r="268">
      <c r="A268">
        <f>Sheet1!K268</f>
        <v/>
      </c>
      <c r="B268">
        <f>IF(ISNA(Sheet1!I268),NA(),Sheet1!$O$5-(Sheet1!I268/Sheet1!$O$6))</f>
        <v/>
      </c>
    </row>
    <row r="269">
      <c r="A269">
        <f>Sheet1!K269</f>
        <v/>
      </c>
      <c r="B269">
        <f>IF(ISNA(Sheet1!I269),NA(),Sheet1!$O$5-(Sheet1!I269/Sheet1!$O$6))</f>
        <v/>
      </c>
    </row>
    <row r="270">
      <c r="A270">
        <f>Sheet1!K270</f>
        <v/>
      </c>
      <c r="B270">
        <f>IF(ISNA(Sheet1!I270),NA(),Sheet1!$O$5-(Sheet1!I270/Sheet1!$O$6))</f>
        <v/>
      </c>
    </row>
    <row r="271">
      <c r="A271">
        <f>Sheet1!K271</f>
        <v/>
      </c>
      <c r="B271">
        <f>IF(ISNA(Sheet1!I271),NA(),Sheet1!$O$5-(Sheet1!I271/Sheet1!$O$6))</f>
        <v/>
      </c>
    </row>
    <row r="272">
      <c r="A272">
        <f>Sheet1!K272</f>
        <v/>
      </c>
      <c r="B272">
        <f>IF(ISNA(Sheet1!I272),NA(),Sheet1!$O$5-(Sheet1!I272/Sheet1!$O$6))</f>
        <v/>
      </c>
    </row>
    <row r="273">
      <c r="A273">
        <f>Sheet1!K273</f>
        <v/>
      </c>
      <c r="B273">
        <f>IF(ISNA(Sheet1!I273),NA(),Sheet1!$O$5-(Sheet1!I273/Sheet1!$O$6))</f>
        <v/>
      </c>
    </row>
    <row r="274">
      <c r="A274">
        <f>Sheet1!K274</f>
        <v/>
      </c>
      <c r="B274">
        <f>IF(ISNA(Sheet1!I274),NA(),Sheet1!$O$5-(Sheet1!I274/Sheet1!$O$6))</f>
        <v/>
      </c>
    </row>
    <row r="275">
      <c r="A275">
        <f>Sheet1!K275</f>
        <v/>
      </c>
      <c r="B275">
        <f>IF(ISNA(Sheet1!I275),NA(),Sheet1!$O$5-(Sheet1!I275/Sheet1!$O$6))</f>
        <v/>
      </c>
    </row>
    <row r="276">
      <c r="A276">
        <f>Sheet1!K276</f>
        <v/>
      </c>
      <c r="B276">
        <f>IF(ISNA(Sheet1!I276),NA(),Sheet1!$O$5-(Sheet1!I276/Sheet1!$O$6))</f>
        <v/>
      </c>
    </row>
    <row r="277">
      <c r="A277">
        <f>Sheet1!K277</f>
        <v/>
      </c>
      <c r="B277">
        <f>IF(ISNA(Sheet1!I277),NA(),Sheet1!$O$5-(Sheet1!I277/Sheet1!$O$6))</f>
        <v/>
      </c>
    </row>
    <row r="278">
      <c r="A278">
        <f>Sheet1!K278</f>
        <v/>
      </c>
      <c r="B278">
        <f>IF(ISNA(Sheet1!I278),NA(),Sheet1!$O$5-(Sheet1!I278/Sheet1!$O$6))</f>
        <v/>
      </c>
    </row>
    <row r="279">
      <c r="A279">
        <f>Sheet1!K279</f>
        <v/>
      </c>
      <c r="B279">
        <f>IF(ISNA(Sheet1!I279),NA(),Sheet1!$O$5-(Sheet1!I279/Sheet1!$O$6))</f>
        <v/>
      </c>
    </row>
    <row r="280">
      <c r="A280">
        <f>Sheet1!K280</f>
        <v/>
      </c>
      <c r="B280">
        <f>IF(ISNA(Sheet1!I280),NA(),Sheet1!$O$5-(Sheet1!I280/Sheet1!$O$6))</f>
        <v/>
      </c>
    </row>
    <row r="281">
      <c r="A281">
        <f>Sheet1!K281</f>
        <v/>
      </c>
      <c r="B281">
        <f>IF(ISNA(Sheet1!I281),NA(),Sheet1!$O$5-(Sheet1!I281/Sheet1!$O$6))</f>
        <v/>
      </c>
    </row>
    <row r="282">
      <c r="A282">
        <f>Sheet1!K282</f>
        <v/>
      </c>
      <c r="B282">
        <f>IF(ISNA(Sheet1!I282),NA(),Sheet1!$O$5-(Sheet1!I282/Sheet1!$O$6))</f>
        <v/>
      </c>
    </row>
    <row r="283">
      <c r="A283">
        <f>Sheet1!K283</f>
        <v/>
      </c>
      <c r="B283">
        <f>IF(ISNA(Sheet1!I283),NA(),Sheet1!$O$5-(Sheet1!I283/Sheet1!$O$6))</f>
        <v/>
      </c>
    </row>
    <row r="284">
      <c r="A284">
        <f>Sheet1!K284</f>
        <v/>
      </c>
      <c r="B284">
        <f>IF(ISNA(Sheet1!I284),NA(),Sheet1!$O$5-(Sheet1!I284/Sheet1!$O$6))</f>
        <v/>
      </c>
    </row>
    <row r="285">
      <c r="A285">
        <f>Sheet1!K285</f>
        <v/>
      </c>
      <c r="B285">
        <f>IF(ISNA(Sheet1!I285),NA(),Sheet1!$O$5-(Sheet1!I285/Sheet1!$O$6))</f>
        <v/>
      </c>
    </row>
    <row r="286">
      <c r="A286">
        <f>Sheet1!K286</f>
        <v/>
      </c>
      <c r="B286">
        <f>IF(ISNA(Sheet1!I286),NA(),Sheet1!$O$5-(Sheet1!I286/Sheet1!$O$6))</f>
        <v/>
      </c>
    </row>
    <row r="287">
      <c r="A287">
        <f>Sheet1!K287</f>
        <v/>
      </c>
      <c r="B287">
        <f>IF(ISNA(Sheet1!I287),NA(),Sheet1!$O$5-(Sheet1!I287/Sheet1!$O$6))</f>
        <v/>
      </c>
    </row>
    <row r="288">
      <c r="A288">
        <f>Sheet1!K288</f>
        <v/>
      </c>
      <c r="B288">
        <f>IF(ISNA(Sheet1!I288),NA(),Sheet1!$O$5-(Sheet1!I288/Sheet1!$O$6))</f>
        <v/>
      </c>
    </row>
    <row r="289">
      <c r="A289">
        <f>Sheet1!K289</f>
        <v/>
      </c>
      <c r="B289">
        <f>IF(ISNA(Sheet1!I289),NA(),Sheet1!$O$5-(Sheet1!I289/Sheet1!$O$6))</f>
        <v/>
      </c>
    </row>
    <row r="290">
      <c r="A290">
        <f>Sheet1!K290</f>
        <v/>
      </c>
      <c r="B290">
        <f>IF(ISNA(Sheet1!I290),NA(),Sheet1!$O$5-(Sheet1!I290/Sheet1!$O$6))</f>
        <v/>
      </c>
    </row>
    <row r="291">
      <c r="A291">
        <f>Sheet1!K291</f>
        <v/>
      </c>
      <c r="B291">
        <f>IF(ISNA(Sheet1!I291),NA(),Sheet1!$O$5-(Sheet1!I291/Sheet1!$O$6))</f>
        <v/>
      </c>
    </row>
    <row r="292">
      <c r="A292">
        <f>Sheet1!K292</f>
        <v/>
      </c>
      <c r="B292">
        <f>IF(ISNA(Sheet1!I292),NA(),Sheet1!$O$5-(Sheet1!I292/Sheet1!$O$6))</f>
        <v/>
      </c>
    </row>
    <row r="293">
      <c r="A293">
        <f>Sheet1!K293</f>
        <v/>
      </c>
      <c r="B293">
        <f>IF(ISNA(Sheet1!I293),NA(),Sheet1!$O$5-(Sheet1!I293/Sheet1!$O$6))</f>
        <v/>
      </c>
    </row>
    <row r="294">
      <c r="A294">
        <f>Sheet1!K294</f>
        <v/>
      </c>
      <c r="B294">
        <f>IF(ISNA(Sheet1!I294),NA(),Sheet1!$O$5-(Sheet1!I294/Sheet1!$O$6))</f>
        <v/>
      </c>
    </row>
    <row r="295">
      <c r="A295">
        <f>Sheet1!K295</f>
        <v/>
      </c>
      <c r="B295">
        <f>IF(ISNA(Sheet1!I295),NA(),Sheet1!$O$5-(Sheet1!I295/Sheet1!$O$6))</f>
        <v/>
      </c>
    </row>
    <row r="296">
      <c r="A296">
        <f>Sheet1!K296</f>
        <v/>
      </c>
      <c r="B296">
        <f>IF(ISNA(Sheet1!I296),NA(),Sheet1!$O$5-(Sheet1!I296/Sheet1!$O$6))</f>
        <v/>
      </c>
    </row>
    <row r="297">
      <c r="A297">
        <f>Sheet1!K297</f>
        <v/>
      </c>
      <c r="B297">
        <f>IF(ISNA(Sheet1!I297),NA(),Sheet1!$O$5-(Sheet1!I297/Sheet1!$O$6))</f>
        <v/>
      </c>
    </row>
    <row r="298">
      <c r="A298">
        <f>Sheet1!K298</f>
        <v/>
      </c>
      <c r="B298">
        <f>IF(ISNA(Sheet1!I298),NA(),Sheet1!$O$5-(Sheet1!I298/Sheet1!$O$6))</f>
        <v/>
      </c>
    </row>
    <row r="299">
      <c r="A299">
        <f>Sheet1!K299</f>
        <v/>
      </c>
      <c r="B299">
        <f>IF(ISNA(Sheet1!I299),NA(),Sheet1!$O$5-(Sheet1!I299/Sheet1!$O$6))</f>
        <v/>
      </c>
    </row>
    <row r="300">
      <c r="A300">
        <f>Sheet1!K300</f>
        <v/>
      </c>
      <c r="B300">
        <f>IF(ISNA(Sheet1!I300),NA(),Sheet1!$O$5-(Sheet1!I300/Sheet1!$O$6))</f>
        <v/>
      </c>
    </row>
    <row r="301">
      <c r="A301">
        <f>Sheet1!K301</f>
        <v/>
      </c>
      <c r="B301">
        <f>IF(ISNA(Sheet1!I301),NA(),Sheet1!$O$5-(Sheet1!I301/Sheet1!$O$6))</f>
        <v/>
      </c>
    </row>
    <row r="302">
      <c r="A302">
        <f>Sheet1!K302</f>
        <v/>
      </c>
      <c r="B302">
        <f>IF(ISNA(Sheet1!I302),NA(),Sheet1!$O$5-(Sheet1!I302/Sheet1!$O$6))</f>
        <v/>
      </c>
    </row>
    <row r="303">
      <c r="A303">
        <f>Sheet1!K303</f>
        <v/>
      </c>
      <c r="B303">
        <f>IF(ISNA(Sheet1!I303),NA(),Sheet1!$O$5-(Sheet1!I303/Sheet1!$O$6))</f>
        <v/>
      </c>
    </row>
    <row r="304">
      <c r="A304">
        <f>Sheet1!K304</f>
        <v/>
      </c>
      <c r="B304">
        <f>IF(ISNA(Sheet1!I304),NA(),Sheet1!$O$5-(Sheet1!I304/Sheet1!$O$6))</f>
        <v/>
      </c>
    </row>
    <row r="305">
      <c r="A305">
        <f>Sheet1!K305</f>
        <v/>
      </c>
      <c r="B305">
        <f>IF(ISNA(Sheet1!I305),NA(),Sheet1!$O$5-(Sheet1!I305/Sheet1!$O$6))</f>
        <v/>
      </c>
    </row>
    <row r="306">
      <c r="A306">
        <f>Sheet1!K306</f>
        <v/>
      </c>
      <c r="B306">
        <f>IF(ISNA(Sheet1!I306),NA(),Sheet1!$O$5-(Sheet1!I306/Sheet1!$O$6))</f>
        <v/>
      </c>
    </row>
    <row r="307">
      <c r="A307">
        <f>Sheet1!K307</f>
        <v/>
      </c>
      <c r="B307">
        <f>IF(ISNA(Sheet1!I307),NA(),Sheet1!$O$5-(Sheet1!I307/Sheet1!$O$6))</f>
        <v/>
      </c>
    </row>
    <row r="308">
      <c r="A308">
        <f>Sheet1!K308</f>
        <v/>
      </c>
      <c r="B308">
        <f>IF(ISNA(Sheet1!I308),NA(),Sheet1!$O$5-(Sheet1!I308/Sheet1!$O$6))</f>
        <v/>
      </c>
    </row>
    <row r="309">
      <c r="A309">
        <f>Sheet1!K309</f>
        <v/>
      </c>
      <c r="B309">
        <f>IF(ISNA(Sheet1!I309),NA(),Sheet1!$O$5-(Sheet1!I309/Sheet1!$O$6))</f>
        <v/>
      </c>
    </row>
    <row r="310">
      <c r="A310">
        <f>Sheet1!K310</f>
        <v/>
      </c>
      <c r="B310">
        <f>IF(ISNA(Sheet1!I310),NA(),Sheet1!$O$5-(Sheet1!I310/Sheet1!$O$6))</f>
        <v/>
      </c>
    </row>
    <row r="311">
      <c r="A311">
        <f>Sheet1!K311</f>
        <v/>
      </c>
      <c r="B311">
        <f>IF(ISNA(Sheet1!I311),NA(),Sheet1!$O$5-(Sheet1!I311/Sheet1!$O$6))</f>
        <v/>
      </c>
    </row>
    <row r="312">
      <c r="A312">
        <f>Sheet1!K312</f>
        <v/>
      </c>
      <c r="B312">
        <f>IF(ISNA(Sheet1!I312),NA(),Sheet1!$O$5-(Sheet1!I312/Sheet1!$O$6))</f>
        <v/>
      </c>
    </row>
    <row r="313">
      <c r="A313">
        <f>Sheet1!K313</f>
        <v/>
      </c>
      <c r="B313">
        <f>IF(ISNA(Sheet1!I313),NA(),Sheet1!$O$5-(Sheet1!I313/Sheet1!$O$6))</f>
        <v/>
      </c>
    </row>
    <row r="314">
      <c r="A314">
        <f>Sheet1!K314</f>
        <v/>
      </c>
      <c r="B314">
        <f>IF(ISNA(Sheet1!I314),NA(),Sheet1!$O$5-(Sheet1!I314/Sheet1!$O$6))</f>
        <v/>
      </c>
    </row>
    <row r="315">
      <c r="A315">
        <f>Sheet1!K315</f>
        <v/>
      </c>
      <c r="B315">
        <f>IF(ISNA(Sheet1!I315),NA(),Sheet1!$O$5-(Sheet1!I315/Sheet1!$O$6))</f>
        <v/>
      </c>
    </row>
    <row r="316">
      <c r="A316">
        <f>Sheet1!K316</f>
        <v/>
      </c>
      <c r="B316">
        <f>IF(ISNA(Sheet1!I316),NA(),Sheet1!$O$5-(Sheet1!I316/Sheet1!$O$6))</f>
        <v/>
      </c>
    </row>
    <row r="317">
      <c r="A317">
        <f>Sheet1!K317</f>
        <v/>
      </c>
      <c r="B317">
        <f>IF(ISNA(Sheet1!I317),NA(),Sheet1!$O$5-(Sheet1!I317/Sheet1!$O$6))</f>
        <v/>
      </c>
    </row>
    <row r="318">
      <c r="A318">
        <f>Sheet1!K318</f>
        <v/>
      </c>
      <c r="B318">
        <f>IF(ISNA(Sheet1!I318),NA(),Sheet1!$O$5-(Sheet1!I318/Sheet1!$O$6))</f>
        <v/>
      </c>
    </row>
    <row r="319">
      <c r="A319">
        <f>Sheet1!K319</f>
        <v/>
      </c>
      <c r="B319">
        <f>IF(ISNA(Sheet1!I319),NA(),Sheet1!$O$5-(Sheet1!I319/Sheet1!$O$6))</f>
        <v/>
      </c>
    </row>
    <row r="320">
      <c r="A320">
        <f>Sheet1!K320</f>
        <v/>
      </c>
      <c r="B320">
        <f>IF(ISNA(Sheet1!I320),NA(),Sheet1!$O$5-(Sheet1!I320/Sheet1!$O$6))</f>
        <v/>
      </c>
    </row>
    <row r="321">
      <c r="A321">
        <f>Sheet1!K321</f>
        <v/>
      </c>
      <c r="B321">
        <f>IF(ISNA(Sheet1!I321),NA(),Sheet1!$O$5-(Sheet1!I321/Sheet1!$O$6))</f>
        <v/>
      </c>
    </row>
    <row r="322">
      <c r="A322">
        <f>Sheet1!K322</f>
        <v/>
      </c>
      <c r="B322">
        <f>IF(ISNA(Sheet1!I322),NA(),Sheet1!$O$5-(Sheet1!I322/Sheet1!$O$6))</f>
        <v/>
      </c>
    </row>
    <row r="323">
      <c r="A323">
        <f>Sheet1!K323</f>
        <v/>
      </c>
      <c r="B323">
        <f>IF(ISNA(Sheet1!I323),NA(),Sheet1!$O$5-(Sheet1!I323/Sheet1!$O$6))</f>
        <v/>
      </c>
    </row>
    <row r="324">
      <c r="A324">
        <f>Sheet1!K324</f>
        <v/>
      </c>
      <c r="B324">
        <f>IF(ISNA(Sheet1!I324),NA(),Sheet1!$O$5-(Sheet1!I324/Sheet1!$O$6))</f>
        <v/>
      </c>
    </row>
    <row r="325">
      <c r="A325">
        <f>Sheet1!K325</f>
        <v/>
      </c>
      <c r="B325">
        <f>IF(ISNA(Sheet1!I325),NA(),Sheet1!$O$5-(Sheet1!I325/Sheet1!$O$6))</f>
        <v/>
      </c>
    </row>
    <row r="326">
      <c r="A326">
        <f>Sheet1!K326</f>
        <v/>
      </c>
      <c r="B326">
        <f>IF(ISNA(Sheet1!I326),NA(),Sheet1!$O$5-(Sheet1!I326/Sheet1!$O$6))</f>
        <v/>
      </c>
    </row>
    <row r="327">
      <c r="A327">
        <f>Sheet1!K327</f>
        <v/>
      </c>
      <c r="B327">
        <f>IF(ISNA(Sheet1!I327),NA(),Sheet1!$O$5-(Sheet1!I327/Sheet1!$O$6))</f>
        <v/>
      </c>
    </row>
    <row r="328">
      <c r="A328">
        <f>Sheet1!K328</f>
        <v/>
      </c>
      <c r="B328">
        <f>IF(ISNA(Sheet1!I328),NA(),Sheet1!$O$5-(Sheet1!I328/Sheet1!$O$6))</f>
        <v/>
      </c>
    </row>
    <row r="329">
      <c r="A329">
        <f>Sheet1!K329</f>
        <v/>
      </c>
      <c r="B329">
        <f>IF(ISNA(Sheet1!I329),NA(),Sheet1!$O$5-(Sheet1!I329/Sheet1!$O$6))</f>
        <v/>
      </c>
    </row>
    <row r="330">
      <c r="A330">
        <f>Sheet1!K330</f>
        <v/>
      </c>
      <c r="B330">
        <f>IF(ISNA(Sheet1!I330),NA(),Sheet1!$O$5-(Sheet1!I330/Sheet1!$O$6))</f>
        <v/>
      </c>
    </row>
    <row r="331">
      <c r="A331">
        <f>Sheet1!K331</f>
        <v/>
      </c>
      <c r="B331">
        <f>IF(ISNA(Sheet1!I331),NA(),Sheet1!$O$5-(Sheet1!I331/Sheet1!$O$6))</f>
        <v/>
      </c>
    </row>
    <row r="332">
      <c r="A332">
        <f>Sheet1!K332</f>
        <v/>
      </c>
      <c r="B332">
        <f>IF(ISNA(Sheet1!I332),NA(),Sheet1!$O$5-(Sheet1!I332/Sheet1!$O$6))</f>
        <v/>
      </c>
    </row>
    <row r="333">
      <c r="A333">
        <f>Sheet1!K333</f>
        <v/>
      </c>
      <c r="B333">
        <f>IF(ISNA(Sheet1!I333),NA(),Sheet1!$O$5-(Sheet1!I333/Sheet1!$O$6))</f>
        <v/>
      </c>
    </row>
    <row r="334">
      <c r="A334">
        <f>Sheet1!K334</f>
        <v/>
      </c>
      <c r="B334">
        <f>IF(ISNA(Sheet1!I334),NA(),Sheet1!$O$5-(Sheet1!I334/Sheet1!$O$6))</f>
        <v/>
      </c>
    </row>
    <row r="335">
      <c r="A335">
        <f>Sheet1!K335</f>
        <v/>
      </c>
      <c r="B335">
        <f>IF(ISNA(Sheet1!I335),NA(),Sheet1!$O$5-(Sheet1!I335/Sheet1!$O$6))</f>
        <v/>
      </c>
    </row>
    <row r="336">
      <c r="A336">
        <f>Sheet1!K336</f>
        <v/>
      </c>
      <c r="B336">
        <f>IF(ISNA(Sheet1!I336),NA(),Sheet1!$O$5-(Sheet1!I336/Sheet1!$O$6))</f>
        <v/>
      </c>
    </row>
    <row r="337">
      <c r="A337">
        <f>Sheet1!K337</f>
        <v/>
      </c>
      <c r="B337">
        <f>IF(ISNA(Sheet1!I337),NA(),Sheet1!$O$5-(Sheet1!I337/Sheet1!$O$6))</f>
        <v/>
      </c>
    </row>
    <row r="338">
      <c r="A338">
        <f>Sheet1!K338</f>
        <v/>
      </c>
      <c r="B338">
        <f>IF(ISNA(Sheet1!I338),NA(),Sheet1!$O$5-(Sheet1!I338/Sheet1!$O$6))</f>
        <v/>
      </c>
    </row>
    <row r="339">
      <c r="A339">
        <f>Sheet1!K339</f>
        <v/>
      </c>
      <c r="B339">
        <f>IF(ISNA(Sheet1!I339),NA(),Sheet1!$O$5-(Sheet1!I339/Sheet1!$O$6))</f>
        <v/>
      </c>
    </row>
    <row r="340">
      <c r="A340">
        <f>Sheet1!K340</f>
        <v/>
      </c>
      <c r="B340">
        <f>IF(ISNA(Sheet1!I340),NA(),Sheet1!$O$5-(Sheet1!I340/Sheet1!$O$6))</f>
        <v/>
      </c>
    </row>
    <row r="341">
      <c r="A341">
        <f>Sheet1!K341</f>
        <v/>
      </c>
      <c r="B341">
        <f>IF(ISNA(Sheet1!I341),NA(),Sheet1!$O$5-(Sheet1!I341/Sheet1!$O$6))</f>
        <v/>
      </c>
    </row>
    <row r="342">
      <c r="A342">
        <f>Sheet1!K342</f>
        <v/>
      </c>
      <c r="B342">
        <f>IF(ISNA(Sheet1!I342),NA(),Sheet1!$O$5-(Sheet1!I342/Sheet1!$O$6))</f>
        <v/>
      </c>
    </row>
    <row r="343">
      <c r="A343">
        <f>Sheet1!K343</f>
        <v/>
      </c>
      <c r="B343">
        <f>IF(ISNA(Sheet1!I343),NA(),Sheet1!$O$5-(Sheet1!I343/Sheet1!$O$6))</f>
        <v/>
      </c>
    </row>
    <row r="344">
      <c r="A344">
        <f>Sheet1!K344</f>
        <v/>
      </c>
      <c r="B344">
        <f>IF(ISNA(Sheet1!I344),NA(),Sheet1!$O$5-(Sheet1!I344/Sheet1!$O$6))</f>
        <v/>
      </c>
    </row>
    <row r="345">
      <c r="A345">
        <f>Sheet1!K345</f>
        <v/>
      </c>
      <c r="B345">
        <f>IF(ISNA(Sheet1!I345),NA(),Sheet1!$O$5-(Sheet1!I345/Sheet1!$O$6))</f>
        <v/>
      </c>
    </row>
    <row r="346">
      <c r="A346">
        <f>Sheet1!K346</f>
        <v/>
      </c>
      <c r="B346">
        <f>IF(ISNA(Sheet1!I346),NA(),Sheet1!$O$5-(Sheet1!I346/Sheet1!$O$6))</f>
        <v/>
      </c>
    </row>
    <row r="347">
      <c r="A347">
        <f>Sheet1!K347</f>
        <v/>
      </c>
      <c r="B347">
        <f>IF(ISNA(Sheet1!I347),NA(),Sheet1!$O$5-(Sheet1!I347/Sheet1!$O$6))</f>
        <v/>
      </c>
    </row>
    <row r="348">
      <c r="A348">
        <f>Sheet1!K348</f>
        <v/>
      </c>
      <c r="B348">
        <f>IF(ISNA(Sheet1!I348),NA(),Sheet1!$O$5-(Sheet1!I348/Sheet1!$O$6))</f>
        <v/>
      </c>
    </row>
    <row r="349">
      <c r="A349">
        <f>Sheet1!K349</f>
        <v/>
      </c>
      <c r="B349">
        <f>IF(ISNA(Sheet1!I349),NA(),Sheet1!$O$5-(Sheet1!I349/Sheet1!$O$6))</f>
        <v/>
      </c>
    </row>
    <row r="350">
      <c r="A350">
        <f>Sheet1!K350</f>
        <v/>
      </c>
      <c r="B350">
        <f>IF(ISNA(Sheet1!I350),NA(),Sheet1!$O$5-(Sheet1!I350/Sheet1!$O$6))</f>
        <v/>
      </c>
    </row>
    <row r="351">
      <c r="A351">
        <f>Sheet1!K351</f>
        <v/>
      </c>
      <c r="B351">
        <f>IF(ISNA(Sheet1!I351),NA(),Sheet1!$O$5-(Sheet1!I351/Sheet1!$O$6))</f>
        <v/>
      </c>
    </row>
    <row r="352">
      <c r="A352">
        <f>Sheet1!K352</f>
        <v/>
      </c>
      <c r="B352">
        <f>IF(ISNA(Sheet1!I352),NA(),Sheet1!$O$5-(Sheet1!I352/Sheet1!$O$6))</f>
        <v/>
      </c>
    </row>
    <row r="353">
      <c r="A353">
        <f>Sheet1!K353</f>
        <v/>
      </c>
      <c r="B353">
        <f>IF(ISNA(Sheet1!I353),NA(),Sheet1!$O$5-(Sheet1!I353/Sheet1!$O$6))</f>
        <v/>
      </c>
    </row>
    <row r="354">
      <c r="A354">
        <f>Sheet1!K354</f>
        <v/>
      </c>
      <c r="B354">
        <f>IF(ISNA(Sheet1!I354),NA(),Sheet1!$O$5-(Sheet1!I354/Sheet1!$O$6))</f>
        <v/>
      </c>
    </row>
    <row r="355">
      <c r="A355">
        <f>Sheet1!K355</f>
        <v/>
      </c>
      <c r="B355">
        <f>IF(ISNA(Sheet1!I355),NA(),Sheet1!$O$5-(Sheet1!I355/Sheet1!$O$6))</f>
        <v/>
      </c>
    </row>
    <row r="356">
      <c r="A356">
        <f>Sheet1!K356</f>
        <v/>
      </c>
      <c r="B356">
        <f>IF(ISNA(Sheet1!I356),NA(),Sheet1!$O$5-(Sheet1!I356/Sheet1!$O$6))</f>
        <v/>
      </c>
    </row>
    <row r="357">
      <c r="A357">
        <f>Sheet1!K357</f>
        <v/>
      </c>
      <c r="B357">
        <f>IF(ISNA(Sheet1!I357),NA(),Sheet1!$O$5-(Sheet1!I357/Sheet1!$O$6))</f>
        <v/>
      </c>
    </row>
    <row r="358">
      <c r="A358">
        <f>Sheet1!K358</f>
        <v/>
      </c>
      <c r="B358">
        <f>IF(ISNA(Sheet1!I358),NA(),Sheet1!$O$5-(Sheet1!I358/Sheet1!$O$6))</f>
        <v/>
      </c>
    </row>
    <row r="359">
      <c r="A359">
        <f>Sheet1!K359</f>
        <v/>
      </c>
      <c r="B359">
        <f>IF(ISNA(Sheet1!I359),NA(),Sheet1!$O$5-(Sheet1!I359/Sheet1!$O$6))</f>
        <v/>
      </c>
    </row>
    <row r="360">
      <c r="A360">
        <f>Sheet1!K360</f>
        <v/>
      </c>
      <c r="B360">
        <f>IF(ISNA(Sheet1!I360),NA(),Sheet1!$O$5-(Sheet1!I360/Sheet1!$O$6))</f>
        <v/>
      </c>
    </row>
    <row r="361">
      <c r="A361">
        <f>Sheet1!K361</f>
        <v/>
      </c>
      <c r="B361">
        <f>IF(ISNA(Sheet1!I361),NA(),Sheet1!$O$5-(Sheet1!I361/Sheet1!$O$6))</f>
        <v/>
      </c>
    </row>
    <row r="362">
      <c r="A362">
        <f>Sheet1!K362</f>
        <v/>
      </c>
      <c r="B362">
        <f>IF(ISNA(Sheet1!I362),NA(),Sheet1!$O$5-(Sheet1!I362/Sheet1!$O$6))</f>
        <v/>
      </c>
    </row>
    <row r="363">
      <c r="A363">
        <f>Sheet1!K363</f>
        <v/>
      </c>
      <c r="B363">
        <f>IF(ISNA(Sheet1!I363),NA(),Sheet1!$O$5-(Sheet1!I363/Sheet1!$O$6))</f>
        <v/>
      </c>
    </row>
    <row r="364">
      <c r="A364">
        <f>Sheet1!K364</f>
        <v/>
      </c>
      <c r="B364">
        <f>IF(ISNA(Sheet1!I364),NA(),Sheet1!$O$5-(Sheet1!I364/Sheet1!$O$6))</f>
        <v/>
      </c>
    </row>
    <row r="365">
      <c r="A365">
        <f>Sheet1!K365</f>
        <v/>
      </c>
      <c r="B365">
        <f>IF(ISNA(Sheet1!I365),NA(),Sheet1!$O$5-(Sheet1!I365/Sheet1!$O$6))</f>
        <v/>
      </c>
    </row>
    <row r="366">
      <c r="A366">
        <f>Sheet1!K366</f>
        <v/>
      </c>
      <c r="B366">
        <f>IF(ISNA(Sheet1!I366),NA(),Sheet1!$O$5-(Sheet1!I366/Sheet1!$O$6))</f>
        <v/>
      </c>
    </row>
    <row r="367">
      <c r="A367">
        <f>Sheet1!K367</f>
        <v/>
      </c>
      <c r="B367">
        <f>IF(ISNA(Sheet1!I367),NA(),Sheet1!$O$5-(Sheet1!I367/Sheet1!$O$6))</f>
        <v/>
      </c>
    </row>
    <row r="368">
      <c r="A368">
        <f>Sheet1!K368</f>
        <v/>
      </c>
      <c r="B368">
        <f>IF(ISNA(Sheet1!I368),NA(),Sheet1!$O$5-(Sheet1!I368/Sheet1!$O$6))</f>
        <v/>
      </c>
    </row>
    <row r="369">
      <c r="A369">
        <f>Sheet1!K369</f>
        <v/>
      </c>
      <c r="B369">
        <f>IF(ISNA(Sheet1!I369),NA(),Sheet1!$O$5-(Sheet1!I369/Sheet1!$O$6))</f>
        <v/>
      </c>
    </row>
    <row r="370">
      <c r="A370">
        <f>Sheet1!K370</f>
        <v/>
      </c>
      <c r="B370">
        <f>IF(ISNA(Sheet1!I370),NA(),Sheet1!$O$5-(Sheet1!I370/Sheet1!$O$6))</f>
        <v/>
      </c>
    </row>
    <row r="371">
      <c r="A371">
        <f>Sheet1!K371</f>
        <v/>
      </c>
      <c r="B371">
        <f>IF(ISNA(Sheet1!I371),NA(),Sheet1!$O$5-(Sheet1!I371/Sheet1!$O$6))</f>
        <v/>
      </c>
    </row>
    <row r="372">
      <c r="A372">
        <f>Sheet1!K372</f>
        <v/>
      </c>
      <c r="B372">
        <f>IF(ISNA(Sheet1!I372),NA(),Sheet1!$O$5-(Sheet1!I372/Sheet1!$O$6))</f>
        <v/>
      </c>
    </row>
    <row r="373">
      <c r="A373">
        <f>Sheet1!K373</f>
        <v/>
      </c>
      <c r="B373">
        <f>IF(ISNA(Sheet1!I373),NA(),Sheet1!$O$5-(Sheet1!I373/Sheet1!$O$6))</f>
        <v/>
      </c>
    </row>
    <row r="374">
      <c r="A374">
        <f>Sheet1!K374</f>
        <v/>
      </c>
      <c r="B374">
        <f>IF(ISNA(Sheet1!I374),NA(),Sheet1!$O$5-(Sheet1!I374/Sheet1!$O$6))</f>
        <v/>
      </c>
    </row>
    <row r="375">
      <c r="A375">
        <f>Sheet1!K375</f>
        <v/>
      </c>
      <c r="B375">
        <f>IF(ISNA(Sheet1!I375),NA(),Sheet1!$O$5-(Sheet1!I375/Sheet1!$O$6))</f>
        <v/>
      </c>
    </row>
    <row r="376">
      <c r="A376">
        <f>Sheet1!K376</f>
        <v/>
      </c>
      <c r="B376">
        <f>IF(ISNA(Sheet1!I376),NA(),Sheet1!$O$5-(Sheet1!I376/Sheet1!$O$6))</f>
        <v/>
      </c>
    </row>
    <row r="377">
      <c r="A377">
        <f>Sheet1!K377</f>
        <v/>
      </c>
      <c r="B377">
        <f>IF(ISNA(Sheet1!I377),NA(),Sheet1!$O$5-(Sheet1!I377/Sheet1!$O$6))</f>
        <v/>
      </c>
    </row>
    <row r="378">
      <c r="A378">
        <f>Sheet1!K378</f>
        <v/>
      </c>
      <c r="B378">
        <f>IF(ISNA(Sheet1!I378),NA(),Sheet1!$O$5-(Sheet1!I378/Sheet1!$O$6))</f>
        <v/>
      </c>
    </row>
    <row r="379">
      <c r="A379">
        <f>Sheet1!K379</f>
        <v/>
      </c>
      <c r="B379">
        <f>IF(ISNA(Sheet1!I379),NA(),Sheet1!$O$5-(Sheet1!I379/Sheet1!$O$6))</f>
        <v/>
      </c>
    </row>
    <row r="380">
      <c r="A380">
        <f>Sheet1!K380</f>
        <v/>
      </c>
      <c r="B380">
        <f>IF(ISNA(Sheet1!I380),NA(),Sheet1!$O$5-(Sheet1!I380/Sheet1!$O$6))</f>
        <v/>
      </c>
    </row>
    <row r="381">
      <c r="A381">
        <f>Sheet1!K381</f>
        <v/>
      </c>
      <c r="B381">
        <f>IF(ISNA(Sheet1!I381),NA(),Sheet1!$O$5-(Sheet1!I381/Sheet1!$O$6))</f>
        <v/>
      </c>
    </row>
    <row r="382">
      <c r="A382">
        <f>Sheet1!K382</f>
        <v/>
      </c>
      <c r="B382">
        <f>IF(ISNA(Sheet1!I382),NA(),Sheet1!$O$5-(Sheet1!I382/Sheet1!$O$6))</f>
        <v/>
      </c>
    </row>
    <row r="383">
      <c r="A383">
        <f>Sheet1!K383</f>
        <v/>
      </c>
      <c r="B383">
        <f>IF(ISNA(Sheet1!I383),NA(),Sheet1!$O$5-(Sheet1!I383/Sheet1!$O$6))</f>
        <v/>
      </c>
    </row>
    <row r="384">
      <c r="A384">
        <f>Sheet1!K384</f>
        <v/>
      </c>
      <c r="B384">
        <f>IF(ISNA(Sheet1!I384),NA(),Sheet1!$O$5-(Sheet1!I384/Sheet1!$O$6))</f>
        <v/>
      </c>
    </row>
    <row r="385">
      <c r="A385">
        <f>Sheet1!K385</f>
        <v/>
      </c>
      <c r="B385">
        <f>IF(ISNA(Sheet1!I385),NA(),Sheet1!$O$5-(Sheet1!I385/Sheet1!$O$6))</f>
        <v/>
      </c>
    </row>
    <row r="386">
      <c r="A386">
        <f>Sheet1!K386</f>
        <v/>
      </c>
      <c r="B386">
        <f>IF(ISNA(Sheet1!I386),NA(),Sheet1!$O$5-(Sheet1!I386/Sheet1!$O$6))</f>
        <v/>
      </c>
    </row>
    <row r="387">
      <c r="A387">
        <f>Sheet1!K387</f>
        <v/>
      </c>
      <c r="B387">
        <f>IF(ISNA(Sheet1!I387),NA(),Sheet1!$O$5-(Sheet1!I387/Sheet1!$O$6))</f>
        <v/>
      </c>
    </row>
    <row r="388">
      <c r="A388">
        <f>Sheet1!K388</f>
        <v/>
      </c>
      <c r="B388">
        <f>IF(ISNA(Sheet1!I388),NA(),Sheet1!$O$5-(Sheet1!I388/Sheet1!$O$6))</f>
        <v/>
      </c>
    </row>
    <row r="389">
      <c r="A389">
        <f>Sheet1!K389</f>
        <v/>
      </c>
      <c r="B389">
        <f>IF(ISNA(Sheet1!I389),NA(),Sheet1!$O$5-(Sheet1!I389/Sheet1!$O$6))</f>
        <v/>
      </c>
    </row>
    <row r="390">
      <c r="A390">
        <f>Sheet1!K390</f>
        <v/>
      </c>
      <c r="B390">
        <f>IF(ISNA(Sheet1!I390),NA(),Sheet1!$O$5-(Sheet1!I390/Sheet1!$O$6))</f>
        <v/>
      </c>
    </row>
    <row r="391">
      <c r="A391">
        <f>Sheet1!K391</f>
        <v/>
      </c>
      <c r="B391">
        <f>IF(ISNA(Sheet1!I391),NA(),Sheet1!$O$5-(Sheet1!I391/Sheet1!$O$6))</f>
        <v/>
      </c>
    </row>
    <row r="392">
      <c r="A392">
        <f>Sheet1!K392</f>
        <v/>
      </c>
      <c r="B392">
        <f>IF(ISNA(Sheet1!I392),NA(),Sheet1!$O$5-(Sheet1!I392/Sheet1!$O$6))</f>
        <v/>
      </c>
    </row>
    <row r="393">
      <c r="A393">
        <f>Sheet1!K393</f>
        <v/>
      </c>
      <c r="B393">
        <f>IF(ISNA(Sheet1!I393),NA(),Sheet1!$O$5-(Sheet1!I393/Sheet1!$O$6))</f>
        <v/>
      </c>
    </row>
    <row r="394">
      <c r="A394">
        <f>Sheet1!K394</f>
        <v/>
      </c>
      <c r="B394">
        <f>IF(ISNA(Sheet1!I394),NA(),Sheet1!$O$5-(Sheet1!I394/Sheet1!$O$6))</f>
        <v/>
      </c>
    </row>
    <row r="395">
      <c r="A395">
        <f>Sheet1!K395</f>
        <v/>
      </c>
      <c r="B395">
        <f>IF(ISNA(Sheet1!I395),NA(),Sheet1!$O$5-(Sheet1!I395/Sheet1!$O$6))</f>
        <v/>
      </c>
    </row>
    <row r="396">
      <c r="A396">
        <f>Sheet1!K396</f>
        <v/>
      </c>
      <c r="B396">
        <f>IF(ISNA(Sheet1!I396),NA(),Sheet1!$O$5-(Sheet1!I396/Sheet1!$O$6))</f>
        <v/>
      </c>
    </row>
    <row r="397">
      <c r="A397">
        <f>Sheet1!K397</f>
        <v/>
      </c>
      <c r="B397">
        <f>IF(ISNA(Sheet1!I397),NA(),Sheet1!$O$5-(Sheet1!I397/Sheet1!$O$6))</f>
        <v/>
      </c>
    </row>
    <row r="398">
      <c r="A398">
        <f>Sheet1!K398</f>
        <v/>
      </c>
      <c r="B398">
        <f>IF(ISNA(Sheet1!I398),NA(),Sheet1!$O$5-(Sheet1!I398/Sheet1!$O$6))</f>
        <v/>
      </c>
    </row>
    <row r="399">
      <c r="A399">
        <f>Sheet1!K399</f>
        <v/>
      </c>
      <c r="B399">
        <f>IF(ISNA(Sheet1!I399),NA(),Sheet1!$O$5-(Sheet1!I399/Sheet1!$O$6))</f>
        <v/>
      </c>
    </row>
    <row r="400">
      <c r="A400">
        <f>Sheet1!K400</f>
        <v/>
      </c>
      <c r="B400">
        <f>IF(ISNA(Sheet1!I400),NA(),Sheet1!$O$5-(Sheet1!I400/Sheet1!$O$6))</f>
        <v/>
      </c>
    </row>
    <row r="401">
      <c r="A401">
        <f>Sheet1!K401</f>
        <v/>
      </c>
      <c r="B401">
        <f>IF(ISNA(Sheet1!I401),NA(),Sheet1!$O$5-(Sheet1!I401/Sheet1!$O$6))</f>
        <v/>
      </c>
    </row>
    <row r="402">
      <c r="A402">
        <f>Sheet1!K402</f>
        <v/>
      </c>
      <c r="B402">
        <f>IF(ISNA(Sheet1!I402),NA(),Sheet1!$O$5-(Sheet1!I402/Sheet1!$O$6))</f>
        <v/>
      </c>
    </row>
    <row r="403">
      <c r="A403">
        <f>Sheet1!K403</f>
        <v/>
      </c>
      <c r="B403">
        <f>IF(ISNA(Sheet1!I403),NA(),Sheet1!$O$5-(Sheet1!I403/Sheet1!$O$6))</f>
        <v/>
      </c>
    </row>
    <row r="404">
      <c r="A404">
        <f>Sheet1!K404</f>
        <v/>
      </c>
      <c r="B404">
        <f>IF(ISNA(Sheet1!I404),NA(),Sheet1!$O$5-(Sheet1!I404/Sheet1!$O$6))</f>
        <v/>
      </c>
    </row>
    <row r="405">
      <c r="A405">
        <f>Sheet1!K405</f>
        <v/>
      </c>
      <c r="B405">
        <f>IF(ISNA(Sheet1!I405),NA(),Sheet1!$O$5-(Sheet1!I405/Sheet1!$O$6))</f>
        <v/>
      </c>
    </row>
    <row r="406">
      <c r="A406">
        <f>Sheet1!K406</f>
        <v/>
      </c>
      <c r="B406">
        <f>IF(ISNA(Sheet1!I406),NA(),Sheet1!$O$5-(Sheet1!I406/Sheet1!$O$6))</f>
        <v/>
      </c>
    </row>
    <row r="407">
      <c r="A407">
        <f>Sheet1!K407</f>
        <v/>
      </c>
      <c r="B407">
        <f>IF(ISNA(Sheet1!I407),NA(),Sheet1!$O$5-(Sheet1!I407/Sheet1!$O$6))</f>
        <v/>
      </c>
    </row>
    <row r="408">
      <c r="A408">
        <f>Sheet1!K408</f>
        <v/>
      </c>
      <c r="B408">
        <f>IF(ISNA(Sheet1!I408),NA(),Sheet1!$O$5-(Sheet1!I408/Sheet1!$O$6))</f>
        <v/>
      </c>
    </row>
    <row r="409">
      <c r="A409">
        <f>Sheet1!K409</f>
        <v/>
      </c>
      <c r="B409">
        <f>IF(ISNA(Sheet1!I409),NA(),Sheet1!$O$5-(Sheet1!I409/Sheet1!$O$6))</f>
        <v/>
      </c>
    </row>
    <row r="410">
      <c r="A410">
        <f>Sheet1!K410</f>
        <v/>
      </c>
      <c r="B410">
        <f>IF(ISNA(Sheet1!I410),NA(),Sheet1!$O$5-(Sheet1!I410/Sheet1!$O$6))</f>
        <v/>
      </c>
    </row>
    <row r="411">
      <c r="A411">
        <f>Sheet1!K411</f>
        <v/>
      </c>
      <c r="B411">
        <f>IF(ISNA(Sheet1!I411),NA(),Sheet1!$O$5-(Sheet1!I411/Sheet1!$O$6))</f>
        <v/>
      </c>
    </row>
    <row r="412">
      <c r="A412">
        <f>Sheet1!K412</f>
        <v/>
      </c>
      <c r="B412">
        <f>IF(ISNA(Sheet1!I412),NA(),Sheet1!$O$5-(Sheet1!I412/Sheet1!$O$6))</f>
        <v/>
      </c>
    </row>
    <row r="413">
      <c r="A413">
        <f>Sheet1!K413</f>
        <v/>
      </c>
      <c r="B413">
        <f>IF(ISNA(Sheet1!I413),NA(),Sheet1!$O$5-(Sheet1!I413/Sheet1!$O$6))</f>
        <v/>
      </c>
    </row>
    <row r="414">
      <c r="A414">
        <f>Sheet1!K414</f>
        <v/>
      </c>
      <c r="B414">
        <f>IF(ISNA(Sheet1!I414),NA(),Sheet1!$O$5-(Sheet1!I414/Sheet1!$O$6))</f>
        <v/>
      </c>
    </row>
    <row r="415">
      <c r="A415">
        <f>Sheet1!K415</f>
        <v/>
      </c>
      <c r="B415">
        <f>IF(ISNA(Sheet1!I415),NA(),Sheet1!$O$5-(Sheet1!I415/Sheet1!$O$6))</f>
        <v/>
      </c>
    </row>
    <row r="416">
      <c r="A416">
        <f>Sheet1!K416</f>
        <v/>
      </c>
      <c r="B416">
        <f>IF(ISNA(Sheet1!I416),NA(),Sheet1!$O$5-(Sheet1!I416/Sheet1!$O$6))</f>
        <v/>
      </c>
    </row>
    <row r="417">
      <c r="A417">
        <f>Sheet1!K417</f>
        <v/>
      </c>
      <c r="B417">
        <f>IF(ISNA(Sheet1!I417),NA(),Sheet1!$O$5-(Sheet1!I417/Sheet1!$O$6))</f>
        <v/>
      </c>
    </row>
    <row r="418">
      <c r="A418">
        <f>Sheet1!K418</f>
        <v/>
      </c>
      <c r="B418">
        <f>IF(ISNA(Sheet1!I418),NA(),Sheet1!$O$5-(Sheet1!I418/Sheet1!$O$6))</f>
        <v/>
      </c>
    </row>
    <row r="419">
      <c r="A419">
        <f>Sheet1!K419</f>
        <v/>
      </c>
      <c r="B419">
        <f>IF(ISNA(Sheet1!I419),NA(),Sheet1!$O$5-(Sheet1!I419/Sheet1!$O$6))</f>
        <v/>
      </c>
    </row>
    <row r="420">
      <c r="A420">
        <f>Sheet1!K420</f>
        <v/>
      </c>
      <c r="B420">
        <f>IF(ISNA(Sheet1!I420),NA(),Sheet1!$O$5-(Sheet1!I420/Sheet1!$O$6))</f>
        <v/>
      </c>
    </row>
    <row r="421">
      <c r="A421">
        <f>Sheet1!K421</f>
        <v/>
      </c>
      <c r="B421">
        <f>IF(ISNA(Sheet1!I421),NA(),Sheet1!$O$5-(Sheet1!I421/Sheet1!$O$6))</f>
        <v/>
      </c>
    </row>
    <row r="422">
      <c r="A422">
        <f>Sheet1!K422</f>
        <v/>
      </c>
      <c r="B422">
        <f>IF(ISNA(Sheet1!I422),NA(),Sheet1!$O$5-(Sheet1!I422/Sheet1!$O$6))</f>
        <v/>
      </c>
    </row>
    <row r="423">
      <c r="A423">
        <f>Sheet1!K423</f>
        <v/>
      </c>
      <c r="B423">
        <f>IF(ISNA(Sheet1!I423),NA(),Sheet1!$O$5-(Sheet1!I423/Sheet1!$O$6))</f>
        <v/>
      </c>
    </row>
    <row r="424">
      <c r="A424">
        <f>Sheet1!K424</f>
        <v/>
      </c>
      <c r="B424">
        <f>IF(ISNA(Sheet1!I424),NA(),Sheet1!$O$5-(Sheet1!I424/Sheet1!$O$6))</f>
        <v/>
      </c>
    </row>
    <row r="425">
      <c r="A425">
        <f>Sheet1!K425</f>
        <v/>
      </c>
      <c r="B425">
        <f>IF(ISNA(Sheet1!I425),NA(),Sheet1!$O$5-(Sheet1!I425/Sheet1!$O$6))</f>
        <v/>
      </c>
    </row>
    <row r="426">
      <c r="A426">
        <f>Sheet1!K426</f>
        <v/>
      </c>
      <c r="B426">
        <f>IF(ISNA(Sheet1!I426),NA(),Sheet1!$O$5-(Sheet1!I426/Sheet1!$O$6))</f>
        <v/>
      </c>
    </row>
    <row r="427">
      <c r="A427">
        <f>Sheet1!K427</f>
        <v/>
      </c>
      <c r="B427">
        <f>IF(ISNA(Sheet1!I427),NA(),Sheet1!$O$5-(Sheet1!I427/Sheet1!$O$6))</f>
        <v/>
      </c>
    </row>
    <row r="428">
      <c r="A428">
        <f>Sheet1!K428</f>
        <v/>
      </c>
      <c r="B428">
        <f>IF(ISNA(Sheet1!I428),NA(),Sheet1!$O$5-(Sheet1!I428/Sheet1!$O$6))</f>
        <v/>
      </c>
    </row>
    <row r="429">
      <c r="A429">
        <f>Sheet1!K429</f>
        <v/>
      </c>
      <c r="B429">
        <f>IF(ISNA(Sheet1!I429),NA(),Sheet1!$O$5-(Sheet1!I429/Sheet1!$O$6))</f>
        <v/>
      </c>
    </row>
    <row r="430">
      <c r="A430">
        <f>Sheet1!K430</f>
        <v/>
      </c>
      <c r="B430">
        <f>IF(ISNA(Sheet1!I430),NA(),Sheet1!$O$5-(Sheet1!I430/Sheet1!$O$6))</f>
        <v/>
      </c>
    </row>
    <row r="431">
      <c r="A431">
        <f>Sheet1!K431</f>
        <v/>
      </c>
      <c r="B431">
        <f>IF(ISNA(Sheet1!I431),NA(),Sheet1!$O$5-(Sheet1!I431/Sheet1!$O$6))</f>
        <v/>
      </c>
    </row>
    <row r="432">
      <c r="A432">
        <f>Sheet1!K432</f>
        <v/>
      </c>
      <c r="B432">
        <f>IF(ISNA(Sheet1!I432),NA(),Sheet1!$O$5-(Sheet1!I432/Sheet1!$O$6))</f>
        <v/>
      </c>
    </row>
    <row r="433">
      <c r="A433">
        <f>Sheet1!K433</f>
        <v/>
      </c>
      <c r="B433">
        <f>IF(ISNA(Sheet1!I433),NA(),Sheet1!$O$5-(Sheet1!I433/Sheet1!$O$6))</f>
        <v/>
      </c>
    </row>
    <row r="434">
      <c r="A434">
        <f>Sheet1!K434</f>
        <v/>
      </c>
      <c r="B434">
        <f>IF(ISNA(Sheet1!I434),NA(),Sheet1!$O$5-(Sheet1!I434/Sheet1!$O$6))</f>
        <v/>
      </c>
    </row>
    <row r="435">
      <c r="A435">
        <f>Sheet1!K435</f>
        <v/>
      </c>
      <c r="B435">
        <f>IF(ISNA(Sheet1!I435),NA(),Sheet1!$O$5-(Sheet1!I435/Sheet1!$O$6))</f>
        <v/>
      </c>
    </row>
    <row r="436">
      <c r="A436">
        <f>Sheet1!K436</f>
        <v/>
      </c>
      <c r="B436">
        <f>IF(ISNA(Sheet1!I436),NA(),Sheet1!$O$5-(Sheet1!I436/Sheet1!$O$6))</f>
        <v/>
      </c>
    </row>
    <row r="437">
      <c r="A437">
        <f>Sheet1!K437</f>
        <v/>
      </c>
      <c r="B437">
        <f>IF(ISNA(Sheet1!I437),NA(),Sheet1!$O$5-(Sheet1!I437/Sheet1!$O$6))</f>
        <v/>
      </c>
    </row>
    <row r="438">
      <c r="A438">
        <f>Sheet1!K438</f>
        <v/>
      </c>
      <c r="B438">
        <f>IF(ISNA(Sheet1!I438),NA(),Sheet1!$O$5-(Sheet1!I438/Sheet1!$O$6))</f>
        <v/>
      </c>
    </row>
    <row r="439">
      <c r="A439">
        <f>Sheet1!K439</f>
        <v/>
      </c>
      <c r="B439">
        <f>IF(ISNA(Sheet1!I439),NA(),Sheet1!$O$5-(Sheet1!I439/Sheet1!$O$6))</f>
        <v/>
      </c>
    </row>
    <row r="440">
      <c r="A440">
        <f>Sheet1!K440</f>
        <v/>
      </c>
      <c r="B440">
        <f>IF(ISNA(Sheet1!I440),NA(),Sheet1!$O$5-(Sheet1!I440/Sheet1!$O$6))</f>
        <v/>
      </c>
    </row>
    <row r="441">
      <c r="A441">
        <f>Sheet1!K441</f>
        <v/>
      </c>
      <c r="B441">
        <f>IF(ISNA(Sheet1!I441),NA(),Sheet1!$O$5-(Sheet1!I441/Sheet1!$O$6))</f>
        <v/>
      </c>
    </row>
    <row r="442">
      <c r="A442">
        <f>Sheet1!K442</f>
        <v/>
      </c>
      <c r="B442">
        <f>IF(ISNA(Sheet1!I442),NA(),Sheet1!$O$5-(Sheet1!I442/Sheet1!$O$6))</f>
        <v/>
      </c>
    </row>
    <row r="443">
      <c r="A443">
        <f>Sheet1!K443</f>
        <v/>
      </c>
      <c r="B443">
        <f>IF(ISNA(Sheet1!I443),NA(),Sheet1!$O$5-(Sheet1!I443/Sheet1!$O$6))</f>
        <v/>
      </c>
    </row>
    <row r="444">
      <c r="A444">
        <f>Sheet1!K444</f>
        <v/>
      </c>
      <c r="B444">
        <f>IF(ISNA(Sheet1!I444),NA(),Sheet1!$O$5-(Sheet1!I444/Sheet1!$O$6))</f>
        <v/>
      </c>
    </row>
    <row r="445">
      <c r="A445">
        <f>Sheet1!K445</f>
        <v/>
      </c>
      <c r="B445">
        <f>IF(ISNA(Sheet1!I445),NA(),Sheet1!$O$5-(Sheet1!I445/Sheet1!$O$6))</f>
        <v/>
      </c>
    </row>
    <row r="446">
      <c r="A446">
        <f>Sheet1!K446</f>
        <v/>
      </c>
      <c r="B446">
        <f>IF(ISNA(Sheet1!I446),NA(),Sheet1!$O$5-(Sheet1!I446/Sheet1!$O$6))</f>
        <v/>
      </c>
    </row>
    <row r="447">
      <c r="A447">
        <f>Sheet1!K447</f>
        <v/>
      </c>
      <c r="B447">
        <f>IF(ISNA(Sheet1!I447),NA(),Sheet1!$O$5-(Sheet1!I447/Sheet1!$O$6))</f>
        <v/>
      </c>
    </row>
    <row r="448">
      <c r="A448">
        <f>Sheet1!K448</f>
        <v/>
      </c>
      <c r="B448">
        <f>IF(ISNA(Sheet1!I448),NA(),Sheet1!$O$5-(Sheet1!I448/Sheet1!$O$6))</f>
        <v/>
      </c>
    </row>
    <row r="449">
      <c r="A449">
        <f>Sheet1!K449</f>
        <v/>
      </c>
      <c r="B449">
        <f>IF(ISNA(Sheet1!I449),NA(),Sheet1!$O$5-(Sheet1!I449/Sheet1!$O$6))</f>
        <v/>
      </c>
    </row>
    <row r="450">
      <c r="A450">
        <f>Sheet1!K450</f>
        <v/>
      </c>
      <c r="B450">
        <f>IF(ISNA(Sheet1!I450),NA(),Sheet1!$O$5-(Sheet1!I450/Sheet1!$O$6))</f>
        <v/>
      </c>
    </row>
    <row r="451">
      <c r="A451">
        <f>Sheet1!K451</f>
        <v/>
      </c>
      <c r="B451">
        <f>IF(ISNA(Sheet1!I451),NA(),Sheet1!$O$5-(Sheet1!I451/Sheet1!$O$6))</f>
        <v/>
      </c>
    </row>
    <row r="452">
      <c r="A452">
        <f>Sheet1!K452</f>
        <v/>
      </c>
      <c r="B452">
        <f>IF(ISNA(Sheet1!I452),NA(),Sheet1!$O$5-(Sheet1!I452/Sheet1!$O$6))</f>
        <v/>
      </c>
    </row>
    <row r="453">
      <c r="A453">
        <f>Sheet1!K453</f>
        <v/>
      </c>
      <c r="B453">
        <f>IF(ISNA(Sheet1!I453),NA(),Sheet1!$O$5-(Sheet1!I453/Sheet1!$O$6))</f>
        <v/>
      </c>
    </row>
    <row r="454">
      <c r="A454">
        <f>Sheet1!K454</f>
        <v/>
      </c>
      <c r="B454">
        <f>IF(ISNA(Sheet1!I454),NA(),Sheet1!$O$5-(Sheet1!I454/Sheet1!$O$6))</f>
        <v/>
      </c>
    </row>
    <row r="455">
      <c r="A455">
        <f>Sheet1!K455</f>
        <v/>
      </c>
      <c r="B455">
        <f>IF(ISNA(Sheet1!I455),NA(),Sheet1!$O$5-(Sheet1!I455/Sheet1!$O$6))</f>
        <v/>
      </c>
    </row>
    <row r="456">
      <c r="A456">
        <f>Sheet1!K456</f>
        <v/>
      </c>
      <c r="B456">
        <f>IF(ISNA(Sheet1!I456),NA(),Sheet1!$O$5-(Sheet1!I456/Sheet1!$O$6))</f>
        <v/>
      </c>
    </row>
    <row r="457">
      <c r="A457">
        <f>Sheet1!K457</f>
        <v/>
      </c>
      <c r="B457">
        <f>IF(ISNA(Sheet1!I457),NA(),Sheet1!$O$5-(Sheet1!I457/Sheet1!$O$6))</f>
        <v/>
      </c>
    </row>
    <row r="458">
      <c r="A458">
        <f>Sheet1!K458</f>
        <v/>
      </c>
      <c r="B458">
        <f>IF(ISNA(Sheet1!I458),NA(),Sheet1!$O$5-(Sheet1!I458/Sheet1!$O$6))</f>
        <v/>
      </c>
    </row>
    <row r="459">
      <c r="A459">
        <f>Sheet1!K459</f>
        <v/>
      </c>
      <c r="B459">
        <f>IF(ISNA(Sheet1!I459),NA(),Sheet1!$O$5-(Sheet1!I459/Sheet1!$O$6))</f>
        <v/>
      </c>
    </row>
    <row r="460">
      <c r="A460">
        <f>Sheet1!K460</f>
        <v/>
      </c>
      <c r="B460">
        <f>IF(ISNA(Sheet1!I460),NA(),Sheet1!$O$5-(Sheet1!I460/Sheet1!$O$6))</f>
        <v/>
      </c>
    </row>
    <row r="461">
      <c r="A461">
        <f>Sheet1!K461</f>
        <v/>
      </c>
      <c r="B461">
        <f>IF(ISNA(Sheet1!I461),NA(),Sheet1!$O$5-(Sheet1!I461/Sheet1!$O$6))</f>
        <v/>
      </c>
    </row>
    <row r="462">
      <c r="A462">
        <f>Sheet1!K462</f>
        <v/>
      </c>
      <c r="B462">
        <f>IF(ISNA(Sheet1!I462),NA(),Sheet1!$O$5-(Sheet1!I462/Sheet1!$O$6))</f>
        <v/>
      </c>
    </row>
    <row r="463">
      <c r="A463">
        <f>Sheet1!K463</f>
        <v/>
      </c>
      <c r="B463">
        <f>IF(ISNA(Sheet1!I463),NA(),Sheet1!$O$5-(Sheet1!I463/Sheet1!$O$6))</f>
        <v/>
      </c>
    </row>
    <row r="464">
      <c r="A464">
        <f>Sheet1!K464</f>
        <v/>
      </c>
      <c r="B464">
        <f>IF(ISNA(Sheet1!I464),NA(),Sheet1!$O$5-(Sheet1!I464/Sheet1!$O$6))</f>
        <v/>
      </c>
    </row>
    <row r="465">
      <c r="A465">
        <f>Sheet1!K465</f>
        <v/>
      </c>
      <c r="B465">
        <f>IF(ISNA(Sheet1!I465),NA(),Sheet1!$O$5-(Sheet1!I465/Sheet1!$O$6))</f>
        <v/>
      </c>
    </row>
    <row r="466">
      <c r="A466">
        <f>Sheet1!K466</f>
        <v/>
      </c>
      <c r="B466">
        <f>IF(ISNA(Sheet1!I466),NA(),Sheet1!$O$5-(Sheet1!I466/Sheet1!$O$6))</f>
        <v/>
      </c>
    </row>
    <row r="467">
      <c r="A467">
        <f>Sheet1!K467</f>
        <v/>
      </c>
      <c r="B467">
        <f>IF(ISNA(Sheet1!I467),NA(),Sheet1!$O$5-(Sheet1!I467/Sheet1!$O$6))</f>
        <v/>
      </c>
    </row>
    <row r="468">
      <c r="A468">
        <f>Sheet1!K468</f>
        <v/>
      </c>
      <c r="B468">
        <f>IF(ISNA(Sheet1!I468),NA(),Sheet1!$O$5-(Sheet1!I468/Sheet1!$O$6))</f>
        <v/>
      </c>
    </row>
    <row r="469">
      <c r="A469">
        <f>Sheet1!K469</f>
        <v/>
      </c>
      <c r="B469">
        <f>IF(ISNA(Sheet1!I469),NA(),Sheet1!$O$5-(Sheet1!I469/Sheet1!$O$6))</f>
        <v/>
      </c>
    </row>
    <row r="470">
      <c r="A470">
        <f>Sheet1!K470</f>
        <v/>
      </c>
      <c r="B470">
        <f>IF(ISNA(Sheet1!I470),NA(),Sheet1!$O$5-(Sheet1!I470/Sheet1!$O$6))</f>
        <v/>
      </c>
    </row>
    <row r="471">
      <c r="A471">
        <f>Sheet1!K471</f>
        <v/>
      </c>
      <c r="B471">
        <f>IF(ISNA(Sheet1!I471),NA(),Sheet1!$O$5-(Sheet1!I471/Sheet1!$O$6))</f>
        <v/>
      </c>
    </row>
    <row r="472">
      <c r="A472">
        <f>Sheet1!K472</f>
        <v/>
      </c>
      <c r="B472">
        <f>IF(ISNA(Sheet1!I472),NA(),Sheet1!$O$5-(Sheet1!I472/Sheet1!$O$6))</f>
        <v/>
      </c>
    </row>
    <row r="473">
      <c r="A473">
        <f>Sheet1!K473</f>
        <v/>
      </c>
      <c r="B473">
        <f>IF(ISNA(Sheet1!I473),NA(),Sheet1!$O$5-(Sheet1!I473/Sheet1!$O$6))</f>
        <v/>
      </c>
    </row>
    <row r="474">
      <c r="A474">
        <f>Sheet1!K474</f>
        <v/>
      </c>
      <c r="B474">
        <f>IF(ISNA(Sheet1!I474),NA(),Sheet1!$O$5-(Sheet1!I474/Sheet1!$O$6))</f>
        <v/>
      </c>
    </row>
    <row r="475">
      <c r="A475">
        <f>Sheet1!K475</f>
        <v/>
      </c>
      <c r="B475">
        <f>IF(ISNA(Sheet1!I475),NA(),Sheet1!$O$5-(Sheet1!I475/Sheet1!$O$6))</f>
        <v/>
      </c>
    </row>
    <row r="476">
      <c r="A476">
        <f>Sheet1!K476</f>
        <v/>
      </c>
      <c r="B476">
        <f>IF(ISNA(Sheet1!I476),NA(),Sheet1!$O$5-(Sheet1!I476/Sheet1!$O$6))</f>
        <v/>
      </c>
    </row>
    <row r="477">
      <c r="A477">
        <f>Sheet1!K477</f>
        <v/>
      </c>
      <c r="B477">
        <f>IF(ISNA(Sheet1!I477),NA(),Sheet1!$O$5-(Sheet1!I477/Sheet1!$O$6))</f>
        <v/>
      </c>
    </row>
    <row r="478">
      <c r="A478">
        <f>Sheet1!K478</f>
        <v/>
      </c>
      <c r="B478">
        <f>IF(ISNA(Sheet1!I478),NA(),Sheet1!$O$5-(Sheet1!I478/Sheet1!$O$6))</f>
        <v/>
      </c>
    </row>
    <row r="479">
      <c r="A479">
        <f>Sheet1!K479</f>
        <v/>
      </c>
      <c r="B479">
        <f>IF(ISNA(Sheet1!I479),NA(),Sheet1!$O$5-(Sheet1!I479/Sheet1!$O$6))</f>
        <v/>
      </c>
    </row>
    <row r="480">
      <c r="A480">
        <f>Sheet1!K480</f>
        <v/>
      </c>
      <c r="B480">
        <f>IF(ISNA(Sheet1!I480),NA(),Sheet1!$O$5-(Sheet1!I480/Sheet1!$O$6))</f>
        <v/>
      </c>
    </row>
    <row r="481">
      <c r="A481">
        <f>Sheet1!K481</f>
        <v/>
      </c>
      <c r="B481">
        <f>IF(ISNA(Sheet1!I481),NA(),Sheet1!$O$5-(Sheet1!I481/Sheet1!$O$6))</f>
        <v/>
      </c>
    </row>
    <row r="482">
      <c r="A482">
        <f>Sheet1!K482</f>
        <v/>
      </c>
      <c r="B482">
        <f>IF(ISNA(Sheet1!I482),NA(),Sheet1!$O$5-(Sheet1!I482/Sheet1!$O$6))</f>
        <v/>
      </c>
    </row>
    <row r="483">
      <c r="A483">
        <f>Sheet1!K483</f>
        <v/>
      </c>
      <c r="B483">
        <f>IF(ISNA(Sheet1!I483),NA(),Sheet1!$O$5-(Sheet1!I483/Sheet1!$O$6))</f>
        <v/>
      </c>
    </row>
    <row r="484">
      <c r="A484">
        <f>Sheet1!K484</f>
        <v/>
      </c>
      <c r="B484">
        <f>IF(ISNA(Sheet1!I484),NA(),Sheet1!$O$5-(Sheet1!I484/Sheet1!$O$6))</f>
        <v/>
      </c>
    </row>
    <row r="485">
      <c r="A485">
        <f>Sheet1!K485</f>
        <v/>
      </c>
      <c r="B485">
        <f>IF(ISNA(Sheet1!I485),NA(),Sheet1!$O$5-(Sheet1!I485/Sheet1!$O$6))</f>
        <v/>
      </c>
    </row>
    <row r="486">
      <c r="A486">
        <f>Sheet1!K486</f>
        <v/>
      </c>
      <c r="B486">
        <f>IF(ISNA(Sheet1!I486),NA(),Sheet1!$O$5-(Sheet1!I486/Sheet1!$O$6))</f>
        <v/>
      </c>
    </row>
    <row r="487">
      <c r="A487">
        <f>Sheet1!K487</f>
        <v/>
      </c>
      <c r="B487">
        <f>IF(ISNA(Sheet1!I487),NA(),Sheet1!$O$5-(Sheet1!I487/Sheet1!$O$6))</f>
        <v/>
      </c>
    </row>
    <row r="488">
      <c r="A488">
        <f>Sheet1!K488</f>
        <v/>
      </c>
      <c r="B488">
        <f>IF(ISNA(Sheet1!I488),NA(),Sheet1!$O$5-(Sheet1!I488/Sheet1!$O$6))</f>
        <v/>
      </c>
    </row>
    <row r="489">
      <c r="A489">
        <f>Sheet1!K489</f>
        <v/>
      </c>
      <c r="B489">
        <f>IF(ISNA(Sheet1!I489),NA(),Sheet1!$O$5-(Sheet1!I489/Sheet1!$O$6))</f>
        <v/>
      </c>
    </row>
    <row r="490">
      <c r="A490">
        <f>Sheet1!K490</f>
        <v/>
      </c>
      <c r="B490">
        <f>IF(ISNA(Sheet1!I490),NA(),Sheet1!$O$5-(Sheet1!I490/Sheet1!$O$6))</f>
        <v/>
      </c>
    </row>
    <row r="491">
      <c r="A491">
        <f>Sheet1!K491</f>
        <v/>
      </c>
      <c r="B491">
        <f>IF(ISNA(Sheet1!I491),NA(),Sheet1!$O$5-(Sheet1!I491/Sheet1!$O$6))</f>
        <v/>
      </c>
    </row>
    <row r="492">
      <c r="A492">
        <f>Sheet1!K492</f>
        <v/>
      </c>
      <c r="B492">
        <f>IF(ISNA(Sheet1!I492),NA(),Sheet1!$O$5-(Sheet1!I492/Sheet1!$O$6))</f>
        <v/>
      </c>
    </row>
    <row r="493">
      <c r="A493">
        <f>Sheet1!K493</f>
        <v/>
      </c>
      <c r="B493">
        <f>IF(ISNA(Sheet1!I493),NA(),Sheet1!$O$5-(Sheet1!I493/Sheet1!$O$6))</f>
        <v/>
      </c>
    </row>
    <row r="494">
      <c r="A494">
        <f>Sheet1!K494</f>
        <v/>
      </c>
      <c r="B494">
        <f>IF(ISNA(Sheet1!I494),NA(),Sheet1!$O$5-(Sheet1!I494/Sheet1!$O$6))</f>
        <v/>
      </c>
    </row>
    <row r="495">
      <c r="A495">
        <f>Sheet1!K495</f>
        <v/>
      </c>
      <c r="B495">
        <f>IF(ISNA(Sheet1!I495),NA(),Sheet1!$O$5-(Sheet1!I495/Sheet1!$O$6))</f>
        <v/>
      </c>
    </row>
    <row r="496">
      <c r="A496">
        <f>Sheet1!K496</f>
        <v/>
      </c>
      <c r="B496">
        <f>IF(ISNA(Sheet1!I496),NA(),Sheet1!$O$5-(Sheet1!I496/Sheet1!$O$6))</f>
        <v/>
      </c>
    </row>
    <row r="497">
      <c r="A497">
        <f>Sheet1!K497</f>
        <v/>
      </c>
      <c r="B497">
        <f>IF(ISNA(Sheet1!I497),NA(),Sheet1!$O$5-(Sheet1!I497/Sheet1!$O$6))</f>
        <v/>
      </c>
    </row>
    <row r="498">
      <c r="A498">
        <f>Sheet1!K498</f>
        <v/>
      </c>
      <c r="B498">
        <f>IF(ISNA(Sheet1!I498),NA(),Sheet1!$O$5-(Sheet1!I498/Sheet1!$O$6))</f>
        <v/>
      </c>
    </row>
    <row r="499">
      <c r="A499">
        <f>Sheet1!K499</f>
        <v/>
      </c>
      <c r="B499">
        <f>IF(ISNA(Sheet1!I499),NA(),Sheet1!$O$5-(Sheet1!I499/Sheet1!$O$6))</f>
        <v/>
      </c>
    </row>
    <row r="500">
      <c r="A500">
        <f>Sheet1!K500</f>
        <v/>
      </c>
      <c r="B500">
        <f>IF(ISNA(Sheet1!I500),NA(),Sheet1!$O$5-(Sheet1!I500/Sheet1!$O$6))</f>
        <v/>
      </c>
    </row>
    <row r="501">
      <c r="A501">
        <f>Sheet1!K501</f>
        <v/>
      </c>
      <c r="B501">
        <f>IF(ISNA(Sheet1!I501),NA(),Sheet1!$O$5-(Sheet1!I501/Sheet1!$O$6))</f>
        <v/>
      </c>
    </row>
    <row r="502">
      <c r="A502">
        <f>Sheet1!K502</f>
        <v/>
      </c>
      <c r="B502">
        <f>IF(ISNA(Sheet1!I502),NA(),Sheet1!$O$5-(Sheet1!I502/Sheet1!$O$6))</f>
        <v/>
      </c>
    </row>
    <row r="503">
      <c r="A503">
        <f>Sheet1!K503</f>
        <v/>
      </c>
      <c r="B503">
        <f>IF(ISNA(Sheet1!I503),NA(),Sheet1!$O$5-(Sheet1!I503/Sheet1!$O$6))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2026-08-07T15:24:02Z</dcterms:created>
  <dcterms:modified xsi:type="dcterms:W3CDTF">2026-08-07T15:25:08Z</dcterms:modified>
</cp:coreProperties>
</file>